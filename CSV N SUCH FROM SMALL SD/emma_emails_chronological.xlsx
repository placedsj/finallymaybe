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ma_emails_chronological" sheetId="1" r:id="rId4"/>
  </sheets>
  <definedNames/>
  <calcPr/>
</workbook>
</file>

<file path=xl/sharedStrings.xml><?xml version="1.0" encoding="utf-8"?>
<sst xmlns="http://schemas.openxmlformats.org/spreadsheetml/2006/main" count="4253" uniqueCount="994">
  <si>
    <t>Date</t>
  </si>
  <si>
    <t>From</t>
  </si>
  <si>
    <t>To</t>
  </si>
  <si>
    <t>Subject</t>
  </si>
  <si>
    <t>Body_Preview</t>
  </si>
  <si>
    <t>Has_Attachments</t>
  </si>
  <si>
    <t>Labels</t>
  </si>
  <si>
    <t>sales@holdemmanager.com</t>
  </si>
  <si>
    <t>charliewharlie369@outlook.com</t>
  </si>
  <si>
    <t>Holdem Manager Account Registration:</t>
  </si>
  <si>
    <t>&lt;meta http-equiv="Content-Type" content="text/html; charset=utf-8"&gt;&lt;style type="text/css" media="screen"&gt;
      body
      {
         background-color: #FFF;
         margin: 0;
         padding:</t>
  </si>
  <si>
    <t>No</t>
  </si>
  <si>
    <t>Inbox,Category Personal,Unread</t>
  </si>
  <si>
    <t>Improve Your Pre-Flop Game Today With HM2</t>
  </si>
  <si>
    <t>Inbox,Category Updates,Unread</t>
  </si>
  <si>
    <t>Improving Post-Flop Play With HM2</t>
  </si>
  <si>
    <t>Inbox,Category Promotions,Unread</t>
  </si>
  <si>
    <t>Improve Your Post Game Analysis With HM2</t>
  </si>
  <si>
    <t>Free Professional HM2 Poker Coach Videos</t>
  </si>
  <si>
    <t>Extend Your HM2 Trial Today!</t>
  </si>
  <si>
    <t>Inbox,Category Promotions</t>
  </si>
  <si>
    <t>Holdem Manager &lt;support@holdemmanager.com&gt;</t>
  </si>
  <si>
    <t>Get Free HM2 Trial Extension Now</t>
  </si>
  <si>
    <t>Holdem Manager &lt;http://link.holdemmanager.com/click/7260186.14059/aHR0cDovL3d3dy5ob2xkZW1tYW5hZ2VyLmNvbS8/5708aa83498e64531ea5f9cdDac09202a&gt;
Hello ,
Sample Text
Link Color
Image Centered
New-butt</t>
  </si>
  <si>
    <t>Inbox,Category Personal</t>
  </si>
  <si>
    <t>Ryan &lt;b-hzlb284tzdjpc@rts.kijiji.ca&gt;</t>
  </si>
  <si>
    <t>Reply to your "Truck cap off Dodge Ram " Ad on Kijiji</t>
  </si>
  <si>
    <t>Hello! The following is a reply to your "Truck cap off Dodge Ram " Ad on Kijiji:
From: Ryan
Hi, how much are you looking to sell this for?
Thanks
Reply to Ryan
https://www.kijiji.ca/m-msg-my-message</t>
  </si>
  <si>
    <t>Re: Reply to your "Truck cap off Dodge Ram " Ad on Kijiji</t>
  </si>
  <si>
    <t>Hello! The following is a reply to your conversation regarding "Truck cap off Dodge Ram " on Kijiji:
From: Ryan
Oh ok, i honestly wasen't thinking that high. It'll probably cost me 400 just to have i</t>
  </si>
  <si>
    <t>Hello! The following is a reply to your conversation regarding "Truck cap off Dodge Ram " on Kijiji:
From: Ryan
Ok, if you think you could do 300, i could probably get it tomorrow after work
Reply t</t>
  </si>
  <si>
    <t>Hello! The following is a reply to your conversation regarding "Truck cap off Dodge Ram " on Kijiji:
From: Ryan
Ok sounds good.. thanks
Reply to Ryan
https://www.kijiji.ca/m-msg-my-messages/?utm_sou</t>
  </si>
  <si>
    <t>Hello! The following is a reply to your conversation regarding "Truck cap off Dodge Ram " on Kijiji:
From: Ryan
What time are you around? I could be there probably by 5
Reply to Ryan
https://www.kij</t>
  </si>
  <si>
    <t>Hello! The following is a reply to your conversation regarding "Truck cap off Dodge Ram " on Kijiji:
From: Ryan
Ok, surething. Let me know what your thinking or if you'll be home earlier.
Reply to R</t>
  </si>
  <si>
    <t>Hello! The following is a reply to your conversation regarding "Truck cap off Dodge Ram " on Kijiji:
From: Ryan
Ok. Do u mind if i go and look at if your not there? Or would you rather me wait till y</t>
  </si>
  <si>
    <t>Hello! The following is a reply to your conversation regarding "Truck cap off Dodge Ram " on Kijiji:
From: Ryan
Ok sounds good. I'll message you after I'm done everything in town before i head out. I</t>
  </si>
  <si>
    <t>Hello! The following is a reply to your conversation regarding "Truck cap off Dodge Ram " on Kijiji:
From: Ryan
Haha..ok sounds good
Reply to Ryan
https://www.kijiji.ca/m-msg-my-messages/?utm_source</t>
  </si>
  <si>
    <t>Hello! The following is a reply to your conversation regarding "Truck cap off Dodge Ram " on Kijiji:
From: Ryan
So we're good on $300
Reply to Ryan
https://www.kijiji.ca/m-msg-my-messages/?utm_sourc</t>
  </si>
  <si>
    <t>Hello! The following is a reply to your conversation regarding "Truck cap off Dodge Ram " on Kijiji:
From: Ryan
Ok sounds good
Reply to Ryan
https://www.kijiji.ca/m-msg-my-messages/?utm_source=autom</t>
  </si>
  <si>
    <t>Hello! The following is a reply to your conversation regarding "Truck cap off Dodge Ram " on Kijiji:
From: Ryan
Hi, i will probably be there in the next 1/2 hr to an hr. Is that ok?
Reply to Ryan
ht</t>
  </si>
  <si>
    <t>Hello! The following is a reply to your conversation regarding "Truck cap off Dodge Ram " on Kijiji:
From: Ryan
Ok, sounds good.
Reply to Ryan
https://www.kijiji.ca/m-msg-my-messages/?utm_source=aut</t>
  </si>
  <si>
    <t>Hello! The following is a reply to your conversation regarding "Truck cap off Dodge Ram " on Kijiji:
From: Ryan
Ok great. Is it just a few clamps to get it off?
Reply to Ryan
https://www.kijiji.ca/m</t>
  </si>
  <si>
    <t>Hello! The following is a reply to your conversation regarding "Truck cap off Dodge Ram " on Kijiji:
From: Ryan
Ok great...is it very heacy?
Reply to Ryan
https://www.kijiji.ca/m-msg-my-messages/?ut</t>
  </si>
  <si>
    <t>Hello! The following is a reply to your conversation regarding "Truck cap off Dodge Ram " on Kijiji:
From: Ryan
Heavy
Reply to Ryan
https://www.kijiji.ca/m-msg-my-messages/?utm_source=automated_emai</t>
  </si>
  <si>
    <t>Hello! The following is a reply to your conversation regarding "Truck cap off Dodge Ram " on Kijiji:
From: Ryan
Ok, I'm here now.  Looks good to me.  I'll take it
Reply to Ryan
https://www.kijiji.ca</t>
  </si>
  <si>
    <t>Hello! The following is a reply to your conversation regarding "Truck cap off Dodge Ram " on Kijiji:
From: Ryan
What's your phone#
Reply to Ryan
https://www.kijiji.ca/m-msg-my-messages/?utm_source=a</t>
  </si>
  <si>
    <t>"PocketFives.com" &lt;support@pocketfives.com&gt;</t>
  </si>
  <si>
    <t>2019 WSOP: Bryan Campanello Bags Day 1a Lead Following Big Turnout</t>
  </si>
  <si>
    <t>To view this email online, paste this link into your browser:
https://t.e2ma.net/message/oj1cqc/0kmvvm
 (https://t.e2ma.net/click/oj1cqc/0kmvvm/8mtkkm)
2019 WSOP Main Event: Huge Turnout and Bry</t>
  </si>
  <si>
    <t>"Facebook" &lt;reminders@facebookmail.com&gt;</t>
  </si>
  <si>
    <t>Charlie Wh &lt;charliewharlie369@outlook.com&gt;</t>
  </si>
  <si>
    <t>You have 3 notifications about Ryan and others</t>
  </si>
  <si>
    <t>Inbox,Category Social,Unread</t>
  </si>
  <si>
    <t>You have 4 notifications about Ryan and others</t>
  </si>
  <si>
    <t>"Instagram" &lt;no-reply@mail.instagram.com&gt;</t>
  </si>
  <si>
    <t>stella_thecockapoo, sheriff_sports and bro.oklynemma have new posts</t>
  </si>
  <si>
    <t>&lt;!DOCTYPE HTML PUBLIC "-//W3C//DTD HTML 4.01 Transitional //EN"&gt;&lt;html&gt;&lt;head&gt;
&lt;meta http-equiv="Content-Type" content="text/html; charset=utf-8"&gt;&lt;title&gt;Facebook&lt;/title&gt;&lt;style nonce="wooZAWh4"&gt;@media al</t>
  </si>
  <si>
    <t>"Emma" &lt;emma@slots7mails.com&gt;</t>
  </si>
  <si>
    <t>Craig Schulz &lt;charliewharlie369@outlook.com&gt;</t>
  </si>
  <si>
    <t>This Memorial Day Enjoy with 675% Promo</t>
  </si>
  <si>
    <t>&lt;!-- X-Campaign: 202824040/10742574/864029045 --&gt;&lt;meta http-equiv="Content-Type" content="text/html; charset=utf-8"&gt;&lt;style&gt; .dvPreheader { display: none !important; mso-hide: all; }&lt;/style&gt;&lt;div class=</t>
  </si>
  <si>
    <t>&lt;!-- X-Campaign: 202827715/10755027/864029045 --&gt;&lt;meta http-equiv="Content-Type" content="text/html; charset=utf-8"&gt;&lt;style&gt; .dvPreheader { display: none !important; mso-hide: all; }&lt;/style&gt;&lt;div class=</t>
  </si>
  <si>
    <t>&lt;!-- X-Campaign: 202835975/10810145/864029045 --&gt;&lt;meta http-equiv="Content-Type" content="text/html; charset=utf-8"&gt;&lt;style&gt; .dvPreheader { display: none !important; mso-hide: all; }&lt;/style&gt;&lt;div class=</t>
  </si>
  <si>
    <t>&lt;!-- X-Campaign: 202844815/10834345/864029045 --&gt;&lt;meta http-equiv="Content-Type" content="text/html; charset=utf-8"&gt;&lt;style&gt; .dvPreheader { display: none !important; mso-hide: all; }&lt;/style&gt;&lt;div class=</t>
  </si>
  <si>
    <t>&lt;!-- X-Campaign: 202879915/10969383/864029045 --&gt;&lt;meta http-equiv="Content-Type" content="text/html; charset=utf-8"&gt;&lt;style&gt; .dvPreheader { display: none !important; mso-hide: all; }&lt;/style&gt;&lt;div class=</t>
  </si>
  <si>
    <t>Craig, Try Golden Dragon Inferno, 350% Promo</t>
  </si>
  <si>
    <t>&lt;!-- X-Campaign: 202911700/11083434/864029045 --&gt;&lt;meta http-equiv="Content-Type" content="text/html; charset=utf-8"&gt;&lt;style&gt; .dvPreheader { display: none !important; mso-hide: all; }&lt;/style&gt;&lt;div class=</t>
  </si>
  <si>
    <t>&lt;!-- X-Campaign: 202930680/11153630/864029045 --&gt;&lt;meta http-equiv="Content-Type" content="text/html; charset=utf-8"&gt;&lt;style&gt; .dvPreheader { display: none !important; mso-hide: all; }&lt;/style&gt;&lt;div class=</t>
  </si>
  <si>
    <t>&lt;!-- X-Campaign: 202936600/11187950/864029045 --&gt;&lt;meta http-equiv="Content-Type" content="text/html; charset=utf-8"&gt;&lt;style&gt; .dvPreheader { display: none !important; mso-hide: all; }&lt;/style&gt;&lt;div class=</t>
  </si>
  <si>
    <t>Craig, Enjoy this Summer at its max with this 500% Promo</t>
  </si>
  <si>
    <t>&lt;!-- X-Campaign: 203013960/11494948/864029045 --&gt;&lt;meta http-equiv="Content-Type" content="text/html; charset=utf-8"&gt;&lt;style&gt; .dvPreheader { display: none !important; mso-hide: all; }&lt;/style&gt;&lt;div class=</t>
  </si>
  <si>
    <t>Craig, Bitcoin is safe Try it now - 575% Promo</t>
  </si>
  <si>
    <t>&lt;!-- X-Campaign: 203019075/11519097/864029045 --&gt;&lt;meta http-equiv="Content-Type" content="text/html; charset=utf-8"&gt;&lt;style&gt; .dvPreheader { display: none !important; mso-hide: all; }&lt;/style&gt;&lt;div class=</t>
  </si>
  <si>
    <t>Craig, 500% Promo - Waiting for you to be redeemed</t>
  </si>
  <si>
    <t>&lt;!-- X-Campaign: 203037495/11720937/864029045 --&gt;&lt;meta http-equiv="Content-Type" content="text/html; charset=utf-8"&gt;&lt;style&gt; .dvPreheader { display: none !important; mso-hide: all; }&lt;/style&gt;&lt;div class=</t>
  </si>
  <si>
    <t>&lt;!-- X-Campaign: 203040960/11733177/864029045 --&gt;&lt;meta http-equiv="Content-Type" content="text/html; charset=utf-8"&gt;&lt;style&gt; .dvPreheader { display: none !important; mso-hide: all; }&lt;/style&gt;&lt;div class=</t>
  </si>
  <si>
    <t>&lt;!-- X-Campaign: 203050695/11773801/864029045 --&gt;&lt;meta http-equiv="Content-Type" content="text/html; charset=utf-8"&gt;&lt;style&gt; .dvPreheader { display: none !important; mso-hide: all; }&lt;/style&gt;&lt;div class=</t>
  </si>
  <si>
    <t>Craig, 525% Promo | New Game with an awesome deal</t>
  </si>
  <si>
    <t>&lt;!-- X-Campaign: 203059060/11796503/864029045 --&gt;&lt;meta http-equiv="Content-Type" content="text/html; charset=utf-8"&gt;&lt;style&gt; .dvPreheader { display: none !important; mso-hide: all; }&lt;/style&gt;&lt;div class=</t>
  </si>
  <si>
    <t>&lt;!-- X-Campaign: 203063870/11807632/864029045 --&gt;&lt;meta http-equiv="Content-Type" content="text/html; charset=utf-8"&gt;&lt;style&gt; .dvPreheader { display: none !important; mso-hide: all; }&lt;/style&gt;&lt;div class=</t>
  </si>
  <si>
    <t>&lt;!-- X-Campaign: 203067335/11819207/864029045 --&gt;&lt;meta http-equiv="Content-Type" content="text/html; charset=utf-8"&gt;&lt;style&gt; .dvPreheader { display: none !important; mso-hide: all; }&lt;/style&gt;&lt;div class=</t>
  </si>
  <si>
    <t>Craig, 150% Promo | learn to love Wednesday</t>
  </si>
  <si>
    <t>&lt;!-- X-Campaign: 203078485/11866748/864029045 --&gt;&lt;meta http-equiv="Content-Type" content="text/html; charset=utf-8"&gt;&lt;style&gt; .dvPreheader { display: none !important; mso-hide: all; }&lt;/style&gt;&lt;div class=</t>
  </si>
  <si>
    <t>Craig, Bitcoin is safe Try it now - 250% Promo</t>
  </si>
  <si>
    <t>&lt;!-- X-Campaign: 203086945/11891514/864029045 --&gt;&lt;meta http-equiv="Content-Type" content="text/html; charset=utf-8"&gt;&lt;style&gt; .dvPreheader { display: none !important; mso-hide: all; }&lt;/style&gt;&lt;div class=</t>
  </si>
  <si>
    <t>Craig, If you own a MasterCard - Take this 275% Promo</t>
  </si>
  <si>
    <t>&lt;!-- X-Campaign: 203097915/11935942/864029045 --&gt;&lt;meta http-equiv="Content-Type" content="text/html; charset=utf-8"&gt;&lt;style&gt; .dvPreheader { display: none !important; mso-hide: all; }&lt;/style&gt;&lt;div class=</t>
  </si>
  <si>
    <t>Craig, 225% Promo Waiting for you to be redeemed</t>
  </si>
  <si>
    <t>&lt;!-- X-Campaign: 203106335/11960847/864029045 --&gt;&lt;meta http-equiv="Content-Type" content="text/html; charset=utf-8"&gt;&lt;style&gt; .dvPreheader { display: none !important; mso-hide: all; }&lt;/style&gt;&lt;div class=</t>
  </si>
  <si>
    <t>&lt;!-- X-Campaign: 203114230/11982996/864029045 --&gt;&lt;meta http-equiv="Content-Type" content="text/html; charset=utf-8"&gt;&lt;style&gt; .dvPreheader { display: none !important; mso-hide: all; }&lt;/style&gt;&lt;div class=</t>
  </si>
  <si>
    <t>Craig, 275% Promo - This is for all the MasterCard Holders</t>
  </si>
  <si>
    <t>&lt;!-- X-Campaign: 203123180/12015704/864029045 --&gt;&lt;meta http-equiv="Content-Type" content="text/html; charset=utf-8"&gt;&lt;style&gt; .dvPreheader { display: none !important; mso-hide: all; }&lt;/style&gt;&lt;div class=</t>
  </si>
  <si>
    <t>Craig, 100% Promo | New Game with an awesome deal</t>
  </si>
  <si>
    <t>&lt;!-- X-Campaign: 203131835/12037080/864029045 --&gt;&lt;meta http-equiv="Content-Type" content="text/html; charset=utf-8"&gt;&lt;style&gt; .dvPreheader { display: none !important; mso-hide: all; }&lt;/style&gt;&lt;div class=</t>
  </si>
  <si>
    <t>&lt;!-- X-Campaign: 203143720/12077858/864029045 --&gt;&lt;meta http-equiv="Content-Type" content="text/html; charset=utf-8"&gt;&lt;style&gt; .dvPreheader { display: none !important; mso-hide: all; }&lt;/style&gt;&lt;div class=</t>
  </si>
  <si>
    <t>&lt;!-- X-Campaign: 203151750/12100782/864029045 --&gt;&lt;meta http-equiv="Content-Type" content="text/html; charset=utf-8"&gt;&lt;style&gt; .dvPreheader { display: none !important; mso-hide: all; }&lt;/style&gt;&lt;div class=</t>
  </si>
  <si>
    <t>Craig, Try Bitcoin today and get a 450% Promo</t>
  </si>
  <si>
    <t>&lt;!-- X-Campaign: 203168880/12162155/864029045 --&gt;&lt;meta http-equiv="Content-Type" content="text/html; charset=utf-8"&gt;&lt;style&gt; .dvPreheader { display: none !important; mso-hide: all; }&lt;/style&gt;&lt;div class=</t>
  </si>
  <si>
    <t>Craig, Bitcoin is safe Try it now - 450% Promo</t>
  </si>
  <si>
    <t>&lt;!-- X-Campaign: 203187895/12209538/864029045 --&gt;&lt;meta http-equiv="Content-Type" content="text/html; charset=utf-8"&gt;&lt;style&gt; .dvPreheader { display: none !important; mso-hide: all; }&lt;/style&gt;&lt;div class=</t>
  </si>
  <si>
    <t>Craig, 225% Promo, Autumn is here.</t>
  </si>
  <si>
    <t>&lt;!-- X-Campaign: 203208265/12302160/864029045 --&gt;&lt;meta http-equiv="Content-Type" content="text/html; charset=utf-8"&gt;&lt;style&gt; .dvPreheader { display: none !important; mso-hide: all; }&lt;/style&gt;&lt;div class=</t>
  </si>
  <si>
    <t>&lt;!-- X-Campaign: 203212960/12320663/864029045 --&gt;&lt;meta http-equiv="Content-Type" content="text/html; charset=utf-8"&gt;&lt;style&gt; .dvPreheader { display: none !important; mso-hide: all; }&lt;/style&gt;&lt;div class=</t>
  </si>
  <si>
    <t>&lt;!-- X-Campaign: 203216315/12334657/864029045 --&gt;&lt;meta http-equiv="Content-Type" content="text/html; charset=utf-8"&gt;&lt;style&gt; .dvPreheader { display: none !important; mso-hide: all; }&lt;/style&gt;&lt;div class=</t>
  </si>
  <si>
    <t>&lt;!-- X-Campaign: 203224490/12372346/864029045 --&gt;&lt;meta http-equiv="Content-Type" content="text/html; charset=utf-8"&gt;&lt;style&gt; .dvPreheader { display: none !important; mso-hide: all; }&lt;/style&gt;&lt;div class=</t>
  </si>
  <si>
    <t>&lt;!-- X-Campaign: 203233630/12398755/864029045 --&gt;&lt;meta http-equiv="Content-Type" content="text/html; charset=utf-8"&gt;&lt;style&gt; .dvPreheader { display: none !important; mso-hide: all; }&lt;/style&gt;&lt;div class=</t>
  </si>
  <si>
    <t>&lt;!-- X-Campaign: 203245190/12437203/864029045 --&gt;&lt;meta http-equiv="Content-Type" content="text/html; charset=utf-8"&gt;&lt;style&gt; .dvPreheader { display: none !important; mso-hide: all; }&lt;/style&gt;&lt;div class=</t>
  </si>
  <si>
    <t>&lt;!-- X-Campaign: 203246455/12450075/864029045 --&gt;&lt;meta http-equiv="Content-Type" content="text/html; charset=utf-8"&gt;&lt;style&gt; .dvPreheader { display: none !important; mso-hide: all; }&lt;/style&gt;&lt;div class=</t>
  </si>
  <si>
    <t>&lt;!-- X-Campaign: 203269120/12532227/864029045 --&gt;&lt;meta http-equiv="Content-Type" content="text/html; charset=utf-8"&gt;&lt;style&gt; .dvPreheader { display: none !important; mso-hide: all; }&lt;/style&gt;&lt;div class=</t>
  </si>
  <si>
    <t>&lt;!-- X-Campaign: 203270645/12545310/864029045 --&gt;&lt;meta http-equiv="Content-Type" content="text/html; charset=utf-8"&gt;&lt;style&gt; .dvPreheader { display: none !important; mso-hide: all; }&lt;/style&gt;&lt;div class=</t>
  </si>
  <si>
    <t>&lt;!-- X-Campaign: 203272620/12558658/864029045 --&gt;&lt;meta http-equiv="Content-Type" content="text/html; charset=utf-8"&gt;&lt;style&gt; .dvPreheader { display: none !important; mso-hide: all; }&lt;/style&gt;&lt;div class=</t>
  </si>
  <si>
    <t>"Emma via Messenger" &lt;messages@facebookmail.com&gt;</t>
  </si>
  <si>
    <t>Hi Charlie,
Emma Elizabeth sent a message in reply to a thread.
Thanks,
The Facebook team
========================================
This message was sent to charliewharlie369@outlook.com. If you d</t>
  </si>
  <si>
    <t>Archived,Category Social,Unread</t>
  </si>
  <si>
    <t>Babylist &lt;hello@babylist.com&gt;</t>
  </si>
  <si>
    <t>Emma invited you to Babylist</t>
  </si>
  <si>
    <t>Hi Craig,
Emma has invited you to access and add items to their baby registry. Thanks for helping Emma build their registry!
Accept Invite - http://link.babylist.com/ls/click?upn=u001.vjoJEeYA</t>
  </si>
  <si>
    <t>Inbox,Category Updates</t>
  </si>
  <si>
    <t>Slotastic &lt;promotions@email.slotastic.com&gt;</t>
  </si>
  <si>
    <t>Ho ho ho, Emma!
Username: Piper369
Just when you thought this year couldn't get any weirder, Christmas has returned to Slotastic with the festive Epic Holiday Party slot!
Deposit as little as $10 an</t>
  </si>
  <si>
    <t>Hi Emma,
Username: Piper369
We hope you're enjoying your Slotastic gaming experience so far!
Did you know Slotastic has been online for over 10 years and is one of the most trusted casinos out there</t>
  </si>
  <si>
    <t>Hi Emma,
Username: Piper369
We hope you're having a funtastic time at Slotastic so far, but to make your time here even better we've got an exclusive bonus just for you today!
Experience our two hot</t>
  </si>
  <si>
    <t>Freedom 500 Loans &lt;info@freedom500loans.ca&gt;</t>
  </si>
  <si>
    <t>REMINDER: Complete Your Loan Application Now Emma Ryan!</t>
  </si>
  <si>
    <t>&lt;meta http-equiv="Content-Type" content="text/html; charset=utf-8"&gt;Hey Emma Ryan,
&lt;br&gt;&lt;br&gt;
We have received your loan request but you did not complete the full application form.
&lt;br&gt;&lt;br&gt;
Please comple</t>
  </si>
  <si>
    <t>Your Loan Application Will Expire Emma Ryan! =?UTF-8?B?8J+UlA==?=</t>
  </si>
  <si>
    <t>Your Loan Is Waiting For You Emma Ryan! =?UTF-8?B?8J+OifCfpKk=?=</t>
  </si>
  <si>
    <t>&lt;meta http-equiv="Content-Type" content="text/html; charset=utf-8"&gt;Hi Emma Ryan,
&lt;br&gt;&lt;br&gt;
We have emailed you a couple of times in regards to the loan you requested. You still have not completed the f</t>
  </si>
  <si>
    <t>$25 For Emma!</t>
  </si>
  <si>
    <t>Hi Emma,
Username: Piper369
Who doesn't love free money? What better way to start your day than with a $25 free bonus to play all of your favorite slots.
Simply deposit today to add your exclusive f</t>
  </si>
  <si>
    <t>Slotastic! &lt;promotions@email.slotastic.com&gt;</t>
  </si>
  <si>
    <t>Emma, $5 Deposits Available Now!</t>
  </si>
  <si>
    <t>Welcome Emma!
Username: Piper369
Thank you for joining Slotastic, we're excited that you've joined the fun! 
You're going to love Slotastic, we've got endless fun, a huge library of bonza games, rip</t>
  </si>
  <si>
    <t>Emma, Go Team USA!</t>
  </si>
  <si>
    <t>Robert Miller from Grande Vegas &lt;grandevegasnews@swiftnewsonline.com&gt;</t>
  </si>
  <si>
    <t>Emma's Exclusive Offer: 100 Free Casino Spins"</t>
  </si>
  <si>
    <t>Hi Emma (Your Username is: Piper1234)
Welcome to Grande Vegas and your special welcome offer. Experience even more excitement with 250% up to $500, plus an extra 100 Free Spins for Asgard.
No matter</t>
  </si>
  <si>
    <t>Out Now: Emma, We've got some Glam Cash for you!</t>
  </si>
  <si>
    <t>Emma, Ready to Unlock Some Badges?</t>
  </si>
  <si>
    <t>Emma, $5 Deposits Available Now</t>
  </si>
  <si>
    <t>Hi Emma (Your Username is: Piper1234)
We're ecstatic to announce a revolutionary deposit method at Grande Vegas Casino - Lightning Bitcoin! Say adios to tedious transactions and brace yourself for ul</t>
  </si>
  <si>
    <t>"easyhome" &lt;reply@mailer.easyhome.ca&gt;</t>
  </si>
  <si>
    <t>&lt;CHARLIEWHARLIE369@OUTLOOK.COM&gt;</t>
  </si>
  <si>
    <t>Emma, easyhome have a tailor made offer just for you!</t>
  </si>
  <si>
    <t xml:space="preserve">
https://click.mailer.easyhome.ca/?qs=3fe7c2b3667cf63bdbc57b6ce25db257f913fd5473f6d707ef9723f65c912c7cc13ac17007d969ba0c4caa7e4ce7f3d1110a2eb3c654084b 
https://click.mailer.easyhome.ca</t>
  </si>
  <si>
    <t xml:space="preserve">
https://click.mailer.easyhome.ca/?qs=8f0d2c280b38b7c42b60556341fa1eb8ae5843477f22e8065fd31efbf7f1c858f5e68fa91ff37114b833d32fc1d1fc256b4181a1d436ea80 
https://click.mailer.easyhome.ca</t>
  </si>
  <si>
    <t>Emma, Ready for Some Glamorous Wins?</t>
  </si>
  <si>
    <t>Hi Emma,
Username: Piper369
Thanks for choosing Slotastic! Did you know it's been one whole year since you signed up with us? We believe that's cause for a celebration.
Celebrate your year with us w</t>
  </si>
  <si>
    <t xml:space="preserve">Top 5 in Barnesville
Hi Emma,
Username: Piper369
Wondering what to play? Unlimited entertainment is waiting for you right now at Slotastic. Spin and win today with our fun collection of 200+ slots!
</t>
  </si>
  <si>
    <t>NEW Slot: Emma, Bag a Big Win!</t>
  </si>
  <si>
    <t>Uber Eats &lt;uber@uber.com&gt;</t>
  </si>
  <si>
    <t>placed.sj@gmail.com</t>
  </si>
  <si>
    <t>Craig n Emma, get your snacks brought to you</t>
  </si>
  <si>
    <t>&lt;!doctype html&gt;
&lt;html xmlns="http://www.w3.org/1999/xhtml" xmlns:v="urn:schemas-microsoft-com:vml" xmlns:o="urn:schemas-microsoft-com:office:office"&gt;
&lt;head&gt;
&lt;meta http-equiv="Content-Type" content="te</t>
  </si>
  <si>
    <t>Archived,Opened,Category Updates</t>
  </si>
  <si>
    <t>Craig n Emma, your 50% off expires soon!</t>
  </si>
  <si>
    <t>Archived,Category Updates,Unread</t>
  </si>
  <si>
    <t>Emma, Just ONE Week Left!</t>
  </si>
  <si>
    <t>Uber One &lt;uberone@uber.com&gt;</t>
  </si>
  <si>
    <t>Craig n Emma, enjoy Uber Eats for less as a member</t>
  </si>
  <si>
    <t>Inbox,Opened,Category Promotions</t>
  </si>
  <si>
    <t>Instacart &lt;no-reply@instacart.com&gt;</t>
  </si>
  <si>
    <t>Family account invite sent to Emma</t>
  </si>
  <si>
    <t>-------------------
Invite sent to Emma
-------------------
Hi craig,
We sent your family account invite to Emma
(ospreys_done0v@icloud.com), and we'll notify you when they join.
We let Emma know t</t>
  </si>
  <si>
    <t>Uber &lt;uber@uber.com&gt;</t>
  </si>
  <si>
    <t>Archived,Category Promotions,Unread</t>
  </si>
  <si>
    <t>Craig n Emma, got room for a =?UTF-8?B?ZGlzY291bnQ/8J+NtA==?=</t>
  </si>
  <si>
    <t>Inbox,Opened,Category Updates</t>
  </si>
  <si>
    <t>"Facebook Pages" &lt;pageupdates@facebookmail.com&gt;</t>
  </si>
  <si>
    <t>Ted Brown &lt;placed.sj@gmail.com&gt;</t>
  </si>
  <si>
    <t>You have 8 new Page suggestions including Emma Miskew.</t>
  </si>
  <si>
    <t>Hi Ted,
Thanks,
The Facebook team
========================================
This message was sent to placed.sj@gmail.com. If you don't want to receive these emails from Meta in the future, please</t>
  </si>
  <si>
    <t>Craig n Emma, add a different payment method</t>
  </si>
  <si>
    <t xml:space="preserve">
&lt;!doctype html&gt;
&lt;html xmlns="http://www.w3.org/1999/xhtml" xmlns:v="urn:schemas-microsoft-com:vml" xmlns:o="urn:schemas-microsoft-com:office:office"&gt;
&lt;head&gt;
&lt;meta http-equiv="Content-Type" content="t</t>
  </si>
  <si>
    <t>Your serving of savings, Craig n Emma</t>
  </si>
  <si>
    <t>Hungry for a deal, Craig n Emma?</t>
  </si>
  <si>
    <t>Inbox,Important,Opened,Category Updates</t>
  </si>
  <si>
    <t>Spring Financial &lt;no-reply@e.springfinancial.ca&gt;</t>
  </si>
  <si>
    <t>Emma Ryan &lt;charliewharlie369@outlook.com&gt;</t>
  </si>
  <si>
    <t>Emma, cover what matters most with a personal loan</t>
  </si>
  <si>
    <t>Check out our competitive rates, loan amounts and convenient repayment options. 
&lt;https://www.springfinancial.ca/apply-now/?utm_source=email&amp;utm_medium=email-campaign&amp;utm_campaign=SF_E_Camp_PL_Spri</t>
  </si>
  <si>
    <t>Emma Ryan &lt;noreply@email.apple.com&gt;</t>
  </si>
  <si>
    <t>Subscribe to Emma Ryan’s “C”?
You are invited to view these shared photos and post your own photos, videos and comments.
Other subscribers will see your email address when you join.
Subscribe - http</t>
  </si>
  <si>
    <t>Inbox,Important,Category Updates,emma</t>
  </si>
  <si>
    <t>"Uber Eats" &lt;uber@uber.com&gt;</t>
  </si>
  <si>
    <t>&lt;placed.sj@gmail.com&gt;</t>
  </si>
  <si>
    <t>&lt;!doctype html&gt;
&lt;html xmlns="http://www.w3.org/1999/xhtml" xmlns:v="urn:schemas-microsoft-com:vml" xmlns:o="urn:schemas-microsoft-com:office:office"&gt;
&lt;head&gt;
&lt;meta http-equiv="Content-Type" content=</t>
  </si>
  <si>
    <t>How Can Debt Consolidation Help You?</t>
  </si>
  <si>
    <t>Is debt consolidation right for you? 
&lt;https://www.springfinancial.ca/apply-now/?utm_source=email&amp;utm_medium=email-campaign&amp;utm_campaign=SF_E_Camp_PL_DebtConsolidation_2411&amp;utm_content=logo&amp;SID=ema</t>
  </si>
  <si>
    <t>🔥 Important dates ahead 🔥 December spending trends 
‌ 
 Is December a big spending month? | Open this email in your browser. 
&lt;https://links.springfinancial.ca/e/evib?_t=2999a1a9774a451dae406c926a6e</t>
  </si>
  <si>
    <t>Archived,Category Updates,Starred</t>
  </si>
  <si>
    <t>Uber &lt;noreply@uber.com&gt;</t>
  </si>
  <si>
    <t>Craig n Emma, your Uber account phone number was updated</t>
  </si>
  <si>
    <t>Archived,Important,Opened,Category Updates,Starred</t>
  </si>
  <si>
    <t>Craig n Emma, these discounts are calling your name</t>
  </si>
  <si>
    <t>Archived,Opened,Category Updates,Starred</t>
  </si>
  <si>
    <t>Deals you =?UTF-8?B?ZG9u4oCZdA==?= wanna miss, Craig n Emma</t>
  </si>
  <si>
    <t>Emma Ryan &lt;em.ry@icloud.com&gt;</t>
  </si>
  <si>
    <t>Hello</t>
  </si>
  <si>
    <t>﻿
That’s right choices we make we’ll live with 😊
Sent from my iPhone
On Jan 13, 2025, at 9:31 PM, Emma Ryan &lt;em.ry@icloud.com&gt; wrote:
﻿
You gotta be a dad to be a bad dad Craig. Oh good choice for you</t>
  </si>
  <si>
    <t>Inbox,Important,Opened,Category Personal,emma</t>
  </si>
  <si>
    <t>K O &lt;placed.sj@gmail.com&gt;</t>
  </si>
  <si>
    <t>Re: Hello</t>
  </si>
  <si>
    <t>Im ready to be killed. To protect Harper, I’ll use the truth.
On Tue, Jan 14, 2025 at 3:06 AM Emma Ryan &lt;em.ry@icloud.com&gt; wrote:
&gt; ﻿That’s right choices we make we’ll live with 😊
&gt; Sent from my iPh</t>
  </si>
  <si>
    <t>Sent,Opened,emma</t>
  </si>
  <si>
    <t>I told people who I will wrong with releasing everything , that I’d rather
die then do this. That I’d kill any mother fucker that did what you’re
claiming. And that I was ready to eat tje bullet bexau</t>
  </si>
  <si>
    <t>Obtaining the things to care for her.</t>
  </si>
  <si>
    <t>I would like all MY things back, as well as the money for the car seat or the car seat back as my mom paid for it &amp; still haven’t bought a thing. If you could take her for 5 days you you should have a</t>
  </si>
  <si>
    <t>Archived,Important,Opened,Category Personal,emma</t>
  </si>
  <si>
    <t>Re: Obtaining the things to care for her.</t>
  </si>
  <si>
    <t>Good start Emma.
On Tue, Jan 14, 2025 at 10:42 AM Emma Ryan &lt;em.ry@icloud.com&gt; wrote:
&gt; I would like all MY things back, as well as the money for the car seat or
&gt; the car seat back as my mom paid f</t>
  </si>
  <si>
    <t>Archived,Sent,Opened,emma</t>
  </si>
  <si>
    <t>Thank you for keeping Harper’s best interest at heart. Have a great day you
guys daddy loves you Harper
On Tue, Jan 14, 2025 at 10:43 AM K O &lt;placed.sj@gmail.com&gt; wrote:
&gt; Good start Emma.
&gt;
&gt; On Tu</t>
  </si>
  <si>
    <t>I am I’m the only one that is you won’t do a drug test so you’re touching our kid when you’re high and your mom took her to use her as a pond which if you watch the video that they asked us to it says</t>
  </si>
  <si>
    <t xml:space="preserve">Yet I received death threats and I’m not welcome there, but I can go there right lol well too bad cause your mom can’t ignore me now. She’s got a fucking communicate with me. Pathetic. She never even </t>
  </si>
  <si>
    <t>Archived,IMAP_$Forwarded,Important,Opened,Category
 Personal,emma</t>
  </si>
  <si>
    <t>I want you to be a part of your life. I want you more in her life, but you’re doing everything you said that you wouldn’t so that’s funny.
Sent from my iPhone
On Jan 14, 2025, at 10:51 AM, Emma Ryan &lt;</t>
  </si>
  <si>
    <t xml:space="preserve">So much for going out west lol. Or moving closer. Lol
Sent from my iPhone
On Jan 14, 2025, at 10:51 AM, Emma Ryan &lt;em.ry@icloud.com&gt; wrote:
﻿
I am I’m the only one that is you won’t do a drug test so </t>
  </si>
  <si>
    <t>Emma, no one has threatened your life. You need to reread what I said. Emma
she answered the judges questions, please stop this. I know you’re upset
the judge offered me more then j asked you for. But</t>
  </si>
  <si>
    <t>Emma I didn’t do anything? The judge did this I didn’t ask for any of this
WTF. I asked for time with Harper outside of your home to you. You decided
that Im an abuser. But I didn’t give anything to t</t>
  </si>
  <si>
    <t>I’d advise you speak to a lawyer or an adult . Dont do anything stupid
here. This is why i tried to do this without them involved, you’ll learn
quick how to act in a court room i think
On Tue, Jan 14</t>
  </si>
  <si>
    <t>I didn’t lie Craig you you haven’t filed a response. Or showed the effort you want to be in her life. I would have gladly had you in it every day. You were the one who took her used her as a pawn and</t>
  </si>
  <si>
    <t>You never paid Paul for the car seat in full. If your mom would like
reimbursed have her contact me. Have a good day
On Tue, Jan 14, 2025 at 11:17 AM K O &lt;placed.sj@gmail.com&gt; wrote:
&gt; I’d advise yo</t>
  </si>
  <si>
    <t>A pawn for sobriety yes
On Tue, Jan 14, 2025 at 11:18 AM Emma Ryan &lt;em.ry@icloud.com&gt; wrote:
&gt; I didn’t lie Craig you you haven’t filed a response. Or showed the effort
&gt; you want to be in her life.</t>
  </si>
  <si>
    <t xml:space="preserve">I did lol. &amp; funny she laughed at you. But if you could actually mean what you say we could do it lol.
Sent from my iPhone
On Jan 14, 2025, at 11:18 AM, Emma Ryan &lt;em.ry@icloud.com&gt; wrote:
﻿
I didn’t </t>
  </si>
  <si>
    <t>Emma I used to fill piss bags for Ali and the boys, you ain’t fooling
nobody .
On Tue, Jan 14, 2025 at 11:18 AM Emma Ryan &lt;em.ry@icloud.com&gt; wrote:
&gt; I didn’t lie Craig you you haven’t filed a respo</t>
  </si>
  <si>
    <t>Sounds good, she already said so sure. But neither did you or your mother lol. Or anything else for her for that matter.
Sent from my iPhone
On Jan 14, 2025, at 11:18 AM, K O &lt;placed.sj@gmail.com&gt; wro</t>
  </si>
  <si>
    <t>Wanna talk about manipulation? I’ll send you the response the court didn’t
want today. If you promise to share with your parents. You’ve kept them
away from this shit show.
On Tue, Jan 14, 2025 at 11</t>
  </si>
  <si>
    <t>Ty our the one that’s not sober lol
Sent from my iPhone
On Jan 14, 2025, at 11:19 AM, K O &lt;placed.sj@gmail.com&gt; wrote:
﻿
A pawn for sobriety yes
On Tue, Jan 14, 2025 at 11:18 AM Emma Ryan &lt;
em.ry@iclo</t>
  </si>
  <si>
    <t>Love ya Harper have a great day
On Tue, Jan 14, 2025 at 11:18 AM Emma Ryan &lt;em.ry@icloud.com&gt; wrote:
&gt; I didn’t lie Craig you you haven’t filed a response. Or showed the effort
&gt; you want to be in h</t>
  </si>
  <si>
    <t xml:space="preserve">Well let the system deal with me now.at least you’ll get something out of
it all, child support projections are fucking juicy for next 18 years. You
actually did something right
On Tue, Jan 14, 2025 </t>
  </si>
  <si>
    <t>"." &lt;placed.sj@gmail.com&gt;</t>
  </si>
  <si>
    <t>The time cor talking about what you want is over. Leave me be
Sent with Spark
On Jan 14, 2025 at 11:21 AM -0400, Emma Ryan &lt;em.ry@icloud.com&gt;, wrote:
&gt; Ty our the one that’s not sober lol
&gt; Sent from</t>
  </si>
  <si>
    <t>I want you to actually give a fuck about our daughter Craig and be in her life because you fucking want to. What you want not your mom. Lol. You threaten me &amp; so did your mom and lied putting her in d</t>
  </si>
  <si>
    <t>My plans haven’t changed though. Im still moving forward with my life, nothing changed today in my mind except your abuse claims made mom have to be involved. Sorry
Sent with Spark
On Jan 14, 2025 at</t>
  </si>
  <si>
    <t>Shall update you as needed. Please don’t email me anymore . Im going to block you on this as it’s not meant for this crap. Yoo can unblock me somewhere
Sent with Spark
On Jan 14, 2025 at 11:21 AM -04</t>
  </si>
  <si>
    <t>Emma I’d be with you tomorrow. Even after all your lies, I love you so much. I never once said mom, I wasn’t asked either… your time to speak was the truth on the 16th. And you should have agreed to w</t>
  </si>
  <si>
    <t xml:space="preserve">We don’t care what yoo want. The judge said that , I want Harper full time 100000% of the time. But that’s not an option bexause you fucked us all over. So blame yourself. I told you to not fuck with </t>
  </si>
  <si>
    <t>Right and the drug claims made CPS so then you should’ve done a drug test too Craig and you did abuse me are you fucked. I know it doesn’t matter what I want. It never has to you and you can’t agree o</t>
  </si>
  <si>
    <t>You’re the one that fucked that up Craig you took her and blame me for not being sober when I’m the only sober one lol you fucked that up for yourself idiot I don’t care what you want either what I ca</t>
  </si>
  <si>
    <t>Wasn’t sobriety Emma jt was lieing abiut it.
On Tue, Jan 14, 2025 at 11:21 AM Emma Ryan &lt;em.ry@icloud.com&gt; wrote:
&gt; Sounds good, she already said so sure. But neither did you or your mother
&gt; lol. O</t>
  </si>
  <si>
    <t>No, you wouldn’t and I don’t want to be with you Craig. I can’t believe a word that comes out of your mouth let alone rely on you or trust you. You took my daughter from me and said that I couldn’t ge</t>
  </si>
  <si>
    <t>I did agree to it all Craig just over overtime. That’s the funny thing.
Sent from my iPhone
On Jan 14, 2025, at 11:36 AM, K O &lt;placed.sj@gmail.com&gt; wrote:
﻿
Wasn’t sobriety Emma jt was lieing abiut it</t>
  </si>
  <si>
    <t>Even gave you more than you asked actually
Sent from my iPhone
On Jan 14, 2025, at 11:36 AM, K O &lt;placed.sj@gmail.com&gt; wrote:
﻿
Wasn’t sobriety Emma jt was lieing abiut it.
On Tue, Jan 14, 2025 at 11:</t>
  </si>
  <si>
    <t>But I know that if you had decision-making two that you would make me do whatever until you sign off on something and that’s not OK you cannot manipulate my life controlled anymore, man
Sent from my i</t>
  </si>
  <si>
    <t>You couldn’t even come see her lol   Love to know your reason to not move with me then after ask you keave Then do this
Sent from my iPhone
On Jan 14, 2025, at 11:36 AM, Emma Ryan &lt;em.ry@icloud.com&gt; w</t>
  </si>
  <si>
    <t>Do not contact me anymore today. Or I’ll be filing this jn court. This is like living with you, dont get your way and away you ficking go with the swinging.
Sent with Spark
On Jan 14, 2025 at 11:42 A</t>
  </si>
  <si>
    <t>Yet you havnt or proved you want to be in her like and I didnt lie lol. Please then explain what happened because that’s exactly what happened your lying dumb fuck n you should have brought her home t</t>
  </si>
  <si>
    <t>I’m not swinging Greg you are that’s the thing that’s the funniest part. I’m agreeing with it and is it because I’ve done everything for you but whatever man I’ve asked you not to fight with me and I’</t>
  </si>
  <si>
    <t>anything is you’re still not doing the things that you were going to do on that agreement and that’s why I can’t agree Craig like do something you actually say you’re going to for fucking man
Sent fro</t>
  </si>
  <si>
    <t>I don’t want your child support. You’ve never supported us you wouldn’t and you can’t.
Sent from my iPhone
On Jan 14, 2025, at 11:43 AM, Emma Ryan &lt;em.ry@icloud.com&gt; wrote:
﻿
Yet you havnt or proved y</t>
  </si>
  <si>
    <t xml:space="preserve">I didn’t keep them away. I bought them and you were the one that involved them Craig and why don’t you just send it to them because you’ve sent everything else
Sent from my iPhone
On Jan 14, 2025, at </t>
  </si>
  <si>
    <t>Let me know when I can come get my shit end of store or I’ll be there tomorrow at 2 o’clock
Sent from my iPhone
On Jan 14, 2025, at 11:43 AM, Emma Ryan &lt;em.ry@icloud.com&gt; wrote:
﻿
Yet you havnt or pro</t>
  </si>
  <si>
    <t>All the bruises proved the abuse Craig
Sent from my iPhone
On Jan 14, 2025, at 11:43 AM, Emma Ryan &lt;em.ry@icloud.com&gt; wrote:
﻿
Yet you havnt or proved you want to be in her like and I didnt lie lol. P</t>
  </si>
  <si>
    <t xml:space="preserve">Hahahahahajajahahhahaahahah. Im good love , they’re Harper’s things, and,
you have held my shit in there for far too long to start making demands. Go
tend to my dauchter and stop the ficking bullshit </t>
  </si>
  <si>
    <t>She doesn’t want videos so I can post them :)
On Tue, Jan 14, 2025 at 11:52 AM K O &lt;placed.sj@gmail.com&gt; wrote:
&gt; Hahahahahajajahahhahaahahah. Im good love , they’re Harper’s things, and,
&gt; you have</t>
  </si>
  <si>
    <t>Then go get it but only your shit and they’re Harper shit that I bought so I’m coming to get them end of story. You don’t get to fucking use my stuff when you haven’t done anything. I’m pretty fucking</t>
  </si>
  <si>
    <t>Post away, Craig
Sent from my iPhone
On Jan 14, 2025, at 11:52 AM, K O &lt;placed.sj@gmail.com&gt; wrote:
﻿
She doesn’t want videos so I can post them :)
On Tue, Jan 14, 2025 at 11:52 AM K O &lt;
placed.sj@gma</t>
  </si>
  <si>
    <t>Still, you’re only trying to hurt me when this is about her fucking daughter you’re fucked
Sent from my iPhone
On Jan 14, 2025, at 11:53 AM, Emma Ryan &lt;em.ry@icloud.com&gt; wrote:
﻿
Then go get it but on</t>
  </si>
  <si>
    <t>And I would like them because I need them for her thanks that’s why I got them
Sent from my iPhone
On Jan 14, 2025, at 11:53 AM, Emma Ryan &lt;em.ry@icloud.com&gt; wrote:
﻿
Then go get it but only your shit</t>
  </si>
  <si>
    <t>Oh good one Emma. Stop contacting me Now. Firefighter will be contacting your home when thats done and nursery be done shortly. Now stop you’re acting absolutely foolish.
Sent with Spark
On Jan 14, 2</t>
  </si>
  <si>
    <t>This is all fair and I’m not losing my shit Craig. I want you to be a part of our daughter’s life but not the fucking coward way not the easy way out like you always choose and stop contacting other p</t>
  </si>
  <si>
    <t xml:space="preserve">Perfect that’s all I want but I will be there tomorrow to get my things. Thanks like I’ve asked many times and that you’ve literally just stole lol
Sent from my iPhone
On Jan 14, 2025, at 11:54 AM, . </t>
  </si>
  <si>
    <t>So please stop contacting me to fight all the fucking time or with your lies and bullshit. I look forward to seeing the pictures from your mom lol and good thing about getting another car seat too.
Se</t>
  </si>
  <si>
    <t>I will be attending these four hours with her
Sent from my iPhone
On Jan 14, 2025, at 11:56 AM, Emma Ryan &lt;em.ry@icloud.com&gt; wrote:
﻿
This is all fair and I’m not losing my shit Craig. I want you to b</t>
  </si>
  <si>
    <t>But thank you for putting our daughter in danger that you said
Sent from my iPhone
On Jan 14, 2025, at 11:56 AM, Emma Ryan &lt;em.ry@icloud.com&gt; wrote:
﻿
This is all fair and I’m not losing my shit Craig</t>
  </si>
  <si>
    <t>✌🏼
Sent from my iPhone
On Jan 14, 2025, at 11:56 AM, Emma Ryan &lt;em.ry@icloud.com&gt; wrote:
﻿
This is all fair and I’m not losing my shit Craig. I want you to be a part of our daughter’s life but not the</t>
  </si>
  <si>
    <t>Can’t believe what you’ve done and doing to our daughter cause you can’t be civil and co parents and actually consider what’s best for both of us lol or even man up to do the things your should have m</t>
  </si>
  <si>
    <t>I’m not mad about this I’m mad you’re blaming me and you took her saying I was unfit. lol literally no reason and you still can’t do what you were blaming me for 🤮
Sent from my iPhone
On Jan 14, 2025,</t>
  </si>
  <si>
    <t xml:space="preserve">Emma’s I haven’t said a word to the courts. I don’t know what you’re pissed
off abiut. Your lies about abuse made her involve mom. I never wanted it.
Karma is getting you for your purple campaign and </t>
  </si>
  <si>
    <t>Sent from my iPhone
On Jan 14, 2025, at 11:56 AM, Emma Ryan &lt;em.ry@icloud.com&gt; wrote:
﻿
This is all fair and I’m not losing my shit Craig. I want you to be a part of our daughter’s life but not the fu</t>
  </si>
  <si>
    <t>Yes</t>
  </si>
  <si>
    <t xml:space="preserve">Call me back,when you’re ready to and I’ll tell you what I said to her, and
what my plan is.
On Tue, Jan 14, 2025 at 1:08 PM Emma Ryan &lt;em.ry@icloud.com&gt; wrote:
&gt; [image: image0.png]
&gt; Sent from my </t>
  </si>
  <si>
    <t>Dont email, just call me when you’re ready. You’re not alone here. I
promise you, I’ll carry us when I can, this isn’t a way to get you out of
Harper’s life it’s about getting us to be coexisting agai</t>
  </si>
  <si>
    <t>Block me again ajd I’ll end all conversation. Stop ffs
On Tue, Jan 14, 2025 at 1:32 PM K O &lt;placed.sj@gmail.com&gt; wrote:
&gt; Dont email, just call me when you’re ready. You’re not alone here. I
&gt; pro</t>
  </si>
  <si>
    <t xml:space="preserve">If you want mom to stay out of it for a while, absolutely no problem. But
wer  gonna talk on the phone and discuss the options, as coparents
On Tue, Jan 14, 2025 at 1:44 PM K O &lt;placed.sj@gmail.com&gt; </t>
  </si>
  <si>
    <t>Seriously. I’ll stay standing, one more time. For us. But you gotta know I still have your back. I can’t be looking over my shoulder with you while focus on the road ahead with Harper.
Sent with Spar</t>
  </si>
  <si>
    <t>Hope your day is going g a little better Emma. Im gonna file this crap
quickly, get it the fuck oit of our way I think
On Tue, Jan 14, 2025 at 3:03 PM . &lt;placed.sj@gmail.com&gt; wrote:
&gt; Seriously. I’l</t>
  </si>
  <si>
    <t>Hey
Sent with Spark
On Jan 14, 2025 at 1:08 PM -0400, Emma Ryan &lt;em.ry@icloud.com&gt;, wrote:
&gt; &lt;image0.png&gt;
&gt; Sent from my iPhone
&gt;
&gt; &gt; On Jan 14, 2025, at 11:56 AM, Emma Ryan &lt;em.ry@icloud.com&gt; wrote:</t>
  </si>
  <si>
    <t xml:space="preserve">Emma the only thing that’s changed is you get to come see me and gram. Don’t worry please
Sent with Spark
On Jan 14, 2025 at 1:08 PM -0400, Emma Ryan &lt;em.ry@icloud.com&gt;, wrote:
&gt; &lt;image0.png&gt;
&gt; Sent </t>
  </si>
  <si>
    <t>Think we could do 8:00 FaceTimes still?
On Tue, Jan 14, 2025 at 5:38 PM . &lt;placed.sj@gmail.com&gt; wrote:
&gt; Emma the only thing that’s changed is you get to come see me and gram.
&gt; Don’t worry please
&gt;</t>
  </si>
  <si>
    <t>Harper.</t>
  </si>
  <si>
    <t xml:space="preserve">
</t>
  </si>
  <si>
    <t>Re: Harper.</t>
  </si>
  <si>
    <t>good morning
When is it?
On Wed, Jan 15, 2025 at 8:48 AM Emma Ryan &lt;em.ry@icloud.com&gt; wrote:
&gt;
&gt; Harper has her immunization coming up, I’m not sure if you would like to
&gt; come or what but just let</t>
  </si>
  <si>
    <t>Archived,Sent,emma</t>
  </si>
  <si>
    <t>"Emma Ryan (via Google Docs)" &lt;drive-shares-dm-noreply@google.com&gt;</t>
  </si>
  <si>
    <t>Share request for "012225"</t>
  </si>
  <si>
    <t>emma.ryan1995@outlook.com requests access to an item:
012225
https://docs.google.com/document/d/10918Jqwvzl5zKbtotAB7l0ejzQbcs7-P9HPXamn4eOw/edit?usp=sharing&amp;userstoinvite=emma.ryan1995@outlook.com&amp;s</t>
  </si>
  <si>
    <t>Fwd: VIP</t>
  </si>
  <si>
    <t>---------- Forwarded message ---------
From: Luna The Realtor &lt;lunacraigcep@gmail.com&gt;
Date: Sun, Sep 1, 2024 at 10:49 AM
Subject: VIP
To: charliewharlie369@outlook.com &lt;charliewharlie369@outlook.com&gt;</t>
  </si>
  <si>
    <t>Fwd: Interac e-Transfer: You've received $240.00 from Paul Carey and it has been automatically deposited.</t>
  </si>
  <si>
    <t>Sent from my iPhone
Begin forwarded message:
From:
Paul Carey &lt;notify@payments.interac.ca&gt;
Date:
November 5, 2024 at 9:53:19 PM AST
To:
Emma Ryan &lt;em.ry@icloud.com&gt;
Subject:
Interac e-Transfer: You've</t>
  </si>
  <si>
    <t>Archived,Important,Opened,Category Personal,emma,ready to
 go/ETRANSFER EMMA</t>
  </si>
  <si>
    <t>Fwd: Interac e-Transfer: You've received $150.00 from Paul Carey and it has been automatically deposited.</t>
  </si>
  <si>
    <t>Sent from my iPhone
Begin forwarded message:
From:
Paul Carey &lt;notify@payments.interac.ca&gt;
Date:
October 27, 2024 at 5:39:28 PM ADT
To:
EMMA RYAN &lt;em.ry@icloud.com&gt;
Subject:
Interac e-Transfer: You've</t>
  </si>
  <si>
    <t>Fwd: INTERAC e-Transfer: A money transfer from Paul Carey has been automatically deposited.</t>
  </si>
  <si>
    <t>Sent from my iPhone
Begin forwarded message:
From:
Paul Carey &lt;notify@payments.interac.ca&gt;
Date:
October 18, 2024 at 6:59:37 PM ADT
To:
EMMA RYAN &lt;em.ry@icloud.com&gt;
Subject:
INTERAC e-Transfer: A mone</t>
  </si>
  <si>
    <t>Sent from my iPhone
Begin forwarded message:
From:
Paul Carey &lt;notify@payments.interac.ca&gt;
Date:
October 11, 2024 at 8:51:23 PM ADT
To:
EMMA RYAN &lt;em.ry@icloud.com&gt;
Subject:
INTERAC e-Transfer: A mone</t>
  </si>
  <si>
    <t>Sent from my iPhone
Begin forwarded message:
From:
Paul Carey &lt;notify@payments.interac.ca&gt;
Date:
August 15, 2024 at 2:06:02 PM ADT
To:
EMMA RYAN &lt;em.ry@icloud.com&gt;
Subject:
INTERAC e-Transfer: A money</t>
  </si>
  <si>
    <t>Fwd: Interac e-Transfer: You've received $20.00 from Paul Carey and it has been automatically deposited.</t>
  </si>
  <si>
    <t>Sent from my iPhone
Begin forwarded message:
From:
Paul Carey &lt;notify@payments.interac.ca&gt;
Date:
December 8, 2024 at 5:17:32 PM AST
To:
EMMA ELIZABETH RYAN &lt;em.ry@icloud.com&gt;
Subject:
Interac e-Transf</t>
  </si>
  <si>
    <t>Sent from my iPhone
Begin forwarded message:
From:
Paul Carey &lt;notify@payments.interac.ca&gt;
Date:
November 3, 2024 at 6:41:58 PM AST
To:
EMMA RYAN &lt;em.ry@icloud.com&gt;
Subject:
Interac e-Transfer: You've</t>
  </si>
  <si>
    <t>"halsu@reg2.health.nb.ca" &lt;halsu@reg2.health.nb.ca&gt;</t>
  </si>
  <si>
    <t>URGENT REQUEST FOR HARPER RYANS RECORDS</t>
  </si>
  <si>
    <t>*Dear Ms. Haley-Lajoie,*
I hope this message finds you well. I am writing to inform you that I will
be personally handing in a formal request for all records pertaining to my
daughter,* (Harper Ryan:</t>
  </si>
  <si>
    <t>Archived,Sent,Opened</t>
  </si>
  <si>
    <t>DALE CAMPBELL &lt;dale.campbell@rogers.com&gt;</t>
  </si>
  <si>
    <t>"placed.sj@gmail.com" &lt;placed.sj@gmail.com&gt;</t>
  </si>
  <si>
    <t>Emma's affidavit</t>
  </si>
  <si>
    <t xml:space="preserve">
did you not think that an explanation between the different writing styles in the affidavit may have been because she was high during this part? </t>
  </si>
  <si>
    <t>Archived,Opened,Category Personal,emma</t>
  </si>
  <si>
    <t>Re: Emma's affidavit</t>
  </si>
  <si>
    <t>She’s always high. Shes smoked the sfuff for years. I looked it up with
borderline personality disorder and it says it makes sense. It’s a
different person who that was that day and a different person</t>
  </si>
  <si>
    <t xml:space="preserve">You’ve researched the wrong drug. I’ll find the info on it for you. It’s
not meth, anyway chat later love ya thank ya
On Mon, Feb 17, 2025 at 8:29 PM K O &lt;placed.sj@gmail.com&gt; wrote:
&gt; She’s always </t>
  </si>
  <si>
    <t>Fuck youre missing the fight
On Mon, Feb 17, 2025 at 8:00 PM DALE CAMPBELL &lt;dale.campbell@rogers.com&gt;
wrote:
&gt;
&gt;
&gt; did you not think that an explanation between the different writing styles
&gt; in the</t>
  </si>
  <si>
    <t>CRAIG S &lt;placed.sj@gmail.com&gt;</t>
  </si>
  <si>
    <t>lunacraigcep@gmail.com, emma.ryan1995@outlook.com, 
	Emma Ryan &lt;em.ry@icloud.com&gt;</t>
  </si>
  <si>
    <t>Archived,Sent,Important,Opened,emma</t>
  </si>
  <si>
    <t>Order in-demand items on demand, Craig n Emma</t>
  </si>
  <si>
    <t>Craig n Emma, see the deals you missed</t>
  </si>
  <si>
    <t>Craig &lt;placed.sj@gmail.com&gt;</t>
  </si>
  <si>
    <t>Hey, what’s your plan for tomorrow? What do you want her in? Do you want me to pack a diaper bag?
Emma Ryan</t>
  </si>
  <si>
    <t>Re:</t>
  </si>
  <si>
    <t xml:space="preserve">It would be great if you did. I’ll continue to give you formula it makes
the most sense I think and Im picking up a bunch of bottles, but if you can
keep them and pack them so we are as consistent as </t>
  </si>
  <si>
    <t xml:space="preserve">Dales going to have to pick up Harper alone tomorrow…
On Sat, May 24, 2025 at 3:40 PM CRAIG S &lt;placed.sj@gmail.com&gt; wrote:
&gt; It would be great if you did. I’ll continue to give you formula it makes
</t>
  </si>
  <si>
    <t>Sad you choose to do that instead. Diaper I told you it doesn’t matter what kind. She’s in size 3.
I do not feel comfortable with Dale picking Harper up alone especially with no mirror.
Bottles and fo</t>
  </si>
  <si>
    <t>Fuck off emma it’s fuckjng 20 to 9. Of course you don’t feel comfortable
with Dale you woukd thibk of any excuse imaginable. So guess what, Im
filing tonight fuck you. Eat shit and Rot in hell, at lea</t>
  </si>
  <si>
    <t>You’ll regret yiur actions tje last couple weeks flr the rest of your life.
I am filing absolutely everything your fuckjng nasty ass has done. Giddy up
cunt
On Sat, May 24, 2025 at 8:41 PM CRAIG S &lt;p</t>
  </si>
  <si>
    <t>Dale can’t even look after himself, Craig. And you were the one that left it till now and I’m sorry I’m not being called names or being treated poorly. There’s no reason for it.
Emma Ryan
On May 24, 2</t>
  </si>
  <si>
    <t>Youre a fuckjng piece of shit withholding mu dauchter from me bexause you
wanna label me an abuser. Piper ajd Harper are both ficking miserable wuth
you. No more fuckubg emails or anything.I never wan</t>
  </si>
  <si>
    <t>I’m not withholding her from you, Craig. I even offered to pack a diaper bag so stop with your bullshit. I’m done you obviously don’t want to see her tomorrow so that’s fine. Have a good night.
Emma R</t>
  </si>
  <si>
    <t>That’s fine like I’ve said before. Do whatever you have to do, but I’ll be making sure that we have another court date before October so you have supervised visits as well or I can just call Jacquelin</t>
  </si>
  <si>
    <t>And what are you doing right now? You’re literally verbally abusing me so have a good night for the 5th hundredth time.
Emma Ryan
On May 24, 2025, at 8:56 PM, Emma Ryan &lt;em.ry@icloud.com&gt; wrote:
﻿
I’m</t>
  </si>
  <si>
    <t>No more emails means you don’t have a way to communicate other than calling me so that’s fine. Sounds good. I would prefer that like I’ve tried to do multiple times.
Emma Ryan
On May 24, 2025, at 8:56</t>
  </si>
  <si>
    <t>lol after this email tonight we will be in court on Monday you fuckjng
retard. Do you not know how bad you fucked yp smoking meth around my kid
On Sat, May 24, 2025 at 8:56 PM Emma Ryan &lt;em.ry@icloud</t>
  </si>
  <si>
    <t xml:space="preserve">My phone hasn’t rang once you fuckng. Idiot
On Sat, May 24, 2025 at 9:00 PM Emma Ryan &lt;em.ry@icloud.com&gt; wrote:
&gt; No more emails means you don’t have a way to communicate other than
&gt; calling me so </t>
  </si>
  <si>
    <t>Answer yiur ficking phone Emma fucking idiot j called 50 times in two days
fuck you
On Sat, May 24, 2025 at 9:00 PM CRAIG S &lt;placed.sj@gmail.com&gt; wrote:
&gt; My phone hasn’t rang once you fuckng. Idiot</t>
  </si>
  <si>
    <t>Bexause youre not letting me see my daughte fuck face. Get it through your
fuckjng head. Ohhhhhhhhhh boy I can’t wait for this to end up on Facebook
somehow too. What a great picture. Bahahahahahahaha</t>
  </si>
  <si>
    <t>Oh reallt? Mu court papers say I don’t yoj fuck face
On Sat, May 24, 2025 at 9:08 PM CRAIG S &lt;placed.sj@gmail.com&gt; wrote:
&gt; Bexause youre not letting me see my daughte fuck face. Get it through your</t>
  </si>
  <si>
    <t>This is abiut Harper’s best interest. And it’s not YOU
On Sat, May 24, 2025 at 9:09 PM CRAIG S &lt;placed.sj@gmail.com&gt; wrote:
&gt; Oh reallt? Mu court papers say I don’t yoj fuck face
&gt;
&gt; On Sat, May 24,</t>
  </si>
  <si>
    <t>Ask AI whats going to happen. Get some sleep kid your whole world is about
to fucking shake
On Sat, May 24, 2025 at 9:09 PM CRAIG S &lt;placed.sj@gmail.com&gt; wrote:
&gt; This is abiut Harper’s best interes</t>
  </si>
  <si>
    <t xml:space="preserve">You can all read the truth together cause everyone of you gets served.
Gonna be awkward when ya realize youre all lieing to each other. Anyway
fuck off fuck you, thats to all of your personalities by </t>
  </si>
  <si>
    <t>Your delusional. I offered to pack her a diaper bag… you can’t even come get your kid with Dale? Stop Craig. I don’t care do what you g
Have too. I’m done this childish bullshit. You refecting isn’t h</t>
  </si>
  <si>
    <t>Neither has my phone eh. Talk about control here. I’m not doing it. GOODBYE. These are stupid games childish it’s our fucking daughter we’re talking about and remember I’m the one that did EVERYTHING</t>
  </si>
  <si>
    <t>Gram cant be left alone yoh fucking stupid fuckjng prick selfish fuckjng
idiot
On Sat, May 24, 2025 at 10:49 PM Emma Ryan &lt;em.ry@icloud.com&gt; wrote:
&gt; Neither has my phone eh. Talk about control here</t>
  </si>
  <si>
    <t xml:space="preserve">Only thing you quit …was on your family cunt
On Sat, May 24, 2025 at 10:50 PM CRAIG S &lt;placed.sj@gmail.com&gt; wrote:
&gt; Gram cant be left alone yoh fucking stupid fuckjng prick selfish fuckjng
&gt; idiot
</t>
  </si>
  <si>
    <t xml:space="preserve">Whats done is done. We shall live with the consequences of our actions.
Just deciding whether to take custody of her or let yoh just have strict
supervision to get you fucking sober finally. Fuck you </t>
  </si>
  <si>
    <t>Try offering up a fuckjng drive for once yoh fuckjng useless fucks.
6’montjs of this bullshit. Poor fuckjng kid born into a family like yours.
Pathetic excuse for humans
On Sat, May 24, 2025 at 10:53</t>
  </si>
  <si>
    <t xml:space="preserve">Weird thing js, why is your dad so pissed off? Is it only he who is allowed
to smack around woman jn his family?
On Sat, May 24, 2025 at 10:55 PM CRAIG S &lt;placed.sj@gmail.com&gt; wrote:
&gt; Try offering </t>
  </si>
  <si>
    <t>Im posting these right on Facebook, make sure your make belief bullshit
world disappears
On Sat, May 24, 2025 at 10:56 PM CRAIG S &lt;placed.sj@gmail.com&gt; wrote:
&gt; Weird thing js, why is your dad so pi</t>
  </si>
  <si>
    <t>Thanks Emma! Maybe I’ll just carry geam into the car at 7AM to go get her
with us huh? Hahahahahaha .. Shane’s jn the hospital, I mean but who
fucking cares it’s the emma show, let’s see how many thin</t>
  </si>
  <si>
    <t>How do you expect me to contact you exactly? Nothing that you are doing
right now is OK in any shape or form. I want to see and know how my
daughter is, this isnt about you. Call me or I call the RCMP</t>
  </si>
  <si>
    <t>You wanna give me a call before 10? Probably  should…
On Sun, May 25, 2025 at 1:28 PM CRAIG S &lt;placed.sj@gmail.com&gt; wrote:
&gt; How do you expect me to contact you exactly? Nothing that you are doing
&gt;</t>
  </si>
  <si>
    <t>Sent,emma</t>
  </si>
  <si>
    <t>Emma Ryan &lt;em.ry@icloud.com&gt;, Emma Ryan &lt;emma.ryan1995@outlook.com&gt;</t>
  </si>
  <si>
    <t>Everything will be served and shared with anyone who is in Harpers day to
day life FYI. In that house and mine.
Until recently, Emma and I were spending nearly every day together with
Harper. We wer</t>
  </si>
  <si>
    <t>Archived,Sent,Important,emma</t>
  </si>
  <si>
    <t>Emma Ryan &lt;emma.ryan1995@outlook.com&gt;, Emma Ryan &lt;em.ry@icloud.com&gt;</t>
  </si>
  <si>
    <t>Emma,
I am writing to urgently request daily updates regarding Harper's health,
development, and daily care. As Harper's father, it is essential that I
have access to this information to ensure her we</t>
  </si>
  <si>
    <t>---------- Forwarded message ---------
From: *craig* &lt;craiglunaharper@gmail.com&gt;
Date: Fri, Jun 6, 2025 at 2:26 PM
Subject: Chasing you around again
To: Emma Ryan &lt;em.ry@icloud.com&gt;, BLOCKED &lt;emma.rya</t>
  </si>
  <si>
    <t>Archived,Sent,Muted,Opened,emma</t>
  </si>
  <si>
    <t>Yes, it’s so weird that you don’t get anything that I said how ironic and I’m not going on Google meet I asked you to download Skype or Zoom
Emma Ryan
On Jun 6, 2025, at 2:42 PM, CRAIG S &lt;placed.sj@gm</t>
  </si>
  <si>
    <t>Archived,Muted,Opened,Category Personal,emma</t>
  </si>
  <si>
    <t>That’s fine if you don’t get them I have all the proof that they’re sent so yet again more of your bullshit. I’ve unblocked you to send me the things that you need for her tomorrow if I don’t receive</t>
  </si>
  <si>
    <t>Why exactly?
On Sat, Jun 7, 2025 at 8:25 AM Emma Ryan &lt;em.ry@icloud.com&gt; wrote:
&gt; Yes, it’s so weird that you don’t get anything that I said how ironic and
&gt; I’m not going on Google meet I asked you</t>
  </si>
  <si>
    <t>By 1:00? Lol did your buddy tell yoh abojt tje video she watched yet
On Sat, Jun 7, 2025 at 10:36 AM CRAIG S &lt;placed.sj@gmail.com&gt; wrote:
&gt; Why exactly?
&gt;
&gt; On Sat, Jun 7, 2025 at 8:25 AM Emma Ryan &lt;</t>
  </si>
  <si>
    <t>Why Skype or zoom? Why??????????
On Sat, Jun 7, 2025 at 10:37 AM CRAIG S &lt;placed.sj@gmail.com&gt; wrote:
&gt; By 1:00? Lol did your buddy tell yoh abojt tje video she watched yet
&gt;
&gt; On Sat, Jun 7, 2025 at</t>
  </si>
  <si>
    <t>You can’t be trusted to hold onto your things. To remember where you leave
sfuff, how to log into your banking or securely store passwords. I am not
contacting you on ANOTHER platform so you can share</t>
  </si>
  <si>
    <t>See the difference between your 5 days and mine? Stop the games man I’ll
gladly be charged for sharing all the videos of you smoking meth Itll be
worth every second
On Sat, Jun 7, 2025 at 10:46 AM CR</t>
  </si>
  <si>
    <t>On Sat, Jun 7, 2025 at 10:53 AM CRAIG S &lt;placed.sj@gmail.com&gt; wrote:
&gt; See the difference between your 5 days and mine? Stop the games man I’ll
&gt; gladly be charged for sharing all the videos of you s</t>
  </si>
  <si>
    <t>That’s fine. An adult is taking over. I don’t care about your bullshit. Send it to the courts . You’re right enough is enough. Send the pictures or don’t. &amp; because  that’s what I asked. Craig you can</t>
  </si>
  <si>
    <t>And again those are lies because I didn’t start until I met you and I didn’t wreck the place you did and you beat me with my nightstand and whipped it at me. I was the one that got sober. Not you grow</t>
  </si>
  <si>
    <t>Weird. Enjoy
On Sat, Jun 7, 2025 at 11:45 AM Emma Ryan &lt;em.ry@icloud.com&gt; wrote:
&gt; And again those are lies because I didn’t start until I met you and I
&gt; didn’t wreck the place you did and you beat</t>
  </si>
  <si>
    <t xml:space="preserve">No one knows the steps i need to take in order to see Harper thats the
fuckjng issue woman. Stop referring to her as “your kid” I know Shes a
burden on you but have a little decency. I secured a full </t>
  </si>
  <si>
    <t>Didnt start til you met me huh? Bahaha you change phone numbers like it’s
your meth dealer, but I still have two years worth of text lolololol in
fact it was Ali that said I was the only one who got y</t>
  </si>
  <si>
    <t>Youre on welfare dads on unemployment ffs dont worry about me I promise
I’ll be just fine when I drop your $300 a week sucking on things bill
On Sat, Jun 7, 2025 at 12:32 PM CRAIG S &lt;placed.sj@gmail.</t>
  </si>
  <si>
    <t>On Sat, Jun 7, 2025 at 12:34 PM CRAIG S &lt;placed.sj@gmail.com&gt; wrote:
&gt; Youre on welfare dads on unemployment ffs dont worry about me I promise
&gt; I’ll be just fine when I drop your $300 a week sucking</t>
  </si>
  <si>
    <t>Re: Updated invitation: Harp and her whatever I am to her mother daily check-in t... @ Daily from 8:30am to 9am (ADT) (em.ry@icloud.com)</t>
  </si>
  <si>
    <t>No idk how to use that nor will I. I asked you to download Skype or zoom. Like you still don’t get it everything has to be your way or the highway you can’t even download an app I’ve asked for almost</t>
  </si>
  <si>
    <t>Inbox,Important,Opened,Category Personal,emma,ready to
 go/Harpers Custody PDF/emmaemail2025</t>
  </si>
  <si>
    <t xml:space="preserve">I downloaded the app for you cause idk how to zoom or Skype anymore I guess so feel free to call whenever
Emma Ryan
On Jun 9, 2025, at 7:39 PM, Emma Ryan &lt;em.ry@icloud.com&gt; wrote:
﻿
No idk how to use </t>
  </si>
  <si>
    <t xml:space="preserve">I’m waiting for you to let me join
Emma Ryan
On Jun 9, 2025, at 7:39 PM, Emma Ryan &lt;em.ry@icloud.com&gt; wrote:
﻿
No idk how to use that nor will I. I asked you to download Skype or zoom. Like you still </t>
  </si>
  <si>
    <t>Re: Updated invitation: Harp and her whatever I am to her mother
 daily check-in t... @ Daily from 8:30am to 9am (ADT) (em.ry@icloud.com)</t>
  </si>
  <si>
    <t>youll have to communicate with a phone call or text only. or through courts
its up to you but this way of communicating doesnt work whatsoever. please
send me exact requirements and instructions on wh</t>
  </si>
  <si>
    <t>Sent,Inbox,Opened,emma,ready to go/Harpers Custody
 PDF/emmaemail2025</t>
  </si>
  <si>
    <t>sorry for the hostility i miss her so god damn much
On Tue, Jun 10, 2025 at 2:36 PM CRAIG S &lt;placed.sj@gmail.com&gt; wrote:
&gt; youll have to communicate with a phone call or text only. or through
&gt; cour</t>
  </si>
  <si>
    <t>LOL lie some more Craig. Whatever helps you sleep at night.
Emma Ryan
On Jun 7, 2025, at 12:32 PM, CRAIG S &lt;placed.sj@gmail.com&gt; wrote:
﻿
Didnt start til you met me huh? Bahaha you change phone number</t>
  </si>
  <si>
    <t>Inbox,Opened,Category Personal,emma</t>
  </si>
  <si>
    <t>And it would be great if you could stop sending a naked video of me around people. It’s my naked body and you have no right to videotape it let alone just send it to people. Why don’t you send it to t</t>
  </si>
  <si>
    <t>Stop contacting me unless it’s about your kid since you can’t follow through with anything still even for her.
I sent you a list to your number as you requested.
Emma Ryan
On Jun 11, 2025, at 9:19 AM,</t>
  </si>
  <si>
    <t>Emma Ryan &lt;emma.ryan1995@outlook.com&gt;</t>
  </si>
  <si>
    <t>Declined: harper n dad</t>
  </si>
  <si>
    <t>Inbox,Important,Opened,Category Personal,ready to go/Harpers
 Custody PDF/emmaemail2025</t>
  </si>
  <si>
    <t>"Emma Ryan (Google Calendar)" &lt;calendar-notification@google.com&gt;</t>
  </si>
  <si>
    <t>Declined: harper n dad @ Daily from 8:30am to 9am (ADT) (placed.sj@gmail.com)</t>
  </si>
  <si>
    <t xml:space="preserve">Emma Ryan has declined this invitation.
harper n dad
Daily from 8:30am to 9am
Atlantic Time - Halifax
Join with Google Meet
https://meet.google.com/cpn-qipu-bjn?hs=224
i know 75 ways to contact </t>
  </si>
  <si>
    <t>Inbox,Important,Opened,Category Updates,emma,ready to
 go/Harpers Custody PDF/emmaemail2025</t>
  </si>
  <si>
    <t xml:space="preserve">I can imagine and I’m not keeping her from you, Craig
Emma Ryan
On Jun 10, 2025, at 2:43 PM, CRAIG S &lt;placed.sj@gmail.com&gt; wrote:
﻿
sorry for the hostility i miss her so god damn much
On Tue, Jun 10, </t>
  </si>
  <si>
    <t>There is no game Craig you should know what your seven month old daughter needs to take care of her but I sent you the list and I think that it’s pretty straightforward of what is the main necessities</t>
  </si>
  <si>
    <t>Call.</t>
  </si>
  <si>
    <t xml:space="preserve">Are you calling this am?
Emma Ryan
</t>
  </si>
  <si>
    <t>Re: Call.</t>
  </si>
  <si>
    <t xml:space="preserve">emma are you serious? have me bliocked everywhere!!??!?!!!!
On Thu, Jun 12, 2025 at 8:16 AM Emma Ryan &lt;em.ry@icloud.com&gt; wrote:
&gt; Are you calling this am?
&gt; Emma Ryan
&gt;
</t>
  </si>
  <si>
    <t xml:space="preserve">Okay then. Yes because you can’t be respectful or kind at all lol. &amp; doesn’t mean you can’t call Harper. But sounds good.
Emma Ryan
On Jun 12, 2025, at 8:36 AM, CRAIG S &lt;placed.sj@gmail.com&gt; wrote:
﻿
</t>
  </si>
  <si>
    <t>They actually don’t have you blocked so
Emma Ryan
On Jun 12, 2025, at 8:50 AM, Emma Ryan &lt;em.ry@icloud.com&gt; wrote:
﻿
Okay then. Yes because you can’t be respectful or kind at all lol. &amp; doesn’t mean y</t>
  </si>
  <si>
    <t xml:space="preserve">
Emma Ryan</t>
  </si>
  <si>
    <t>what is a good time for you folks this morning?
On Wed, Jun 11, 2025 at 2:55 PM Emma Ryan &lt;em.ry@icloud.com&gt; wrote:
&gt; There is no game Craig you should know what your seven month old daughter
&gt; need</t>
  </si>
  <si>
    <t>meet</t>
  </si>
  <si>
    <t xml:space="preserve">ill just chill in the room, no worries if you cant make it ill come and
check on the laptop every few mins tho,
love ya harp
cheers
dad
</t>
  </si>
  <si>
    <t>maybe you should go back and read the 19 page parenting plan you made, and
then think again why what you are doing to me is so wrong. oh by the way my
laptops missing, all the photos and videos are on</t>
  </si>
  <si>
    <t>Archived,Sent,Opened,emma,ready to go/Harpers Custody
 PDF/emmaemail2025</t>
  </si>
  <si>
    <t xml:space="preserve">Not my crowd weird you misplaced a laptop, that agreement just goes to show how you can’t make decisions. It changes minute to minute day today I’m not doing anything Craig that’s the best part about </t>
  </si>
  <si>
    <t>youre not telling em what i have to do to pick up my god damn daughter, you
cant committ to one video call a day... you literally sit there and do
absolutely nothing to better your life, i cant fathom</t>
  </si>
  <si>
    <t>Sent,Opened,emma,ready to go/Harpers Custody
 PDF/emmaemail2025</t>
  </si>
  <si>
    <t>thanks again emma, youre ona  fucking roll, christmas, new years, my
birthday, and now fathers day. its personal now you aint seen a pissed off
craig before, only in your fairytale affidavits haha gid</t>
  </si>
  <si>
    <t>worse part is you cant even tell me what else i have to do to be in her
life, its mind boggling that anyone thought you were fit to have a kid for
fuck sake. theres a train coming emma, and its not th</t>
  </si>
  <si>
    <t>guess all i can say is that ij am truly sorry that i somehow hurt you
enough that you could hurt me this god damn bad, and how much of a sick
individual you must be to have sex with me one week and th</t>
  </si>
  <si>
    <t>The rules haven’t changed. Always been the same and been telling you for two and a half weeks. Sounds good Craig do whatever ya gotta truth will come out. I don’t do drugs craig you were the only pers</t>
  </si>
  <si>
    <t>You literally have done this all to yourself.
IM DONE because you continued to treat me the way you have and to do so INFRONT of our daughter when she’s sleeping. Because why? I’m tierd of hearing you</t>
  </si>
  <si>
    <t>Accepted: harper n dad</t>
  </si>
  <si>
    <t>hey idiot, what are the rules to the fucking game!!????? why cant i pick up
my daughter, i dont care about your bullshit stories youre writing, cause
the second your finger hits the phone its a lie, i</t>
  </si>
  <si>
    <t xml:space="preserve">what the fuck are you talking about? i have a job, a car, a banka ccount, a
savings account for harper, im thriving, thanks for asking how im doing
though, you fucking moron, you have nevr asked that </t>
  </si>
  <si>
    <t>Re: Accepted: harper n dad</t>
  </si>
  <si>
    <t xml:space="preserve">just making stuff up now? lol i can't wait to see the shit you come up with
On Sun, Jun 15, 2025 at 6:00 AM Emma Ryan &lt;emma.ryan1995@outlook.com&gt; wrote:
&gt;
</t>
  </si>
  <si>
    <t>Sent,Opened,ready to go/Harpers Custody PDF/emmaemail2025</t>
  </si>
  <si>
    <t>i have no idea what photos hyou want me to send to matt emma, you are
absolteuly fucked in the head, so you know what... soiunds good ill send
photos to matt nick and sonny today actually. LET ME HAVE</t>
  </si>
  <si>
    <t>maybe our updated court orders ? idunno wtf you want man fuck off
On Sun, Jun 15, 2025 at 7:35 AM CRAIG S &lt;placed.sj@gmail.com&gt; wrote:
&gt; i have no idea what photos hyou want me to send to matt emma,</t>
  </si>
  <si>
    <t>It’s not a fucking game. Still going I see Craig. I’ve literally told you over and over if you honestly don’t get then your a loss cause. Get the stuff to care for her when she’s there the car seat ba</t>
  </si>
  <si>
    <t>Go ahead man don’t care only hurting yourself and her.
Then do the fucking Barr minimum lol like fuck pretty sad you can’t do that at 7 months. I sent you a list 10 times like your the one fucked in t</t>
  </si>
  <si>
    <t>You’d rather send hateful nasty messages to me every day multiple times a day and try and blackmail me to be in your kids. Life then do the bare minimum.
Emma Ryan
On Jun 15, 2025, at 9:03 AM, Emma Ry</t>
  </si>
  <si>
    <t>That doesn’t mean the other one doesn’t matter you still have to have the things to care for her Craig lol and I didn’t take shit from your house so your sister can stop running her mouth since you’re</t>
  </si>
  <si>
    <t>I brought stuff there that you’ve kept and even giving you stuff like you’re hilarious. This is the saddest thing ever.
Emma Ryan
On Jun 15, 2025, at 9:03 AM, Emma Ryan &lt;em.ry@icloud.com&gt; wrote:
﻿
It’</t>
  </si>
  <si>
    <t>You’d have to be a parent to coparent and you’ve been a useless fuck since I met you. STOP MESSAGING ME STOP CONTACTING ME IM SICK OF YOUR FUCKING SHIT MAN. Go ahead do whatever hurt yourself more and</t>
  </si>
  <si>
    <t>So much for misplacing a laptop or having a flip phone lmfao. More lies on lies.
Emma Ryan
On Jun 15, 2025, at 9:03 AM, Emma Ryan &lt;em.ry@icloud.com&gt; wrote:
﻿
It’s not a fucking game. Still going I see</t>
  </si>
  <si>
    <t>yeah for the first tieme maybe, im on my way. go ahead and refuse, we will
see how that goes in court in the morning. tirred of your games no i dont
want a fucking video emma i am tired of you keeping</t>
  </si>
  <si>
    <t>emma i know numbers arent your thing, but your welfare doesnt even cover
the 4 things you smoke for fuck sake, let alone anything for the baby fuck
off
On Sun, Jun 15, 2025 at 9:26 AM CRAIG S &lt;placed</t>
  </si>
  <si>
    <t>Pretty sad you already sent them last night lol you’re literally the biggest pathetic thing ever you stay out of my life stay out of my life not that hard since you couldn’t get off them for our daugh</t>
  </si>
  <si>
    <t>Really that’s funny cause I was supporting your ass and your dog while keeping the roof over. I had to be a family you dumb fuck leave me alone stop messaging me you’re gross.
Emma Ryan
On Jun 15, 202</t>
  </si>
  <si>
    <t>Perfect cause I do refuse and I will call the cops to come remove you and maybe they’ll get my wallet too. You’re fucking sick in the head Man.
Emma Ryan
On Jun 15, 2025, at 9:50 AM, Emma Ryan &lt;em.ry@</t>
  </si>
  <si>
    <t>You come here and I’m calling the cops. You’re not welcome here and you can’t even do the bare minimum to get your kid.
Emma Ryan
On Jun 15, 2025, at 9:50 AM, Emma Ryan &lt;em.ry@icloud.com&gt; wrote:
﻿
Pre</t>
  </si>
  <si>
    <t>I’m not keeping her from you. That’s the funniest part Craig and yet here you are continuing to go on and on and on and on and on instead of doing what 510 things get fucked go fuck go away you’re bei</t>
  </si>
  <si>
    <t>What four things are you accusing me of smoking something else like you did when I was 5 1/2 months pregnant like cooking and smoking crack you’re fucked. I had to buy everything for you not to mentio</t>
  </si>
  <si>
    <t>Or you’ll have another charge and a no contact order this is so fucked up. You kept her from me for five days without telling me anything and I’m literally trying to help you still giving you the bene</t>
  </si>
  <si>
    <t>I bought everything for our baby Craig everything you did fuck all
Emma Ryan
On Jun 15, 2025, at 9:50 AM, Emma Ryan &lt;em.ry@icloud.com&gt; wrote:
﻿
Pretty sad you already sent them last night lol you’re l</t>
  </si>
  <si>
    <t>Trust me, buddy you just wait. I have lots of you.
Emma Ryan
On Jun 15, 2025, at 9:50 AM, Emma Ryan &lt;em.ry@icloud.com&gt; wrote:
﻿
Pretty sad you already sent them last night lol you’re literally the big</t>
  </si>
  <si>
    <t>Lol OK I wish you would’ve said that a year ago and I’ve been begging you to get the fuck out of my life you lying fuck
Emma Ryan
On Jun 15, 2025, at 9:50 AM, Emma Ryan &lt;em.ry@icloud.com&gt; wrote:
﻿
Pre</t>
  </si>
  <si>
    <t>Not sure why it would be in the morning but it’s definitely sooner than October.
Emma Ryan
On Jun 15, 2025, at 9:50 AM, Emma Ryan &lt;em.ry@icloud.com&gt; wrote:
﻿
Pretty sad you already sent them last nigh</t>
  </si>
  <si>
    <t>Can’t even leave my wallet eh lol. I’ll let the rcmp know that too
Emma Ryan
On Jun 15, 2025, at 9:50 AM, Emma Ryan &lt;em.ry@icloud.com&gt; wrote:
﻿
Pretty sad you already sent them last night lol you’re l</t>
  </si>
  <si>
    <t>Craig n Emma, =?UTF-8?B?ZG9u4oCZdA==?= miss these popular
 =?UTF-8?B?ZmluZHPigJRzaG9wIG5vdyDwn5uS?=</t>
  </si>
  <si>
    <t>harper's 6 month needles</t>
  </si>
  <si>
    <t>Hi Emma,
I am writing regarding Harper's 6-month appointment this afternoon for her
needles.
As Harper's father, I wish to be present to support her during this
important appointment, on Thursday yo</t>
  </si>
  <si>
    <t>CRAIG S &lt;lunacraigcep@gmail.com&gt;</t>
  </si>
  <si>
    <t>im going to just start posting stuff on my wall on facebook so that i
 know someone reads it, if it was abiout harper you wouldnt block me
 everywhere, thats about control and not about our daughter</t>
  </si>
  <si>
    <t xml:space="preserve">if you want to drive together, we can figure that out i just like the time
with harper as you know..
</t>
  </si>
  <si>
    <t>Paul Carey &lt;paulcarey802@gmail.com&gt;, DALE CAMPBELL &lt;dale.campbell@rogers.com&gt;, 
	Stacey C &lt;campbellstacey98@gmail.com&gt;</t>
  </si>
  <si>
    <t>Harpers Dad vs Emma 'Lion King' Ryan</t>
  </si>
  <si>
    <t xml:space="preserve">sharing this legally for "advice, as my trusted circle i am allowed to,
until i sign it ;)
https://g.co/gemini/share/6c9f11403fcb
</t>
  </si>
  <si>
    <t>Harper's well being</t>
  </si>
  <si>
    <t>Hello,
It's been 5 days since I saw my daughter alive and well. 2 weeks since I
have seen her in person. i have been waiting for you to send the RCMP to
come and see me but it seems as though that is</t>
  </si>
  <si>
    <t xml:space="preserve">   1.
   *Sole Custody and Sole Decision-Making Responsibility:* That the
   Respondent, CRAIG SCHULZ, be granted *sole custody and sole
   decision-making responsibility* for HARPER RYAN. This is ne</t>
  </si>
  <si>
    <t>Re: Harper's well being</t>
  </si>
  <si>
    <t>Lol that’s good when you have no idea how to even take care of her or haven’t for more than a few hours. I called RCMP yesterday and I called them again today so one should be there to see you soon. Y</t>
  </si>
  <si>
    <t>Important,Opened,Category Personal,emma,ready to go/Harpers
 Custody PDF/emmaemail2025</t>
  </si>
  <si>
    <t>I told you I’ll piss every day if I have to lol do you not remember that CPS didn’t investigation on me not you anyway read my last message over and over again if you have to, but that’s what this has</t>
  </si>
  <si>
    <t>And again, thank you for another charge for using my personal information but you don’t have my wallet right Craig lol you are actually hilarious. Why don’t you send that to Craig or something? I’m tr</t>
  </si>
  <si>
    <t>I really love the negative commentary because the only person that’s been negative has been you the only person that brought drugs into our life. Was you the only person that brought abuse into our li</t>
  </si>
  <si>
    <t>You’ve already committed fraud and used my information for your gambling sites so it’s not that hard to show evidence and it just also proves that you lie through your teeth so thank you again
Emma Ry</t>
  </si>
  <si>
    <t>emma you wont let me be a dad. you are a literal retard, wont let me pick
her up or video with her and then say i dont want to be a dad lol lol lol
lol lol iq of a squirrel
On Wed, Jun 18, 2025 at 10</t>
  </si>
  <si>
    <t>Don’t worry, the courts will deal in which household is best for her and which is the safest because none of you should be even living in that house please do not message me. Do not contact me. I will</t>
  </si>
  <si>
    <t>and it wont be pissing in a cup my love, promise
On Wed, Jun 18, 2025 at 10:55 AM CRAIG S &lt;placed.sj@gmail.com&gt; wrote:
&gt; emma you wont let me be a dad. you are a literal retard, wont let me pick
&gt; h</t>
  </si>
  <si>
    <t>please pay your drug debt i am tired of my phone ringing over it
On Wed, Jun 18, 2025 at 10:53 AM Emma Ryan &lt;em.ry@icloud.com&gt; wrote:
&gt; I told you I’ll piss every day if I have to lol do you not rem</t>
  </si>
  <si>
    <t>stop talking to me i dont care about you. you denied facetime againt his
morning so my contact with you is done until you waste my time again
tomorrow. and speak to the rcmp again tomorrow. enjoy your</t>
  </si>
  <si>
    <t>weird cause you texted me that your dad beat the shit out of you after he
scolded harper a year ago. weird man you gotta stop texting all this stuff
its gonna hurt in court. i told you, bring me harpe</t>
  </si>
  <si>
    <t xml:space="preserve">ahaha there it is, which house hold. yeah cause you know in a you vs me
scenario the judge will laugh at you cause youre not fit to raise a house
plant let alone my daughter
&gt;
</t>
  </si>
  <si>
    <t>the ryans cant spell sobriety let alone attempt it. drinking and driving?
theres a year derby for that in your backyard ffs, leave me alone emma
please i dont give a fuck about you whatsoever, try not</t>
  </si>
  <si>
    <t>i record every morning of me sitting there waiting for you to answer, then
ignoring my phone calls. we have joint custody emma, please stop using ali
as council and consult with a fucking adult. you a</t>
  </si>
  <si>
    <t>i want to know the god damn hoops i have to jump through to see my
daughter! right fucking now
On Wed, Jun 18, 2025 at 11:31 AM CRAIG S &lt;placed.sj@gmail.com&gt; wrote:
&gt; i record every morning of me si</t>
  </si>
  <si>
    <t>That you’ve been sent five different times on three different things and I thought you got them Craig I thought you sent me the pictures supposedly two weeks ago thank you for proving again that you l</t>
  </si>
  <si>
    <t>You did this not me I’m the one that’s clean. I’m the one that’s better in my life. Where are you? 10 steps back I’m sick of it.
Emma Ryan
On Jun 18, 2025, at 11:33 AM, CRAIG S &lt;placed.sj@gmail.com&gt; w</t>
  </si>
  <si>
    <t xml:space="preserve">Lol imagine I made sure that you had a chance to be her dad and you still couldn’t step up give it up. I don’t give a fuck about anything Craig send it to court. They’ll decide enough is enough.
Emma </t>
  </si>
  <si>
    <t>Not to mention your drug dealer messaging me saying that you’re getting drugs and I’m paying for them OK and you’re withholding my wallet so I can’t buy our daughter things when you contribute. Nothin</t>
  </si>
  <si>
    <t>list of demands</t>
  </si>
  <si>
    <t>I WANT EVERY THING LISTED, AND ONLY YOUR DEMANDS LISTED, IN THIS EMAIL
CHAIN, NOTHING ELSE. TELL ME WHAT WHEN HOW WHERE WHY I HAVE TO DO TO PICK
UP HARPER ON SUNDAY MORNING. IN DETAIL BECAUSE YOUR GAM</t>
  </si>
  <si>
    <t>Re: list of demands</t>
  </si>
  <si>
    <t>I sent you a list Craig multiple times on multiple different places but let me guess you didn’t get them. You had 2 1/2 weeks let alone a year and you sure as fuck should’ve got them when you took her</t>
  </si>
  <si>
    <t>I’m not the one that’s played games. I not once had played games because this is our daughter’s life and you’d rather fuck around and fuck the dog then do the bare minimum that they even gave you good</t>
  </si>
  <si>
    <t>Not to mention again, I thought you sent them two weeks ago, which was yet another lie. I’m done with your bullshit. I’m done with your childish games and I’m done dealing with your everything. This i</t>
  </si>
  <si>
    <t>so no list?
On Wed, Jun 18, 2025 at 12:11 PM Emma Ryan &lt;em.ry@icloud.com&gt; wrote:
&gt; I sent you a list Craig multiple times on multiple different places but
&gt; let me guess you didn’t get them. You had</t>
  </si>
  <si>
    <t>you make the demands i need to know the demands
On Wed, Jun 18, 2025 at 12:17 PM Emma Ryan &lt;em.ry@icloud.com&gt; wrote:
&gt; Not to mention again, I thought you sent them two weeks ago, which was yet
&gt; an</t>
  </si>
  <si>
    <t>over and over and over with your same bullshit but no list of demands huh
On Wed, Jun 18, 2025 at 11:57 AM Emma Ryan &lt;em.ry@icloud.com&gt; wrote:
&gt; You did this not me I’m the one that’s clean. I’m the</t>
  </si>
  <si>
    <t xml:space="preserve">last chance, are you sending me a listr of things to take pictures of? its
not a listr of things to buy fuck face you know i alreqdy have everfything
to care for her its a matter of what the fuck you </t>
  </si>
  <si>
    <t>Sent,emma,ready to go/Harpers Custody PDF/emmaemail2025</t>
  </si>
  <si>
    <t>SEND ME A FUCKING LIST
On Wed, Jun 18, 2025 at 12:11 PM Emma Ryan &lt;em.ry@icloud.com&gt; wrote:
&gt; I’m not the one that’s played games. I not once had played games because
&gt; this is our daughter’s life a</t>
  </si>
  <si>
    <t>Hows harper?</t>
  </si>
  <si>
    <t>Hows harper? I have been waiting in the video room like always, all good
though. RCMP can be my eyes, thanks again Emma great co parenting as
always, thanks for the list too, the one youve sent 10000x</t>
  </si>
  <si>
    <t>Sunday</t>
  </si>
  <si>
    <t>I need to know if you are refusing parenting time on Sunday or not. Need to
know for my grandmothers care, so please tell me what your plan is on that
one so I can deal with my other responsibilities.</t>
  </si>
  <si>
    <t xml:space="preserve">11:12 harpee, miss you so god damn much i cant believe its been so long :(
</t>
  </si>
  <si>
    <t>attempt to reach Harper</t>
  </si>
  <si>
    <t>checking in on her well being, we have joint custody in case you didn't
know. it is send an e-mail or talk to the rcmp, your call. thanks emma
appreciate your timely response as to why you are withhol</t>
  </si>
  <si>
    <t>Re: attempt to reach Harper</t>
  </si>
  <si>
    <t>She’s doing great. 
Emma Ryan
&gt; On Jun 19, 2025, at 5:14 PM, CRAIG S &lt;placed.sj@gmail.com&gt; wrote:
&gt; 
&gt; ﻿
&gt; checking in on her well being, we have joint custody in case you didn't know. it is se</t>
  </si>
  <si>
    <t xml:space="preserve">thats not an update emma. thats the response i have received every time i
have asked you or your family since december though, rcmp it is. maybe you
can give him the list of hoops to jump through for </t>
  </si>
  <si>
    <t>Funny when you steal from your kid eh STOP CONTACTING ME
On Jun 19, 2025, at 6:26 PM, CRAIG S &lt;placed.sj@gmail.com&gt; wrote:
﻿
thats not an update emma. thats YOUVE DONE A FINE JOB GETTING the re</t>
  </si>
  <si>
    <t>I don’t know a drug dealer anything again more bullshit and lies. He’s telling you meanwhile don’t know why he’s even fucking talking about me and I don’t know why you’re fucking messaging me. Leave m</t>
  </si>
  <si>
    <t>GET OFF MY SHIT ATOP CHANGING PASSWORDS JUST STOP YOUR ONLY HURTING YOURSELF AND HARPER . You sneaking fuck leave me alone stay out of my life. Not joking. I’ve already called my bank and rcmp about t</t>
  </si>
  <si>
    <t xml:space="preserve">emma, i swear i havent tried to access any of your stuff, i am only
replying so that you look elsewhere and not only at me.. you wont believe
me, i really dont care about you one bit, what you do who </t>
  </si>
  <si>
    <t>emma email june 2025</t>
  </si>
  <si>
    <t>Sent,Inbox,Important,Opened,ready to go/Harpers Custody
 PDF/emmaemail2025</t>
  </si>
  <si>
    <t>2025emmaemail</t>
  </si>
  <si>
    <t>Sent,Inbox,Important,Opened,Category Personal,emma,ready to
 go/Harpers Custody PDF/emmaemail2025</t>
  </si>
  <si>
    <t>Craig you took our baby away from its mother when she should have been in my belly you did this. You continue to harass me then get the bare minimum day in and day out the stuff you’ve done to my and</t>
  </si>
  <si>
    <t>Inbox,Opened,Category Personal</t>
  </si>
  <si>
    <t>No one’s standing in your way but you. I promise you will have consequences for your actions as well since you can’t comprehend anything. PLEASE LEAVE ME ALONE
Emma Ryan
On Jun 19, 2025, at 10:35 </t>
  </si>
  <si>
    <t>You have done all of this, including trying to steal money out of your daughter’s mouth. The courts will decide and that’s what we live with. Have a good day.
Emma Ryan
On Jun 19, 2025, at 10:35 P</t>
  </si>
  <si>
    <t>miss u harper. wonder if you will remember me, i dont think so
On Fri, Jun 20, 2025 at 8:46 AM Emma Ryan &lt;emma.ryan1995@outlook.com&gt; wrote:
&gt; You have done all of this, including trying to steal mon</t>
  </si>
  <si>
    <t>Sent,Inbox</t>
  </si>
  <si>
    <t>Craig Schulz &lt;placed.sj@gmail.com&gt;</t>
  </si>
  <si>
    <t>Fwd: Subject: Important Medical Information for Harper Ryan (DOB:
 November 12, 2024) - Prenatal and Postnatal Exposure History</t>
  </si>
  <si>
    <t xml:space="preserve">Forwarded Conversation
Subject: Re: Subject: Important Medical Information for Harper Ryan (DOB:
November 12, 2024) - Prenatal and Postnatal Exposure History
------------------------
From: Emma Ryan </t>
  </si>
  <si>
    <t>Sent,Inbox,Important,Opened,Category Personal,emma</t>
  </si>
  <si>
    <t>heya</t>
  </si>
  <si>
    <t xml:space="preserve">get ahold of me this morning, please. should talk
appreciate u
</t>
  </si>
  <si>
    <t>Re: heya</t>
  </si>
  <si>
    <t xml:space="preserve">
Emma Ryan
She got a sticker from the dr and was so proud
&gt; On Jun 23, 2025, at 5:26 AM, CRAIG S &lt;placed.sj@gmail.com&gt; wrote:
&gt; 
&gt; ﻿
&gt; get ahold of me this morning, please. should talk
&gt; 
&gt; apprecia</t>
  </si>
  <si>
    <t>*That's awesome! *
On Mon, Jun 23, 2025 at 11:16 AM Emma Ryan &lt;em.ry@icloud.com&gt; wrote:
&gt;
&gt; Emma Ryan
&gt;
&gt; She got a sticker from the dr and was so proud
&gt;
&gt; &gt; On Jun 23, 2025, at 5:26 AM, CRAIG S &lt;p</t>
  </si>
  <si>
    <t xml:space="preserve">&gt;
&gt;
&gt;&gt; if you get a min or fige to talk let me know, anytime anyday im always
&gt;&gt; availble just ring me cell phone
&gt;
&gt;
</t>
  </si>
  <si>
    <t>hey can we talk at some point or nah? its ok if you dont want to
On Mon, Jun 23, 2025 at 12:31 PM CRAIG S &lt;placed.sj@gmail.com&gt; wrote:
&gt;
&gt;&gt;&gt; if you get a min or fige to talk let me know, anytime any</t>
  </si>
  <si>
    <t>About what
Emma Ryan
On Jun 23, 2025, at 8:34 PM, CRAIG S &lt;placed.sj@gmail.com&gt; wrote:
﻿
hey can we talk at some point or nah? its ok if you dont want to
On Mon, Jun 23, 2025 at 12:31 PM CRAIG S &lt;
pla</t>
  </si>
  <si>
    <t xml:space="preserve">about what the path is to being in my daughter's life, if the only way is
to get a judge to force you, then fine. But if I file against you when I am
mad and disrespected and hurt and grieving like I </t>
  </si>
  <si>
    <t>I’ll take a look at this later. When she goes down! I would like my wallet back please. ASAP however that may be..
Emma Ryan
On Jun 24, 2025, at 9:29 AM, CRAIG S &lt;placed.sj@gmail.com&gt; wrote:
﻿
about w</t>
  </si>
  <si>
    <t>i told you, that i would have a look around and see if any of your things
were here when you let me see my daughter.  not sure how that's an unfair
request, it is a very clear straight forward request</t>
  </si>
  <si>
    <t>is there a good time to see the baby and give you whatever is in the bag of
your stuff to you
On Tue, Jun 24, 2025 at 1:23 PM Emma Ryan &lt;em.ry@icloud.com&gt; wrote:
&gt; I’ll take a look at this later. Wh</t>
  </si>
  <si>
    <t>She’s not a pawn Craig. 
You stole my wallet, I have an email saying you have it. You’ve gone through it using my personal information. Accessed my bank. Just stop. 
I’ll replace it all. Sad you’re th</t>
  </si>
  <si>
    <t>I’ve never sent you that info and yep you did. Please stop lying I just asked for it back and you’d rather use it as leverage. I’m sure once the useless fucks actually call me back the police can come</t>
  </si>
  <si>
    <t>Yes I’m sure we can arrange a time if you’re going to be respectful. She’s not gonna your using your daughter as a pawn n my things you stole as leverage it’s so wrong. I’ve sent the list idk how many</t>
  </si>
  <si>
    <t xml:space="preserve">if you have sent me the list why dont you send it to me so i can see it? i
am not reading anything else, youre right she isnt a pawn, its almost been
a month emma.. ive been so sick pondering what to </t>
  </si>
  <si>
    <t>File the truth it will come out. You’re literally only throwing everything I hated in my face but that’s fine. I know I can’t continue this. Sounds good Craig. Police will be there and you will be cha</t>
  </si>
  <si>
    <t xml:space="preserve">I’ve held myself accountable and I’ve been transparent and I’m sober. I’m working to a better life. So idk what you’re getting at. Do what you have to or should have I’ve told you idk how many times.
</t>
  </si>
  <si>
    <t>how long have you been sober?  once i file theyre going to charge you. but
you decided to keep my daughter from me and not tell the truth about your
substance use so here we are. bring me my daughter,</t>
  </si>
  <si>
    <t>i dont know how i am supposed to navigate this, still the same question i
asked your brother in december. its hurt you with honesty or walk away,
thats literally my only two choices. id like to see ha</t>
  </si>
  <si>
    <t xml:space="preserve">&gt;
&gt; i am going to attach a parenting agreement, do not expect you to accept it
&gt; (i havent filed anything yet as they told me to change direction given the
&gt; current cirucmstances) i promised you you </t>
  </si>
  <si>
    <t>it truly is remarkable that you think any of this is ok..... you have me
handcuffed because of my financials going into your account, but i hope to
heck you have representation on this, because withho</t>
  </si>
  <si>
    <t>Good morning</t>
  </si>
  <si>
    <t>Hi Emma,
Hope you're having a good morning.
Just wanted to send some love to Harper. Please tell her I said good
morning and I'm thinking of her. I'm looking forward to our next time
together.
Hope</t>
  </si>
  <si>
    <t>Re: Good morning</t>
  </si>
  <si>
    <t>lol. Okay. Stop. You’re right it’s hard to believe anyone could take a child away from a parent. Which I’m not but. Yah you have a great day too. Loved how you just have to throw in nasty comments. Ag</t>
  </si>
  <si>
    <t>if you think that's nasty you better buckle up.
On Thu, Jun 26, 2025 at 8:13 AM Emma Ryan &lt;em.ry@icloud.com&gt; wrote:
&gt; lol. Okay. Stop. You’re right it’s hard to believe anyone could take a
&gt; child a</t>
  </si>
  <si>
    <t xml:space="preserve">i was talking to harper, mind your business would ya, this isn't about you
anymore please just stop making her suffer for your own insecurities and
image. fuck man times up emma time to be an adult i </t>
  </si>
  <si>
    <t xml:space="preserve">LOL shows what your priorities are. Please stop messaging me.
Emma Ryan
On Jun 26, 2025, at 8:49 AM, CRAIG S &lt;placed.sj@gmail.com&gt; wrote:
﻿
if you think that's nasty you better buckle up.
On Thu, Jun </t>
  </si>
  <si>
    <t>let me talk to my daughter emma youre delusional what do ypou thjink will
happen
On Thu, Jun 26, 2025 at 8:51 AM Emma Ryan &lt;em.ry@icloud.com&gt; wrote:
&gt; LOL shows what your priorities are. Please stop</t>
  </si>
  <si>
    <t>Man, right it’s not about me and it hasn’t been and yet again I have no idea what you’re going on about goodbye Craig again any message I received from you you don’t mean and it’s just your way of get</t>
  </si>
  <si>
    <t>All right that was part of your plan in the beginning that’s why you didn’t like me breast-feeding that’s why you couldn’t do it because she was getting the attention. You blow my mind but nothing sur</t>
  </si>
  <si>
    <t>✌️
Emma Ryan
On Jun 26, 2025, at 9:04 AM, Emma Ryan &lt;em.ry@icloud.com&gt; wrote:
﻿
Man, right it’s not about me and it hasn’t been and yet again I have no idea what you’re going on about goodbye Craig ag</t>
  </si>
  <si>
    <t xml:space="preserve">emma, i want to see my baby how the hell can you think its ok? i want zero
contact with you yes, but unfortunatley you have ym fucking daughter bud ,
fuck, you know youy have harper right? ahhh makes </t>
  </si>
  <si>
    <t>this is the last place i had to block you. dont bother pretending you tried
to let me see my daughter aftrer 9:41AM on Thursdayh June 26th, 2025.
Remember this day Emma, and please start putting harpe</t>
  </si>
  <si>
    <t>I have every day unlike you thanks. Do you even listen to yourself sometimes? lol. Enjoy the police showing up for my wallet. Again we can see where your priorities are.
Thank you.
I’m the only parent</t>
  </si>
  <si>
    <t>emma you are a fucking retard. you know that i can provide for my daughter,
your welfare doesnt even cover the things you fucking smoke everyday let
alone caring for her, fuck off somewhere you are tr</t>
  </si>
  <si>
    <t>Sent,Inbox,Opened,Category Personal,emma</t>
  </si>
  <si>
    <t xml:space="preserve">yesterday gram said she doesn't think youre gonna let me have the
baby again before she dies. What are we doing this for? not for harper that
is for fuck sure, cause harper deserves better. if it was </t>
  </si>
  <si>
    <t>Archived,Sent,Opened,Category Personal,emma</t>
  </si>
  <si>
    <t>sunday court ordered parenting time</t>
  </si>
  <si>
    <t xml:space="preserve">i will be there on sunday to pick her up, and i will bring with me all of
the things that one needs to care for his daughter since you like to
pretend you send pictures dont receive pictures or texts </t>
  </si>
  <si>
    <t>i literally want to spend every second of everyday nwith my daughter, and
you want to go out and get the brains fucked out of you, but instead you
just punish me and harper because she was getting too</t>
  </si>
  <si>
    <t>Subject: Confirmation of Court-Ordered Parenting Time - Harper -
 Sunday, June 29, 2025</t>
  </si>
  <si>
    <t>Emma,
This email is to confirm arrangements for my court-ordered parenting time
with Harper tomorrow, Sunday, June 29, 2025, from 8:00 AM to 4:00 PM.
As per the existing order, I will be at the usua</t>
  </si>
  <si>
    <t xml:space="preserve">ill make sure i get u ur things before i file my reply. guessing our
conversation days are over here soon,  .., just what ya always wanted! jk.
man i miss that kid so much so god damn much, ive never </t>
  </si>
  <si>
    <t>Archived,Sent</t>
  </si>
  <si>
    <t>harper</t>
  </si>
  <si>
    <t>just checking in to see how our daughter is doing, updates on her , on her
everything. you boggle my mind, wonder what your reason is or how you think
any of this is ok. this is your final warning, yo</t>
  </si>
  <si>
    <t>harpers care</t>
  </si>
  <si>
    <t xml:space="preserve">[image: image.png]
really wish i could share with you what i built, based on your ideas and
input.
hope she is doing ok
get ahold of me before the judge gets ahold of us
please emma
</t>
  </si>
  <si>
    <t>"Casino Rewards" &lt;do-not-reply@casinorewards.com&gt;</t>
  </si>
  <si>
    <t>Congratulations on your newest account, emma!</t>
  </si>
  <si>
    <t>&lt;!DOCTYPE HTML PUBLIC "-//W3C//DTD HTML 4.01 Transitional//EN" "http://www.w3.org/TR/html4/loose.dtd"&gt;
&lt;html lang="en"  xmlns="http://www.w3.org/1999/xhtml" xmlns:o="urn:schemas-microsoft-com:office:</t>
  </si>
  <si>
    <t>Update.</t>
  </si>
  <si>
    <t xml:space="preserve">
Don’t mind how dirty her sleeper is I am well aware this was just after breakfast. 
Have a great day.
Emma Ryan</t>
  </si>
  <si>
    <t>Re: Update.</t>
  </si>
  <si>
    <t xml:space="preserve">Thanks for the update. When will I see her next?
On Fri, Jul 4, 2025 at 9:57 AM Emma Ryan &lt;em.ry@icloud.com&gt; wrote:
&gt; Good morning Craig,
&gt;
&gt; I’m not withholding our daughter from you not once have </t>
  </si>
  <si>
    <t>your email and phone have been disconnected for a week, and none of this
was ever relayed to me for the record. especially since you stopped with
facetime a month ago. anyway its not about what happen</t>
  </si>
  <si>
    <t xml:space="preserve">I’m sorry I told you pretty bluntly. It’s not disconnected you’ve been leaving me voicemails and nothing wrong with my email so give it up.
I’m not sure what you mean Craig literally all you have/had </t>
  </si>
  <si>
    <t>I don’t use AI? lol. All you get from me is raw truth 😂 here you are still doing this? lol
Emma Ryan
On Jul 4, 2025, at 1:19 PM, CRAIG S &lt;placed.sj@gmail.com&gt; wrote:
﻿
your email and phone have been d</t>
  </si>
  <si>
    <t>again you are deflecting. you know i have the things to care for her, what
i dont know is her routine or what she is eating or anything this is
literally your first contact in weeks. your phone was cu</t>
  </si>
  <si>
    <t>i have sent you endless emails. i cannot wait for you to read my filing.
all i want is to see my daughter, literally once a week like a dead beat dad
[image: image.png]
just like your bullshit clai</t>
  </si>
  <si>
    <t>Where was that joint decision making on the 9th. Like still with the smart ass comments instead of doing what you have to lol. Wow man. 
I was respecting your wishes and leaving you the fuck alone li</t>
  </si>
  <si>
    <t>Inbox,Important,Opened,Category Personal</t>
  </si>
  <si>
    <t>Wait, and you can see all this bullshit when I don’t know that because we haven’t done anything for her and you still haven’t done it and she’s eight months old. I’m not doing this correct stop goodby</t>
  </si>
  <si>
    <t xml:space="preserve">Whatever helps you sleep at night, but I pay my phone on time like I do every month not my mom and think whatever you want. Whatever helps you sleep at night. Don’t care, but I’m not doing this.
Emma </t>
  </si>
  <si>
    <t>No, once have I ever called you a dead beat dad but you sure call yourself a lot. Leave me alone you got an update you know and have knows goodbye blocked again because you can not be an adult
Emma Ry</t>
  </si>
  <si>
    <t>i hate everything about you. i shouldnt have to communicate with you to see
my daughter. and soon i wont have to, shame you chose this way. good bye
On Fri, Jul 4, 2025 at 2:40 PM Emma Ryan &lt;em.ry@ic</t>
  </si>
  <si>
    <t>im glad harper has a friend for the first 10 years of her life before she
starts to outgrow your maturity level
On Fri, Jul 4, 2025 at 2:37 PM Emma Ryan &lt;emma.ryan1995@outlook.com&gt; wrote:
&gt; Where wa</t>
  </si>
  <si>
    <t>Sent,Opened</t>
  </si>
  <si>
    <t>all i want to do is see my daughter emma. so now youre goiung to make me go
the absolute worse path possible , and thats the absolute truth nothing
held back. i know that instantly puts your parents a</t>
  </si>
  <si>
    <t>lol. Thanks. Literally still have no idea what you’re going on about. Just like everybody else stop messaging me stop contacting me. The rules haven’t changed and you haven’t done shit for our daughte</t>
  </si>
  <si>
    <t xml:space="preserve">Also just to make it super clear. It is NOT ABOUT YOU OR ME.
Emma Ryan
On Jul 4, 2025, at 2:50 PM, Emma Ryan &lt;em.ry@icloud.com&gt; wrote:
﻿
lol. Thanks. Literally still have no idea what you’re going on </t>
  </si>
  <si>
    <t xml:space="preserve">its purely about you, becaus you cant tell me what i have to do to see my
dauhghter. and are you talking about when you stopped at the chuyrch and
smoked meth on the way home? you delusional pathetic </t>
  </si>
  <si>
    <t>Sent,Opened,Category Personal,emma</t>
  </si>
  <si>
    <t>ill share it with you shortly, youre gonna wanna show this one to some
friends and family i bet, monia gets it i already sent it to her. its just
been a technicaliy while i straighten out my taxes sin</t>
  </si>
  <si>
    <t>sorry for the late email, just wanted to show you what i have been working
on. i hope you'll try it out and give me some feedback one day, i don't
expect you to n im sorry if you used the other one, i</t>
  </si>
  <si>
    <t>hey</t>
  </si>
  <si>
    <t>i wanted to just be sure today, i am sorry. i truly don't know what to do
without her, you three in my life. lost my 3 best friends, and i amsorry
that i wasnt there for you how you needed me to be. n</t>
  </si>
  <si>
    <t xml:space="preserve">EMMA, I WANT TO SEE MY DAUGHTER.
&gt;
</t>
  </si>
  <si>
    <t>this email is the biggeest lying crock of shitj i have ever read in my
life. i just want that to be in the record for my filing on monday, it has
as many lies as your god damn affidavit does. what the</t>
  </si>
  <si>
    <t>i am sorry that your emotional wellbeing has taken a beating from being
"harassed" while you play gatekeeper with my daughter and cut her out of my
life completely.
jesus woman must be difficult to d</t>
  </si>
  <si>
    <t>ty</t>
  </si>
  <si>
    <t xml:space="preserve">thanks em
</t>
  </si>
  <si>
    <t xml:space="preserve">hello
can i see her?
</t>
  </si>
  <si>
    <t>cant wait</t>
  </si>
  <si>
    <t xml:space="preserve">really really really wish i could send these to you ohhhh theyre so good
</t>
  </si>
  <si>
    <t xml:space="preserve">was just seeing if you were awake and had a minute, hope yours day was
swell, lol.. loser i know.. shes so gosh darn perfect man i cant stop
thinking about her
cheers
dad
</t>
  </si>
  <si>
    <t>sry</t>
  </si>
  <si>
    <t>i work the night shift these days, much easier to get stuff done when
everyones sleeping, anyway, call me absolutely nuts, but if you wanted to
use car at all next few days let me know.. i think me dr</t>
  </si>
  <si>
    <t>URGENT: Denial of Court-Ordered Pickup for Harper - Sunday, July 13, 2025</t>
  </si>
  <si>
    <t>Emma,
This email serves as formal documentation that you are denying my
court-ordered parenting time with Harper for the sixth consecutive Sunday,
scheduled for tomorrow, July 13, 2025.
To be unequi</t>
  </si>
  <si>
    <t>Re: URGENT: Denial of Court-Ordered Pickup for Harper - Sunday, July 13, 2025</t>
  </si>
  <si>
    <t>As well as court order stating you need to send pictures of the things she need to take care of her when she’s there now that I’ve stoped going. Including the new car seat where you threw the one my m</t>
  </si>
  <si>
    <t>Re: URGENT: Denial of Court-Ordered Pickup for Harper - Sunday, July
 13, 2025</t>
  </si>
  <si>
    <t xml:space="preserve">the court order is attached emma, i dont want to conversate about whatever
it is you are saying in this email, i have asked numerous times for a list
even though nothing was added to your make belief </t>
  </si>
  <si>
    <t>Fwd: URGENT: Denial of Court-Ordered Pickup for Harper - Sunday, July
 13, 2025</t>
  </si>
  <si>
    <t>just putting this email in the format it was intended for in the first
place. please reply to my original email with a yes or no, and a list of
demands to go with it if you so desire. for shits and gi</t>
  </si>
  <si>
    <t>Joint custody</t>
  </si>
  <si>
    <t>When is Harper's next scheduled doctors appointment?
Any updates at all for me regarding her, or just she's great is what I'll
mark down as per usual? Any concerns yet regarding her development based</t>
  </si>
  <si>
    <t>Re: Joint custody</t>
  </si>
  <si>
    <t>You need to be a parent before you can coparent you haven’t bought shit for her daughter, so don’t give me that please. Her health is great developmental wise. I’m not worried she’s hitting all the ma</t>
  </si>
  <si>
    <t>You fucked up that relationship Craig when you decided to take our four week old daughter away from me after I asked you not to and you knew what would fucking happen file your paperwork to the court.</t>
  </si>
  <si>
    <t xml:space="preserve">My lines of communication are open and have been open and yet you still find another platform to message me on like I’m good thanks I told you if you want task questions we can email.
Emma Ryan
&gt; On </t>
  </si>
  <si>
    <t xml:space="preserve">emma, i wish you the best.
</t>
  </si>
  <si>
    <t xml:space="preserve">please try not to kill my daughter while we go through this process. ffs.
bye
&gt;
</t>
  </si>
  <si>
    <t>Harper's Care</t>
  </si>
  <si>
    <t>they wondered what you held over my head.dale mentioned it a few times and
said she's got something on you why won't you file...  i think you knew
that i couldn't say that harper should be in this hou</t>
  </si>
  <si>
    <t>harpers check-in. can you please start sending me updates about my daughter
man this is insane that i have to always ask for this basic shit.  please
stop doing the things youre doing, idont need to h</t>
  </si>
  <si>
    <t>i hate you</t>
  </si>
  <si>
    <t>wanted to wish you the worse weekend imaginable, you have earned it.
thought i'd share what something that knows the whole entire truth thinks
of the situation upcoming. fuck you emma i truly hope you</t>
  </si>
  <si>
    <t>Re: i hate you</t>
  </si>
  <si>
    <t>Honestly have no idea how you can live with yourself. It’s disgusting and pathetic. 
Emma Ryan
&gt; On Jul 26, 2025, at 7:30 AM, CRAIG S &lt;placed.sj@gmail.com&gt; wrote:
&gt; 
&gt; ﻿
&gt; wanted to wish you the wors</t>
  </si>
  <si>
    <t xml:space="preserve">i know its how you see sobriety, you'll mature eventually. hah imagine
&gt;
</t>
  </si>
  <si>
    <t>curious as to what youve done since december that is in harpers best
interest?
On Sat, Jul 26, 2025 at 5:53 PM CRAIG S &lt;placed.sj@gmail.com&gt; wrote:
&gt; i know its how you see sobriety, you'll mature e</t>
  </si>
  <si>
    <t>54 days, to protect your lies.</t>
  </si>
  <si>
    <t>*Emma,*
*Let's be clear. This is to acknowledge your eighth consecutive, baseless
refusal to facilitate Harper's court-ordered pick-up. Your predictable
pattern of obstruction, devoid of any legitima</t>
  </si>
  <si>
    <t>facetime</t>
  </si>
  <si>
    <t xml:space="preserve">Can you please tell me how I can get an update on my daughter, see her and
facetime her.
thanks so much
craig
(506) 650.2122
</t>
  </si>
  <si>
    <t>Emma,
I am writing to get an update on Harper and to arrange a FaceTime call. As
her father, I need to know she is safe and well. Please provide an update
on her well-being and let me know when you a</t>
  </si>
  <si>
    <t>Follow up on our conversation</t>
  </si>
  <si>
    <t xml:space="preserve">  Following up on our conversation tonight, I'm writing to confirm that I
am still waiting on your replies. Per our discussion, I am expecting the
emails you mentioned you would be resending. Please f</t>
  </si>
  <si>
    <t>Re: Follow up on our conversation</t>
  </si>
  <si>
    <t xml:space="preserve">
Emma Ryan
&gt; On Aug 1, 2025, at 10:32 PM, CRAIG S &lt;placed.sj@gmail.com&gt; wrote:
&gt; 
&gt; ﻿
&gt;   Following up on our conversation tonight, I'm writing to confirm that I am still waiting on your replies. Per</t>
  </si>
  <si>
    <t>I appreciate you replying to my email at 1:56AM Emma, although I am
extremely disappointed in the execution of the plan, it's hard to do when
you're stoned out of your tree caring for two infants. Tha</t>
  </si>
  <si>
    <t>And to answer your question, no I do not want you to be anywhere near water
with my daughter unless you are sober. So no. Just smoke the stuff outside,
but leave Harper in the house at all times until</t>
  </si>
  <si>
    <t>HARPER</t>
  </si>
  <si>
    <t>It's shameful I have to ask this in the first place, worse I even have to
ask for the 198th time, what do I need to pick up for Harper. What sizes is
she in? Want me to guess? Food wise, how about how</t>
  </si>
  <si>
    <t>Re: HARPER</t>
  </si>
  <si>
    <t>I have no problem coparenting Craig. But Harper is almost 9 months old. I’ve updated you every time you asked. 
That’s great bring them they will tell you the same that you need the things to care for</t>
  </si>
  <si>
    <t>But you are not picking her up tomorrow you need a car seat along with everything else. It will be the same thing. Then we can go back to court early hopefully. I’m the only one being an adult and bei</t>
  </si>
  <si>
    <t xml:space="preserve">lol sweetheart i am sent the messages when you ask for it. i have the
things to care for her, you dont update me, and i shouldnt have to call
your house phone 100 times to get anupdate on my daughter </t>
  </si>
  <si>
    <t xml:space="preserve">stop smoking meth in the basement, your moms been sick since december
because of the ventilation ffs smoke it under the deck moron
On Sat, Aug 2, 2025 at 3:21 PM Emma Ryan &lt;em.ry@icloud.com&gt; wrote:
</t>
  </si>
  <si>
    <t>I don’t smoke meth and I sure as hell wouldn’t in the house. My moms been sick since way before maybe when you were living there smoking it eating all there food while we l went to work.
Give it up. G</t>
  </si>
  <si>
    <t>So you do get my emails then? Lol. Thank you. 
This is rediculous I can not believe you’ve done all this and continue to Craig. Proves what kind of person, human you are. Idk how you can ever look you</t>
  </si>
  <si>
    <t xml:space="preserve">the bare minimum huh? lol good one. try sending over your demands fucking
moron. you dont know what size clothes harper is in, you cant tell me what
to pick up, ill call every half hour, fuck you and </t>
  </si>
  <si>
    <t>i eamiled you friday morning fuck head. my hands are tied cunt, not getting
involved anymore. good luck
On Sat, Aug 2, 2025 at 10:44 PM CRAIG S &lt;placed.sj@gmail.com&gt; wrote:
&gt; the bare minimum huh? l</t>
  </si>
  <si>
    <t xml:space="preserve">i guess we will just call every hour until you can tell the truth
&gt;
</t>
  </si>
  <si>
    <t>i was giving you until the end of the month to try one more time to get
your shit together. but im tired of it, you will suffer the pain you caused
harper, me and my family. youll feel it for years, i</t>
  </si>
  <si>
    <t>We will not be at the house if you show up there. My main focus is protecting our daughter &amp; if that means you can’t respect us and coparent like a normal human then I’m going to protect her at all co</t>
  </si>
  <si>
    <t>You’re the only one doing or damaging anything lol. Our life has gotten so much better since the first of June
Emma Ryan
&gt; On Aug 3, 2025, at 7:33 AM, Emma Ryan &lt;em.ry@icloud.com&gt; wrote:
&gt; 
&gt; ﻿We wil</t>
  </si>
  <si>
    <t>You’re only harming yourself and your daughter. I’ve straighten up, I did the work, I put in the time effort. At least I can say that’s the truth. 
Enjoy your Sunday. You can email me when you have r</t>
  </si>
  <si>
    <t>What are my priorities supposed to be Emma? What are the steps that I have
to take to see my daughter? Because you're still in the same environment,
around the same people, smoking the exact same stuf</t>
  </si>
  <si>
    <t>how does one coparent in your world? you are such an idiot Emma, I'll be
sure to add your intoxicated care of Wyatt to my filing.
On Sun, Aug 3, 2025 at 7:37 AM Emma Ryan &lt;em.ry@icloud.com&gt; wrote:
&gt;</t>
  </si>
  <si>
    <t>child services has been notified. good luck faking the hair follicle tests
incoming fuck face
On Sun, Aug 3, 2025 at 11:25 AM CRAIG S &lt;placed.sj@gmail.com&gt; wrote:
&gt; how does one coparent in your wor</t>
  </si>
  <si>
    <t>cant wait to see what safety conerns you have with me. lol lol lol lol
On Sun, Aug 3, 2025 at 2:27 PM CRAIG S &lt;placed.sj@gmail.com&gt; wrote:
&gt; child services has been notified. good luck faking the ha</t>
  </si>
  <si>
    <t>Harper's Best Interest</t>
  </si>
  <si>
    <t>Emma,
This email serves as a final notice. As per our court-ordered parenting
schedule, I will be at your home on Sunday at 8:00 AM to pick up Harper. I
expect you to be there to facilitate this exch</t>
  </si>
  <si>
    <t>harper's best interest</t>
  </si>
  <si>
    <t>so i left my dieing grandmother, and luna, to better my life for harper. i
attend recovery meetings every week, and twice this week in one day i made
more then "my meal ticket" pays you.  yet i get no</t>
  </si>
  <si>
    <t>Fwd: Evenflo Registration Confirmation</t>
  </si>
  <si>
    <t>registered my seat the other day, it expires february 2035 and has all the
inserts. not that it matters now, but i had a chair in amber's car setup
and clipped in when we were denied on fathers day, i</t>
  </si>
  <si>
    <t>Instacart &lt;no-reply@customers.instacartemail.com&gt;</t>
  </si>
  <si>
    <t>lunacraigcep@gmail.com</t>
  </si>
  <si>
    <t>Emma, we saved these =?UTF-8?B?b2ZmZXJz4oCUanVzdA==?= for you</t>
  </si>
  <si>
    <t xml:space="preserve">
Instacart   96
Save money &amp; get delivery in as
fast as 1 hr.‌ ‌ ‌ ‌ ‌ ‌ ‌ ‌ ‌ ‌ ‌ ‌ ‌ ‌ ‌ ‌ ‌ ‌ ‌ ‌ ‌ ‌ ‌ ‌ ‌ ‌ ‌ ‌ ‌ ‌ ‌ ‌ ‌ ‌ ‌ ‌ ‌ ‌ ‌ ‌ ‌ ‌ ‌ ‌ ‌ ‌ ‌ ‌ ‌ ‌ ‌ ‌ ‌ ‌</t>
  </si>
  <si>
    <t>court ordered time</t>
  </si>
  <si>
    <t>you're something special, what are your list of demands? ive bought all
this stuff 50 times already, grow up man and send me a list. or reply to
the one i sent you maybe. you decide what emails you pr</t>
  </si>
  <si>
    <t>Emi, please for the love of god come up with actual list of things for me
to do to see my fucking baby. i have done absolutely everything anyone
could ever ask me to the last 6 months. literally.  ple</t>
  </si>
  <si>
    <t>harper's wellness</t>
  </si>
  <si>
    <t xml:space="preserve">well it's been 11 days since i forced an update out of you on harper by
getting your family involved. thanks emma i really appreciate all you do
</t>
  </si>
  <si>
    <t>Fwd: Harper's Best Interest</t>
  </si>
  <si>
    <t>if you are going to make the rules and then ignore my asks over and over
and over you are really showing the courts what I need to show them as to
why you can't be the caretaker of our girl. i have se</t>
  </si>
  <si>
    <t>Re: Harper's Best Interest</t>
  </si>
  <si>
    <t xml:space="preserve">Craig, you can have an update everyday. But it’s never good enough &amp; you always bounce back with hate or ignorance.
You have not had the things to care for her while she’s there. I have sent the list </t>
  </si>
  <si>
    <t xml:space="preserve">what time would you like me to facetime her? lol
On Tue, Aug 12, 2025 at 8:19 AM Emma Ryan &lt;em.ry@icloud.com&gt; wrote:
&gt; Craig, you can have an update everyday. But it’s never good enough &amp; you
&gt; </t>
  </si>
  <si>
    <t>you replied to my email a week later, how on earth is this updating me on
my daughter everyday? this is just like youve been telling me for months
for 6 months last year but cant tell me what youre ta</t>
  </si>
  <si>
    <t>and fyi, i ask you everytime i talk to you if you need anything, and i sent
you more then one tub of formula, but this shit is completely irrelevant,
notice the eye rolls youre getting from the people</t>
  </si>
  <si>
    <t>Shopper's Voice  &lt;contactus@mail.shoppersvoice.ca&gt;</t>
  </si>
  <si>
    <t>Emma, a Back-to-School Gift for You</t>
  </si>
  <si>
    <t>Click below to view a web version of this email:
http://mail.shoppersvoice.ca/H/2/v600000198a3d8539dc0f79cf4bbe5cfc0/087d1651-14b3-4bb8-892f-bb1a0237bddc/HTML------------------------------------
SHOPP</t>
  </si>
  <si>
    <t>please</t>
  </si>
  <si>
    <t xml:space="preserve">can i please see my baby emma.. please let me hold her for 5 minutes,
please.
</t>
  </si>
  <si>
    <t>Re: please</t>
  </si>
  <si>
    <t>We can FaceTime when she’s up? Be shortly. 
Emma Ryan
&gt; On Aug 13, 2025, at 2:51 PM, CRAIG S &lt;placed.sj@gmail.com&gt; wrote:
&gt; 
&gt; ﻿
&gt; can i please see my baby emma.. please let me hold her for 5 minutes</t>
  </si>
  <si>
    <t xml:space="preserve">i cant believe i didn't see this email in time, i was refrteshing the
laptop for frig sake :( facetime anytime, i dont even carry a phone much
these days i dont like to bombard you with text.. let me </t>
  </si>
  <si>
    <t>i dont have emails on my phone. but can always text or call my phone or
facetime the number i call you from, again thanks anyway :(
On Wed, Aug 13, 2025 at 5:55 PM CRAIG S &lt;placed.sj@gmail.com&gt; wrote</t>
  </si>
  <si>
    <t>if you can just tell me you cant it would be much less painful on me, and
ill move along
On Wed, Aug 13, 2025 at 6:09 PM CRAIG S &lt;placed.sj@gmail.com&gt; wrote:
&gt; i dont have emails on my phone. but ca</t>
  </si>
  <si>
    <t>i just went to try to turn notifications on for you on the laptop and found
a few emails unread buried somewhere. some pretty important ones you sent,
im sure theres more in other emails, ah well. tha</t>
  </si>
  <si>
    <t xml:space="preserve">https://g.co/gemini/share/040623aad155
little read for harper. im sorry for emailing so much, the heat of the last
3 days, the conversation last night at church and just the stress of all of
this is </t>
  </si>
  <si>
    <t>shutting it down for a while. please just text me or call me or just
facetime austin if i can facetime her its inhumane what we are doing to my
body, mind and soul while taking every step imaginable f</t>
  </si>
  <si>
    <t>soul wrecker</t>
  </si>
  <si>
    <t xml:space="preserve">i had no idea i had this. wow, probably have to unblock me to watch the
video.
https://www.facebook.com/share/v/17HQpqGpDa/
cheers
craig
</t>
  </si>
  <si>
    <t>5 days</t>
  </si>
  <si>
    <t>It's been 5 days since you last told me anything about Harper other than
she is sleeping. 5 actual days of no updates. Tomorrow you get paid so you
should have 24 hours in your day again at least. The</t>
  </si>
  <si>
    <t>Archived,Sent,Opened,ready to go/Harpers Custody PDF,emma</t>
  </si>
  <si>
    <t>Re: 5 days</t>
  </si>
  <si>
    <t>Told you last night she’s been teething. What else do you want to know? She’s still in same size clothing she still eats great she’s putting herself up on things and just wants to stand and walk. I’m</t>
  </si>
  <si>
    <t>Archived,Important,Opened,Category Personal,ready to
 go/Harpers Custody PDF,emma</t>
  </si>
  <si>
    <t>co parenting is letting me talk and see my daughter emma. or at least
explaining the impossible hoops involved. thanks for doing this to gram
harpers best interest
On Tue, Aug 19, 2025 at 12:36 PM E</t>
  </si>
  <si>
    <t>[image: image.png][image: image.png]
not sharing the screenshot where we talk about you faking a call log for
him. I sent them to duguay though, because that's in my court filing you
ain't reading sh</t>
  </si>
  <si>
    <t>Atta girl. keep up the great work. keep running your mouth too, like i
said, the people who matter... do not care about your bullshit, funny thing
is, austin threatened you, and my baby so i'll be dea</t>
  </si>
  <si>
    <t>Archived,Sent,ready to go/Harpers Custody PDF,emma</t>
  </si>
  <si>
    <t>Reminder - Emma, a Back-to-School Gift for You</t>
  </si>
  <si>
    <t>Click below to view a web version of this email:
http://mail.shoppersvoice.ca/H/2/v600000198c647f59dbd37786e966f4758/75620b66-c29e-4df1-a19e-ed551bbe5370/HTML------------------------------------
SHOPP</t>
  </si>
  <si>
    <t>Archived,Category Promotions,Unread,aug182025sweep</t>
  </si>
  <si>
    <t>S Craig &lt;lunacraigcep@gmail.com&gt;</t>
  </si>
  <si>
    <t>If you could write me a template of how you’d like daily updates I would appreciate that. 
Emma Ryan</t>
  </si>
  <si>
    <t>Archived,Important,Opened,Category
 Personal,aug182025sweep,emma</t>
  </si>
  <si>
    <t xml:space="preserve">i dont need daily updates i need to see my god damn daughter emma
</t>
  </si>
  <si>
    <t>Archived,Sent,Opened,aug182025sweep,emma</t>
  </si>
  <si>
    <t>you just email a different email even though i have used the same one since
december? like fuck off man stop your god damn games, actually go ahead,
ill take cdare of you once and for all. idiots, fuc</t>
  </si>
  <si>
    <t>how fucking retarded do you have to be to continue to smoke meth in the
house my daughter lives in while denying me access when all you had to do
was facetime me, like fuck you emma, seriously fuck yo</t>
  </si>
  <si>
    <t>Archived,Sent,aug182025sweep,emma</t>
  </si>
  <si>
    <t>"Gallant, Jacqueline (SD-DS)" &lt;Jacqueline.Gallant@gnb.ca&gt;</t>
  </si>
  <si>
    <t>HARPER RYAN</t>
  </si>
  <si>
    <t>Look, I am tired of it being the Ryan's stonewalling me at every turn. Your
job is to protect my daughter and not the Ryan's. She is still smoking meth
in that house that my daughter lives in, it's ti</t>
  </si>
  <si>
    <t>Emma Ryan &lt;em.ry@icloud.com&gt;, 
	"Gallant, Jacqueline (SD-DS)" &lt;Jacqueline.Gallant@gnb.ca&gt;</t>
  </si>
  <si>
    <t>HARPERS BEST INTERESTE</t>
  </si>
  <si>
    <t>Emma,
I will no longer allow myself to be drawn into endless back‑and‑forths,
tactics, and allegations that only delay and distract from the real issue —
Harper’s best interests.
Your repeated denia</t>
  </si>
  <si>
    <t>Follow up from my previous email- HARPER RYAN</t>
  </si>
  <si>
    <t>I wanted to follow up on the email I sent yesterday. I know my words were
strong, and they came from a place of deep concern for Harper. My priority
is always her wellbeing, safety, and best interests</t>
  </si>
  <si>
    <t>Notice regarding devices, SIMs, and records</t>
  </si>
  <si>
    <t>Emma,
&gt;From the missing phones to the stolen SIM cards and the timing of the phone
shattering, I’m putting this on the record: any access to my devices, SIMs,
accounts, or backups (including iCloud/A</t>
  </si>
  <si>
    <t>"Doiron, Monia (JPS/JSP)" &lt;Monia.Doiron@gnb.ca&gt;, 
	janet ellis stockford &lt;janet.ellisstockford@gnb.ca&gt;</t>
  </si>
  <si>
    <t>*Subject:* URGENT ACTION REQUIRED: Immediate Child Safety Risk and
Procedural Guidance for FDSJ-739-24
*To:* monia.doiron@gnb.ca, janet.ellisstockford@gnb.ca
*Date:* August 22, 2025
Dear Ms. Doiron</t>
  </si>
  <si>
    <t>Archived,Sent,Opened,Category Personal</t>
  </si>
  <si>
    <t>Formal Notification: Failure to Act in Protection File Re: Harper
 Ryan (File No. FDSJ-739-24)</t>
  </si>
  <si>
    <t>*To:* jacqueline.gallant@gnb.ca
*Date:* August 22, 2025
Dear Ms. Gallant,
I am writing to you again, with great disappointment. I am sorry to have to
include you in this, but you are not the only p</t>
  </si>
  <si>
    <t>"Ellis Stockford, Janet (JPS/JSP)" &lt;Janet.EllisStockford@gnb.ca&gt;</t>
  </si>
  <si>
    <t>I am out of the office until November 3, 2025.  Emails will not be monitored during this time.
Please direct all emails to FLIC-SaintJohn-CIDF@gnb.ca
-------------------------------------------------</t>
  </si>
  <si>
    <t>Archived,Important,Opened,Category Personal,ready to
 go/Harpers Custody PDF</t>
  </si>
  <si>
    <t>RE: Formal Notification: Failure to Act in Protection File Re: Harper
 Ryan (File No. FDSJ-739-24)</t>
  </si>
  <si>
    <t>Hi Craig,
As per the closure letter regarding the investigation dated 2024-12-14, the initial concerns reported were investigated and determined to be unsubstantiated. If circumstances have changed a</t>
  </si>
  <si>
    <t>Re: Formal Notification: Failure to Act in Protection File Re: Harper
 Ryan (File No. FDSJ-739-24)</t>
  </si>
  <si>
    <t>Hi Jacqueline and Kate
Thank you for your email.
I understand that the initial investigation has been closed. Please be
advised that I have already contacted the Child Protection Intake line to
repo</t>
  </si>
  <si>
    <t>Regarding your filing - FDSJ 739-24</t>
  </si>
  <si>
    <t>Hi Emma,
I made you a promise back in December that I would inform you before I
filed my reply to your affidavit. I have kept that promise.
I am writing to let you know that I will be filing my affi</t>
  </si>
  <si>
    <t xml:space="preserve">the pattern has become pretty clear, the motive, the plan i guess.. just
answer me this emma, did you pick me to do this to... or was i just the one
who was unfortunate enough to be the target of the </t>
  </si>
  <si>
    <t>why not</t>
  </si>
  <si>
    <t>why not send stuff like this as i come across it eh? lol cute, anyway,
protect that little girl Emma, protect that sweet sweet angel. the damage
you guys have done to me, that can't be undone, but I w</t>
  </si>
  <si>
    <t>Emma Ryan &lt;em.ry@icloud.com&gt;, Emma Ryan &lt;emma.ryan1995@outlook.com&gt;, 
	Luna Piper &lt;lunacraigcep@gmail.com&gt;</t>
  </si>
  <si>
    <t>don't waste this opportunity Emma, please get sober for her... we were so
lucky she survived that absolute shitshow she was born from and into. do
not waste the luck we had and just because i get shut</t>
  </si>
  <si>
    <t>Sent,Inbox,Important,Opened,emma</t>
  </si>
  <si>
    <t>delaying the inevitable</t>
  </si>
  <si>
    <t>no matter how unhinged these emails make me look, imagine the pain i feel
the last 80days, somy way of communicating with you certainly is not a
worry of mine. I just came across some pictures, remini</t>
  </si>
  <si>
    <t>Communication</t>
  </si>
  <si>
    <t>Emma,
Effective immediately, all communications regarding Harper (scheduling,
health, supplies, appointments, and video calls) must be sent to a single
address: placed.sj@gmail.com as I have made cle</t>
  </si>
  <si>
    <t>SUNDAY DENIAL OF PARENTING TIME</t>
  </si>
  <si>
    <t>Emma,
This is to confirm arrangements for tomorrow’s court‑ordered Sunday
parenting time (8:00 a.m. to 4:00 p.m.) as set out in the March 22, 2025
Interim Order.
Please confirm by 7:00 p.m. today wh</t>
  </si>
  <si>
    <t>AND</t>
  </si>
  <si>
    <t>And Emma, nobody has read my court filing love, my affidavit, watched
anything, as I said, these people hate your guts and are lying to you, so
just please stop the bullshit you are going to get every</t>
  </si>
  <si>
    <t>I Love You Two</t>
  </si>
  <si>
    <t>I wrote this 5 or 6 weeks ago, found it in my drafts...
                        To Emma and Harper, my last two best friends
Sitting here, thinking about things, and you two are always front and
cen</t>
  </si>
  <si>
    <t>Archived,Sent,Category Personal,emma</t>
  </si>
  <si>
    <t>disgusting</t>
  </si>
  <si>
    <t>there's a special place in hell reserved for you and your family. and i
cannot wait for karma to ride you all for the rest of your pathetic
disgusting lives. enjoy the spotlight, i am blowing the cove</t>
  </si>
  <si>
    <t>Re: disgusting</t>
  </si>
  <si>
    <t xml:space="preserve">Idk what you’re fucking talking about Craig. Meth has not been around our baby since you left. Goodbye lol
Emma Ryan
&gt; On Aug 27, 2025, at 12:30 AM, CRAIG S &lt;placed.sj@gmail.com&gt; wrote:
&gt; 
&gt; ﻿
</t>
  </si>
  <si>
    <t>Not to mention that’s you &amp; you’ll get your Karma. lol. This all could have been avoided but like everything else in your life this is how it goes
Emma Ryan
&gt; On Aug 27, 2025, at 12:30 AM, CRAIG S</t>
  </si>
  <si>
    <t>Not to mention you did all this lol. 5
6 months before she was born it all could have been avoided but nah you decided you had beat me down enough you could control my whole life with our daughter it</t>
  </si>
  <si>
    <t xml:space="preserve">I told you to get off my shit but here we are you still deleting stuff because you can’t just be a dad. 
Emma Ryan
&gt; On Aug 27, 2025, at 8:19 AM, Emma Ryan &lt;emma.ryan1995@outlook.com&gt; wrote:
&gt; 
</t>
  </si>
  <si>
    <t xml:space="preserve">geez that's nothing emma, if that has you replying just wait until this
next door i walk through
On Wed, Aug 27, 2025 at 8:27 AM Emma Ryan &lt;emma.ryan1995@outlook.com&gt; wrote:
&gt; I told you to get off </t>
  </si>
  <si>
    <t>i cant be a dad because you wont fucking let me!!!!!!!!!!!!!!!!!!!!!
On Wed, Aug 27, 2025 at 9:18 AM CRAIG S &lt;placed.sj@gmail.com&gt; wrote:
&gt; geez that's nothing emma, if that has you replying just wa</t>
  </si>
  <si>
    <t>this next gift for you, the gift that keeps on giving, i hope you truly
enjoy it, you earned it. rothesay police rcmp and saint john police all in
one day. time for accountibility you fucking meth hea</t>
  </si>
  <si>
    <t>nobody has deleted anything off your phone emma, thats called
hallucination, when you are trying to find evidence of stuff that doesnt
exist. jacqueline almost had me thinking that people didnt care a</t>
  </si>
  <si>
    <t>I got the evidence bud.
I’m not the meth head buddy. I’m sober. Like I told you and showed you.
Have a great day 😊
Hope they’re paying well.
________________________________
From: CRAIG S &lt;placed</t>
  </si>
  <si>
    <t xml:space="preserve">how have you showed me you are sober? wasnt with your drug tests lol.
anyway you ignored the rothesay police phone calls but good luck ignoring
the other departments that are coming for you. and keep </t>
  </si>
  <si>
    <t>I talked to the kvpd thanks. &amp; your joking right lol. How have you Craig? My tests prove it. Especially my first one. LEAVE ME ALONE THANKS. unless it’s about Harper GOODBYE
_________________________</t>
  </si>
  <si>
    <t>your first one that shows a negative dilute?
hahahahahahahahahahahahahahahahahahahaha
 the saint john police were shocked to see the videos. theres a file number
youll be served shortly, along with s</t>
  </si>
  <si>
    <t>Same 😊 how about a template I asked for? Cause nothing ever good enough. Right cause you don’t care. She’s doing great 6 teeth now, crawling pulling herself up. Always wants to be standing or walking.</t>
  </si>
  <si>
    <t xml:space="preserve">how about the template on the STEPS TO SEE MY FUCKING GOD DAMN DAUGHTER
MORON. you know what, i am done communicating with you, you have charges
incoming, the rcmp might not care about harper but the </t>
  </si>
  <si>
    <t xml:space="preserve">you fucking idiot, the next charge will be everyone in your family for
knowingly allowing you to smoke meth around those two babies. those
charges, they fucking hurt, and nanny and grampy arent going </t>
  </si>
  <si>
    <t>your updates are irrelevant because you are a lieing fucking cunt. one
thing that doesnt lie, is the polices reaction to what they just watched.
but ill let you feel that first hand i wont ruin the su</t>
  </si>
  <si>
    <t>Thanks for proving it again! You did all this Craig not me buddy. You wanna play that route then bare minimum to be in her life that’s on you. You already basically missed the whole first year of her</t>
  </si>
  <si>
    <t>Or use the damm email you say lol
Emma Ryan
On Aug 27, 2025, at 12:55 PM, CRAIG S &lt;placed.sj@gmail.com&gt; wrote:
﻿
your updates are irrelevant because you are a lieing fucking cunt. one thing th</t>
  </si>
  <si>
    <t>✌️
Emma Ryan
On Aug 27, 2025, at 12:55 PM, CRAIG S &lt;placed.sj@gmail.com&gt; wrote:
﻿
your updates are irrelevant because you are a lieing fucking cunt. one thing that doesnt lie, is the polices r</t>
  </si>
  <si>
    <t>You literally hurt me and everybody else to try and weasel your way into her life. That’s the saddest thing I’ve ever heard. It’s literally a new all-time low for you. Enjoy your day.
Emma Ryan
On</t>
  </si>
  <si>
    <t>I WANT TO SEEE MY FUCKING DAUGHTER EMMA ON COURT ORDERED FUCKING TIME YOU
FUCKING MORON. I AM SO SICK AND TIRED OF TRYING TO COPARENT WITH A
METHHEAD WITH THE IQ OF A FUCKING COW
On Wed, Aug 27, 2025</t>
  </si>
  <si>
    <t>I’m clean and feel amazing. Do the same your not looking great.
Emma Ryan
On Aug 27, 2025, at 12:55 PM, CRAIG S &lt;placed.sj@gmail.com&gt; wrote:
﻿
your updates are irrelevant because you are a lie</t>
  </si>
  <si>
    <t>thats great emma, we will compare notes when you have been withoiut your
daughter for 90 days. you fucking moron
On Wed, Aug 27, 2025 at 1:01 PM Emma Ryan &lt;emma.ryan1995@outlook.com&gt; wrote:
&gt; I’m cl</t>
  </si>
  <si>
    <t>Okay! Try doing what the court order says lol. Boom done wow
Emma Ryan
On Aug 27, 2025, at 1:02 PM, CRAIG S &lt;placed.sj@gmail.com&gt; wrote:
﻿
thats great emma, we will compare notes when you have</t>
  </si>
  <si>
    <t>whats that exactly? ive sent you pictures of everything you fucvking
disgusting smoke shop
On Wed, Aug 27, 2025 at 1:03 PM Emma Ryan &lt;emma.ryan1995@outlook.com&gt; wrote:
&gt; Okay! Try doing what the cou</t>
  </si>
  <si>
    <t>oh how the tides have turned, good luck keeping harper from me when you are
charged with assault lol fucking idiot
On Wed, Aug 27, 2025 at 1:05 PM CRAIG S &lt;placed.sj@gmail.com&gt; wrote:
&gt; whats that e</t>
  </si>
  <si>
    <t xml:space="preserve">Okay Craig. I don’t blame you I’d feel like shit too that’s why I don’t understand why you can’t just be respectful. You have not.
Like I’m not trying to fight man.
Emma Ryan
On Aug 27, 2025, at </t>
  </si>
  <si>
    <t xml:space="preserve">Harper is my only focus.
Emma Ryan
On Aug 27, 2025, at 1:06 PM, CRAIG S &lt;placed.sj@gmail.com&gt; wrote:
﻿
oh how the tides have turned, good luck keeping harper from me when you are charged with </t>
  </si>
  <si>
    <t>a childs best interest is having a relationship with both parents emma.
your best interest is your lies continuing not harper's. you stopped me
being in my daughters life for one reason, and that's be</t>
  </si>
  <si>
    <t>ive asked you 100000 times what i have to do to see my daughter. instead,
ill just keep filing charges against you and everyone else in my way.
On Wed, Aug 27, 2025 at 2:10 PM CRAIG S &lt;placed.sj@gmai</t>
  </si>
  <si>
    <t>No it’s not. It is having both parents. I’m just done coving for you and protecting you &amp; enabling this behaviour. It’s so unsafe. It’s dangerous. Anyone in there right mind would not behave in this m</t>
  </si>
  <si>
    <t>lol your actually dulutional. You brought those people into our lives lol. Haven’t talked or seen em em since it’s great. Life a lot better like I said
Emma Ryan
On Aug 27, 2025, at 2:12 PM, CRAIG</t>
  </si>
  <si>
    <t>I am sober Craig you sober up then you might have a chance you literally blowing up and destroying our daughters life before she’s old enough to enjoy it because this petty childish behaviour. Do the</t>
  </si>
  <si>
    <t>what people are you referring to? and i only talk about harper not sure
what youre referring to or who anymore. you cant answer the question i ask
over and over and thats how do i see my daughter? ive</t>
  </si>
  <si>
    <t xml:space="preserve">we both know youre not sober, but its irrelevant because i dont give a fuck
about you, all you are to me is a person who is destroying harpers life,
just like you did when you chose to smoke it while </t>
  </si>
  <si>
    <t xml:space="preserve">the boys tell me when you meet with them, the boys who aren't in my life
anymore. because they play you like a fiddle. you pay twice as much as
anyone else does, they literally play you emma. you are </t>
  </si>
  <si>
    <t>Sent</t>
  </si>
  <si>
    <t>god is great</t>
  </si>
  <si>
    <t>ohhhhhhhh god is great. your dad would drop me off where nick wrecked his
truck. lol. i thought your mom said enough things that i would be blessed
sitting on your front step for 4 hours, nah god grac</t>
  </si>
  <si>
    <t>Sent,Inbox,Opened,emma</t>
  </si>
  <si>
    <t xml:space="preserve">ignore that first email if you want. look em, i just want to see harper,
need to see harper. doesn't have to be for 8 hours, it can be anything you
want, i just need to know what you want. if sundays </t>
  </si>
  <si>
    <t>Sent,Inbox,Opened,ready to go,emma</t>
  </si>
  <si>
    <t>Re: god is great</t>
  </si>
  <si>
    <t>Thank you for continuing to not be respectful &amp; making us and my family feel unsafe in our own home. 
#1 dad of the year. 
You’re doing a great job.
Best part was I was no where’s near Sussex 😂. 
Emma</t>
  </si>
  <si>
    <t>Re: harper</t>
  </si>
  <si>
    <t>All I’ve done is work with you and acommodate you nothing was enough even offered a diaper bag the first weekend you were suppose to. You know what you need to do. I need to know she’s safe Craig. Tha</t>
  </si>
  <si>
    <t>Inbox,Important,Opened,Category Personal,ready to go,emma</t>
  </si>
  <si>
    <t>You’ve been the only one fighting
Emma Ryan
&gt; On Aug 30, 2025, at 10:10 AM, Emma Ryan &lt;em.ry@icloud.com&gt; wrote:
&gt; 
&gt; ﻿All I’ve done is work with you and acommodate you nothing was enough even offered</t>
  </si>
  <si>
    <t>she has never been unsafe in my care before emma, ill see you in the
morning like i said, i need details, feeding details sleeping details, its
been 3 months since you provided any of this. you can ha</t>
  </si>
  <si>
    <t xml:space="preserve">&gt;
&gt;
&gt;&gt; emma can you please provide some updates on her sleeping and feeding
&gt;&gt; schedule, as well as maybe a list to make her routine seamless. lets do
&gt;&gt; this one day for old times sake. please, this </t>
  </si>
  <si>
    <t xml:space="preserve">&gt;
&gt; that's good to hear that your parents lie about my daughters whereabouts.
&gt; this is why we shouldn't communicate for any reason other then updates and
&gt; scheduling pick ups and drop offs and your </t>
  </si>
  <si>
    <t>102gmailconvemmacraig08302025</t>
  </si>
  <si>
    <t>Attached: proposed parenting plan harsh.pdf
Sent using Google Docs https://docs.google.com/
This is a courtesy copy of an email for your record only. It's not the same  
email your collaborators rece</t>
  </si>
  <si>
    <t>Sent,Inbox,Important,Opened</t>
  </si>
  <si>
    <t>2/2 emmacraig102emails08302025</t>
  </si>
  <si>
    <t>and wait a second, i rang the doorbell, asked to see harper, was told she
wasnt home said ill wait here if thats ok and your mom said go ahead. if
you feel unsafe in your home after what i have done t</t>
  </si>
  <si>
    <t>I’ve been telling you asked you to do up a template it’s never good enough. I used the ai everyday and you didn’t even check it. Since I’ve provided that information? No it has not. No one fighting he</t>
  </si>
  <si>
    <t>There is no war Craig. There are no games when it comes to our child’s life. 
Emma Ryan
&gt; On Aug 30, 2025, at 10:10 AM, Emma Ryan &lt;em.ry@icloud.com&gt; wrote:
&gt; 
&gt; ﻿All I’ve done is work with you and ac</t>
  </si>
  <si>
    <t xml:space="preserve">ill see you at 8am. you do not get to play this game for a 13th saturday in
a row. harper's care was just perfect with me until june 4th, we both know
what happened june 4th Emma. I didn't ask you to </t>
  </si>
  <si>
    <t>i am so disappointed, i am speechless. you are destroying your daughters
current stability with her father, and her future with her mother. anyway i
can't do this with you anymore please stop contacti</t>
  </si>
  <si>
    <t>lol idk how you can look at yourself in the mirror everyone can’t believe half the shit let alone what you still put us threw
Emma Ryan
On Aug 30, 2025, at 4:14 PM, CRAIG S &lt;placed.sj@gmail.com&gt; wrote</t>
  </si>
  <si>
    <t>You show up here I’ll come take a look but you’re not taking her. I need proof pictures. You lie through your teeth. And it’s Sundays not Saturdays
Emma Ryan
On Aug 30, 2025, at 7:36 PM, CRAIG S &lt;plac</t>
  </si>
  <si>
    <t>You were asked to not come on our property. You made my mom uncomfortable, you joke about my brother life. Like you really are a treat. By far the most ignorant disrespectful dishonest disgusting huma</t>
  </si>
  <si>
    <t>Maybe the cop in your driveway the other day but give ya some pointers.
Emma Ryan
On Aug 30, 2025, at 8:30 PM, Emma Ryan &lt;em.ry@icloud.com&gt; wrote:
﻿
You show up here I’ll come take a look but you’re n</t>
  </si>
  <si>
    <t>everyone is you emma. i am done fighting with you. how the hell do you
expect someone to have joint custody with you and not come on your property
is beyond me. but again, not doing this, i am not a d</t>
  </si>
  <si>
    <t xml:space="preserve">yeah you're welcome for having a conversation in my driveway with a cop for
our daughter Emma. you can even somehow try to spin that around eh you are
the absolute worse human being to ever walk this </t>
  </si>
  <si>
    <t>Sent,Opened,ready to go,emma</t>
  </si>
  <si>
    <t>WHAT VIDEOS? I love how you sneak stupid stuff like this into an email
without any context or proof whatsoever. lol. show me one instance I
neglected our daughter please for fuck sake share ONE instan</t>
  </si>
  <si>
    <t>Today’s the one who didn’t sleep the whole week I was in the hospital and buckled our new born child into the car seat wrong to leave the hospital. Please just stop.
I am raising her exactly how I sai</t>
  </si>
  <si>
    <t xml:space="preserve">you told me i can't have harper at 8am for court ordered pick up last night
emma, our full email threads get shared with people who are neutral and
it'll be relayed to the proper people in the proper </t>
  </si>
  <si>
    <t>I’ve tried Craig. You blow my phone up &amp; hack it like a fucking child because you’re that much of a peice of shit. You don’t care about Harper you only care about hurting my image and protecting your</t>
  </si>
  <si>
    <t>Inbox,Important,Opened,Category Personal,ready to go</t>
  </si>
  <si>
    <t xml:space="preserve">Get off my stuff before it gets any worse for you. At least do yourself that.
Emma Ryan
On Sep 1, 2025, at 8:40 AM, Emma Ryan &lt;em.ry@icloud.com&gt; wrote:
﻿
I’ve tried Craig. You blow my phone up &amp; hack </t>
  </si>
  <si>
    <t>you filed the papers emma. do not contact me please
This message, including any attachments, is intended for the sole use of
the designated recipient(s) and may contain confidential and privileged
in</t>
  </si>
  <si>
    <t>Sent,Opened,ready to go</t>
  </si>
  <si>
    <t>emma i dont go on my own stuff let alone yours. see a doctor
This message, including any attachments, is intended for the sole use of
the designated recipient(s) and may contain confidential and priv</t>
  </si>
  <si>
    <t>can i facetime today? thats not what your dad said but again irrelevant
This message, including any attachments, is intended for the sole use of
the designated recipient(s) and may contain confidenti</t>
  </si>
  <si>
    <t>also, I have ONE question, that I would love to ask you personally instead
of asking it in court. not sure if I'll believe the answer you give me
anyway, but if you want to hear it, let me know. it wo</t>
  </si>
  <si>
    <t>You are.
Also my heads great, I have the proof. What? Why can’t you email? That’s ridiculous.
Not sure what my dad has to do with anything here lol.
Emma Ryan
On Sep 1, 2025, at 11:28 AM, CRAIG S &lt;pla</t>
  </si>
  <si>
    <t>Luna &lt;lunacraigcep@gmail.com&gt;</t>
  </si>
  <si>
    <t>You did abandon us. I told you this. 
I’m just receiving since you had my email all fucjed
Emma Ryan
&gt; On Feb 7, 2025, at 8:06 PM, Luna • &lt;lunacraigcep@gmail.com&gt; wrote:
&gt; 
&gt; ﻿ I reallt hope yo</t>
  </si>
  <si>
    <t>nice reply to email that makes no sense whatsoever. i wish i picked an
adult to have a child with. picked the wrong last name for that though
clearly. an adult can speak on the phone, i suppose they c</t>
  </si>
  <si>
    <t>STOP CONTACTING ME
On Mon, Sep 1, 2025 at 12:36 PM Emma Ryan &lt;emma.ryan1995@outlook.com&gt; wrote:
&gt; You did abandon us. I told you this.
&gt; I’m just receiving since you had my email all fucjed
&gt; Emma R</t>
  </si>
  <si>
    <t>lol. Whatever helps you sleep at night &amp; no problem. Don’t expect a reply after you lie and lie and lie. You want me to leave you alone then you can leave me alone. Yah drove you back because you ran</t>
  </si>
  <si>
    <t>see you in court really soon.
[image: image.png]
[image: image.png]
[image: image.png]
[image: image.png]
[image: image.png]
[image: image.png]
I can't wait until you guys have to put your hand on a</t>
  </si>
  <si>
    <t>The days of you destroying Harper are over. You are the most selfish person
I have ever met. This all started on March 6th 2024 and continues today.
Lying and stealing - people hate those people the m</t>
  </si>
  <si>
    <t>I don’t want to talk to you. If it not about Harper I don’t care. Whatever helps you sleep at night Craig. GOODBYE. Only child here is you and that’s OBVIOUS
Emma Ryan
On Sep 1, 2025, at 2:29 PM, CRAI</t>
  </si>
  <si>
    <t>And I don’t care lol. Fuck off then
Emma Ryan
On Sep 1, 2025, at 2:44 PM, Emma Ryan &lt;em.ry@icloud.com&gt; wrote:
﻿
I don’t want to talk to you. If it not about Harper I don’t care. Whatever helps you sle</t>
  </si>
  <si>
    <t>Yes we will. Funny me and your mom talked about that bum rash all week and you didn’t send me a picture until almost midnight on the day that you took her so you waited that long to change your butt g</t>
  </si>
  <si>
    <t>Only one destroying Harper is you. Literally it’s while.
Why are you still messaging me? Like stop.
Emma Ryan
On Sep 1, 2025, at 2:45 PM, Emma Ryan &lt;em.ry@icloud.com&gt; wrote:
﻿
And I don’t care lol. Fu</t>
  </si>
  <si>
    <t>You do remember that you locked her four week old daughter in a room that was full of garbage that used to smoke meth because you couldn’t feed her
Emma Ryan
On Sep 1, 2025, at 2:47 PM, Emma Ryan &lt;em.</t>
  </si>
  <si>
    <t>Your being blocked so done with thais shit
Emma Ryan
On Sep 1, 2025, at 2:47 PM, Emma Ryan &lt;em.ry@icloud.com&gt; wrote:
﻿
Only one destroying Harper is you. Literally it’s while.
Why are you still messag</t>
  </si>
  <si>
    <t>I stopped drugs and being around them when you l finally decided exactly and you stopped feeding them to me
Emma Ryan
On Sep 1, 2025, at 2:55 PM, Emma Ryan &lt;em.ry@icloud.com&gt; wrote:
﻿
Your being block</t>
  </si>
  <si>
    <t>Trust me if I could go back I would. Not because I’m not blessed with Harper but because after being helpless of you just walking back in and doing whatever you wanted. But to never believe any of you</t>
  </si>
  <si>
    <t>this is not a debate for me and you emma, this is about the safety of
harper. leave me the fuck alone
This message, including any attachments, is intended for the sole use of
the designated recipient</t>
  </si>
  <si>
    <t>Who the fuck is them? lol the voices in your head?
Emma Ryan
On Sep 1, 2025, at 5:04 PM, CRAIG S &lt;placed.sj@gmail.com&gt; wrote:
﻿
this is not a debate for me and you emma, this is about the safety of ha</t>
  </si>
  <si>
    <t>we have been waiting for you to use the monster words. but i will be very
clear, there is only one thing left on that list for a psycho to do and if
you harm my fucking daughter I swear to god that th</t>
  </si>
  <si>
    <t>you'll know very soon who them are that I am referring to. now good bye
This message, including any attachments, is intended for the sole use of
the designated recipient(s) and may contain confidenti</t>
  </si>
  <si>
    <t>lol you’ll know soon Craig.
Taking our daughter outside at 5 days old causing her episodes, buckling her in the seat wrong, abusing me with her in your arms, locking her in a room. Your time is over j</t>
  </si>
  <si>
    <t>Nah I’m good lol. Definitely voices in your head or buddy that lived in our attics
Emma Ryan
On Sep 1, 2025, at 5:21 PM, Emma Ryan &lt;em.ry@icloud.com&gt; wrote:
﻿
lol you’ll know soon Craig.
Taking our da</t>
  </si>
  <si>
    <t>All this shows your priorities. Thanks.
Emma Ryan
On Sep 1, 2025, at 5:22 PM, Emma Ryan &lt;em.ry@icloud.com&gt; wrote:
﻿
Nah I’m good lol. Definitely voices in your head or buddy that lived in our attics
E</t>
  </si>
  <si>
    <t>emma please stop, you have harper so i used to contact you for that reason.
you contacting me is just harassment i will add more charges to the file
This message, including any attachments, is intend</t>
  </si>
  <si>
    <t>LOL you’re a joke. I’ve been begging you to leave me the fuck alone for months now you monitor everything I do you sick fuck. Go loose some more weight. I have Harper for a reason. The day you and you</t>
  </si>
  <si>
    <t>This proves you push and push and push. I’m fucking done with your sorry ass. I thought maybe you’d realize but nah. lol you’ll never change
Emma Ryan
On Sep 1, 2025, at 5:39 PM, Emma Ryan &lt;em.ry@iclo</t>
  </si>
  <si>
    <t>﻿
LOL you’re a joke. I’ve been begging you to leave me the fuck alone for months now you monitor everything I do you sick fuck. Go loose some more weight. I have Harper for a reason. The day you and y</t>
  </si>
  <si>
    <t>i am not sure who you are replying to emma, just please take this
conversation to that person. i dont talk to your family, but i sure would
love for them to send me an email so we could have a nice ho</t>
  </si>
  <si>
    <t>Labour Day offer for Emma</t>
  </si>
  <si>
    <t>Click below to view a web version of this email:
http://mail.shoppersvoice.ca/H/2/v600000199093a9d1ab9c764f4bbe5c898/c04ea6ab-d463-42bc-9629-d863246929dc/HTML------------------------------------
SHOPP</t>
  </si>
  <si>
    <t>Thank You</t>
  </si>
  <si>
    <t>Thanks Em, she getting so big :) .. so much has happened in my life, I
always just want to tell you every single detail, that hasn't changed
that's for sure. I get excited for Harper's future when thi</t>
  </si>
  <si>
    <t>Re: Thank You</t>
  </si>
  <si>
    <t>None of this is about our relationship. It is all about Harper &amp; her best interest. Like I’ve been telling you all along.
I sacrificed everything. I mean everything. For me to get clean for months fo</t>
  </si>
  <si>
    <t>Important,Opened,Category Personal,emma</t>
  </si>
  <si>
    <t>Thanks for the FaceTime earlier. Agreed—updates will focus on Harper’s
feeding, sleep, diapers, and health. I’ll send a daily log by 6:00 pm on my
parenting days and after exchanges. If anything urgen</t>
  </si>
  <si>
    <t>I am sorry that todays (visit I assume?) is so upsetting and feels like a
personal attack.  I am going to need a reply from you tonight, you cannot
send emails that have bullet in my head or threats o</t>
  </si>
  <si>
    <t>lol. No craig. It’s not a threat &amp; I’m fine if you could stay the guck out of my life. You don’t give a fuck about anyone but yourself &amp; no it’s not the “visit” lol that’s what you should have been do</t>
  </si>
  <si>
    <t>You got mail btw just has my name on it 👀 god only knows what your doing with my wallet 🤮
Emma Ryan
On Sep 4, 2025, at 6:41 PM, CRAIG S &lt;placed.sj@gmail.com&gt; wrote:
﻿
I am sorry that todays (v</t>
  </si>
  <si>
    <t>&amp; stop saying your sorry cause your fucking not you’d do it again and again. Because that’s what kind of human you are. From here on out. It’s only trying to coparent with someone who hasn’t even been</t>
  </si>
  <si>
    <t xml:space="preserve">Every email is about her, but you dont reply to my words you just start
rambling on about nonsense as per usual. Have a good night Emma please stop
blaming me for doing whatever it is you are talking </t>
  </si>
  <si>
    <t xml:space="preserve">Oh stop trying to fabricate something that isn't there. Just stop the games
for fuck sake Emma, you did this, you did it countless times, you did it
with Cole in June 2024 until December 2024 and you </t>
  </si>
  <si>
    <t xml:space="preserve">You won't let me see her, lol stop stop stop stop stop please stop emailing
me and focus on her. I have done more in the last 90 days then anyone could
accomplish in 10 years, you'll be served what I </t>
  </si>
  <si>
    <t>Yes you could without all the hate or harassment. But yah whatever helps ya sleep at night. I do answer everything it’s just not what you want lol. No blame just truth. Have a fantastic day 👌🏼
Emma R</t>
  </si>
  <si>
    <t>LOL I’m not letting you not see her your doing that yourself Craig wow.
Emma Ryan
On Sep 4, 2025, at 10:20 PM, CRAIG S &lt;placed.sj@gmail.com&gt; wrote:
﻿
You won't let me see her, lol stop stop st</t>
  </si>
  <si>
    <t>LOL YOUR FUCKED. You can stop pretending. Blocked bye. You really can’t fuck off about anything that you fucking did. You were the reason for everything you dumb fuck. LEAVE ME THE FUCK ALONE AND DO W</t>
  </si>
  <si>
    <t>Oh hunni I’m not worried
Emma Ryan
On Sep 4, 2025, at 10:20 PM, CRAIG S &lt;placed.sj@gmail.com&gt; wrote:
﻿
You won't let me see her, lol stop stop stop stop stop please stop emailing me and focu</t>
  </si>
  <si>
    <t>Honey, I am worried. Genuinely worried about the safety of my daughter
being around someone like you. Now stop emailing me about your
hallucinations and made up bullshit with your phone. Seriously sto</t>
  </si>
  <si>
    <t>Same lol. ✌🏼 imagine you ever had to worry I’d be worried with her in your care the neglect you gave her. You’ve never had to worry about her. So stop with your bullshit just like I took care of you a</t>
  </si>
  <si>
    <t>Cole was the only calm in my life yup after beggin you no what your not worth my breath believe what ya want. Whatever helps ya sleep at night. We’ll see. lol
Emma Ryan
On Sep 5, 2025, at 8:25 AM,</t>
  </si>
  <si>
    <t>STOP CONTACTING ME, LUNA HAD TWO EAR INFECTIONS AND LHYMES DISEASE,GREAT
JOB CARING FOR HER HAHA
This message, including any attachments, is intended for the sole use of
the designated recipient(s) a</t>
  </si>
  <si>
    <t>YEAH THE PAROLEE YOU DID DRUGS WITH LOLOLOL NICE CONSTANT IN YOUR LIFE
PROUD OF YOU
This message, including any attachments, is intended for the sole use of
the designated recipient(s) and may contai</t>
  </si>
  <si>
    <t>ENJOY YOUR DAY EMMA, NOT MANY OF THESE LEFT I RECKON BAHAHAHAHA
This message, including any attachments, is intended for the sole use of
the designated recipient(s) and may contain confidential and p</t>
  </si>
  <si>
    <t>BLOCKED BY THE WAY, ILL TALK TO YOU TOMORROW AT 1PM
This message, including any attachments, is intended for the sole use of
the designated recipient(s) and may contain confidential and privileged
in</t>
  </si>
  <si>
    <t>Go smoke your pipe only thing you did was sit on your ass hauling on that thing while I cried and begged to not be around it.
Emma Ryan
On Sep 5, 2025, at 8:25 AM, Emma Ryan &lt;emma.ryan1995@outlook</t>
  </si>
  <si>
    <t>LOL we didn’t do drugs you did in our apartment after asked not to many times of course I needed out of that.
How many time did I tell you she had to go to the vet she’s your dog Craig you wouldn’t c</t>
  </si>
  <si>
    <t xml:space="preserve">its a shame Emma because the only time I ever saw tears come down your face
was on June 4th. I am sad for you, extremely sad for you, sucks to have to
reply to your bullshit with the truth, but stop. </t>
  </si>
  <si>
    <t>No you won’t I asked the pictured to be set by one and look still lol. You’re way right. Your disgusting keep me blocked faggot
Emma Ryan
On Sep 5, 2025, at 8:40 AM, Emma Ryan &lt;emma.ryan1995@outlo</t>
  </si>
  <si>
    <t>Yeah you go live your life, bud. Just either do it honestly and sober or do
it WITHOUT MY FUCKING DAUGHTER around you.
This message, including any attachments, is intended for the sole use of
the des</t>
  </si>
  <si>
    <t>its only friday darling.i know days of the week are hard when youre up for
3 sleep for 1 but soon enough Harper will be old enough to remind you .
This message, including any attachments, is intended</t>
  </si>
  <si>
    <t>No shit I have been since you left my life. SHES BOT YOUR DAUGHTER WHERE WERE YOU THE FIRST YEAR OF HER LIFE ? Whole abusing me while she was in my belly to spiting on me choking me out and taking her</t>
  </si>
  <si>
    <t>Harper can FaceTime at 9 if your available before nap. She’s pretty tired this morning. 
Emma Ryan</t>
  </si>
  <si>
    <t>If it would help you at all I will always come out and spend an hour or 5
minutes or 5 hours with her outside to give you a break or give you time
for whatever you need to do. I know it's hard but you</t>
  </si>
  <si>
    <t>I don’t fucking need you I needed you a year ago and you abandoned us. More important manipulated, blackmailed stole. I gave this option many many months ago you decided to walk back in tear me down a</t>
  </si>
  <si>
    <t>lol you are absolutely pathetic. grow up Emma you did this to yourself with
your fucking drug problem and your anger issues.
message, including any attachments, is intended for the sole use of the
des</t>
  </si>
  <si>
    <t>co parenting isnt pretending to reconcile with me sleep with me and other
guys at the same time while you lie to everyone in your household. fuck off
man fuck you i am absolutely done with your shit o</t>
  </si>
  <si>
    <t>lol.
Emma Ryan
On Sep 5, 2025, at 11:55 AM, CRAIG S &lt;placed.sj@gmail.com&gt; wrote:
﻿
co parenting isnt pretending to reconcile with me sleep with me and other guys at the same time while you lie</t>
  </si>
  <si>
    <t>You wouldn’t leave Craig. I couldn’t continue everyday like that. You would have killed Harper. I never slept with anyone when I was with you lol. Whatever helps ya sleep. LEAVE ME ALONE. You did this</t>
  </si>
  <si>
    <t>If you could actually put your feelings aside and be respectful coparenting would be no problem but instead you continue this bullshit.
Emma Ryan
On Sep 5, 2025, at 2:27 PM, Emma Ryan &lt;emma.ryan19</t>
  </si>
  <si>
    <t>CHANGE MY BANKING BACK NOW
Emma Ryan
On Sep 5, 2025, at 2:33 PM, Emma Ryan &lt;emma.ryan1995@outlook.com&gt; wrote:
﻿ If you could actually put your feelings aside and be respectful coparenting would</t>
  </si>
  <si>
    <t>you are fucked man. you have a condition that makes it so you
can't comprehend numbers, making passwords impossible for you, it is not me
emma. Please stop emailing me, every email is shared with a la</t>
  </si>
  <si>
    <t>Kk boss man. It will all come out. Dont worry my lawyers seen them all too. Just sad. I can comprehend numbers I’m not fucking stupid. We’ll see. Times ticking
Emma Ryan
On Sep 5, 2025, at 3:59 PM</t>
  </si>
  <si>
    <t>I hope your lawyers are quick to act, preparing a case with you would be
some infuriating when they see that you have done nothing but lie since
March 6th 2024 HAHAHAHAHAHA
This message, including an</t>
  </si>
  <si>
    <t>Imagine don’t understand even what I’m lying about Craig? lol. But whatever not worth it. Have a good day.
Emma Ryan
On Sep 5, 2025, at 7:11 PM, CRAIG S &lt;placed.sj@gmail.com&gt; wrote:
﻿
I hope y</t>
  </si>
  <si>
    <t>Like but I never before that? Lol I’ve been honest. I got off the dpe for our daughter like I begged you to. I have done nothing but better my life since I left you.
Emma Ryan
On Sep 6, 2025, at 7</t>
  </si>
  <si>
    <t>Cause the best part is if I actually had drugs and gave them to you like you asked none of this would have happened lol. You wouldn’t go for a walk and fought with me for two fucking hours me begging</t>
  </si>
  <si>
    <t>Hopefully you went to court
Emma Ryan
On Sep 6, 2025, at 7:56 AM, Emma Ryan &lt;emma.ryan1995@outlook.com&gt; wrote:
﻿ Cause the best part is if I actually had drugs and gave them to you like you ask</t>
  </si>
  <si>
    <t xml:space="preserve">And that is awesome Emma. I am so excited for Harper's future with two
healthy happy parents. Once she's allowed to have two parents in her life.
Because you don't ask anything of me, you just create </t>
  </si>
  <si>
    <t xml:space="preserve">you can let your mom know, this is all her fault, and what's done is done
with you, her, and the rest of you. But Harper isn't living with the
consequences of Nanny's actions, and yes, we do all know </t>
  </si>
  <si>
    <t>I want you to see Harper Craig that’s the fucking point. I want you to get better to get clean to be a part of her life like I e been telling you the last year.
I didn’t answer the template because I</t>
  </si>
  <si>
    <t>That’s what I have given her. You also promised I wouldn’t do it alone you also promised that wouldn’t be how we lived when we moved in there you also promised that you wouldn’t do half the shit you d</t>
  </si>
  <si>
    <t>LOL THE LIEs man. They do do that and that’s what the court order says.
Craig I want you to see Harper that’s where you’re wrong not to mention I’m not paranoid or nothing is in my head lol. Consider</t>
  </si>
  <si>
    <t>She’s allowed to have two parents now your choosing not to. Because it’s not your way. Your fucked
Emma Ryan
On Sep 6, 2025, at 9:28 AM, Emma Ryan &lt;emma.ryan1995@outlook.com&gt; wrote:
﻿ I want yo</t>
  </si>
  <si>
    <t xml:space="preserve">This is what you made up in your head to feel better about fucking Harper and myself rather then bare minimum
Emma Ryan
On Sep 6, 2025, at 9:35 AM, Emma Ryan &lt;emma.ryan1995@outlook.com&gt; wrote:
</t>
  </si>
  <si>
    <t>My mom hasn’t done shit lol
Emma Ryan
On Sep 6, 2025, at 9:35 AM, Emma Ryan &lt;emma.ryan1995@outlook.com&gt; wrote:
﻿ She’s allowed to have two parents now your choosing not to. Because it’s not you</t>
  </si>
  <si>
    <t>Instead you harass us when I’ve even the one solely providing for our daughter I don’t ask you to do anything because it’s always an issue the high chair you went gambling instead you asked to watch h</t>
  </si>
  <si>
    <t>All I begged you for the whole time she was in my belly happy healthy parents
Emma Ryan
On Sep 6, 2025, at 9:40 AM, Emma Ryan &lt;emma.ryan1995@outlook.com&gt; wrote:
﻿ Instead you harass us when I’v</t>
  </si>
  <si>
    <t>HARPER;</t>
  </si>
  <si>
    <t xml:space="preserve">Im putting her down for a nap if you wanted to 5 minutes of FaceTime. 
Emma Ryan
</t>
  </si>
  <si>
    <t>What needed to be done is done. I’m not scared I know what happened. I’m not “lying”.
Emma Ryan
On Sep 6, 2025, at 9:42 AM, Emma Ryan &lt;emma.ryan1995@outlook.com&gt; wrote:
﻿ All I begged you for t</t>
  </si>
  <si>
    <t>Re: HARPER;</t>
  </si>
  <si>
    <t xml:space="preserve">this means a lot, thank you for reaching out again seriously. i had to take
a technology break for my well being and the well being of others. its nice
being able to close the laptop and deal with my </t>
  </si>
  <si>
    <t>Harpee</t>
  </si>
  <si>
    <t xml:space="preserve">Ello
I'm off today if facetime or visit was in cards for us. Hope all's well
with you two
Cheers
Craig
</t>
  </si>
  <si>
    <t>Fw: Emma's affidavit</t>
  </si>
  <si>
    <t xml:space="preserve"> Is this what you were looking for?
   ----- Forwarded Message ----- From: K O &lt;placed.sj@gmail.com&gt;To: DALE CAMPBELL &lt;dale.campbell@rogers.com&gt;Sent: Monday, February 17, 2025 at 08:31:18 p.m. ASTSubj</t>
  </si>
  <si>
    <t>"Saint John Documents (NBLASC/CSAJNB)" &lt;SaintJohnDocuments@gnb.ca&gt;</t>
  </si>
  <si>
    <t>Craig Schulz re: HARPER RYAN FDSJ 739-24</t>
  </si>
  <si>
    <t xml:space="preserve">Subject: FDSJ‑739‑24 — Applicant’s filing attached; denial of abuse
allegations and urgent enforcement steps
Hello Legal Aid team,
Thank you for the steady, respectful support to date — it has been </t>
  </si>
  <si>
    <t>harpers well being</t>
  </si>
  <si>
    <t>Hello
Your phone has been off for a while. Just checking to see if Harper is
alive or are we just doing whatever the hell we please these days? Ill send
someone over to check in a few hours figured I</t>
  </si>
  <si>
    <t>court ordered sunday parenting time September 13th.</t>
  </si>
  <si>
    <t>Confirming that you are denying tomorrow's parenting time for the 15th
consecutive Sunday tomorrow at 8am.
Thanks
This message, including any attachments, is intended for the sole use of
the designa</t>
  </si>
  <si>
    <t>Thanks for keeping in touch Emma. I really appreciate it. Demands a
template and then says nah I will just ignore him all together.
Sorry I didn't file back in December like you wanted me to do, I kn</t>
  </si>
  <si>
    <t>Emma, spice up weeknight dinners with these fusion secrets</t>
  </si>
  <si>
    <t>Click below to view a web version of this email:
http://mail.shoppersvoice.ca/H/2/v60000019950092c88a4ca4c6e96189988/9fd9368f-6399-4fa1-9d68-090759b2c321/HTML------------------------------------
SHOPP</t>
  </si>
  <si>
    <t>Just going to pretend that I don't exist or that we have court orders or
joint custody at this point huh?
It is incredible how brave you are, and not the brave you post about on
facebook.
Anyway, wo</t>
  </si>
  <si>
    <t>I am sorry Harper, I know I promised I would be there for you. I can't
imagine how you feel like I abandoned you. I promise it wasn't because I
don't want you in my arms 24/7 sweetie. Our relationship</t>
  </si>
  <si>
    <t>Ill be popping in tomorrow, I'll Spend the day or however long it takes to
see that my baby is alive.
This message, including any attachments, is intended for the sole use of
the designated recipient</t>
  </si>
  <si>
    <t>They called us crazy
I promised you I would run through every door for you. Remember Harper?
Today I'm gonna walk through instead of going head first (you'll understand
later) I love you so much Harp</t>
  </si>
  <si>
    <t>How do I get an update on Harper!!!!</t>
  </si>
  <si>
    <t>Emma
What the hell is going on where is my daughter!!!!!!!!?????????????
This message, including any attachments, is intended for the sole use of
the designated recipient(s) and may contain confiden</t>
  </si>
  <si>
    <t>Harper Ryan</t>
  </si>
  <si>
    <t>Hello
I know the case is closed and all that fun stuff from my complaint probably
means you are not the person to contact about this, but Emma was arrested
and charged with assault on Tuesday regardi</t>
  </si>
  <si>
    <t>hey!</t>
  </si>
  <si>
    <t>not gonna bother asking, I am sure you have killed her by now, at least 
smoked enough drugs around her that she wont remember me and she certainly 
will need some time to get any personality back I a</t>
  </si>
  <si>
    <t>Trash,Drafts</t>
  </si>
  <si>
    <t>emma email 10-03-2025-1</t>
  </si>
  <si>
    <t>emma email 10-03-2025 -2</t>
  </si>
  <si>
    <t>You have an upcoming event
harper n dad
Saturday Jun 14, 2025 ⋅ 8:30am – 9am
Atlantic Time - Halifax
Join with Google Meet
https://meet.google.com/cpn-qipu-bjn?hs=224
Organizer
CRAI</t>
  </si>
  <si>
    <t>emma email 10-03-2025-3</t>
  </si>
  <si>
    <t>loser</t>
  </si>
  <si>
    <t xml:space="preserve">And conflict of interest of the year award goes to!!!!
EMMAAAAAAAAAAAA
With an unwavering conflict of interest of her daughter's best interest and
her relationship with her daddddd!
F'n idiot. 117 </t>
  </si>
  <si>
    <t xml:space="preserve">
This message, including any attachments, is intended for the sole use of 
the designated recipient(s) and may contain confidential and privileged 
information. Any unauthorized review, use, disclosu</t>
  </si>
  <si>
    <t>Drafts</t>
  </si>
  <si>
    <t>"craig schulz (via Google Drive)" &lt;drive-shares-dm-noreply@google.com&gt;</t>
  </si>
  <si>
    <t>Share request for "emmaspaperaffidavit"</t>
  </si>
  <si>
    <t>craig@paulroofs.com requests access to an item:
emmaspaperaffidavit
https://drive.google.com/drive/folders/1bhsc4pnCU-hsTxxkQ2Zk4wpMwQHnG4at?usp=sharing&amp;userstoinvite=craig@paulroofs.com&amp;sharingactio</t>
  </si>
  <si>
    <t>"FLIC-SaintJohn-CIDF (JPS/JSP)" &lt;FLIC-SaintJohn-CIDF@gnb.ca&gt;</t>
  </si>
  <si>
    <t>"em.ry@icloud.com" &lt;em.ry@icloud.com&gt;, "vroofnn@icloud.com"
	&lt;vroofnn@icloud.com&gt;, "lunacraigcep@gmail.com" &lt;lunacraigcep@gmail.com&gt;</t>
  </si>
  <si>
    <t>FDSJ-739-2024 - Ryan v Schulz</t>
  </si>
  <si>
    <t xml:space="preserve">
Good Morning,
Please see attached for the above noted file.
Kindly confirm reciept due to ongoing Postal strike.
Thank you,
Shianne French
Court Services -Service aux tribunaux
Family Division -</t>
  </si>
  <si>
    <t>Stacey C &lt;campbellstacey98@gmail.com&gt;</t>
  </si>
  <si>
    <t>Fwd: FDSJ-739-2024 - Ryan v Schulz</t>
  </si>
  <si>
    <t xml:space="preserve">This message, including any attachments, is intended for the sole use of
the designated recipient(s) and may contain confidential and privileged
information. Any unauthorized review, use, disclosure, </t>
  </si>
  <si>
    <t>how do i get an update on my daughter? This is not
ok.................................
This message, including any attachments, is intended for the sole use of
the designated recipient(s) and may con</t>
  </si>
  <si>
    <t>christopher.mcleod@nbpolice.ca</t>
  </si>
  <si>
    <t>Covering my ass - Harper Ryan - FDSJ 739-2024</t>
  </si>
  <si>
    <t xml:space="preserve">Hello sir
I called because I was asked if I wanted to see my daughter today, so of
course I said yes and went right away. I left there at 2:40pm. I was on my
way there when I called,  because of the </t>
  </si>
  <si>
    <t>harpee</t>
  </si>
  <si>
    <t>love you guys, today was so incredible.... what a perfect lady we have. 
This message, including any attachments, is intended for the sole use of 
the designated recipient(s) and may contain confiden</t>
  </si>
  <si>
    <t>Bryan Clark &lt;bryan@neon.tech&gt;</t>
  </si>
  <si>
    <t>Neon &lt;&gt; Feedback on onboarding</t>
  </si>
  <si>
    <t>Hi there,
My name is Bryan and I am the VP of Product at Neon ( https://neon.tech/?utm_campaign=Onboarding%20Welcome&amp;utm_source=email&amp;utm_medium=email&amp;_hsenc=p2ANqtz-9CSBnsYxa0RELG-yI9etylpOJFJA_1XpS</t>
  </si>
  <si>
    <t>how was Harper's week?
This message, including any attachments, is intended for the sole use of
the designated recipient(s) and may contain confidential and privileged
information. Any unauthorized 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</si>
</sst>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42468.48564814815</v>
      </c>
      <c r="B2" s="1" t="s">
        <v>7</v>
      </c>
      <c r="C2" s="1" t="s">
        <v>8</v>
      </c>
      <c r="D2" s="1" t="s">
        <v>9</v>
      </c>
      <c r="E2" s="1" t="s">
        <v>10</v>
      </c>
      <c r="F2" s="1" t="s">
        <v>11</v>
      </c>
      <c r="G2" s="1" t="s">
        <v>12</v>
      </c>
    </row>
    <row r="3">
      <c r="A3" s="2">
        <v>42469.25003472222</v>
      </c>
      <c r="B3" s="1" t="s">
        <v>7</v>
      </c>
      <c r="C3" s="1" t="s">
        <v>8</v>
      </c>
      <c r="D3" s="1" t="s">
        <v>13</v>
      </c>
      <c r="E3" s="1" t="s">
        <v>10</v>
      </c>
      <c r="F3" s="1" t="s">
        <v>11</v>
      </c>
      <c r="G3" s="1" t="s">
        <v>14</v>
      </c>
    </row>
    <row r="4">
      <c r="A4" s="2">
        <v>42470.25009259259</v>
      </c>
      <c r="B4" s="1" t="s">
        <v>7</v>
      </c>
      <c r="C4" s="1" t="s">
        <v>8</v>
      </c>
      <c r="D4" s="1" t="s">
        <v>15</v>
      </c>
      <c r="E4" s="1" t="s">
        <v>10</v>
      </c>
      <c r="F4" s="1" t="s">
        <v>11</v>
      </c>
      <c r="G4" s="1" t="s">
        <v>16</v>
      </c>
    </row>
    <row r="5">
      <c r="A5" s="2">
        <v>42475.25016203704</v>
      </c>
      <c r="B5" s="1" t="s">
        <v>7</v>
      </c>
      <c r="C5" s="1" t="s">
        <v>8</v>
      </c>
      <c r="D5" s="1" t="s">
        <v>17</v>
      </c>
      <c r="E5" s="1" t="s">
        <v>10</v>
      </c>
      <c r="F5" s="1" t="s">
        <v>11</v>
      </c>
      <c r="G5" s="1" t="s">
        <v>16</v>
      </c>
    </row>
    <row r="6">
      <c r="A6" s="2">
        <v>42491.25021990741</v>
      </c>
      <c r="B6" s="1" t="s">
        <v>7</v>
      </c>
      <c r="C6" s="1" t="s">
        <v>8</v>
      </c>
      <c r="D6" s="1" t="s">
        <v>18</v>
      </c>
      <c r="E6" s="1" t="s">
        <v>10</v>
      </c>
      <c r="F6" s="1" t="s">
        <v>11</v>
      </c>
      <c r="G6" s="1" t="s">
        <v>16</v>
      </c>
    </row>
    <row r="7">
      <c r="A7" s="2">
        <v>42508.25030092592</v>
      </c>
      <c r="B7" s="1" t="s">
        <v>7</v>
      </c>
      <c r="C7" s="1" t="s">
        <v>8</v>
      </c>
      <c r="D7" s="1" t="s">
        <v>19</v>
      </c>
      <c r="E7" s="1" t="s">
        <v>10</v>
      </c>
      <c r="F7" s="1" t="s">
        <v>11</v>
      </c>
      <c r="G7" s="1" t="s">
        <v>20</v>
      </c>
    </row>
    <row r="8">
      <c r="A8" s="2">
        <v>42583.45008101852</v>
      </c>
      <c r="B8" s="1" t="s">
        <v>21</v>
      </c>
      <c r="C8" s="1" t="s">
        <v>8</v>
      </c>
      <c r="D8" s="1" t="s">
        <v>22</v>
      </c>
      <c r="E8" s="1" t="s">
        <v>23</v>
      </c>
      <c r="F8" s="1" t="s">
        <v>11</v>
      </c>
      <c r="G8" s="1" t="s">
        <v>24</v>
      </c>
    </row>
    <row r="9">
      <c r="A9" s="2">
        <v>43261.882002314815</v>
      </c>
      <c r="B9" s="1" t="s">
        <v>25</v>
      </c>
      <c r="C9" s="1" t="s">
        <v>8</v>
      </c>
      <c r="D9" s="1" t="s">
        <v>26</v>
      </c>
      <c r="E9" s="1" t="s">
        <v>27</v>
      </c>
      <c r="F9" s="1" t="s">
        <v>11</v>
      </c>
      <c r="G9" s="1" t="s">
        <v>12</v>
      </c>
    </row>
    <row r="10">
      <c r="A10" s="2">
        <v>43261.96946759259</v>
      </c>
      <c r="B10" s="1" t="s">
        <v>25</v>
      </c>
      <c r="C10" s="1" t="s">
        <v>8</v>
      </c>
      <c r="D10" s="1" t="s">
        <v>28</v>
      </c>
      <c r="E10" s="1" t="s">
        <v>29</v>
      </c>
      <c r="F10" s="1" t="s">
        <v>11</v>
      </c>
      <c r="G10" s="1" t="s">
        <v>12</v>
      </c>
    </row>
    <row r="11">
      <c r="A11" s="2">
        <v>43261.973807870374</v>
      </c>
      <c r="B11" s="1" t="s">
        <v>25</v>
      </c>
      <c r="C11" s="1" t="s">
        <v>8</v>
      </c>
      <c r="D11" s="1" t="s">
        <v>28</v>
      </c>
      <c r="E11" s="1" t="s">
        <v>30</v>
      </c>
      <c r="F11" s="1" t="s">
        <v>11</v>
      </c>
      <c r="G11" s="1" t="s">
        <v>12</v>
      </c>
    </row>
    <row r="12">
      <c r="A12" s="2">
        <v>43261.97702546296</v>
      </c>
      <c r="B12" s="1" t="s">
        <v>25</v>
      </c>
      <c r="C12" s="1" t="s">
        <v>8</v>
      </c>
      <c r="D12" s="1" t="s">
        <v>28</v>
      </c>
      <c r="E12" s="1" t="s">
        <v>31</v>
      </c>
      <c r="F12" s="1" t="s">
        <v>11</v>
      </c>
      <c r="G12" s="1" t="s">
        <v>12</v>
      </c>
    </row>
    <row r="13">
      <c r="A13" s="2">
        <v>43262.64368055556</v>
      </c>
      <c r="B13" s="1" t="s">
        <v>25</v>
      </c>
      <c r="C13" s="1" t="s">
        <v>8</v>
      </c>
      <c r="D13" s="1" t="s">
        <v>28</v>
      </c>
      <c r="E13" s="1" t="s">
        <v>32</v>
      </c>
      <c r="F13" s="1" t="s">
        <v>11</v>
      </c>
      <c r="G13" s="1" t="s">
        <v>12</v>
      </c>
    </row>
    <row r="14">
      <c r="A14" s="2">
        <v>43262.64633101852</v>
      </c>
      <c r="B14" s="1" t="s">
        <v>25</v>
      </c>
      <c r="C14" s="1" t="s">
        <v>8</v>
      </c>
      <c r="D14" s="1" t="s">
        <v>28</v>
      </c>
      <c r="E14" s="1" t="s">
        <v>33</v>
      </c>
      <c r="F14" s="1" t="s">
        <v>11</v>
      </c>
      <c r="G14" s="1" t="s">
        <v>12</v>
      </c>
    </row>
    <row r="15">
      <c r="A15" s="2">
        <v>43262.64784722222</v>
      </c>
      <c r="B15" s="1" t="s">
        <v>25</v>
      </c>
      <c r="C15" s="1" t="s">
        <v>8</v>
      </c>
      <c r="D15" s="1" t="s">
        <v>28</v>
      </c>
      <c r="E15" s="1" t="s">
        <v>34</v>
      </c>
      <c r="F15" s="1" t="s">
        <v>11</v>
      </c>
      <c r="G15" s="1" t="s">
        <v>12</v>
      </c>
    </row>
    <row r="16">
      <c r="A16" s="2">
        <v>43262.64971064815</v>
      </c>
      <c r="B16" s="1" t="s">
        <v>25</v>
      </c>
      <c r="C16" s="1" t="s">
        <v>8</v>
      </c>
      <c r="D16" s="1" t="s">
        <v>28</v>
      </c>
      <c r="E16" s="1" t="s">
        <v>35</v>
      </c>
      <c r="F16" s="1" t="s">
        <v>11</v>
      </c>
      <c r="G16" s="1" t="s">
        <v>12</v>
      </c>
    </row>
    <row r="17">
      <c r="A17" s="2">
        <v>43262.65231481481</v>
      </c>
      <c r="B17" s="1" t="s">
        <v>25</v>
      </c>
      <c r="C17" s="1" t="s">
        <v>8</v>
      </c>
      <c r="D17" s="1" t="s">
        <v>28</v>
      </c>
      <c r="E17" s="1" t="s">
        <v>36</v>
      </c>
      <c r="F17" s="1" t="s">
        <v>11</v>
      </c>
      <c r="G17" s="1" t="s">
        <v>12</v>
      </c>
    </row>
    <row r="18">
      <c r="A18" s="2">
        <v>43262.65268518519</v>
      </c>
      <c r="B18" s="1" t="s">
        <v>25</v>
      </c>
      <c r="C18" s="1" t="s">
        <v>8</v>
      </c>
      <c r="D18" s="1" t="s">
        <v>28</v>
      </c>
      <c r="E18" s="1" t="s">
        <v>37</v>
      </c>
      <c r="F18" s="1" t="s">
        <v>11</v>
      </c>
      <c r="G18" s="1" t="s">
        <v>12</v>
      </c>
    </row>
    <row r="19">
      <c r="A19" s="2">
        <v>43262.65835648148</v>
      </c>
      <c r="B19" s="1" t="s">
        <v>25</v>
      </c>
      <c r="C19" s="1" t="s">
        <v>8</v>
      </c>
      <c r="D19" s="1" t="s">
        <v>28</v>
      </c>
      <c r="E19" s="1" t="s">
        <v>38</v>
      </c>
      <c r="F19" s="1" t="s">
        <v>11</v>
      </c>
      <c r="G19" s="1" t="s">
        <v>12</v>
      </c>
    </row>
    <row r="20">
      <c r="A20" s="2">
        <v>43262.80849537037</v>
      </c>
      <c r="B20" s="1" t="s">
        <v>25</v>
      </c>
      <c r="C20" s="1" t="s">
        <v>8</v>
      </c>
      <c r="D20" s="1" t="s">
        <v>28</v>
      </c>
      <c r="E20" s="1" t="s">
        <v>39</v>
      </c>
      <c r="F20" s="1" t="s">
        <v>11</v>
      </c>
      <c r="G20" s="1" t="s">
        <v>12</v>
      </c>
    </row>
    <row r="21">
      <c r="A21" s="2">
        <v>43262.809745370374</v>
      </c>
      <c r="B21" s="1" t="s">
        <v>25</v>
      </c>
      <c r="C21" s="1" t="s">
        <v>8</v>
      </c>
      <c r="D21" s="1" t="s">
        <v>28</v>
      </c>
      <c r="E21" s="1" t="s">
        <v>40</v>
      </c>
      <c r="F21" s="1" t="s">
        <v>11</v>
      </c>
      <c r="G21" s="1" t="s">
        <v>12</v>
      </c>
    </row>
    <row r="22">
      <c r="A22" s="2">
        <v>43262.8109375</v>
      </c>
      <c r="B22" s="1" t="s">
        <v>25</v>
      </c>
      <c r="C22" s="1" t="s">
        <v>8</v>
      </c>
      <c r="D22" s="1" t="s">
        <v>28</v>
      </c>
      <c r="E22" s="1" t="s">
        <v>41</v>
      </c>
      <c r="F22" s="1" t="s">
        <v>11</v>
      </c>
      <c r="G22" s="1" t="s">
        <v>12</v>
      </c>
    </row>
    <row r="23">
      <c r="A23" s="2">
        <v>43262.81872685185</v>
      </c>
      <c r="B23" s="1" t="s">
        <v>25</v>
      </c>
      <c r="C23" s="1" t="s">
        <v>8</v>
      </c>
      <c r="D23" s="1" t="s">
        <v>28</v>
      </c>
      <c r="E23" s="1" t="s">
        <v>42</v>
      </c>
      <c r="F23" s="1" t="s">
        <v>11</v>
      </c>
      <c r="G23" s="1" t="s">
        <v>12</v>
      </c>
    </row>
    <row r="24">
      <c r="A24" s="2">
        <v>43262.81884259259</v>
      </c>
      <c r="B24" s="1" t="s">
        <v>25</v>
      </c>
      <c r="C24" s="1" t="s">
        <v>8</v>
      </c>
      <c r="D24" s="1" t="s">
        <v>28</v>
      </c>
      <c r="E24" s="1" t="s">
        <v>43</v>
      </c>
      <c r="F24" s="1" t="s">
        <v>11</v>
      </c>
      <c r="G24" s="1" t="s">
        <v>12</v>
      </c>
    </row>
    <row r="25">
      <c r="A25" s="2">
        <v>43262.82846064815</v>
      </c>
      <c r="B25" s="1" t="s">
        <v>25</v>
      </c>
      <c r="C25" s="1" t="s">
        <v>8</v>
      </c>
      <c r="D25" s="1" t="s">
        <v>28</v>
      </c>
      <c r="E25" s="1" t="s">
        <v>44</v>
      </c>
      <c r="F25" s="1" t="s">
        <v>11</v>
      </c>
      <c r="G25" s="1" t="s">
        <v>12</v>
      </c>
    </row>
    <row r="26">
      <c r="A26" s="2">
        <v>43262.82890046296</v>
      </c>
      <c r="B26" s="1" t="s">
        <v>25</v>
      </c>
      <c r="C26" s="1" t="s">
        <v>8</v>
      </c>
      <c r="D26" s="1" t="s">
        <v>28</v>
      </c>
      <c r="E26" s="1" t="s">
        <v>45</v>
      </c>
      <c r="F26" s="1" t="s">
        <v>11</v>
      </c>
      <c r="G26" s="1" t="s">
        <v>12</v>
      </c>
    </row>
    <row r="27">
      <c r="A27" s="2">
        <v>43650.63353009259</v>
      </c>
      <c r="B27" s="1" t="s">
        <v>46</v>
      </c>
      <c r="C27" s="1" t="s">
        <v>8</v>
      </c>
      <c r="D27" s="1" t="s">
        <v>47</v>
      </c>
      <c r="E27" s="1" t="s">
        <v>48</v>
      </c>
      <c r="F27" s="1" t="s">
        <v>11</v>
      </c>
      <c r="G27" s="1" t="s">
        <v>16</v>
      </c>
    </row>
    <row r="28">
      <c r="A28" s="2">
        <v>44751.15903935185</v>
      </c>
      <c r="B28" s="1" t="s">
        <v>49</v>
      </c>
      <c r="C28" s="1" t="s">
        <v>50</v>
      </c>
      <c r="D28" s="1" t="s">
        <v>51</v>
      </c>
      <c r="E28" s="3" t="str">
        <f>=======================================
View Notifications
https://www.facebook.com/n/?notifications%2F&amp;aref=1657363739992571&amp;medium=email&amp;mid=5e35cc7665f29G5b04b09eca95G5e35d10fc61fbG32b&amp;bcode=2.165</f>
        <v>#ERROR!</v>
      </c>
      <c r="F28" s="1" t="s">
        <v>11</v>
      </c>
      <c r="G28" s="1" t="s">
        <v>52</v>
      </c>
    </row>
    <row r="29">
      <c r="A29" s="2">
        <v>44751.19274305556</v>
      </c>
      <c r="B29" s="1" t="s">
        <v>49</v>
      </c>
      <c r="C29" s="1" t="s">
        <v>50</v>
      </c>
      <c r="D29" s="1" t="s">
        <v>53</v>
      </c>
      <c r="E29" s="3" t="str">
        <f>=======================================
View Notifications
https://www.facebook.com/n/?notifications%2F&amp;aref=1657366652798950&amp;medium=email&amp;mid=5e35d75044514G5b04b09eca95G5e35dbe9a47e6G32b&amp;bcode=2.165</f>
        <v>#ERROR!</v>
      </c>
      <c r="F29" s="1" t="s">
        <v>11</v>
      </c>
      <c r="G29" s="1" t="s">
        <v>52</v>
      </c>
    </row>
    <row r="30">
      <c r="A30" s="2">
        <v>44751.251759259256</v>
      </c>
      <c r="B30" s="1" t="s">
        <v>49</v>
      </c>
      <c r="C30" s="1" t="s">
        <v>50</v>
      </c>
      <c r="D30" s="1" t="s">
        <v>53</v>
      </c>
      <c r="E30" s="3" t="str">
        <f>=======================================
View Notifications
https://www.facebook.com/n/?notifications%2F&amp;aref=1657371751386361&amp;medium=email&amp;mid=5e35ea4ea8a27G5b04b09eca95G5e35eee808cf9G32b&amp;bcode=2.165</f>
        <v>#ERROR!</v>
      </c>
      <c r="F30" s="1" t="s">
        <v>11</v>
      </c>
      <c r="G30" s="1" t="s">
        <v>52</v>
      </c>
    </row>
    <row r="31">
      <c r="A31" s="2">
        <v>44844.57755787037</v>
      </c>
      <c r="B31" s="1" t="s">
        <v>54</v>
      </c>
      <c r="C31" s="1" t="s">
        <v>8</v>
      </c>
      <c r="D31" s="1" t="s">
        <v>55</v>
      </c>
      <c r="E31" s="1" t="s">
        <v>56</v>
      </c>
      <c r="F31" s="1" t="s">
        <v>11</v>
      </c>
      <c r="G31" s="1" t="s">
        <v>52</v>
      </c>
    </row>
    <row r="32">
      <c r="A32" s="2">
        <v>45072.625393518516</v>
      </c>
      <c r="B32" s="1" t="s">
        <v>57</v>
      </c>
      <c r="C32" s="1" t="s">
        <v>58</v>
      </c>
      <c r="D32" s="1" t="s">
        <v>59</v>
      </c>
      <c r="E32" s="1" t="s">
        <v>60</v>
      </c>
      <c r="F32" s="1" t="s">
        <v>11</v>
      </c>
      <c r="G32" s="1" t="s">
        <v>16</v>
      </c>
    </row>
    <row r="33">
      <c r="A33" s="2">
        <v>45073.62534722222</v>
      </c>
      <c r="B33" s="1" t="s">
        <v>57</v>
      </c>
      <c r="C33" s="1" t="s">
        <v>58</v>
      </c>
      <c r="D33" s="3" t="str">
        <f>?UTF-8?Q?Saturday_Extra_-_Grab_your_=F0=9F=92=B2150_=F0=9F=86=93_CHIP?=</f>
        <v>#ERROR!</v>
      </c>
      <c r="E33" s="1" t="s">
        <v>61</v>
      </c>
      <c r="F33" s="1" t="s">
        <v>11</v>
      </c>
      <c r="G33" s="1" t="s">
        <v>16</v>
      </c>
    </row>
    <row r="34">
      <c r="A34" s="2">
        <v>45077.625497685185</v>
      </c>
      <c r="B34" s="1" t="s">
        <v>57</v>
      </c>
      <c r="C34" s="1" t="s">
        <v>58</v>
      </c>
      <c r="D34" s="3" t="str">
        <f>?UTF-8?Q?Bitcoins_are_here_to_sta?= =?UTF-8?Q?y_grab_your_=F0=9F=92=B2150_=F0=9F=86=93Chip?=</f>
        <v>#ERROR!</v>
      </c>
      <c r="E34" s="1" t="s">
        <v>62</v>
      </c>
      <c r="F34" s="1" t="s">
        <v>11</v>
      </c>
      <c r="G34" s="1" t="s">
        <v>16</v>
      </c>
    </row>
    <row r="35">
      <c r="A35" s="2">
        <v>45079.625231481485</v>
      </c>
      <c r="B35" s="1" t="s">
        <v>57</v>
      </c>
      <c r="C35" s="1" t="s">
        <v>58</v>
      </c>
      <c r="D35" s="3" t="str">
        <f>?UTF-8?Q?Try_Bitcoin_today_and_get_a_=F0=9F=92=B2150_=F0=9F=86=93_CHIP?=</f>
        <v>#ERROR!</v>
      </c>
      <c r="E35" s="1" t="s">
        <v>63</v>
      </c>
      <c r="F35" s="1" t="s">
        <v>11</v>
      </c>
      <c r="G35" s="1" t="s">
        <v>16</v>
      </c>
    </row>
    <row r="36">
      <c r="A36" s="2">
        <v>45091.625243055554</v>
      </c>
      <c r="B36" s="1" t="s">
        <v>57</v>
      </c>
      <c r="C36" s="1" t="s">
        <v>58</v>
      </c>
      <c r="D36" s="3" t="str">
        <f>?UTF-8?Q?Happy_Father=E2=80=99s_Day!_G?= =?UTF-8?Q?rab_this_=F0=9F=92=B2100_=F0=9F=86=93Chip?=</f>
        <v>#ERROR!</v>
      </c>
      <c r="E36" s="1" t="s">
        <v>64</v>
      </c>
      <c r="F36" s="1" t="s">
        <v>11</v>
      </c>
      <c r="G36" s="1" t="s">
        <v>16</v>
      </c>
    </row>
    <row r="37">
      <c r="A37" s="2">
        <v>45101.62513888889</v>
      </c>
      <c r="B37" s="1" t="s">
        <v>57</v>
      </c>
      <c r="C37" s="1" t="s">
        <v>58</v>
      </c>
      <c r="D37" s="1" t="s">
        <v>65</v>
      </c>
      <c r="E37" s="1" t="s">
        <v>66</v>
      </c>
      <c r="F37" s="1" t="s">
        <v>11</v>
      </c>
      <c r="G37" s="1" t="s">
        <v>16</v>
      </c>
    </row>
    <row r="38">
      <c r="A38" s="2">
        <v>45107.625289351854</v>
      </c>
      <c r="B38" s="1" t="s">
        <v>57</v>
      </c>
      <c r="C38" s="1" t="s">
        <v>58</v>
      </c>
      <c r="D38" s="3" t="str">
        <f>?UTF-8?Q?A_=F0=9F=92=B2150Chip_will_be_yours_=F0=9F=92=B3_MasterCard?=</f>
        <v>#ERROR!</v>
      </c>
      <c r="E38" s="1" t="s">
        <v>67</v>
      </c>
      <c r="F38" s="1" t="s">
        <v>11</v>
      </c>
      <c r="G38" s="1" t="s">
        <v>16</v>
      </c>
    </row>
    <row r="39">
      <c r="A39" s="2">
        <v>45110.62534722222</v>
      </c>
      <c r="B39" s="1" t="s">
        <v>57</v>
      </c>
      <c r="C39" s="1" t="s">
        <v>58</v>
      </c>
      <c r="D39" s="3" t="str">
        <f>?UTF-8?Q?=F0=9F=92=B2150_Only_for_Mastercard_Holders=F0=9F=92=B3?=</f>
        <v>#ERROR!</v>
      </c>
      <c r="E39" s="1" t="s">
        <v>68</v>
      </c>
      <c r="F39" s="1" t="s">
        <v>11</v>
      </c>
      <c r="G39" s="1" t="s">
        <v>16</v>
      </c>
    </row>
    <row r="40">
      <c r="A40" s="2">
        <v>45134.62611111111</v>
      </c>
      <c r="B40" s="1" t="s">
        <v>57</v>
      </c>
      <c r="C40" s="1" t="s">
        <v>58</v>
      </c>
      <c r="D40" s="1" t="s">
        <v>69</v>
      </c>
      <c r="E40" s="1" t="s">
        <v>70</v>
      </c>
      <c r="F40" s="1" t="s">
        <v>11</v>
      </c>
      <c r="G40" s="1" t="s">
        <v>16</v>
      </c>
    </row>
    <row r="41">
      <c r="A41" s="2">
        <v>45135.62517361111</v>
      </c>
      <c r="B41" s="1" t="s">
        <v>57</v>
      </c>
      <c r="C41" s="1" t="s">
        <v>58</v>
      </c>
      <c r="D41" s="1" t="s">
        <v>71</v>
      </c>
      <c r="E41" s="1" t="s">
        <v>72</v>
      </c>
      <c r="F41" s="1" t="s">
        <v>11</v>
      </c>
      <c r="G41" s="1" t="s">
        <v>16</v>
      </c>
    </row>
    <row r="42">
      <c r="A42" s="2">
        <v>45141.62516203704</v>
      </c>
      <c r="B42" s="1" t="s">
        <v>57</v>
      </c>
      <c r="C42" s="1" t="s">
        <v>58</v>
      </c>
      <c r="D42" s="1" t="s">
        <v>73</v>
      </c>
      <c r="E42" s="1" t="s">
        <v>74</v>
      </c>
      <c r="F42" s="1" t="s">
        <v>11</v>
      </c>
      <c r="G42" s="1" t="s">
        <v>16</v>
      </c>
    </row>
    <row r="43">
      <c r="A43" s="2">
        <v>45142.62534722222</v>
      </c>
      <c r="B43" s="1" t="s">
        <v>57</v>
      </c>
      <c r="C43" s="1" t="s">
        <v>58</v>
      </c>
      <c r="D43" s="1" t="s">
        <v>71</v>
      </c>
      <c r="E43" s="1" t="s">
        <v>75</v>
      </c>
      <c r="F43" s="1" t="s">
        <v>11</v>
      </c>
      <c r="G43" s="1" t="s">
        <v>16</v>
      </c>
    </row>
    <row r="44">
      <c r="A44" s="2">
        <v>45146.62537037037</v>
      </c>
      <c r="B44" s="1" t="s">
        <v>57</v>
      </c>
      <c r="C44" s="1" t="s">
        <v>58</v>
      </c>
      <c r="D44" s="3" t="str">
        <f>?UTF-8?Q?Craig,_500%_Promo_Only_for_Mastercard_Holders=F0=9F=92=B3?=</f>
        <v>#ERROR!</v>
      </c>
      <c r="E44" s="1" t="s">
        <v>76</v>
      </c>
      <c r="F44" s="1" t="s">
        <v>11</v>
      </c>
      <c r="G44" s="1" t="s">
        <v>16</v>
      </c>
    </row>
    <row r="45">
      <c r="A45" s="2">
        <v>45148.625231481485</v>
      </c>
      <c r="B45" s="1" t="s">
        <v>57</v>
      </c>
      <c r="C45" s="1" t="s">
        <v>58</v>
      </c>
      <c r="D45" s="1" t="s">
        <v>77</v>
      </c>
      <c r="E45" s="1" t="s">
        <v>78</v>
      </c>
      <c r="F45" s="1" t="s">
        <v>11</v>
      </c>
      <c r="G45" s="1" t="s">
        <v>16</v>
      </c>
    </row>
    <row r="46">
      <c r="A46" s="2">
        <v>45149.62547453704</v>
      </c>
      <c r="B46" s="1" t="s">
        <v>57</v>
      </c>
      <c r="C46" s="1" t="s">
        <v>58</v>
      </c>
      <c r="D46" s="1" t="s">
        <v>71</v>
      </c>
      <c r="E46" s="1" t="s">
        <v>79</v>
      </c>
      <c r="F46" s="1" t="s">
        <v>11</v>
      </c>
      <c r="G46" s="1" t="s">
        <v>16</v>
      </c>
    </row>
    <row r="47">
      <c r="A47" s="2">
        <v>45150.62552083333</v>
      </c>
      <c r="B47" s="1" t="s">
        <v>57</v>
      </c>
      <c r="C47" s="1" t="s">
        <v>58</v>
      </c>
      <c r="D47" s="3" t="str">
        <f>?UTF-8?Q?Craig,_500%_Promo_Only_for_Mastercard_Holders=F0=9F=92=B3?=</f>
        <v>#ERROR!</v>
      </c>
      <c r="E47" s="1" t="s">
        <v>80</v>
      </c>
      <c r="F47" s="1" t="s">
        <v>11</v>
      </c>
      <c r="G47" s="1" t="s">
        <v>16</v>
      </c>
    </row>
    <row r="48">
      <c r="A48" s="2">
        <v>45154.62547453704</v>
      </c>
      <c r="B48" s="1" t="s">
        <v>57</v>
      </c>
      <c r="C48" s="1" t="s">
        <v>58</v>
      </c>
      <c r="D48" s="1" t="s">
        <v>81</v>
      </c>
      <c r="E48" s="1" t="s">
        <v>82</v>
      </c>
      <c r="F48" s="1" t="s">
        <v>11</v>
      </c>
      <c r="G48" s="1" t="s">
        <v>16</v>
      </c>
    </row>
    <row r="49">
      <c r="A49" s="2">
        <v>45156.62582175926</v>
      </c>
      <c r="B49" s="1" t="s">
        <v>57</v>
      </c>
      <c r="C49" s="1" t="s">
        <v>58</v>
      </c>
      <c r="D49" s="1" t="s">
        <v>83</v>
      </c>
      <c r="E49" s="1" t="s">
        <v>84</v>
      </c>
      <c r="F49" s="1" t="s">
        <v>11</v>
      </c>
      <c r="G49" s="1" t="s">
        <v>16</v>
      </c>
    </row>
    <row r="50">
      <c r="A50" s="2">
        <v>45160.62530092592</v>
      </c>
      <c r="B50" s="1" t="s">
        <v>57</v>
      </c>
      <c r="C50" s="1" t="s">
        <v>58</v>
      </c>
      <c r="D50" s="1" t="s">
        <v>85</v>
      </c>
      <c r="E50" s="1" t="s">
        <v>86</v>
      </c>
      <c r="F50" s="1" t="s">
        <v>11</v>
      </c>
      <c r="G50" s="1" t="s">
        <v>16</v>
      </c>
    </row>
    <row r="51">
      <c r="A51" s="2">
        <v>45162.62550925926</v>
      </c>
      <c r="B51" s="1" t="s">
        <v>57</v>
      </c>
      <c r="C51" s="1" t="s">
        <v>58</v>
      </c>
      <c r="D51" s="1" t="s">
        <v>87</v>
      </c>
      <c r="E51" s="1" t="s">
        <v>88</v>
      </c>
      <c r="F51" s="1" t="s">
        <v>11</v>
      </c>
      <c r="G51" s="1" t="s">
        <v>16</v>
      </c>
    </row>
    <row r="52">
      <c r="A52" s="2">
        <v>45164.625393518516</v>
      </c>
      <c r="B52" s="1" t="s">
        <v>57</v>
      </c>
      <c r="C52" s="1" t="s">
        <v>58</v>
      </c>
      <c r="D52" s="3" t="str">
        <f>?UTF-8?Q?Craig,_275%_Promo_Only_for_Mastercard_Holders=F0=9F=92=B3?=</f>
        <v>#ERROR!</v>
      </c>
      <c r="E52" s="1" t="s">
        <v>89</v>
      </c>
      <c r="F52" s="1" t="s">
        <v>11</v>
      </c>
      <c r="G52" s="1" t="s">
        <v>16</v>
      </c>
    </row>
    <row r="53">
      <c r="A53" s="2">
        <v>45167.62532407408</v>
      </c>
      <c r="B53" s="1" t="s">
        <v>57</v>
      </c>
      <c r="C53" s="1" t="s">
        <v>58</v>
      </c>
      <c r="D53" s="1" t="s">
        <v>90</v>
      </c>
      <c r="E53" s="1" t="s">
        <v>91</v>
      </c>
      <c r="F53" s="1" t="s">
        <v>11</v>
      </c>
      <c r="G53" s="1" t="s">
        <v>16</v>
      </c>
    </row>
    <row r="54">
      <c r="A54" s="2">
        <v>45169.62532407408</v>
      </c>
      <c r="B54" s="1" t="s">
        <v>57</v>
      </c>
      <c r="C54" s="1" t="s">
        <v>58</v>
      </c>
      <c r="D54" s="1" t="s">
        <v>92</v>
      </c>
      <c r="E54" s="1" t="s">
        <v>93</v>
      </c>
      <c r="F54" s="1" t="s">
        <v>11</v>
      </c>
      <c r="G54" s="1" t="s">
        <v>16</v>
      </c>
    </row>
    <row r="55">
      <c r="A55" s="2">
        <v>45173.625393518516</v>
      </c>
      <c r="B55" s="1" t="s">
        <v>57</v>
      </c>
      <c r="C55" s="1" t="s">
        <v>58</v>
      </c>
      <c r="D55" s="3" t="str">
        <f>?UTF-8?Q?Craig,_Labor_Day_Celebration=E2=AD=90=EF=B8=8F_300%_Promo?=</f>
        <v>#ERROR!</v>
      </c>
      <c r="E55" s="1" t="s">
        <v>94</v>
      </c>
      <c r="F55" s="1" t="s">
        <v>11</v>
      </c>
      <c r="G55" s="1" t="s">
        <v>16</v>
      </c>
    </row>
    <row r="56">
      <c r="A56" s="2">
        <v>45175.625393518516</v>
      </c>
      <c r="B56" s="1" t="s">
        <v>57</v>
      </c>
      <c r="C56" s="1" t="s">
        <v>58</v>
      </c>
      <c r="D56" s="1" t="s">
        <v>81</v>
      </c>
      <c r="E56" s="1" t="s">
        <v>95</v>
      </c>
      <c r="F56" s="1" t="s">
        <v>11</v>
      </c>
      <c r="G56" s="1" t="s">
        <v>16</v>
      </c>
    </row>
    <row r="57">
      <c r="A57" s="2">
        <v>45180.625625</v>
      </c>
      <c r="B57" s="1" t="s">
        <v>57</v>
      </c>
      <c r="C57" s="1" t="s">
        <v>58</v>
      </c>
      <c r="D57" s="1" t="s">
        <v>96</v>
      </c>
      <c r="E57" s="1" t="s">
        <v>97</v>
      </c>
      <c r="F57" s="1" t="s">
        <v>11</v>
      </c>
      <c r="G57" s="1" t="s">
        <v>16</v>
      </c>
    </row>
    <row r="58">
      <c r="A58" s="2">
        <v>45184.625613425924</v>
      </c>
      <c r="B58" s="1" t="s">
        <v>57</v>
      </c>
      <c r="C58" s="1" t="s">
        <v>58</v>
      </c>
      <c r="D58" s="1" t="s">
        <v>98</v>
      </c>
      <c r="E58" s="1" t="s">
        <v>99</v>
      </c>
      <c r="F58" s="1" t="s">
        <v>11</v>
      </c>
      <c r="G58" s="1" t="s">
        <v>16</v>
      </c>
    </row>
    <row r="59">
      <c r="A59" s="2">
        <v>45190.62530092592</v>
      </c>
      <c r="B59" s="1" t="s">
        <v>57</v>
      </c>
      <c r="C59" s="1" t="s">
        <v>58</v>
      </c>
      <c r="D59" s="1" t="s">
        <v>100</v>
      </c>
      <c r="E59" s="1" t="s">
        <v>101</v>
      </c>
      <c r="F59" s="1" t="s">
        <v>11</v>
      </c>
      <c r="G59" s="1" t="s">
        <v>16</v>
      </c>
    </row>
    <row r="60">
      <c r="A60" s="2">
        <v>45191.62520833333</v>
      </c>
      <c r="B60" s="1" t="s">
        <v>57</v>
      </c>
      <c r="C60" s="1" t="s">
        <v>58</v>
      </c>
      <c r="D60" s="1" t="s">
        <v>96</v>
      </c>
      <c r="E60" s="1" t="s">
        <v>102</v>
      </c>
      <c r="F60" s="1" t="s">
        <v>11</v>
      </c>
      <c r="G60" s="1" t="s">
        <v>16</v>
      </c>
    </row>
    <row r="61">
      <c r="A61" s="2">
        <v>45192.625243055554</v>
      </c>
      <c r="B61" s="1" t="s">
        <v>57</v>
      </c>
      <c r="C61" s="1" t="s">
        <v>58</v>
      </c>
      <c r="D61" s="3" t="str">
        <f>?UTF-8?Q?Craig,_A_275%_Promo_will_be_yours_=F0=9F=92=B3_MasterCard?=</f>
        <v>#ERROR!</v>
      </c>
      <c r="E61" s="1" t="s">
        <v>103</v>
      </c>
      <c r="F61" s="1" t="s">
        <v>11</v>
      </c>
      <c r="G61" s="1" t="s">
        <v>16</v>
      </c>
    </row>
    <row r="62">
      <c r="A62" s="2">
        <v>45195.62542824074</v>
      </c>
      <c r="B62" s="1" t="s">
        <v>57</v>
      </c>
      <c r="C62" s="1" t="s">
        <v>58</v>
      </c>
      <c r="D62" s="3" t="str">
        <f>?UTF-8?Q?Craig,_=F0=9F=92=B3Have_a_Mastercard=3F_Read_this_-_275%_Promo?=</f>
        <v>#ERROR!</v>
      </c>
      <c r="E62" s="1" t="s">
        <v>104</v>
      </c>
      <c r="F62" s="1" t="s">
        <v>11</v>
      </c>
      <c r="G62" s="1" t="s">
        <v>16</v>
      </c>
    </row>
    <row r="63">
      <c r="A63" s="2">
        <v>45197.625393518516</v>
      </c>
      <c r="B63" s="1" t="s">
        <v>57</v>
      </c>
      <c r="C63" s="1" t="s">
        <v>58</v>
      </c>
      <c r="D63" s="3" t="str">
        <f>?UTF-8?Q?Craig,_=F0=9F=92=B0Bitcoin_is_safe_Try_it_now_-_450%_Bonus?=</f>
        <v>#ERROR!</v>
      </c>
      <c r="E63" s="1" t="s">
        <v>105</v>
      </c>
      <c r="F63" s="1" t="s">
        <v>11</v>
      </c>
      <c r="G63" s="1" t="s">
        <v>16</v>
      </c>
    </row>
    <row r="64">
      <c r="A64" s="2">
        <v>45200.625659722224</v>
      </c>
      <c r="B64" s="1" t="s">
        <v>57</v>
      </c>
      <c r="C64" s="1" t="s">
        <v>58</v>
      </c>
      <c r="D64" s="3" t="str">
        <f>?UTF-8?Q?=F0=9F=92=B0Time_to_Get_Your_450%_?= =?UTF-8?Q?Bitcoin_Deposit_Bonus..=F0=9F=8E=81?=</f>
        <v>#ERROR!</v>
      </c>
      <c r="E64" s="1" t="s">
        <v>106</v>
      </c>
      <c r="F64" s="1" t="s">
        <v>11</v>
      </c>
      <c r="G64" s="1" t="s">
        <v>16</v>
      </c>
    </row>
    <row r="65">
      <c r="A65" s="2">
        <v>45201.62532407408</v>
      </c>
      <c r="B65" s="1" t="s">
        <v>57</v>
      </c>
      <c r="C65" s="1" t="s">
        <v>58</v>
      </c>
      <c r="D65" s="3" t="str">
        <f>?UTF-8?Q?=F0=9F=92=B0Bitcoin_is_safe_Try_it_now_-_450%Bonus=F0=9F=8E=81?=</f>
        <v>#ERROR!</v>
      </c>
      <c r="E65" s="1" t="s">
        <v>107</v>
      </c>
      <c r="F65" s="1" t="s">
        <v>11</v>
      </c>
      <c r="G65" s="1" t="s">
        <v>16</v>
      </c>
    </row>
    <row r="66">
      <c r="A66" s="2">
        <v>45206.626238425924</v>
      </c>
      <c r="B66" s="1" t="s">
        <v>57</v>
      </c>
      <c r="C66" s="1" t="s">
        <v>58</v>
      </c>
      <c r="D66" s="3" t="str">
        <f>?UTF-8?Q?Looking_for_Fun=3F_We_have_a_2?= =?UTF-8?Q?50%_Bitcoin_Deposit_Bonus..=F0=9F=92=B0?=</f>
        <v>#ERROR!</v>
      </c>
      <c r="E66" s="1" t="s">
        <v>108</v>
      </c>
      <c r="F66" s="1" t="s">
        <v>11</v>
      </c>
      <c r="G66" s="1" t="s">
        <v>16</v>
      </c>
    </row>
    <row r="67">
      <c r="A67" s="2">
        <v>45207.62616898148</v>
      </c>
      <c r="B67" s="1" t="s">
        <v>57</v>
      </c>
      <c r="C67" s="1" t="s">
        <v>58</v>
      </c>
      <c r="D67" s="3" t="str">
        <f>?UTF-8?Q?=F0=9F=92=B0Time_to_Get_Your_250%_?= =?UTF-8?Q?Bitcoin_Deposit_Bonus..=F0=9F=8E=81?=</f>
        <v>#ERROR!</v>
      </c>
      <c r="E67" s="1" t="s">
        <v>109</v>
      </c>
      <c r="F67" s="1" t="s">
        <v>11</v>
      </c>
      <c r="G67" s="1" t="s">
        <v>16</v>
      </c>
    </row>
    <row r="68">
      <c r="A68" s="2">
        <v>45208.62546296296</v>
      </c>
      <c r="B68" s="1" t="s">
        <v>57</v>
      </c>
      <c r="C68" s="1" t="s">
        <v>58</v>
      </c>
      <c r="D68" s="3" t="str">
        <f>?UTF-8?Q?=F0=9F=92=B0Bitcoin_is_the_safest_way_to?= =?UTF-8?Q?_deposit_-_grab_this_250%_Promo?=</f>
        <v>#ERROR!</v>
      </c>
      <c r="E68" s="1" t="s">
        <v>110</v>
      </c>
      <c r="F68" s="1" t="s">
        <v>11</v>
      </c>
      <c r="G68" s="1" t="s">
        <v>16</v>
      </c>
    </row>
    <row r="69">
      <c r="A69" s="2">
        <v>45291.04126157407</v>
      </c>
      <c r="B69" s="1" t="s">
        <v>111</v>
      </c>
      <c r="C69" s="1" t="s">
        <v>50</v>
      </c>
      <c r="D69" s="3" t="str">
        <f>?UTF-8?B?RW1tYSBFbGl6YWJldGgg?=
 =?UTF-8?B?c2VudCBhIG1lc3NhZ2Ug?=
 =?UTF-8?B?dG8gdGhlIGdyb3VwIGNv?=
 =?UTF-8?B?bnZlcnNhdGlvbiAiRW1t?=
 =?UTF-8?B?YSDCtyBCZWx2ZWRlcmUgMw==?=
 =?UTF-8?B?ODAwIHBvcmNlbGFpbiAv?=
 =?UTF-8?B?IGNhc3QgaXJvbi4uLg==?=</f>
        <v>#ERROR!</v>
      </c>
      <c r="E69" s="1" t="s">
        <v>112</v>
      </c>
      <c r="F69" s="1" t="s">
        <v>11</v>
      </c>
      <c r="G69" s="1" t="s">
        <v>113</v>
      </c>
    </row>
    <row r="70">
      <c r="A70" s="2">
        <v>45417.981469907405</v>
      </c>
      <c r="B70" s="1" t="s">
        <v>114</v>
      </c>
      <c r="C70" s="1" t="s">
        <v>8</v>
      </c>
      <c r="D70" s="1" t="s">
        <v>115</v>
      </c>
      <c r="E70" s="1" t="s">
        <v>116</v>
      </c>
      <c r="F70" s="1" t="s">
        <v>11</v>
      </c>
      <c r="G70" s="1" t="s">
        <v>117</v>
      </c>
    </row>
    <row r="71">
      <c r="A71" s="2">
        <v>45505.60894675926</v>
      </c>
      <c r="B71" s="1" t="s">
        <v>118</v>
      </c>
      <c r="C71" s="1" t="s">
        <v>8</v>
      </c>
      <c r="D71" s="3" t="str">
        <f>?utf-8?Q?Unlocked:_Emma,_Spin_the_August_Wheel!_=F0=9F=8E=A1?=</f>
        <v>#ERROR!</v>
      </c>
      <c r="E71" s="1" t="s">
        <v>119</v>
      </c>
      <c r="F71" s="1" t="s">
        <v>11</v>
      </c>
      <c r="G71" s="1" t="s">
        <v>20</v>
      </c>
    </row>
    <row r="72">
      <c r="A72" s="2">
        <v>45506.31988425926</v>
      </c>
      <c r="B72" s="1" t="s">
        <v>118</v>
      </c>
      <c r="C72" s="1" t="s">
        <v>8</v>
      </c>
      <c r="D72" s="3" t="str">
        <f>?utf-8?Q?Emma,_earn_500_points_today!_=F0=9F=92=B2?=</f>
        <v>#ERROR!</v>
      </c>
      <c r="E72" s="1" t="s">
        <v>120</v>
      </c>
      <c r="F72" s="1" t="s">
        <v>11</v>
      </c>
      <c r="G72" s="1" t="s">
        <v>16</v>
      </c>
    </row>
    <row r="73">
      <c r="A73" s="2">
        <v>45506.620844907404</v>
      </c>
      <c r="B73" s="1" t="s">
        <v>118</v>
      </c>
      <c r="C73" s="1" t="s">
        <v>8</v>
      </c>
      <c r="D73" s="3" t="str">
        <f>?utf-8?Q?Emma,_Go_Around_the_Reels_in_30_Days!_=F0=9F=8C=8E?=</f>
        <v>#ERROR!</v>
      </c>
      <c r="E73" s="1" t="s">
        <v>119</v>
      </c>
      <c r="F73" s="1" t="s">
        <v>11</v>
      </c>
      <c r="G73" s="1" t="s">
        <v>16</v>
      </c>
    </row>
    <row r="74">
      <c r="A74" s="2">
        <v>45508.36871527778</v>
      </c>
      <c r="B74" s="1" t="s">
        <v>118</v>
      </c>
      <c r="C74" s="1" t="s">
        <v>8</v>
      </c>
      <c r="D74" s="3" t="str">
        <f>?utf-8?Q?Emma,_300_Spins_for_th?=
 =?utf-8?Q?e_Ultimate_Heist!_=F0=9F=9A=A8=F0=9F=9A=93?=</f>
        <v>#ERROR!</v>
      </c>
      <c r="E74" s="1" t="s">
        <v>121</v>
      </c>
      <c r="F74" s="1" t="s">
        <v>11</v>
      </c>
      <c r="G74" s="1" t="s">
        <v>16</v>
      </c>
    </row>
    <row r="75">
      <c r="A75" s="2">
        <v>45508.70092592593</v>
      </c>
      <c r="B75" s="1" t="s">
        <v>122</v>
      </c>
      <c r="C75" s="1" t="s">
        <v>8</v>
      </c>
      <c r="D75" s="1" t="s">
        <v>123</v>
      </c>
      <c r="E75" s="1" t="s">
        <v>124</v>
      </c>
      <c r="F75" s="1" t="s">
        <v>11</v>
      </c>
      <c r="G75" s="1" t="s">
        <v>14</v>
      </c>
    </row>
    <row r="76">
      <c r="A76" s="2">
        <v>45510.5859375</v>
      </c>
      <c r="B76" s="1" t="s">
        <v>122</v>
      </c>
      <c r="C76" s="1" t="s">
        <v>8</v>
      </c>
      <c r="D76" s="1" t="s">
        <v>125</v>
      </c>
      <c r="E76" s="1" t="s">
        <v>124</v>
      </c>
      <c r="F76" s="1" t="s">
        <v>11</v>
      </c>
      <c r="G76" s="1" t="s">
        <v>14</v>
      </c>
    </row>
    <row r="77">
      <c r="A77" s="2">
        <v>45510.589594907404</v>
      </c>
      <c r="B77" s="1" t="s">
        <v>118</v>
      </c>
      <c r="C77" s="1" t="s">
        <v>8</v>
      </c>
      <c r="D77" s="3" t="str">
        <f>?utf-8?Q?Emma:_Bubbles_of_Fun_with_351_Spins!_=F0=9F=94=AE?=</f>
        <v>#ERROR!</v>
      </c>
      <c r="E77" s="1" t="s">
        <v>121</v>
      </c>
      <c r="F77" s="1" t="s">
        <v>11</v>
      </c>
      <c r="G77" s="1" t="s">
        <v>20</v>
      </c>
    </row>
    <row r="78">
      <c r="A78" s="2">
        <v>45511.023368055554</v>
      </c>
      <c r="B78" s="1" t="s">
        <v>122</v>
      </c>
      <c r="C78" s="1" t="s">
        <v>8</v>
      </c>
      <c r="D78" s="1" t="s">
        <v>126</v>
      </c>
      <c r="E78" s="1" t="s">
        <v>127</v>
      </c>
      <c r="F78" s="1" t="s">
        <v>11</v>
      </c>
      <c r="G78" s="1" t="s">
        <v>117</v>
      </c>
    </row>
    <row r="79">
      <c r="A79" s="2">
        <v>45511.375393518516</v>
      </c>
      <c r="B79" s="1" t="s">
        <v>118</v>
      </c>
      <c r="C79" s="1" t="s">
        <v>8</v>
      </c>
      <c r="D79" s="1" t="s">
        <v>128</v>
      </c>
      <c r="E79" s="1" t="s">
        <v>129</v>
      </c>
      <c r="F79" s="1" t="s">
        <v>11</v>
      </c>
      <c r="G79" s="1" t="s">
        <v>16</v>
      </c>
    </row>
    <row r="80">
      <c r="A80" s="2">
        <v>45511.64585648148</v>
      </c>
      <c r="B80" s="1" t="s">
        <v>118</v>
      </c>
      <c r="C80" s="1" t="s">
        <v>8</v>
      </c>
      <c r="D80" s="3" t="str">
        <f>?utf-8?Q?Emma,_7_days_to_go!_=F0=9F=91=80?=</f>
        <v>#ERROR!</v>
      </c>
      <c r="E80" s="1" t="s">
        <v>121</v>
      </c>
      <c r="F80" s="1" t="s">
        <v>11</v>
      </c>
      <c r="G80" s="1" t="s">
        <v>16</v>
      </c>
    </row>
    <row r="81">
      <c r="A81" s="2">
        <v>45513.424780092595</v>
      </c>
      <c r="B81" s="1" t="s">
        <v>118</v>
      </c>
      <c r="C81" s="1" t="s">
        <v>8</v>
      </c>
      <c r="D81" s="3" t="str">
        <f>?utf-8?Q?Emma,_choose_your_guardian_and_explore!_=F0=9F=97=BA=EF=B8=8F?=</f>
        <v>#ERROR!</v>
      </c>
      <c r="E81" s="1" t="s">
        <v>120</v>
      </c>
      <c r="F81" s="1" t="s">
        <v>11</v>
      </c>
      <c r="G81" s="1" t="s">
        <v>16</v>
      </c>
    </row>
    <row r="82">
      <c r="A82" s="2">
        <v>45515.474270833336</v>
      </c>
      <c r="B82" s="1" t="s">
        <v>130</v>
      </c>
      <c r="C82" s="1" t="s">
        <v>8</v>
      </c>
      <c r="D82" s="1" t="s">
        <v>131</v>
      </c>
      <c r="E82" s="1" t="s">
        <v>132</v>
      </c>
      <c r="F82" s="1" t="s">
        <v>11</v>
      </c>
      <c r="G82" s="1" t="s">
        <v>16</v>
      </c>
    </row>
    <row r="83">
      <c r="A83" s="2">
        <v>45515.474282407406</v>
      </c>
      <c r="B83" s="1" t="s">
        <v>130</v>
      </c>
      <c r="C83" s="1" t="s">
        <v>8</v>
      </c>
      <c r="D83" s="3" t="str">
        <f>?utf-8?Q?Emma:_Bubbles_of_Fun_Inside!_=F0=9F=94=AE?=</f>
        <v>#ERROR!</v>
      </c>
      <c r="E83" s="1" t="s">
        <v>121</v>
      </c>
      <c r="F83" s="1" t="s">
        <v>11</v>
      </c>
      <c r="G83" s="1" t="s">
        <v>20</v>
      </c>
    </row>
    <row r="84">
      <c r="A84" s="2">
        <v>45516.64166666667</v>
      </c>
      <c r="B84" s="1" t="s">
        <v>118</v>
      </c>
      <c r="C84" s="1" t="s">
        <v>8</v>
      </c>
      <c r="D84" s="1" t="s">
        <v>133</v>
      </c>
      <c r="E84" s="1" t="s">
        <v>119</v>
      </c>
      <c r="F84" s="1" t="s">
        <v>11</v>
      </c>
      <c r="G84" s="1" t="s">
        <v>16</v>
      </c>
    </row>
    <row r="85">
      <c r="A85" s="2">
        <v>45517.88328703704</v>
      </c>
      <c r="B85" s="1" t="s">
        <v>134</v>
      </c>
      <c r="C85" s="1" t="s">
        <v>8</v>
      </c>
      <c r="D85" s="1" t="s">
        <v>135</v>
      </c>
      <c r="E85" s="1" t="s">
        <v>136</v>
      </c>
      <c r="F85" s="1" t="s">
        <v>11</v>
      </c>
      <c r="G85" s="1" t="s">
        <v>16</v>
      </c>
    </row>
    <row r="86">
      <c r="A86" s="2">
        <v>45518.57916666667</v>
      </c>
      <c r="B86" s="1" t="s">
        <v>118</v>
      </c>
      <c r="C86" s="1" t="s">
        <v>8</v>
      </c>
      <c r="D86" s="1" t="s">
        <v>137</v>
      </c>
      <c r="E86" s="1" t="s">
        <v>119</v>
      </c>
      <c r="F86" s="1" t="s">
        <v>11</v>
      </c>
      <c r="G86" s="1" t="s">
        <v>16</v>
      </c>
    </row>
    <row r="87">
      <c r="A87" s="2">
        <v>45520.62087962963</v>
      </c>
      <c r="B87" s="1" t="s">
        <v>118</v>
      </c>
      <c r="C87" s="1" t="s">
        <v>8</v>
      </c>
      <c r="D87" s="1" t="s">
        <v>138</v>
      </c>
      <c r="E87" s="1" t="s">
        <v>119</v>
      </c>
      <c r="F87" s="1" t="s">
        <v>11</v>
      </c>
      <c r="G87" s="1" t="s">
        <v>16</v>
      </c>
    </row>
    <row r="88">
      <c r="A88" s="2">
        <v>45521.97788194445</v>
      </c>
      <c r="B88" s="1" t="s">
        <v>134</v>
      </c>
      <c r="C88" s="1" t="s">
        <v>8</v>
      </c>
      <c r="D88" s="1" t="s">
        <v>139</v>
      </c>
      <c r="E88" s="1" t="s">
        <v>140</v>
      </c>
      <c r="F88" s="1" t="s">
        <v>11</v>
      </c>
      <c r="G88" s="1" t="s">
        <v>16</v>
      </c>
    </row>
    <row r="89">
      <c r="A89" s="2">
        <v>45522.446597222224</v>
      </c>
      <c r="B89" s="1" t="s">
        <v>118</v>
      </c>
      <c r="C89" s="1" t="s">
        <v>8</v>
      </c>
      <c r="D89" s="3" t="str">
        <f>?utf-8?Q?=F0=9F=9A=A8_Emma,_Daily_Spins_Alert!?=</f>
        <v>#ERROR!</v>
      </c>
      <c r="E89" s="1" t="s">
        <v>119</v>
      </c>
      <c r="F89" s="1" t="s">
        <v>11</v>
      </c>
      <c r="G89" s="1" t="s">
        <v>20</v>
      </c>
    </row>
    <row r="90">
      <c r="A90" s="2">
        <v>45523.54219907407</v>
      </c>
      <c r="B90" s="1" t="s">
        <v>141</v>
      </c>
      <c r="C90" s="1" t="s">
        <v>142</v>
      </c>
      <c r="D90" s="1" t="s">
        <v>143</v>
      </c>
      <c r="E90" s="1" t="s">
        <v>144</v>
      </c>
      <c r="F90" s="1" t="s">
        <v>11</v>
      </c>
      <c r="G90" s="1" t="s">
        <v>16</v>
      </c>
    </row>
    <row r="91">
      <c r="A91" s="2">
        <v>45524.33563657408</v>
      </c>
      <c r="B91" s="1" t="s">
        <v>141</v>
      </c>
      <c r="C91" s="1" t="s">
        <v>142</v>
      </c>
      <c r="D91" s="1" t="s">
        <v>143</v>
      </c>
      <c r="E91" s="1" t="s">
        <v>145</v>
      </c>
      <c r="F91" s="1" t="s">
        <v>11</v>
      </c>
      <c r="G91" s="1" t="s">
        <v>20</v>
      </c>
    </row>
    <row r="92">
      <c r="A92" s="2">
        <v>45525.58372685185</v>
      </c>
      <c r="B92" s="1" t="s">
        <v>118</v>
      </c>
      <c r="C92" s="1" t="s">
        <v>8</v>
      </c>
      <c r="D92" s="1" t="s">
        <v>146</v>
      </c>
      <c r="E92" s="1" t="s">
        <v>119</v>
      </c>
      <c r="F92" s="1" t="s">
        <v>11</v>
      </c>
      <c r="G92" s="1" t="s">
        <v>20</v>
      </c>
    </row>
    <row r="93">
      <c r="A93" s="2">
        <v>45527.59168981481</v>
      </c>
      <c r="B93" s="1" t="s">
        <v>118</v>
      </c>
      <c r="C93" s="1" t="s">
        <v>8</v>
      </c>
      <c r="D93" s="3" t="str">
        <f>?utf-8?Q?Emma,_Ready_to_Catch_Big_Wins=3F_=F0=9F=8E=A3?=</f>
        <v>#ERROR!</v>
      </c>
      <c r="E93" s="1" t="s">
        <v>121</v>
      </c>
      <c r="F93" s="1" t="s">
        <v>11</v>
      </c>
      <c r="G93" s="1" t="s">
        <v>20</v>
      </c>
    </row>
    <row r="94">
      <c r="A94" s="2">
        <v>45528.60420138889</v>
      </c>
      <c r="B94" s="1" t="s">
        <v>118</v>
      </c>
      <c r="C94" s="1" t="s">
        <v>8</v>
      </c>
      <c r="D94" s="3" t="str">
        <f>?utf-8?Q?Emma,_Spin,_Spin,_Spinl!_=F0=9F=8E=A1?=</f>
        <v>#ERROR!</v>
      </c>
      <c r="E94" s="1" t="s">
        <v>119</v>
      </c>
      <c r="F94" s="1" t="s">
        <v>11</v>
      </c>
      <c r="G94" s="1" t="s">
        <v>20</v>
      </c>
    </row>
    <row r="95">
      <c r="A95" s="2">
        <v>45530.61253472222</v>
      </c>
      <c r="B95" s="1" t="s">
        <v>118</v>
      </c>
      <c r="C95" s="1" t="s">
        <v>8</v>
      </c>
      <c r="D95" s="3" t="str">
        <f>?utf-8?Q?Final_Week:_Emma,_Time=E2=80=99s_Running_Out_=E2=8F=B0?=</f>
        <v>#ERROR!</v>
      </c>
      <c r="E95" s="1" t="s">
        <v>119</v>
      </c>
      <c r="F95" s="1" t="s">
        <v>11</v>
      </c>
      <c r="G95" s="1" t="s">
        <v>16</v>
      </c>
    </row>
    <row r="96">
      <c r="A96" s="2">
        <v>45533.58349537037</v>
      </c>
      <c r="B96" s="1" t="s">
        <v>118</v>
      </c>
      <c r="C96" s="1" t="s">
        <v>8</v>
      </c>
      <c r="D96" s="3" t="str">
        <f>?utf-8?Q?Emma,_We're_Happy_You're_Here!_=F0=9F=8E=89=F0=9F=8E=88?=</f>
        <v>#ERROR!</v>
      </c>
      <c r="E96" s="1" t="s">
        <v>147</v>
      </c>
      <c r="F96" s="1" t="s">
        <v>11</v>
      </c>
      <c r="G96" s="1" t="s">
        <v>16</v>
      </c>
    </row>
    <row r="97">
      <c r="A97" s="2">
        <v>45534.616689814815</v>
      </c>
      <c r="B97" s="1" t="s">
        <v>118</v>
      </c>
      <c r="C97" s="1" t="s">
        <v>8</v>
      </c>
      <c r="D97" s="3" t="str">
        <f>?utf-8?Q?Top_5:_Emma,_Play_August_Hot_Slots!_=F0=9F=94=A5?=</f>
        <v>#ERROR!</v>
      </c>
      <c r="E97" s="1" t="s">
        <v>148</v>
      </c>
      <c r="F97" s="1" t="s">
        <v>11</v>
      </c>
      <c r="G97" s="1" t="s">
        <v>16</v>
      </c>
    </row>
    <row r="98">
      <c r="A98" s="2">
        <v>45536.48181712963</v>
      </c>
      <c r="B98" s="1" t="s">
        <v>118</v>
      </c>
      <c r="C98" s="1" t="s">
        <v>8</v>
      </c>
      <c r="D98" s="1" t="s">
        <v>149</v>
      </c>
      <c r="E98" s="1" t="s">
        <v>121</v>
      </c>
      <c r="F98" s="1" t="s">
        <v>11</v>
      </c>
      <c r="G98" s="1" t="s">
        <v>16</v>
      </c>
    </row>
    <row r="99">
      <c r="A99" s="2">
        <v>45537.66667824074</v>
      </c>
      <c r="B99" s="1" t="s">
        <v>118</v>
      </c>
      <c r="C99" s="1" t="s">
        <v>8</v>
      </c>
      <c r="D99" s="3" t="str">
        <f>?utf-8?Q?Emma,_We've_Got_News_for_You!_=F0=9F=93=B0?=</f>
        <v>#ERROR!</v>
      </c>
      <c r="E99" s="1" t="s">
        <v>119</v>
      </c>
      <c r="F99" s="1" t="s">
        <v>11</v>
      </c>
      <c r="G99" s="1" t="s">
        <v>16</v>
      </c>
    </row>
    <row r="100">
      <c r="A100" s="2">
        <v>45538.60141203704</v>
      </c>
      <c r="B100" s="1" t="s">
        <v>118</v>
      </c>
      <c r="C100" s="1" t="s">
        <v>8</v>
      </c>
      <c r="D100" s="3" t="str">
        <f>?utf-8?Q?Emma,_We're_Releasing_a_Crash_Game_=F0=9F=9A=80?=</f>
        <v>#ERROR!</v>
      </c>
      <c r="E100" s="1" t="s">
        <v>121</v>
      </c>
      <c r="F100" s="1" t="s">
        <v>11</v>
      </c>
      <c r="G100" s="1" t="s">
        <v>16</v>
      </c>
    </row>
    <row r="101">
      <c r="A101" s="2">
        <v>45539.61667824074</v>
      </c>
      <c r="B101" s="1" t="s">
        <v>118</v>
      </c>
      <c r="C101" s="1" t="s">
        <v>8</v>
      </c>
      <c r="D101" s="3" t="str">
        <f>?utf-8?Q?Emma,_Get_$10_to_Play_Our_First_Ever_Crash_Game!_=F0=9F=9A=80?=</f>
        <v>#ERROR!</v>
      </c>
      <c r="E101" s="1" t="s">
        <v>119</v>
      </c>
      <c r="F101" s="1" t="s">
        <v>11</v>
      </c>
      <c r="G101" s="1" t="s">
        <v>20</v>
      </c>
    </row>
    <row r="102">
      <c r="A102" s="2">
        <v>45547.016168981485</v>
      </c>
      <c r="B102" s="1" t="s">
        <v>150</v>
      </c>
      <c r="C102" s="1" t="s">
        <v>151</v>
      </c>
      <c r="D102" s="1" t="s">
        <v>152</v>
      </c>
      <c r="E102" s="1" t="s">
        <v>153</v>
      </c>
      <c r="F102" s="1" t="s">
        <v>11</v>
      </c>
      <c r="G102" s="1" t="s">
        <v>154</v>
      </c>
    </row>
    <row r="103">
      <c r="A103" s="2">
        <v>45550.79545138889</v>
      </c>
      <c r="B103" s="1" t="s">
        <v>150</v>
      </c>
      <c r="C103" s="1" t="s">
        <v>151</v>
      </c>
      <c r="D103" s="1" t="s">
        <v>155</v>
      </c>
      <c r="E103" s="1" t="s">
        <v>153</v>
      </c>
      <c r="F103" s="1" t="s">
        <v>11</v>
      </c>
      <c r="G103" s="1" t="s">
        <v>156</v>
      </c>
    </row>
    <row r="104">
      <c r="A104" s="2">
        <v>45553.56334490741</v>
      </c>
      <c r="B104" s="1" t="s">
        <v>118</v>
      </c>
      <c r="C104" s="1" t="s">
        <v>8</v>
      </c>
      <c r="D104" s="1" t="s">
        <v>157</v>
      </c>
      <c r="E104" s="1" t="s">
        <v>119</v>
      </c>
      <c r="F104" s="1" t="s">
        <v>11</v>
      </c>
      <c r="G104" s="1" t="s">
        <v>16</v>
      </c>
    </row>
    <row r="105">
      <c r="A105" s="2">
        <v>45557.795648148145</v>
      </c>
      <c r="B105" s="1" t="s">
        <v>158</v>
      </c>
      <c r="C105" s="1" t="s">
        <v>151</v>
      </c>
      <c r="D105" s="1" t="s">
        <v>159</v>
      </c>
      <c r="E105" s="1" t="s">
        <v>153</v>
      </c>
      <c r="F105" s="1" t="s">
        <v>11</v>
      </c>
      <c r="G105" s="1" t="s">
        <v>160</v>
      </c>
    </row>
    <row r="106">
      <c r="A106" s="2">
        <v>45564.347280092596</v>
      </c>
      <c r="B106" s="1" t="s">
        <v>161</v>
      </c>
      <c r="C106" s="1" t="s">
        <v>151</v>
      </c>
      <c r="D106" s="1" t="s">
        <v>162</v>
      </c>
      <c r="E106" s="1" t="s">
        <v>163</v>
      </c>
      <c r="F106" s="1" t="s">
        <v>11</v>
      </c>
      <c r="G106" s="1" t="s">
        <v>154</v>
      </c>
    </row>
    <row r="107">
      <c r="A107" s="2">
        <v>45564.94248842593</v>
      </c>
      <c r="B107" s="1" t="s">
        <v>164</v>
      </c>
      <c r="C107" s="1" t="s">
        <v>151</v>
      </c>
      <c r="D107" s="3" t="str">
        <f>?UTF-8?q?Earn_your_way,_Craig_n_Emma_=F0=9F=91=80?=</f>
        <v>#ERROR!</v>
      </c>
      <c r="E107" s="1" t="s">
        <v>153</v>
      </c>
      <c r="F107" s="1" t="s">
        <v>11</v>
      </c>
      <c r="G107" s="1" t="s">
        <v>156</v>
      </c>
    </row>
    <row r="108">
      <c r="A108" s="2">
        <v>45567.610439814816</v>
      </c>
      <c r="B108" s="1" t="s">
        <v>118</v>
      </c>
      <c r="C108" s="1" t="s">
        <v>8</v>
      </c>
      <c r="D108" s="3" t="str">
        <f>?utf-8?Q?Emma,_Your_Ticket_to_the_'B?=
 =?utf-8?Q?lockbuster_Reels'_Event!_=F0=9F=8D=BF?=</f>
        <v>#ERROR!</v>
      </c>
      <c r="E108" s="1" t="s">
        <v>119</v>
      </c>
      <c r="F108" s="1" t="s">
        <v>11</v>
      </c>
      <c r="G108" s="1" t="s">
        <v>165</v>
      </c>
    </row>
    <row r="109">
      <c r="A109" s="2">
        <v>45569.80819444444</v>
      </c>
      <c r="B109" s="1" t="s">
        <v>150</v>
      </c>
      <c r="C109" s="1" t="s">
        <v>151</v>
      </c>
      <c r="D109" s="1" t="s">
        <v>166</v>
      </c>
      <c r="E109" s="1" t="s">
        <v>153</v>
      </c>
      <c r="F109" s="1" t="s">
        <v>11</v>
      </c>
      <c r="G109" s="1" t="s">
        <v>167</v>
      </c>
    </row>
    <row r="110">
      <c r="A110" s="2">
        <v>45569.825370370374</v>
      </c>
      <c r="B110" s="1" t="s">
        <v>168</v>
      </c>
      <c r="C110" s="1" t="s">
        <v>169</v>
      </c>
      <c r="D110" s="1" t="s">
        <v>170</v>
      </c>
      <c r="E110" s="1" t="s">
        <v>171</v>
      </c>
      <c r="F110" s="1" t="s">
        <v>11</v>
      </c>
      <c r="G110" s="1" t="s">
        <v>52</v>
      </c>
    </row>
    <row r="111">
      <c r="A111" s="2">
        <v>45572.80787037037</v>
      </c>
      <c r="B111" s="1" t="s">
        <v>158</v>
      </c>
      <c r="C111" s="1" t="s">
        <v>151</v>
      </c>
      <c r="D111" s="1" t="s">
        <v>172</v>
      </c>
      <c r="E111" s="1" t="s">
        <v>173</v>
      </c>
      <c r="F111" s="1" t="s">
        <v>11</v>
      </c>
      <c r="G111" s="1" t="s">
        <v>154</v>
      </c>
    </row>
    <row r="112">
      <c r="A112" s="2">
        <v>45582.79599537037</v>
      </c>
      <c r="B112" s="1" t="s">
        <v>150</v>
      </c>
      <c r="C112" s="1" t="s">
        <v>151</v>
      </c>
      <c r="D112" s="1" t="s">
        <v>174</v>
      </c>
      <c r="E112" s="1" t="s">
        <v>153</v>
      </c>
      <c r="F112" s="1" t="s">
        <v>11</v>
      </c>
      <c r="G112" s="1" t="s">
        <v>167</v>
      </c>
    </row>
    <row r="113">
      <c r="A113" s="2">
        <v>45595.8071875</v>
      </c>
      <c r="B113" s="1" t="s">
        <v>150</v>
      </c>
      <c r="C113" s="1" t="s">
        <v>151</v>
      </c>
      <c r="D113" s="1" t="s">
        <v>175</v>
      </c>
      <c r="E113" s="1" t="s">
        <v>153</v>
      </c>
      <c r="F113" s="1" t="s">
        <v>11</v>
      </c>
      <c r="G113" s="1" t="s">
        <v>176</v>
      </c>
    </row>
    <row r="114">
      <c r="A114" s="2">
        <v>45601.76356481481</v>
      </c>
      <c r="B114" s="1" t="s">
        <v>177</v>
      </c>
      <c r="C114" s="1" t="s">
        <v>178</v>
      </c>
      <c r="D114" s="1" t="s">
        <v>179</v>
      </c>
      <c r="E114" s="1" t="s">
        <v>180</v>
      </c>
      <c r="F114" s="1" t="s">
        <v>11</v>
      </c>
      <c r="G114" s="1" t="s">
        <v>16</v>
      </c>
    </row>
    <row r="115">
      <c r="A115" s="2">
        <v>45610.24916666667</v>
      </c>
      <c r="B115" s="1" t="s">
        <v>181</v>
      </c>
      <c r="C115" s="1" t="s">
        <v>8</v>
      </c>
      <c r="D115" s="3" t="str">
        <f>?UTF-8?Q?Subscribe_to_Emma_Ryan=E2=80=99s_=E2=80=9CC=E2=80=9D=3F?=</f>
        <v>#ERROR!</v>
      </c>
      <c r="E115" s="1" t="s">
        <v>182</v>
      </c>
      <c r="F115" s="1" t="s">
        <v>11</v>
      </c>
      <c r="G115" s="1" t="s">
        <v>183</v>
      </c>
    </row>
    <row r="116">
      <c r="A116" s="2">
        <v>45613.83809027778</v>
      </c>
      <c r="B116" s="1" t="s">
        <v>184</v>
      </c>
      <c r="C116" s="1" t="s">
        <v>185</v>
      </c>
      <c r="D116" s="1" t="s">
        <v>174</v>
      </c>
      <c r="E116" s="1" t="s">
        <v>186</v>
      </c>
      <c r="F116" s="1" t="s">
        <v>11</v>
      </c>
      <c r="G116" s="1" t="s">
        <v>156</v>
      </c>
    </row>
    <row r="117">
      <c r="A117" s="2">
        <v>45621.714525462965</v>
      </c>
      <c r="B117" s="1" t="s">
        <v>177</v>
      </c>
      <c r="C117" s="1" t="s">
        <v>178</v>
      </c>
      <c r="D117" s="1" t="s">
        <v>187</v>
      </c>
      <c r="E117" s="1" t="s">
        <v>188</v>
      </c>
      <c r="F117" s="1" t="s">
        <v>11</v>
      </c>
      <c r="G117" s="1" t="s">
        <v>16</v>
      </c>
    </row>
    <row r="118">
      <c r="A118" s="2">
        <v>45623.61986111111</v>
      </c>
      <c r="B118" s="1" t="s">
        <v>177</v>
      </c>
      <c r="C118" s="1" t="s">
        <v>178</v>
      </c>
      <c r="D118" s="3" t="str">
        <f>?UTF-8?q?=F0=9F=93=86_Check_Out_Your_December_Financial_Calendar?=</f>
        <v>#ERROR!</v>
      </c>
      <c r="E118" s="1" t="s">
        <v>189</v>
      </c>
      <c r="F118" s="1" t="s">
        <v>11</v>
      </c>
      <c r="G118" s="1" t="s">
        <v>154</v>
      </c>
    </row>
    <row r="119">
      <c r="A119" s="2">
        <v>45625.05657407407</v>
      </c>
      <c r="B119" s="1" t="s">
        <v>150</v>
      </c>
      <c r="C119" s="1" t="s">
        <v>151</v>
      </c>
      <c r="D119" s="3" t="str">
        <f>?UTF-8?q?Deals_you_don=E2=80=99t_wanna_miss,_Craig_n_Emma?=</f>
        <v>#ERROR!</v>
      </c>
      <c r="E119" s="1" t="s">
        <v>153</v>
      </c>
      <c r="F119" s="1" t="s">
        <v>11</v>
      </c>
      <c r="G119" s="1" t="s">
        <v>190</v>
      </c>
    </row>
    <row r="120">
      <c r="A120" s="2">
        <v>45626.03144675926</v>
      </c>
      <c r="B120" s="1" t="s">
        <v>191</v>
      </c>
      <c r="C120" s="1" t="s">
        <v>151</v>
      </c>
      <c r="D120" s="1" t="s">
        <v>192</v>
      </c>
      <c r="E120" s="1" t="s">
        <v>153</v>
      </c>
      <c r="F120" s="1" t="s">
        <v>11</v>
      </c>
      <c r="G120" s="1" t="s">
        <v>193</v>
      </c>
    </row>
    <row r="121">
      <c r="A121" s="2">
        <v>45626.03144675926</v>
      </c>
      <c r="B121" s="1" t="s">
        <v>191</v>
      </c>
      <c r="C121" s="1" t="s">
        <v>151</v>
      </c>
      <c r="D121" s="1" t="s">
        <v>192</v>
      </c>
      <c r="E121" s="1" t="s">
        <v>153</v>
      </c>
      <c r="F121" s="1" t="s">
        <v>11</v>
      </c>
      <c r="G121" s="1" t="s">
        <v>193</v>
      </c>
    </row>
    <row r="122">
      <c r="A122" s="2">
        <v>45627.86622685185</v>
      </c>
      <c r="B122" s="1" t="s">
        <v>150</v>
      </c>
      <c r="C122" s="1" t="s">
        <v>151</v>
      </c>
      <c r="D122" s="1" t="s">
        <v>194</v>
      </c>
      <c r="E122" s="1" t="s">
        <v>153</v>
      </c>
      <c r="F122" s="1" t="s">
        <v>11</v>
      </c>
      <c r="G122" s="1" t="s">
        <v>195</v>
      </c>
    </row>
    <row r="123">
      <c r="A123" s="2">
        <v>45630.84190972222</v>
      </c>
      <c r="B123" s="1" t="s">
        <v>150</v>
      </c>
      <c r="C123" s="1" t="s">
        <v>151</v>
      </c>
      <c r="D123" s="1" t="s">
        <v>166</v>
      </c>
      <c r="E123" s="1" t="s">
        <v>153</v>
      </c>
      <c r="F123" s="1" t="s">
        <v>11</v>
      </c>
      <c r="G123" s="1" t="s">
        <v>156</v>
      </c>
    </row>
    <row r="124">
      <c r="A124" s="2">
        <v>45640.847916666666</v>
      </c>
      <c r="B124" s="1" t="s">
        <v>150</v>
      </c>
      <c r="C124" s="1" t="s">
        <v>151</v>
      </c>
      <c r="D124" s="1" t="s">
        <v>196</v>
      </c>
      <c r="E124" s="1" t="s">
        <v>153</v>
      </c>
      <c r="F124" s="1" t="s">
        <v>11</v>
      </c>
      <c r="G124" s="1" t="s">
        <v>156</v>
      </c>
    </row>
    <row r="125">
      <c r="A125" s="2">
        <v>45671.12923611111</v>
      </c>
      <c r="B125" s="1" t="s">
        <v>197</v>
      </c>
      <c r="C125" s="1" t="s">
        <v>151</v>
      </c>
      <c r="D125" s="1" t="s">
        <v>198</v>
      </c>
      <c r="E125" s="1" t="s">
        <v>199</v>
      </c>
      <c r="F125" s="1" t="s">
        <v>11</v>
      </c>
      <c r="G125" s="1" t="s">
        <v>200</v>
      </c>
    </row>
    <row r="126">
      <c r="A126" s="2">
        <v>45671.12976851852</v>
      </c>
      <c r="B126" s="1" t="s">
        <v>201</v>
      </c>
      <c r="C126" s="1" t="s">
        <v>197</v>
      </c>
      <c r="D126" s="1" t="s">
        <v>202</v>
      </c>
      <c r="E126" s="1" t="s">
        <v>203</v>
      </c>
      <c r="F126" s="1" t="s">
        <v>11</v>
      </c>
      <c r="G126" s="1" t="s">
        <v>204</v>
      </c>
    </row>
    <row r="127">
      <c r="A127" s="2">
        <v>45671.141388888886</v>
      </c>
      <c r="B127" s="1" t="s">
        <v>201</v>
      </c>
      <c r="C127" s="1" t="s">
        <v>197</v>
      </c>
      <c r="D127" s="1" t="s">
        <v>202</v>
      </c>
      <c r="E127" s="1" t="s">
        <v>205</v>
      </c>
      <c r="F127" s="1" t="s">
        <v>11</v>
      </c>
      <c r="G127" s="1" t="s">
        <v>204</v>
      </c>
    </row>
    <row r="128">
      <c r="A128" s="2">
        <v>45671.44621527778</v>
      </c>
      <c r="B128" s="1" t="s">
        <v>197</v>
      </c>
      <c r="C128" s="1" t="s">
        <v>151</v>
      </c>
      <c r="D128" s="1" t="s">
        <v>206</v>
      </c>
      <c r="E128" s="1" t="s">
        <v>207</v>
      </c>
      <c r="F128" s="1" t="s">
        <v>11</v>
      </c>
      <c r="G128" s="1" t="s">
        <v>208</v>
      </c>
    </row>
    <row r="129">
      <c r="A129" s="2">
        <v>45671.446747685186</v>
      </c>
      <c r="B129" s="1" t="s">
        <v>201</v>
      </c>
      <c r="C129" s="1" t="s">
        <v>197</v>
      </c>
      <c r="D129" s="1" t="s">
        <v>209</v>
      </c>
      <c r="E129" s="1" t="s">
        <v>210</v>
      </c>
      <c r="F129" s="1" t="s">
        <v>11</v>
      </c>
      <c r="G129" s="1" t="s">
        <v>211</v>
      </c>
    </row>
    <row r="130">
      <c r="A130" s="2">
        <v>45671.44733796296</v>
      </c>
      <c r="B130" s="1" t="s">
        <v>201</v>
      </c>
      <c r="C130" s="1" t="s">
        <v>197</v>
      </c>
      <c r="D130" s="1" t="s">
        <v>209</v>
      </c>
      <c r="E130" s="1" t="s">
        <v>212</v>
      </c>
      <c r="F130" s="1" t="s">
        <v>11</v>
      </c>
      <c r="G130" s="1" t="s">
        <v>211</v>
      </c>
    </row>
    <row r="131">
      <c r="A131" s="2">
        <v>45671.45276620371</v>
      </c>
      <c r="B131" s="1" t="s">
        <v>197</v>
      </c>
      <c r="C131" s="1" t="s">
        <v>201</v>
      </c>
      <c r="D131" s="1" t="s">
        <v>209</v>
      </c>
      <c r="E131" s="1" t="s">
        <v>213</v>
      </c>
      <c r="F131" s="1" t="s">
        <v>11</v>
      </c>
      <c r="G131" s="1" t="s">
        <v>208</v>
      </c>
    </row>
    <row r="132">
      <c r="A132" s="2">
        <v>45671.45313657408</v>
      </c>
      <c r="B132" s="1" t="s">
        <v>197</v>
      </c>
      <c r="C132" s="1" t="s">
        <v>201</v>
      </c>
      <c r="D132" s="1" t="s">
        <v>209</v>
      </c>
      <c r="E132" s="1" t="s">
        <v>214</v>
      </c>
      <c r="F132" s="1" t="s">
        <v>11</v>
      </c>
      <c r="G132" s="1" t="s">
        <v>215</v>
      </c>
    </row>
    <row r="133">
      <c r="A133" s="2">
        <v>45671.454513888886</v>
      </c>
      <c r="B133" s="1" t="s">
        <v>197</v>
      </c>
      <c r="C133" s="1" t="s">
        <v>201</v>
      </c>
      <c r="D133" s="1" t="s">
        <v>209</v>
      </c>
      <c r="E133" s="1" t="s">
        <v>216</v>
      </c>
      <c r="F133" s="1" t="s">
        <v>11</v>
      </c>
      <c r="G133" s="1" t="s">
        <v>208</v>
      </c>
    </row>
    <row r="134">
      <c r="A134" s="2">
        <v>45671.45506944445</v>
      </c>
      <c r="B134" s="1" t="s">
        <v>197</v>
      </c>
      <c r="C134" s="1" t="s">
        <v>201</v>
      </c>
      <c r="D134" s="1" t="s">
        <v>209</v>
      </c>
      <c r="E134" s="1" t="s">
        <v>217</v>
      </c>
      <c r="F134" s="1" t="s">
        <v>11</v>
      </c>
      <c r="G134" s="1" t="s">
        <v>208</v>
      </c>
    </row>
    <row r="135">
      <c r="A135" s="2">
        <v>45671.46236111111</v>
      </c>
      <c r="B135" s="1" t="s">
        <v>201</v>
      </c>
      <c r="C135" s="1" t="s">
        <v>197</v>
      </c>
      <c r="D135" s="1" t="s">
        <v>209</v>
      </c>
      <c r="E135" s="1" t="s">
        <v>218</v>
      </c>
      <c r="F135" s="1" t="s">
        <v>11</v>
      </c>
      <c r="G135" s="1" t="s">
        <v>211</v>
      </c>
    </row>
    <row r="136">
      <c r="A136" s="2">
        <v>45671.46978009259</v>
      </c>
      <c r="B136" s="1" t="s">
        <v>201</v>
      </c>
      <c r="C136" s="1" t="s">
        <v>197</v>
      </c>
      <c r="D136" s="1" t="s">
        <v>209</v>
      </c>
      <c r="E136" s="1" t="s">
        <v>219</v>
      </c>
      <c r="F136" s="1" t="s">
        <v>11</v>
      </c>
      <c r="G136" s="1" t="s">
        <v>211</v>
      </c>
    </row>
    <row r="137">
      <c r="A137" s="2">
        <v>45671.470613425925</v>
      </c>
      <c r="B137" s="1" t="s">
        <v>201</v>
      </c>
      <c r="C137" s="1" t="s">
        <v>197</v>
      </c>
      <c r="D137" s="1" t="s">
        <v>209</v>
      </c>
      <c r="E137" s="1" t="s">
        <v>220</v>
      </c>
      <c r="F137" s="1" t="s">
        <v>11</v>
      </c>
      <c r="G137" s="1" t="s">
        <v>211</v>
      </c>
    </row>
    <row r="138">
      <c r="A138" s="2">
        <v>45671.47112268519</v>
      </c>
      <c r="B138" s="1" t="s">
        <v>197</v>
      </c>
      <c r="C138" s="1" t="s">
        <v>201</v>
      </c>
      <c r="D138" s="1" t="s">
        <v>209</v>
      </c>
      <c r="E138" s="1" t="s">
        <v>221</v>
      </c>
      <c r="F138" s="1" t="s">
        <v>11</v>
      </c>
      <c r="G138" s="1" t="s">
        <v>208</v>
      </c>
    </row>
    <row r="139">
      <c r="A139" s="2">
        <v>45671.47119212963</v>
      </c>
      <c r="B139" s="1" t="s">
        <v>201</v>
      </c>
      <c r="C139" s="1" t="s">
        <v>197</v>
      </c>
      <c r="D139" s="1" t="s">
        <v>209</v>
      </c>
      <c r="E139" s="1" t="s">
        <v>222</v>
      </c>
      <c r="F139" s="1" t="s">
        <v>11</v>
      </c>
      <c r="G139" s="1" t="s">
        <v>211</v>
      </c>
    </row>
    <row r="140">
      <c r="A140" s="2">
        <v>45671.471597222226</v>
      </c>
      <c r="B140" s="1" t="s">
        <v>201</v>
      </c>
      <c r="C140" s="1" t="s">
        <v>197</v>
      </c>
      <c r="D140" s="1" t="s">
        <v>209</v>
      </c>
      <c r="E140" s="1" t="s">
        <v>223</v>
      </c>
      <c r="F140" s="1" t="s">
        <v>11</v>
      </c>
      <c r="G140" s="1" t="s">
        <v>211</v>
      </c>
    </row>
    <row r="141">
      <c r="A141" s="2">
        <v>45671.471724537034</v>
      </c>
      <c r="B141" s="1" t="s">
        <v>197</v>
      </c>
      <c r="C141" s="1" t="s">
        <v>201</v>
      </c>
      <c r="D141" s="1" t="s">
        <v>209</v>
      </c>
      <c r="E141" s="1" t="s">
        <v>224</v>
      </c>
      <c r="F141" s="1" t="s">
        <v>11</v>
      </c>
      <c r="G141" s="1" t="s">
        <v>208</v>
      </c>
    </row>
    <row r="142">
      <c r="A142" s="2">
        <v>45671.471875</v>
      </c>
      <c r="B142" s="1" t="s">
        <v>201</v>
      </c>
      <c r="C142" s="1" t="s">
        <v>197</v>
      </c>
      <c r="D142" s="1" t="s">
        <v>209</v>
      </c>
      <c r="E142" s="1" t="s">
        <v>225</v>
      </c>
      <c r="F142" s="1" t="s">
        <v>11</v>
      </c>
      <c r="G142" s="1" t="s">
        <v>211</v>
      </c>
    </row>
    <row r="143">
      <c r="A143" s="2">
        <v>45671.47224537037</v>
      </c>
      <c r="B143" s="1" t="s">
        <v>197</v>
      </c>
      <c r="C143" s="1" t="s">
        <v>201</v>
      </c>
      <c r="D143" s="1" t="s">
        <v>209</v>
      </c>
      <c r="E143" s="1" t="s">
        <v>226</v>
      </c>
      <c r="F143" s="1" t="s">
        <v>11</v>
      </c>
      <c r="G143" s="1" t="s">
        <v>208</v>
      </c>
    </row>
    <row r="144">
      <c r="A144" s="2">
        <v>45671.472453703704</v>
      </c>
      <c r="B144" s="1" t="s">
        <v>201</v>
      </c>
      <c r="C144" s="1" t="s">
        <v>197</v>
      </c>
      <c r="D144" s="1" t="s">
        <v>209</v>
      </c>
      <c r="E144" s="1" t="s">
        <v>227</v>
      </c>
      <c r="F144" s="1" t="s">
        <v>11</v>
      </c>
      <c r="G144" s="1" t="s">
        <v>211</v>
      </c>
    </row>
    <row r="145">
      <c r="A145" s="2">
        <v>45671.47253472222</v>
      </c>
      <c r="B145" s="1" t="s">
        <v>197</v>
      </c>
      <c r="C145" s="1" t="s">
        <v>201</v>
      </c>
      <c r="D145" s="1" t="s">
        <v>209</v>
      </c>
      <c r="E145" s="1" t="s">
        <v>228</v>
      </c>
      <c r="F145" s="1" t="s">
        <v>11</v>
      </c>
      <c r="G145" s="1" t="s">
        <v>208</v>
      </c>
    </row>
    <row r="146">
      <c r="A146" s="2">
        <v>45671.472662037035</v>
      </c>
      <c r="B146" s="1" t="s">
        <v>201</v>
      </c>
      <c r="C146" s="1" t="s">
        <v>197</v>
      </c>
      <c r="D146" s="1" t="s">
        <v>209</v>
      </c>
      <c r="E146" s="1" t="s">
        <v>229</v>
      </c>
      <c r="F146" s="1" t="s">
        <v>11</v>
      </c>
      <c r="G146" s="1" t="s">
        <v>211</v>
      </c>
    </row>
    <row r="147">
      <c r="A147" s="2">
        <v>45671.4734837963</v>
      </c>
      <c r="B147" s="1" t="s">
        <v>201</v>
      </c>
      <c r="C147" s="1" t="s">
        <v>197</v>
      </c>
      <c r="D147" s="1" t="s">
        <v>209</v>
      </c>
      <c r="E147" s="1" t="s">
        <v>230</v>
      </c>
      <c r="F147" s="1" t="s">
        <v>11</v>
      </c>
      <c r="G147" s="1" t="s">
        <v>211</v>
      </c>
    </row>
    <row r="148">
      <c r="A148" s="2">
        <v>45671.47372685185</v>
      </c>
      <c r="B148" s="1" t="s">
        <v>231</v>
      </c>
      <c r="C148" s="1" t="s">
        <v>197</v>
      </c>
      <c r="D148" s="1" t="s">
        <v>209</v>
      </c>
      <c r="E148" s="1" t="s">
        <v>232</v>
      </c>
      <c r="F148" s="1" t="s">
        <v>11</v>
      </c>
      <c r="G148" s="1" t="s">
        <v>211</v>
      </c>
    </row>
    <row r="149">
      <c r="A149" s="2">
        <v>45671.47467592593</v>
      </c>
      <c r="B149" s="1" t="s">
        <v>197</v>
      </c>
      <c r="C149" s="1" t="s">
        <v>201</v>
      </c>
      <c r="D149" s="1" t="s">
        <v>209</v>
      </c>
      <c r="E149" s="1" t="s">
        <v>233</v>
      </c>
      <c r="F149" s="1" t="s">
        <v>11</v>
      </c>
      <c r="G149" s="1" t="s">
        <v>208</v>
      </c>
    </row>
    <row r="150">
      <c r="A150" s="2">
        <v>45671.47568287037</v>
      </c>
      <c r="B150" s="1" t="s">
        <v>231</v>
      </c>
      <c r="C150" s="1" t="s">
        <v>197</v>
      </c>
      <c r="D150" s="1" t="s">
        <v>209</v>
      </c>
      <c r="E150" s="1" t="s">
        <v>234</v>
      </c>
      <c r="F150" s="1" t="s">
        <v>11</v>
      </c>
      <c r="G150" s="1" t="s">
        <v>211</v>
      </c>
    </row>
    <row r="151">
      <c r="A151" s="2">
        <v>45671.47625</v>
      </c>
      <c r="B151" s="1" t="s">
        <v>231</v>
      </c>
      <c r="C151" s="1" t="s">
        <v>197</v>
      </c>
      <c r="D151" s="1" t="s">
        <v>209</v>
      </c>
      <c r="E151" s="1" t="s">
        <v>235</v>
      </c>
      <c r="F151" s="1" t="s">
        <v>11</v>
      </c>
      <c r="G151" s="1" t="s">
        <v>211</v>
      </c>
    </row>
    <row r="152">
      <c r="A152" s="2">
        <v>45671.48097222222</v>
      </c>
      <c r="B152" s="1" t="s">
        <v>231</v>
      </c>
      <c r="C152" s="1" t="s">
        <v>197</v>
      </c>
      <c r="D152" s="1" t="s">
        <v>209</v>
      </c>
      <c r="E152" s="1" t="s">
        <v>236</v>
      </c>
      <c r="F152" s="1" t="s">
        <v>11</v>
      </c>
      <c r="G152" s="1" t="s">
        <v>211</v>
      </c>
    </row>
    <row r="153">
      <c r="A153" s="2">
        <v>45671.481516203705</v>
      </c>
      <c r="B153" s="1" t="s">
        <v>231</v>
      </c>
      <c r="C153" s="1" t="s">
        <v>197</v>
      </c>
      <c r="D153" s="1" t="s">
        <v>209</v>
      </c>
      <c r="E153" s="1" t="s">
        <v>237</v>
      </c>
      <c r="F153" s="1" t="s">
        <v>11</v>
      </c>
      <c r="G153" s="1" t="s">
        <v>211</v>
      </c>
    </row>
    <row r="154">
      <c r="A154" s="2">
        <v>45671.48231481481</v>
      </c>
      <c r="B154" s="1" t="s">
        <v>197</v>
      </c>
      <c r="C154" s="1" t="s">
        <v>151</v>
      </c>
      <c r="D154" s="1" t="s">
        <v>209</v>
      </c>
      <c r="E154" s="1" t="s">
        <v>238</v>
      </c>
      <c r="F154" s="1" t="s">
        <v>11</v>
      </c>
      <c r="G154" s="1" t="s">
        <v>208</v>
      </c>
    </row>
    <row r="155">
      <c r="A155" s="2">
        <v>45671.48287037037</v>
      </c>
      <c r="B155" s="1" t="s">
        <v>197</v>
      </c>
      <c r="C155" s="1" t="s">
        <v>151</v>
      </c>
      <c r="D155" s="1" t="s">
        <v>209</v>
      </c>
      <c r="E155" s="1" t="s">
        <v>239</v>
      </c>
      <c r="F155" s="1" t="s">
        <v>11</v>
      </c>
      <c r="G155" s="1" t="s">
        <v>208</v>
      </c>
    </row>
    <row r="156">
      <c r="A156" s="2">
        <v>45671.48328703704</v>
      </c>
      <c r="B156" s="1" t="s">
        <v>201</v>
      </c>
      <c r="C156" s="1" t="s">
        <v>197</v>
      </c>
      <c r="D156" s="1" t="s">
        <v>209</v>
      </c>
      <c r="E156" s="1" t="s">
        <v>240</v>
      </c>
      <c r="F156" s="1" t="s">
        <v>11</v>
      </c>
      <c r="G156" s="1" t="s">
        <v>211</v>
      </c>
    </row>
    <row r="157">
      <c r="A157" s="2">
        <v>45671.48333333333</v>
      </c>
      <c r="B157" s="1" t="s">
        <v>197</v>
      </c>
      <c r="C157" s="1" t="s">
        <v>151</v>
      </c>
      <c r="D157" s="1" t="s">
        <v>209</v>
      </c>
      <c r="E157" s="1" t="s">
        <v>241</v>
      </c>
      <c r="F157" s="1" t="s">
        <v>11</v>
      </c>
      <c r="G157" s="1" t="s">
        <v>208</v>
      </c>
    </row>
    <row r="158">
      <c r="A158" s="2">
        <v>45671.48370370371</v>
      </c>
      <c r="B158" s="1" t="s">
        <v>197</v>
      </c>
      <c r="C158" s="1" t="s">
        <v>201</v>
      </c>
      <c r="D158" s="1" t="s">
        <v>209</v>
      </c>
      <c r="E158" s="1" t="s">
        <v>242</v>
      </c>
      <c r="F158" s="1" t="s">
        <v>11</v>
      </c>
      <c r="G158" s="1" t="s">
        <v>208</v>
      </c>
    </row>
    <row r="159">
      <c r="A159" s="2">
        <v>45671.4837962963</v>
      </c>
      <c r="B159" s="1" t="s">
        <v>197</v>
      </c>
      <c r="C159" s="1" t="s">
        <v>201</v>
      </c>
      <c r="D159" s="1" t="s">
        <v>209</v>
      </c>
      <c r="E159" s="1" t="s">
        <v>243</v>
      </c>
      <c r="F159" s="1" t="s">
        <v>11</v>
      </c>
      <c r="G159" s="1" t="s">
        <v>208</v>
      </c>
    </row>
    <row r="160">
      <c r="A160" s="2">
        <v>45671.48405092592</v>
      </c>
      <c r="B160" s="1" t="s">
        <v>197</v>
      </c>
      <c r="C160" s="1" t="s">
        <v>201</v>
      </c>
      <c r="D160" s="1" t="s">
        <v>209</v>
      </c>
      <c r="E160" s="1" t="s">
        <v>244</v>
      </c>
      <c r="F160" s="1" t="s">
        <v>11</v>
      </c>
      <c r="G160" s="1" t="s">
        <v>208</v>
      </c>
    </row>
    <row r="161">
      <c r="A161" s="2">
        <v>45671.487280092595</v>
      </c>
      <c r="B161" s="1" t="s">
        <v>197</v>
      </c>
      <c r="C161" s="1" t="s">
        <v>201</v>
      </c>
      <c r="D161" s="1" t="s">
        <v>209</v>
      </c>
      <c r="E161" s="1" t="s">
        <v>245</v>
      </c>
      <c r="F161" s="1" t="s">
        <v>11</v>
      </c>
      <c r="G161" s="1" t="s">
        <v>208</v>
      </c>
    </row>
    <row r="162">
      <c r="A162" s="2">
        <v>45671.48787037037</v>
      </c>
      <c r="B162" s="1" t="s">
        <v>231</v>
      </c>
      <c r="C162" s="1" t="s">
        <v>197</v>
      </c>
      <c r="D162" s="1" t="s">
        <v>209</v>
      </c>
      <c r="E162" s="1" t="s">
        <v>246</v>
      </c>
      <c r="F162" s="1" t="s">
        <v>11</v>
      </c>
      <c r="G162" s="1" t="s">
        <v>211</v>
      </c>
    </row>
    <row r="163">
      <c r="A163" s="2">
        <v>45671.488645833335</v>
      </c>
      <c r="B163" s="1" t="s">
        <v>197</v>
      </c>
      <c r="C163" s="1" t="s">
        <v>201</v>
      </c>
      <c r="D163" s="1" t="s">
        <v>209</v>
      </c>
      <c r="E163" s="1" t="s">
        <v>247</v>
      </c>
      <c r="F163" s="1" t="s">
        <v>11</v>
      </c>
      <c r="G163" s="1" t="s">
        <v>208</v>
      </c>
    </row>
    <row r="164">
      <c r="A164" s="2">
        <v>45671.489699074074</v>
      </c>
      <c r="B164" s="1" t="s">
        <v>197</v>
      </c>
      <c r="C164" s="1" t="s">
        <v>151</v>
      </c>
      <c r="D164" s="1" t="s">
        <v>209</v>
      </c>
      <c r="E164" s="1" t="s">
        <v>248</v>
      </c>
      <c r="F164" s="1" t="s">
        <v>11</v>
      </c>
      <c r="G164" s="1" t="s">
        <v>208</v>
      </c>
    </row>
    <row r="165">
      <c r="A165" s="2">
        <v>45671.49052083334</v>
      </c>
      <c r="B165" s="1" t="s">
        <v>197</v>
      </c>
      <c r="C165" s="1" t="s">
        <v>201</v>
      </c>
      <c r="D165" s="1" t="s">
        <v>209</v>
      </c>
      <c r="E165" s="1" t="s">
        <v>249</v>
      </c>
      <c r="F165" s="1" t="s">
        <v>11</v>
      </c>
      <c r="G165" s="1" t="s">
        <v>208</v>
      </c>
    </row>
    <row r="166">
      <c r="A166" s="2">
        <v>45671.4909375</v>
      </c>
      <c r="B166" s="1" t="s">
        <v>197</v>
      </c>
      <c r="C166" s="1" t="s">
        <v>201</v>
      </c>
      <c r="D166" s="1" t="s">
        <v>209</v>
      </c>
      <c r="E166" s="1" t="s">
        <v>250</v>
      </c>
      <c r="F166" s="1" t="s">
        <v>11</v>
      </c>
      <c r="G166" s="1" t="s">
        <v>208</v>
      </c>
    </row>
    <row r="167">
      <c r="A167" s="2">
        <v>45671.491261574076</v>
      </c>
      <c r="B167" s="1" t="s">
        <v>197</v>
      </c>
      <c r="C167" s="1" t="s">
        <v>201</v>
      </c>
      <c r="D167" s="1" t="s">
        <v>209</v>
      </c>
      <c r="E167" s="1" t="s">
        <v>251</v>
      </c>
      <c r="F167" s="1" t="s">
        <v>11</v>
      </c>
      <c r="G167" s="1" t="s">
        <v>208</v>
      </c>
    </row>
    <row r="168">
      <c r="A168" s="2">
        <v>45671.49270833333</v>
      </c>
      <c r="B168" s="1" t="s">
        <v>197</v>
      </c>
      <c r="C168" s="1" t="s">
        <v>201</v>
      </c>
      <c r="D168" s="1" t="s">
        <v>209</v>
      </c>
      <c r="E168" s="1" t="s">
        <v>252</v>
      </c>
      <c r="F168" s="1" t="s">
        <v>11</v>
      </c>
      <c r="G168" s="1" t="s">
        <v>208</v>
      </c>
    </row>
    <row r="169">
      <c r="A169" s="2">
        <v>45671.49417824074</v>
      </c>
      <c r="B169" s="1" t="s">
        <v>197</v>
      </c>
      <c r="C169" s="1" t="s">
        <v>201</v>
      </c>
      <c r="D169" s="1" t="s">
        <v>209</v>
      </c>
      <c r="E169" s="1" t="s">
        <v>253</v>
      </c>
      <c r="F169" s="1" t="s">
        <v>11</v>
      </c>
      <c r="G169" s="1" t="s">
        <v>208</v>
      </c>
    </row>
    <row r="170">
      <c r="A170" s="2">
        <v>45671.49450231482</v>
      </c>
      <c r="B170" s="1" t="s">
        <v>201</v>
      </c>
      <c r="C170" s="1" t="s">
        <v>197</v>
      </c>
      <c r="D170" s="1" t="s">
        <v>209</v>
      </c>
      <c r="E170" s="1" t="s">
        <v>254</v>
      </c>
      <c r="F170" s="1" t="s">
        <v>11</v>
      </c>
      <c r="G170" s="1" t="s">
        <v>211</v>
      </c>
    </row>
    <row r="171">
      <c r="A171" s="2">
        <v>45671.494780092595</v>
      </c>
      <c r="B171" s="1" t="s">
        <v>201</v>
      </c>
      <c r="C171" s="1" t="s">
        <v>197</v>
      </c>
      <c r="D171" s="1" t="s">
        <v>209</v>
      </c>
      <c r="E171" s="1" t="s">
        <v>255</v>
      </c>
      <c r="F171" s="1" t="s">
        <v>11</v>
      </c>
      <c r="G171" s="1" t="s">
        <v>211</v>
      </c>
    </row>
    <row r="172">
      <c r="A172" s="2">
        <v>45671.49521990741</v>
      </c>
      <c r="B172" s="1" t="s">
        <v>197</v>
      </c>
      <c r="C172" s="1" t="s">
        <v>201</v>
      </c>
      <c r="D172" s="1" t="s">
        <v>209</v>
      </c>
      <c r="E172" s="1" t="s">
        <v>256</v>
      </c>
      <c r="F172" s="1" t="s">
        <v>11</v>
      </c>
      <c r="G172" s="1" t="s">
        <v>208</v>
      </c>
    </row>
    <row r="173">
      <c r="A173" s="2">
        <v>45671.495416666665</v>
      </c>
      <c r="B173" s="1" t="s">
        <v>197</v>
      </c>
      <c r="C173" s="1" t="s">
        <v>201</v>
      </c>
      <c r="D173" s="1" t="s">
        <v>209</v>
      </c>
      <c r="E173" s="1" t="s">
        <v>257</v>
      </c>
      <c r="F173" s="1" t="s">
        <v>11</v>
      </c>
      <c r="G173" s="1" t="s">
        <v>208</v>
      </c>
    </row>
    <row r="174">
      <c r="A174" s="2">
        <v>45671.49554398148</v>
      </c>
      <c r="B174" s="1" t="s">
        <v>197</v>
      </c>
      <c r="C174" s="1" t="s">
        <v>201</v>
      </c>
      <c r="D174" s="1" t="s">
        <v>209</v>
      </c>
      <c r="E174" s="1" t="s">
        <v>258</v>
      </c>
      <c r="F174" s="1" t="s">
        <v>11</v>
      </c>
      <c r="G174" s="1" t="s">
        <v>208</v>
      </c>
    </row>
    <row r="175">
      <c r="A175" s="2">
        <v>45671.49581018519</v>
      </c>
      <c r="B175" s="1" t="s">
        <v>197</v>
      </c>
      <c r="C175" s="1" t="s">
        <v>201</v>
      </c>
      <c r="D175" s="1" t="s">
        <v>209</v>
      </c>
      <c r="E175" s="1" t="s">
        <v>259</v>
      </c>
      <c r="F175" s="1" t="s">
        <v>11</v>
      </c>
      <c r="G175" s="1" t="s">
        <v>208</v>
      </c>
    </row>
    <row r="176">
      <c r="A176" s="2">
        <v>45671.49600694444</v>
      </c>
      <c r="B176" s="1" t="s">
        <v>231</v>
      </c>
      <c r="C176" s="1" t="s">
        <v>197</v>
      </c>
      <c r="D176" s="1" t="s">
        <v>209</v>
      </c>
      <c r="E176" s="1" t="s">
        <v>260</v>
      </c>
      <c r="F176" s="1" t="s">
        <v>11</v>
      </c>
      <c r="G176" s="1" t="s">
        <v>211</v>
      </c>
    </row>
    <row r="177">
      <c r="A177" s="2">
        <v>45671.497453703705</v>
      </c>
      <c r="B177" s="1" t="s">
        <v>197</v>
      </c>
      <c r="C177" s="1" t="s">
        <v>151</v>
      </c>
      <c r="D177" s="1" t="s">
        <v>209</v>
      </c>
      <c r="E177" s="1" t="s">
        <v>261</v>
      </c>
      <c r="F177" s="1" t="s">
        <v>11</v>
      </c>
      <c r="G177" s="1" t="s">
        <v>208</v>
      </c>
    </row>
    <row r="178">
      <c r="A178" s="2">
        <v>45671.497766203705</v>
      </c>
      <c r="B178" s="1" t="s">
        <v>197</v>
      </c>
      <c r="C178" s="1" t="s">
        <v>151</v>
      </c>
      <c r="D178" s="1" t="s">
        <v>209</v>
      </c>
      <c r="E178" s="1" t="s">
        <v>262</v>
      </c>
      <c r="F178" s="1" t="s">
        <v>11</v>
      </c>
      <c r="G178" s="1" t="s">
        <v>208</v>
      </c>
    </row>
    <row r="179">
      <c r="A179" s="2">
        <v>45671.49805555555</v>
      </c>
      <c r="B179" s="1" t="s">
        <v>197</v>
      </c>
      <c r="C179" s="1" t="s">
        <v>151</v>
      </c>
      <c r="D179" s="1" t="s">
        <v>209</v>
      </c>
      <c r="E179" s="1" t="s">
        <v>263</v>
      </c>
      <c r="F179" s="1" t="s">
        <v>11</v>
      </c>
      <c r="G179" s="1" t="s">
        <v>208</v>
      </c>
    </row>
    <row r="180">
      <c r="A180" s="2">
        <v>45671.49821759259</v>
      </c>
      <c r="B180" s="1" t="s">
        <v>197</v>
      </c>
      <c r="C180" s="1" t="s">
        <v>151</v>
      </c>
      <c r="D180" s="1" t="s">
        <v>209</v>
      </c>
      <c r="E180" s="1" t="s">
        <v>264</v>
      </c>
      <c r="F180" s="1" t="s">
        <v>11</v>
      </c>
      <c r="G180" s="1" t="s">
        <v>208</v>
      </c>
    </row>
    <row r="181">
      <c r="A181" s="2">
        <v>45671.498402777775</v>
      </c>
      <c r="B181" s="1" t="s">
        <v>197</v>
      </c>
      <c r="C181" s="1" t="s">
        <v>151</v>
      </c>
      <c r="D181" s="1" t="s">
        <v>209</v>
      </c>
      <c r="E181" s="1" t="s">
        <v>265</v>
      </c>
      <c r="F181" s="1" t="s">
        <v>11</v>
      </c>
      <c r="G181" s="1" t="s">
        <v>208</v>
      </c>
    </row>
    <row r="182">
      <c r="A182" s="2">
        <v>45671.49853009259</v>
      </c>
      <c r="B182" s="1" t="s">
        <v>197</v>
      </c>
      <c r="C182" s="1" t="s">
        <v>151</v>
      </c>
      <c r="D182" s="1" t="s">
        <v>209</v>
      </c>
      <c r="E182" s="1" t="s">
        <v>266</v>
      </c>
      <c r="F182" s="1" t="s">
        <v>11</v>
      </c>
      <c r="G182" s="1" t="s">
        <v>208</v>
      </c>
    </row>
    <row r="183">
      <c r="A183" s="2">
        <v>45671.50215277778</v>
      </c>
      <c r="B183" s="1" t="s">
        <v>197</v>
      </c>
      <c r="C183" s="1" t="s">
        <v>151</v>
      </c>
      <c r="D183" s="1" t="s">
        <v>209</v>
      </c>
      <c r="E183" s="1" t="s">
        <v>267</v>
      </c>
      <c r="F183" s="1" t="s">
        <v>11</v>
      </c>
      <c r="G183" s="1" t="s">
        <v>208</v>
      </c>
    </row>
    <row r="184">
      <c r="A184" s="2">
        <v>45671.50315972222</v>
      </c>
      <c r="B184" s="1" t="s">
        <v>197</v>
      </c>
      <c r="C184" s="1" t="s">
        <v>151</v>
      </c>
      <c r="D184" s="1" t="s">
        <v>209</v>
      </c>
      <c r="E184" s="1" t="s">
        <v>268</v>
      </c>
      <c r="F184" s="1" t="s">
        <v>11</v>
      </c>
      <c r="G184" s="1" t="s">
        <v>208</v>
      </c>
    </row>
    <row r="185">
      <c r="A185" s="2">
        <v>45671.5219212963</v>
      </c>
      <c r="B185" s="1" t="s">
        <v>201</v>
      </c>
      <c r="C185" s="1" t="s">
        <v>197</v>
      </c>
      <c r="D185" s="1" t="s">
        <v>209</v>
      </c>
      <c r="E185" s="1" t="s">
        <v>269</v>
      </c>
      <c r="F185" s="1" t="s">
        <v>11</v>
      </c>
      <c r="G185" s="1" t="s">
        <v>211</v>
      </c>
    </row>
    <row r="186">
      <c r="A186" s="2">
        <v>45671.547106481485</v>
      </c>
      <c r="B186" s="1" t="s">
        <v>197</v>
      </c>
      <c r="C186" s="1" t="s">
        <v>151</v>
      </c>
      <c r="D186" s="1" t="s">
        <v>209</v>
      </c>
      <c r="E186" s="1" t="s">
        <v>270</v>
      </c>
      <c r="F186" s="1" t="s">
        <v>271</v>
      </c>
      <c r="G186" s="1" t="s">
        <v>208</v>
      </c>
    </row>
    <row r="187">
      <c r="A187" s="2">
        <v>45671.56155092592</v>
      </c>
      <c r="B187" s="1" t="s">
        <v>201</v>
      </c>
      <c r="C187" s="1" t="s">
        <v>197</v>
      </c>
      <c r="D187" s="1" t="s">
        <v>209</v>
      </c>
      <c r="E187" s="1" t="s">
        <v>272</v>
      </c>
      <c r="F187" s="1" t="s">
        <v>271</v>
      </c>
      <c r="G187" s="1" t="s">
        <v>211</v>
      </c>
    </row>
    <row r="188">
      <c r="A188" s="2">
        <v>45671.56423611111</v>
      </c>
      <c r="B188" s="1" t="s">
        <v>201</v>
      </c>
      <c r="C188" s="1" t="s">
        <v>197</v>
      </c>
      <c r="D188" s="1" t="s">
        <v>209</v>
      </c>
      <c r="E188" s="1" t="s">
        <v>273</v>
      </c>
      <c r="F188" s="1" t="s">
        <v>11</v>
      </c>
      <c r="G188" s="1" t="s">
        <v>211</v>
      </c>
    </row>
    <row r="189">
      <c r="A189" s="2">
        <v>45671.57282407407</v>
      </c>
      <c r="B189" s="1" t="s">
        <v>201</v>
      </c>
      <c r="C189" s="1" t="s">
        <v>197</v>
      </c>
      <c r="D189" s="1" t="s">
        <v>209</v>
      </c>
      <c r="E189" s="1" t="s">
        <v>274</v>
      </c>
      <c r="F189" s="1" t="s">
        <v>271</v>
      </c>
      <c r="G189" s="1" t="s">
        <v>211</v>
      </c>
    </row>
    <row r="190">
      <c r="A190" s="2">
        <v>45671.57508101852</v>
      </c>
      <c r="B190" s="1" t="s">
        <v>201</v>
      </c>
      <c r="C190" s="1" t="s">
        <v>197</v>
      </c>
      <c r="D190" s="1" t="s">
        <v>209</v>
      </c>
      <c r="E190" s="1" t="s">
        <v>275</v>
      </c>
      <c r="F190" s="1" t="s">
        <v>271</v>
      </c>
      <c r="G190" s="1" t="s">
        <v>211</v>
      </c>
    </row>
    <row r="191">
      <c r="A191" s="2">
        <v>45671.62704861111</v>
      </c>
      <c r="B191" s="1" t="s">
        <v>231</v>
      </c>
      <c r="C191" s="1" t="s">
        <v>197</v>
      </c>
      <c r="D191" s="1" t="s">
        <v>209</v>
      </c>
      <c r="E191" s="1" t="s">
        <v>276</v>
      </c>
      <c r="F191" s="1" t="s">
        <v>11</v>
      </c>
      <c r="G191" s="1" t="s">
        <v>211</v>
      </c>
    </row>
    <row r="192">
      <c r="A192" s="2">
        <v>45671.694189814814</v>
      </c>
      <c r="B192" s="1" t="s">
        <v>201</v>
      </c>
      <c r="C192" s="1" t="s">
        <v>197</v>
      </c>
      <c r="D192" s="1" t="s">
        <v>209</v>
      </c>
      <c r="E192" s="1" t="s">
        <v>277</v>
      </c>
      <c r="F192" s="1" t="s">
        <v>11</v>
      </c>
      <c r="G192" s="1" t="s">
        <v>211</v>
      </c>
    </row>
    <row r="193">
      <c r="A193" s="2">
        <v>45671.72986111111</v>
      </c>
      <c r="B193" s="1" t="s">
        <v>231</v>
      </c>
      <c r="C193" s="1" t="s">
        <v>197</v>
      </c>
      <c r="D193" s="1" t="s">
        <v>209</v>
      </c>
      <c r="E193" s="1" t="s">
        <v>278</v>
      </c>
      <c r="F193" s="1" t="s">
        <v>11</v>
      </c>
      <c r="G193" s="1" t="s">
        <v>211</v>
      </c>
    </row>
    <row r="194">
      <c r="A194" s="2">
        <v>45671.734768518516</v>
      </c>
      <c r="B194" s="1" t="s">
        <v>231</v>
      </c>
      <c r="C194" s="1" t="s">
        <v>197</v>
      </c>
      <c r="D194" s="1" t="s">
        <v>209</v>
      </c>
      <c r="E194" s="1" t="s">
        <v>279</v>
      </c>
      <c r="F194" s="1" t="s">
        <v>11</v>
      </c>
      <c r="G194" s="1" t="s">
        <v>211</v>
      </c>
    </row>
    <row r="195">
      <c r="A195" s="2">
        <v>45671.747025462966</v>
      </c>
      <c r="B195" s="1" t="s">
        <v>201</v>
      </c>
      <c r="C195" s="1" t="s">
        <v>197</v>
      </c>
      <c r="D195" s="1" t="s">
        <v>209</v>
      </c>
      <c r="E195" s="1" t="s">
        <v>280</v>
      </c>
      <c r="F195" s="1" t="s">
        <v>11</v>
      </c>
      <c r="G195" s="1" t="s">
        <v>211</v>
      </c>
    </row>
    <row r="196">
      <c r="A196" s="2">
        <v>45672.366689814815</v>
      </c>
      <c r="B196" s="1" t="s">
        <v>197</v>
      </c>
      <c r="C196" s="1" t="s">
        <v>201</v>
      </c>
      <c r="D196" s="1" t="s">
        <v>281</v>
      </c>
      <c r="E196" s="1" t="s">
        <v>282</v>
      </c>
      <c r="F196" s="1" t="s">
        <v>271</v>
      </c>
      <c r="G196" s="1" t="s">
        <v>208</v>
      </c>
    </row>
    <row r="197">
      <c r="A197" s="2">
        <v>45672.40277777778</v>
      </c>
      <c r="B197" s="1" t="s">
        <v>201</v>
      </c>
      <c r="C197" s="1" t="s">
        <v>197</v>
      </c>
      <c r="D197" s="1" t="s">
        <v>283</v>
      </c>
      <c r="E197" s="1" t="s">
        <v>284</v>
      </c>
      <c r="F197" s="1" t="s">
        <v>11</v>
      </c>
      <c r="G197" s="1" t="s">
        <v>285</v>
      </c>
    </row>
    <row r="198">
      <c r="A198" s="2">
        <v>45672.84005787037</v>
      </c>
      <c r="B198" s="1" t="s">
        <v>150</v>
      </c>
      <c r="C198" s="1" t="s">
        <v>151</v>
      </c>
      <c r="D198" s="1" t="s">
        <v>175</v>
      </c>
      <c r="E198" s="1" t="s">
        <v>153</v>
      </c>
      <c r="F198" s="1" t="s">
        <v>11</v>
      </c>
      <c r="G198" s="1" t="s">
        <v>14</v>
      </c>
    </row>
    <row r="199">
      <c r="A199" s="2">
        <v>45678.19957175926</v>
      </c>
      <c r="B199" s="1" t="s">
        <v>286</v>
      </c>
      <c r="C199" s="1" t="s">
        <v>151</v>
      </c>
      <c r="D199" s="1" t="s">
        <v>287</v>
      </c>
      <c r="E199" s="1" t="s">
        <v>288</v>
      </c>
      <c r="F199" s="1" t="s">
        <v>11</v>
      </c>
      <c r="G199" s="1" t="s">
        <v>167</v>
      </c>
    </row>
    <row r="200">
      <c r="A200" s="2">
        <v>45679.61599537037</v>
      </c>
      <c r="B200" s="1" t="s">
        <v>201</v>
      </c>
      <c r="C200" s="1" t="s">
        <v>197</v>
      </c>
      <c r="D200" s="1" t="s">
        <v>289</v>
      </c>
      <c r="E200" s="1" t="s">
        <v>290</v>
      </c>
      <c r="F200" s="1" t="s">
        <v>271</v>
      </c>
      <c r="G200" s="1" t="s">
        <v>204</v>
      </c>
    </row>
    <row r="201">
      <c r="A201" s="2">
        <v>45686.84444444445</v>
      </c>
      <c r="B201" s="1" t="s">
        <v>150</v>
      </c>
      <c r="C201" s="1" t="s">
        <v>151</v>
      </c>
      <c r="D201" s="1" t="s">
        <v>196</v>
      </c>
      <c r="E201" s="1" t="s">
        <v>153</v>
      </c>
      <c r="F201" s="1" t="s">
        <v>11</v>
      </c>
      <c r="G201" s="1" t="s">
        <v>14</v>
      </c>
    </row>
    <row r="202">
      <c r="A202" s="2">
        <v>45701.36418981481</v>
      </c>
      <c r="B202" s="1" t="s">
        <v>197</v>
      </c>
      <c r="C202" s="3" t="str">
        <f>?utf-8?Q?Harper=E2=80=99s_Dad_=F0=9F=92=9C?= &lt;placed.sj@gmail.com&gt;</f>
        <v>#ERROR!</v>
      </c>
      <c r="D202" s="1" t="s">
        <v>291</v>
      </c>
      <c r="E202" s="1" t="s">
        <v>292</v>
      </c>
      <c r="F202" s="1" t="s">
        <v>11</v>
      </c>
      <c r="G202" s="1" t="s">
        <v>293</v>
      </c>
    </row>
    <row r="203">
      <c r="A203" s="2">
        <v>45701.36436342593</v>
      </c>
      <c r="B203" s="1" t="s">
        <v>197</v>
      </c>
      <c r="C203" s="3" t="str">
        <f>?utf-8?Q?Harper=E2=80=99s_Dad_=F0=9F=92=9C?= &lt;placed.sj@gmail.com&gt;</f>
        <v>#ERROR!</v>
      </c>
      <c r="D203" s="1" t="s">
        <v>294</v>
      </c>
      <c r="E203" s="1" t="s">
        <v>295</v>
      </c>
      <c r="F203" s="1" t="s">
        <v>11</v>
      </c>
      <c r="G203" s="1" t="s">
        <v>293</v>
      </c>
    </row>
    <row r="204">
      <c r="A204" s="2">
        <v>45701.36452546297</v>
      </c>
      <c r="B204" s="1" t="s">
        <v>197</v>
      </c>
      <c r="C204" s="3" t="str">
        <f>?utf-8?Q?Harper=E2=80=99s_Dad_=F0=9F=92=9C?= &lt;placed.sj@gmail.com&gt;</f>
        <v>#ERROR!</v>
      </c>
      <c r="D204" s="1" t="s">
        <v>296</v>
      </c>
      <c r="E204" s="1" t="s">
        <v>297</v>
      </c>
      <c r="F204" s="1" t="s">
        <v>11</v>
      </c>
      <c r="G204" s="1" t="s">
        <v>293</v>
      </c>
    </row>
    <row r="205">
      <c r="A205" s="2">
        <v>45701.364641203705</v>
      </c>
      <c r="B205" s="1" t="s">
        <v>197</v>
      </c>
      <c r="C205" s="3" t="str">
        <f>?utf-8?Q?Harper=E2=80=99s_Dad_=F0=9F=92=9C?= &lt;placed.sj@gmail.com&gt;</f>
        <v>#ERROR!</v>
      </c>
      <c r="D205" s="1" t="s">
        <v>296</v>
      </c>
      <c r="E205" s="1" t="s">
        <v>298</v>
      </c>
      <c r="F205" s="1" t="s">
        <v>11</v>
      </c>
      <c r="G205" s="1" t="s">
        <v>293</v>
      </c>
    </row>
    <row r="206">
      <c r="A206" s="2">
        <v>45701.364965277775</v>
      </c>
      <c r="B206" s="1" t="s">
        <v>197</v>
      </c>
      <c r="C206" s="3" t="str">
        <f>?utf-8?Q?Harper=E2=80=99s_Dad_=F0=9F=92=9C?= &lt;placed.sj@gmail.com&gt;</f>
        <v>#ERROR!</v>
      </c>
      <c r="D206" s="1" t="s">
        <v>296</v>
      </c>
      <c r="E206" s="1" t="s">
        <v>299</v>
      </c>
      <c r="F206" s="1" t="s">
        <v>11</v>
      </c>
      <c r="G206" s="1" t="s">
        <v>293</v>
      </c>
    </row>
    <row r="207">
      <c r="A207" s="2">
        <v>45701.365335648145</v>
      </c>
      <c r="B207" s="1" t="s">
        <v>197</v>
      </c>
      <c r="C207" s="3" t="str">
        <f>?utf-8?Q?Harper=E2=80=99s_Dad_=F0=9F=92=9C?= &lt;placed.sj@gmail.com&gt;</f>
        <v>#ERROR!</v>
      </c>
      <c r="D207" s="1" t="s">
        <v>300</v>
      </c>
      <c r="E207" s="1" t="s">
        <v>301</v>
      </c>
      <c r="F207" s="1" t="s">
        <v>11</v>
      </c>
      <c r="G207" s="1" t="s">
        <v>293</v>
      </c>
    </row>
    <row r="208">
      <c r="A208" s="2">
        <v>45701.368738425925</v>
      </c>
      <c r="B208" s="1" t="s">
        <v>197</v>
      </c>
      <c r="C208" s="3" t="str">
        <f>?utf-8?Q?Harper=E2=80=99s_Dad_=F0=9F=92=9C?= &lt;placed.sj@gmail.com&gt;</f>
        <v>#ERROR!</v>
      </c>
      <c r="D208" s="1" t="s">
        <v>300</v>
      </c>
      <c r="E208" s="1" t="s">
        <v>302</v>
      </c>
      <c r="F208" s="1" t="s">
        <v>11</v>
      </c>
      <c r="G208" s="1" t="s">
        <v>293</v>
      </c>
    </row>
    <row r="209">
      <c r="A209" s="2">
        <v>45701.606087962966</v>
      </c>
      <c r="B209" s="1" t="s">
        <v>201</v>
      </c>
      <c r="C209" s="1" t="s">
        <v>303</v>
      </c>
      <c r="D209" s="1" t="s">
        <v>304</v>
      </c>
      <c r="E209" s="1" t="s">
        <v>305</v>
      </c>
      <c r="F209" s="1" t="s">
        <v>11</v>
      </c>
      <c r="G209" s="1" t="s">
        <v>306</v>
      </c>
    </row>
    <row r="210">
      <c r="A210" s="2">
        <v>45706.00034722222</v>
      </c>
      <c r="B210" s="1" t="s">
        <v>307</v>
      </c>
      <c r="C210" s="1" t="s">
        <v>308</v>
      </c>
      <c r="D210" s="1" t="s">
        <v>309</v>
      </c>
      <c r="E210" s="1" t="s">
        <v>310</v>
      </c>
      <c r="F210" s="1" t="s">
        <v>271</v>
      </c>
      <c r="G210" s="1" t="s">
        <v>311</v>
      </c>
    </row>
    <row r="211">
      <c r="A211" s="2">
        <v>45705.854050925926</v>
      </c>
      <c r="B211" s="1" t="s">
        <v>201</v>
      </c>
      <c r="C211" s="1" t="s">
        <v>307</v>
      </c>
      <c r="D211" s="1" t="s">
        <v>312</v>
      </c>
      <c r="E211" s="1" t="s">
        <v>313</v>
      </c>
      <c r="F211" s="1" t="s">
        <v>11</v>
      </c>
      <c r="G211" s="1" t="s">
        <v>211</v>
      </c>
    </row>
    <row r="212">
      <c r="A212" s="2">
        <v>45705.85457175926</v>
      </c>
      <c r="B212" s="1" t="s">
        <v>201</v>
      </c>
      <c r="C212" s="1" t="s">
        <v>307</v>
      </c>
      <c r="D212" s="1" t="s">
        <v>312</v>
      </c>
      <c r="E212" s="1" t="s">
        <v>314</v>
      </c>
      <c r="F212" s="1" t="s">
        <v>11</v>
      </c>
      <c r="G212" s="1" t="s">
        <v>211</v>
      </c>
    </row>
    <row r="213">
      <c r="A213" s="2">
        <v>45705.85491898148</v>
      </c>
      <c r="B213" s="1" t="s">
        <v>201</v>
      </c>
      <c r="C213" s="1" t="s">
        <v>307</v>
      </c>
      <c r="D213" s="1" t="s">
        <v>312</v>
      </c>
      <c r="E213" s="1" t="s">
        <v>315</v>
      </c>
      <c r="F213" s="1" t="s">
        <v>11</v>
      </c>
      <c r="G213" s="1" t="s">
        <v>211</v>
      </c>
    </row>
    <row r="214">
      <c r="A214" s="2">
        <v>45706.67894675926</v>
      </c>
      <c r="B214" s="1" t="s">
        <v>316</v>
      </c>
      <c r="C214" s="1" t="s">
        <v>317</v>
      </c>
      <c r="D214" s="3" t="str">
        <f>?UTF-8?Q?Harper_day_Harper_day_it=E2=80=99s_dad_Luna_and_Harper_day?=
	=?UTF-8?Q?=21=21=21=21?=</f>
        <v>#ERROR!</v>
      </c>
      <c r="E214" s="1" t="s">
        <v>282</v>
      </c>
      <c r="F214" s="1" t="s">
        <v>11</v>
      </c>
      <c r="G214" s="1" t="s">
        <v>318</v>
      </c>
    </row>
    <row r="215">
      <c r="A215" s="2">
        <v>45732.762511574074</v>
      </c>
      <c r="B215" s="1" t="s">
        <v>150</v>
      </c>
      <c r="C215" s="1" t="s">
        <v>151</v>
      </c>
      <c r="D215" s="1" t="s">
        <v>319</v>
      </c>
      <c r="E215" s="1" t="s">
        <v>153</v>
      </c>
      <c r="F215" s="1" t="s">
        <v>11</v>
      </c>
      <c r="G215" s="1" t="s">
        <v>14</v>
      </c>
    </row>
    <row r="216">
      <c r="A216" s="2">
        <v>45740.794895833336</v>
      </c>
      <c r="B216" s="1" t="s">
        <v>150</v>
      </c>
      <c r="C216" s="1" t="s">
        <v>151</v>
      </c>
      <c r="D216" s="1" t="s">
        <v>319</v>
      </c>
      <c r="E216" s="1" t="s">
        <v>153</v>
      </c>
      <c r="F216" s="1" t="s">
        <v>11</v>
      </c>
      <c r="G216" s="1" t="s">
        <v>14</v>
      </c>
    </row>
    <row r="217">
      <c r="A217" s="2">
        <v>45752.766122685185</v>
      </c>
      <c r="B217" s="1" t="s">
        <v>150</v>
      </c>
      <c r="C217" s="1" t="s">
        <v>151</v>
      </c>
      <c r="D217" s="1" t="s">
        <v>320</v>
      </c>
      <c r="E217" s="1" t="s">
        <v>153</v>
      </c>
      <c r="F217" s="1" t="s">
        <v>11</v>
      </c>
      <c r="G217" s="1" t="s">
        <v>14</v>
      </c>
    </row>
    <row r="218">
      <c r="A218" s="2">
        <v>45801.443923611114</v>
      </c>
      <c r="B218" s="1" t="s">
        <v>197</v>
      </c>
      <c r="C218" s="1" t="s">
        <v>321</v>
      </c>
      <c r="E218" s="1" t="s">
        <v>322</v>
      </c>
      <c r="F218" s="1" t="s">
        <v>11</v>
      </c>
      <c r="G218" s="1" t="s">
        <v>200</v>
      </c>
    </row>
    <row r="219">
      <c r="A219" s="2">
        <v>45801.65325231481</v>
      </c>
      <c r="B219" s="1" t="s">
        <v>316</v>
      </c>
      <c r="C219" s="1" t="s">
        <v>197</v>
      </c>
      <c r="D219" s="1" t="s">
        <v>323</v>
      </c>
      <c r="E219" s="1" t="s">
        <v>324</v>
      </c>
      <c r="F219" s="1" t="s">
        <v>11</v>
      </c>
      <c r="G219" s="1" t="s">
        <v>204</v>
      </c>
    </row>
    <row r="220">
      <c r="A220" s="2">
        <v>45801.72482638889</v>
      </c>
      <c r="B220" s="1" t="s">
        <v>316</v>
      </c>
      <c r="C220" s="1" t="s">
        <v>197</v>
      </c>
      <c r="D220" s="1" t="s">
        <v>323</v>
      </c>
      <c r="E220" s="1" t="s">
        <v>325</v>
      </c>
      <c r="F220" s="1" t="s">
        <v>11</v>
      </c>
      <c r="G220" s="1" t="s">
        <v>204</v>
      </c>
    </row>
    <row r="221">
      <c r="A221" s="2">
        <v>45801.86050925926</v>
      </c>
      <c r="B221" s="1" t="s">
        <v>197</v>
      </c>
      <c r="C221" s="1" t="s">
        <v>316</v>
      </c>
      <c r="D221" s="1" t="s">
        <v>323</v>
      </c>
      <c r="E221" s="1" t="s">
        <v>326</v>
      </c>
      <c r="F221" s="1" t="s">
        <v>11</v>
      </c>
      <c r="G221" s="1" t="s">
        <v>200</v>
      </c>
    </row>
    <row r="222">
      <c r="A222" s="2">
        <v>45801.8618287037</v>
      </c>
      <c r="B222" s="1" t="s">
        <v>316</v>
      </c>
      <c r="C222" s="1" t="s">
        <v>197</v>
      </c>
      <c r="D222" s="1" t="s">
        <v>323</v>
      </c>
      <c r="E222" s="1" t="s">
        <v>327</v>
      </c>
      <c r="F222" s="1" t="s">
        <v>11</v>
      </c>
      <c r="G222" s="1" t="s">
        <v>204</v>
      </c>
    </row>
    <row r="223">
      <c r="A223" s="2">
        <v>45801.86357638889</v>
      </c>
      <c r="B223" s="1" t="s">
        <v>316</v>
      </c>
      <c r="C223" s="1" t="s">
        <v>197</v>
      </c>
      <c r="D223" s="1" t="s">
        <v>323</v>
      </c>
      <c r="E223" s="1" t="s">
        <v>328</v>
      </c>
      <c r="F223" s="1" t="s">
        <v>11</v>
      </c>
      <c r="G223" s="1" t="s">
        <v>204</v>
      </c>
    </row>
    <row r="224">
      <c r="A224" s="2">
        <v>45801.870254629626</v>
      </c>
      <c r="B224" s="1" t="s">
        <v>197</v>
      </c>
      <c r="C224" s="1" t="s">
        <v>316</v>
      </c>
      <c r="D224" s="1" t="s">
        <v>323</v>
      </c>
      <c r="E224" s="1" t="s">
        <v>329</v>
      </c>
      <c r="F224" s="1" t="s">
        <v>11</v>
      </c>
      <c r="G224" s="1" t="s">
        <v>200</v>
      </c>
    </row>
    <row r="225">
      <c r="A225" s="2">
        <v>45801.87158564815</v>
      </c>
      <c r="B225" s="1" t="s">
        <v>316</v>
      </c>
      <c r="C225" s="1" t="s">
        <v>197</v>
      </c>
      <c r="D225" s="1" t="s">
        <v>323</v>
      </c>
      <c r="E225" s="1" t="s">
        <v>330</v>
      </c>
      <c r="F225" s="1" t="s">
        <v>11</v>
      </c>
      <c r="G225" s="1" t="s">
        <v>204</v>
      </c>
    </row>
    <row r="226">
      <c r="A226" s="2">
        <v>45801.87253472222</v>
      </c>
      <c r="B226" s="1" t="s">
        <v>197</v>
      </c>
      <c r="C226" s="1" t="s">
        <v>316</v>
      </c>
      <c r="D226" s="1" t="s">
        <v>323</v>
      </c>
      <c r="E226" s="1" t="s">
        <v>331</v>
      </c>
      <c r="F226" s="1" t="s">
        <v>11</v>
      </c>
      <c r="G226" s="1" t="s">
        <v>200</v>
      </c>
    </row>
    <row r="227">
      <c r="A227" s="2">
        <v>45801.87420138889</v>
      </c>
      <c r="B227" s="1" t="s">
        <v>197</v>
      </c>
      <c r="C227" s="1" t="s">
        <v>316</v>
      </c>
      <c r="D227" s="1" t="s">
        <v>323</v>
      </c>
      <c r="E227" s="1" t="s">
        <v>332</v>
      </c>
      <c r="F227" s="1" t="s">
        <v>11</v>
      </c>
      <c r="G227" s="1" t="s">
        <v>200</v>
      </c>
    </row>
    <row r="228">
      <c r="A228" s="2">
        <v>45801.87451388889</v>
      </c>
      <c r="B228" s="1" t="s">
        <v>197</v>
      </c>
      <c r="C228" s="1" t="s">
        <v>316</v>
      </c>
      <c r="D228" s="1" t="s">
        <v>323</v>
      </c>
      <c r="E228" s="1" t="s">
        <v>333</v>
      </c>
      <c r="F228" s="1" t="s">
        <v>11</v>
      </c>
      <c r="G228" s="1" t="s">
        <v>200</v>
      </c>
    </row>
    <row r="229">
      <c r="A229" s="2">
        <v>45801.874976851854</v>
      </c>
      <c r="B229" s="1" t="s">
        <v>197</v>
      </c>
      <c r="C229" s="1" t="s">
        <v>316</v>
      </c>
      <c r="D229" s="1" t="s">
        <v>323</v>
      </c>
      <c r="E229" s="1" t="s">
        <v>334</v>
      </c>
      <c r="F229" s="1" t="s">
        <v>11</v>
      </c>
      <c r="G229" s="1" t="s">
        <v>200</v>
      </c>
    </row>
    <row r="230">
      <c r="A230" s="2">
        <v>45801.8750462963</v>
      </c>
      <c r="B230" s="1" t="s">
        <v>316</v>
      </c>
      <c r="C230" s="1" t="s">
        <v>197</v>
      </c>
      <c r="D230" s="1" t="s">
        <v>323</v>
      </c>
      <c r="E230" s="1" t="s">
        <v>335</v>
      </c>
      <c r="F230" s="1" t="s">
        <v>11</v>
      </c>
      <c r="G230" s="1" t="s">
        <v>204</v>
      </c>
    </row>
    <row r="231">
      <c r="A231" s="2">
        <v>45801.87533564815</v>
      </c>
      <c r="B231" s="1" t="s">
        <v>316</v>
      </c>
      <c r="C231" s="1" t="s">
        <v>197</v>
      </c>
      <c r="D231" s="1" t="s">
        <v>323</v>
      </c>
      <c r="E231" s="1" t="s">
        <v>336</v>
      </c>
      <c r="F231" s="1" t="s">
        <v>11</v>
      </c>
      <c r="G231" s="1" t="s">
        <v>204</v>
      </c>
    </row>
    <row r="232">
      <c r="A232" s="2">
        <v>45801.87559027778</v>
      </c>
      <c r="B232" s="1" t="s">
        <v>316</v>
      </c>
      <c r="C232" s="1" t="s">
        <v>197</v>
      </c>
      <c r="D232" s="1" t="s">
        <v>323</v>
      </c>
      <c r="E232" s="1" t="s">
        <v>337</v>
      </c>
      <c r="F232" s="1" t="s">
        <v>11</v>
      </c>
      <c r="G232" s="1" t="s">
        <v>204</v>
      </c>
    </row>
    <row r="233">
      <c r="A233" s="2">
        <v>45801.88064814815</v>
      </c>
      <c r="B233" s="1" t="s">
        <v>316</v>
      </c>
      <c r="C233" s="1" t="s">
        <v>197</v>
      </c>
      <c r="D233" s="1" t="s">
        <v>323</v>
      </c>
      <c r="E233" s="1" t="s">
        <v>338</v>
      </c>
      <c r="F233" s="1" t="s">
        <v>11</v>
      </c>
      <c r="G233" s="1" t="s">
        <v>204</v>
      </c>
    </row>
    <row r="234">
      <c r="A234" s="2">
        <v>45801.881516203706</v>
      </c>
      <c r="B234" s="1" t="s">
        <v>316</v>
      </c>
      <c r="C234" s="1" t="s">
        <v>197</v>
      </c>
      <c r="D234" s="1" t="s">
        <v>323</v>
      </c>
      <c r="E234" s="1" t="s">
        <v>339</v>
      </c>
      <c r="F234" s="1" t="s">
        <v>11</v>
      </c>
      <c r="G234" s="1" t="s">
        <v>204</v>
      </c>
    </row>
    <row r="235">
      <c r="A235" s="2">
        <v>45801.88177083333</v>
      </c>
      <c r="B235" s="1" t="s">
        <v>316</v>
      </c>
      <c r="C235" s="1" t="s">
        <v>197</v>
      </c>
      <c r="D235" s="1" t="s">
        <v>323</v>
      </c>
      <c r="E235" s="1" t="s">
        <v>340</v>
      </c>
      <c r="F235" s="1" t="s">
        <v>11</v>
      </c>
      <c r="G235" s="1" t="s">
        <v>204</v>
      </c>
    </row>
    <row r="236">
      <c r="A236" s="2">
        <v>45801.8840162037</v>
      </c>
      <c r="B236" s="1" t="s">
        <v>316</v>
      </c>
      <c r="C236" s="1" t="s">
        <v>197</v>
      </c>
      <c r="D236" s="1" t="s">
        <v>323</v>
      </c>
      <c r="E236" s="1" t="s">
        <v>341</v>
      </c>
      <c r="F236" s="1" t="s">
        <v>11</v>
      </c>
      <c r="G236" s="1" t="s">
        <v>204</v>
      </c>
    </row>
    <row r="237">
      <c r="A237" s="2">
        <v>45801.89020833333</v>
      </c>
      <c r="B237" s="1" t="s">
        <v>316</v>
      </c>
      <c r="C237" s="1" t="s">
        <v>197</v>
      </c>
      <c r="D237" s="1" t="s">
        <v>323</v>
      </c>
      <c r="E237" s="1" t="s">
        <v>342</v>
      </c>
      <c r="F237" s="1" t="s">
        <v>11</v>
      </c>
      <c r="G237" s="1" t="s">
        <v>204</v>
      </c>
    </row>
    <row r="238">
      <c r="A238" s="2">
        <v>45801.949641203704</v>
      </c>
      <c r="B238" s="1" t="s">
        <v>197</v>
      </c>
      <c r="C238" s="1" t="s">
        <v>316</v>
      </c>
      <c r="D238" s="1" t="s">
        <v>323</v>
      </c>
      <c r="E238" s="1" t="s">
        <v>343</v>
      </c>
      <c r="F238" s="1" t="s">
        <v>11</v>
      </c>
      <c r="G238" s="1" t="s">
        <v>200</v>
      </c>
    </row>
    <row r="239">
      <c r="A239" s="2">
        <v>45801.95060185185</v>
      </c>
      <c r="B239" s="1" t="s">
        <v>197</v>
      </c>
      <c r="C239" s="1" t="s">
        <v>316</v>
      </c>
      <c r="D239" s="1" t="s">
        <v>323</v>
      </c>
      <c r="E239" s="1" t="s">
        <v>344</v>
      </c>
      <c r="F239" s="1" t="s">
        <v>11</v>
      </c>
      <c r="G239" s="1" t="s">
        <v>200</v>
      </c>
    </row>
    <row r="240">
      <c r="A240" s="2">
        <v>45801.95141203704</v>
      </c>
      <c r="B240" s="1" t="s">
        <v>316</v>
      </c>
      <c r="C240" s="1" t="s">
        <v>197</v>
      </c>
      <c r="D240" s="1" t="s">
        <v>323</v>
      </c>
      <c r="E240" s="1" t="s">
        <v>345</v>
      </c>
      <c r="F240" s="1" t="s">
        <v>11</v>
      </c>
      <c r="G240" s="1" t="s">
        <v>204</v>
      </c>
    </row>
    <row r="241">
      <c r="A241" s="2">
        <v>45801.951944444445</v>
      </c>
      <c r="B241" s="1" t="s">
        <v>316</v>
      </c>
      <c r="C241" s="1" t="s">
        <v>197</v>
      </c>
      <c r="D241" s="1" t="s">
        <v>323</v>
      </c>
      <c r="E241" s="1" t="s">
        <v>346</v>
      </c>
      <c r="F241" s="1" t="s">
        <v>11</v>
      </c>
      <c r="G241" s="1" t="s">
        <v>204</v>
      </c>
    </row>
    <row r="242">
      <c r="A242" s="2">
        <v>45801.954050925924</v>
      </c>
      <c r="B242" s="1" t="s">
        <v>316</v>
      </c>
      <c r="C242" s="1" t="s">
        <v>197</v>
      </c>
      <c r="D242" s="1" t="s">
        <v>323</v>
      </c>
      <c r="E242" s="1" t="s">
        <v>347</v>
      </c>
      <c r="F242" s="1" t="s">
        <v>11</v>
      </c>
      <c r="G242" s="1" t="s">
        <v>204</v>
      </c>
    </row>
    <row r="243">
      <c r="A243" s="2">
        <v>45801.955092592594</v>
      </c>
      <c r="B243" s="1" t="s">
        <v>316</v>
      </c>
      <c r="C243" s="1" t="s">
        <v>197</v>
      </c>
      <c r="D243" s="1" t="s">
        <v>323</v>
      </c>
      <c r="E243" s="1" t="s">
        <v>348</v>
      </c>
      <c r="F243" s="1" t="s">
        <v>11</v>
      </c>
      <c r="G243" s="1" t="s">
        <v>204</v>
      </c>
    </row>
    <row r="244">
      <c r="A244" s="2">
        <v>45801.95559027778</v>
      </c>
      <c r="B244" s="1" t="s">
        <v>316</v>
      </c>
      <c r="C244" s="1" t="s">
        <v>197</v>
      </c>
      <c r="D244" s="1" t="s">
        <v>323</v>
      </c>
      <c r="E244" s="1" t="s">
        <v>349</v>
      </c>
      <c r="F244" s="1" t="s">
        <v>11</v>
      </c>
      <c r="G244" s="1" t="s">
        <v>204</v>
      </c>
    </row>
    <row r="245">
      <c r="A245" s="2">
        <v>45801.95618055556</v>
      </c>
      <c r="B245" s="1" t="s">
        <v>316</v>
      </c>
      <c r="C245" s="1" t="s">
        <v>197</v>
      </c>
      <c r="D245" s="1" t="s">
        <v>323</v>
      </c>
      <c r="E245" s="1" t="s">
        <v>350</v>
      </c>
      <c r="F245" s="1" t="s">
        <v>11</v>
      </c>
      <c r="G245" s="1" t="s">
        <v>204</v>
      </c>
    </row>
    <row r="246">
      <c r="A246" s="2">
        <v>45802.0053125</v>
      </c>
      <c r="B246" s="1" t="s">
        <v>316</v>
      </c>
      <c r="C246" s="1" t="s">
        <v>197</v>
      </c>
      <c r="D246" s="1" t="s">
        <v>323</v>
      </c>
      <c r="E246" s="1" t="s">
        <v>351</v>
      </c>
      <c r="F246" s="1" t="s">
        <v>11</v>
      </c>
      <c r="G246" s="1" t="s">
        <v>204</v>
      </c>
    </row>
    <row r="247">
      <c r="A247" s="2">
        <v>45802.56123842593</v>
      </c>
      <c r="B247" s="1" t="s">
        <v>316</v>
      </c>
      <c r="C247" s="1" t="s">
        <v>197</v>
      </c>
      <c r="D247" s="1" t="s">
        <v>323</v>
      </c>
      <c r="E247" s="1" t="s">
        <v>352</v>
      </c>
      <c r="F247" s="1" t="s">
        <v>11</v>
      </c>
      <c r="G247" s="1" t="s">
        <v>204</v>
      </c>
    </row>
    <row r="248">
      <c r="A248" s="2">
        <v>45802.881944444445</v>
      </c>
      <c r="B248" s="1" t="s">
        <v>316</v>
      </c>
      <c r="C248" s="1" t="s">
        <v>197</v>
      </c>
      <c r="D248" s="1" t="s">
        <v>323</v>
      </c>
      <c r="E248" s="1" t="s">
        <v>353</v>
      </c>
      <c r="F248" s="1" t="s">
        <v>11</v>
      </c>
      <c r="G248" s="1" t="s">
        <v>354</v>
      </c>
    </row>
    <row r="249">
      <c r="A249" s="2">
        <v>45802.991631944446</v>
      </c>
      <c r="B249" s="1" t="s">
        <v>316</v>
      </c>
      <c r="C249" s="1" t="s">
        <v>355</v>
      </c>
      <c r="E249" s="1" t="s">
        <v>356</v>
      </c>
      <c r="F249" s="1" t="s">
        <v>11</v>
      </c>
      <c r="G249" s="1" t="s">
        <v>357</v>
      </c>
    </row>
    <row r="250">
      <c r="A250" s="2">
        <v>45807.882893518516</v>
      </c>
      <c r="B250" s="1" t="s">
        <v>150</v>
      </c>
      <c r="C250" s="1" t="s">
        <v>151</v>
      </c>
      <c r="D250" s="1" t="s">
        <v>320</v>
      </c>
      <c r="E250" s="1" t="s">
        <v>153</v>
      </c>
      <c r="F250" s="1" t="s">
        <v>11</v>
      </c>
      <c r="G250" s="1" t="s">
        <v>14</v>
      </c>
    </row>
    <row r="251">
      <c r="A251" s="2">
        <v>45813.533425925925</v>
      </c>
      <c r="B251" s="1" t="s">
        <v>316</v>
      </c>
      <c r="C251" s="1" t="s">
        <v>358</v>
      </c>
      <c r="D251" s="3" t="str">
        <f>?UTF-8?Q?Harper=E2=80=99s_well=2Dbeing_?=</f>
        <v>#ERROR!</v>
      </c>
      <c r="E251" s="1" t="s">
        <v>359</v>
      </c>
      <c r="F251" s="1" t="s">
        <v>11</v>
      </c>
      <c r="G251" s="1" t="s">
        <v>318</v>
      </c>
    </row>
    <row r="252">
      <c r="A252" s="2">
        <v>45814.612916666665</v>
      </c>
      <c r="B252" s="1" t="s">
        <v>316</v>
      </c>
      <c r="C252" s="1" t="s">
        <v>355</v>
      </c>
      <c r="E252" s="1" t="s">
        <v>360</v>
      </c>
      <c r="F252" s="1" t="s">
        <v>11</v>
      </c>
      <c r="G252" s="1" t="s">
        <v>361</v>
      </c>
    </row>
    <row r="253">
      <c r="A253" s="2">
        <v>45815.35089120371</v>
      </c>
      <c r="B253" s="1" t="s">
        <v>197</v>
      </c>
      <c r="C253" s="1" t="s">
        <v>316</v>
      </c>
      <c r="D253" s="1" t="s">
        <v>323</v>
      </c>
      <c r="E253" s="1" t="s">
        <v>362</v>
      </c>
      <c r="F253" s="1" t="s">
        <v>11</v>
      </c>
      <c r="G253" s="1" t="s">
        <v>363</v>
      </c>
    </row>
    <row r="254">
      <c r="A254" s="2">
        <v>45815.40736111111</v>
      </c>
      <c r="B254" s="1" t="s">
        <v>197</v>
      </c>
      <c r="C254" s="1" t="s">
        <v>316</v>
      </c>
      <c r="D254" s="1" t="s">
        <v>323</v>
      </c>
      <c r="E254" s="1" t="s">
        <v>364</v>
      </c>
      <c r="F254" s="1" t="s">
        <v>11</v>
      </c>
      <c r="G254" s="1" t="s">
        <v>363</v>
      </c>
    </row>
    <row r="255">
      <c r="A255" s="2">
        <v>45815.44204861111</v>
      </c>
      <c r="B255" s="1" t="s">
        <v>316</v>
      </c>
      <c r="C255" s="1" t="s">
        <v>197</v>
      </c>
      <c r="D255" s="1" t="s">
        <v>323</v>
      </c>
      <c r="E255" s="1" t="s">
        <v>365</v>
      </c>
      <c r="F255" s="1" t="s">
        <v>11</v>
      </c>
      <c r="G255" s="1" t="s">
        <v>361</v>
      </c>
    </row>
    <row r="256">
      <c r="A256" s="2">
        <v>45815.44260416667</v>
      </c>
      <c r="B256" s="1" t="s">
        <v>316</v>
      </c>
      <c r="C256" s="1" t="s">
        <v>197</v>
      </c>
      <c r="D256" s="1" t="s">
        <v>323</v>
      </c>
      <c r="E256" s="1" t="s">
        <v>366</v>
      </c>
      <c r="F256" s="1" t="s">
        <v>11</v>
      </c>
      <c r="G256" s="1" t="s">
        <v>361</v>
      </c>
    </row>
    <row r="257">
      <c r="A257" s="2">
        <v>45815.44445601852</v>
      </c>
      <c r="B257" s="1" t="s">
        <v>316</v>
      </c>
      <c r="C257" s="1" t="s">
        <v>197</v>
      </c>
      <c r="D257" s="1" t="s">
        <v>323</v>
      </c>
      <c r="E257" s="1" t="s">
        <v>367</v>
      </c>
      <c r="F257" s="1" t="s">
        <v>11</v>
      </c>
      <c r="G257" s="1" t="s">
        <v>361</v>
      </c>
    </row>
    <row r="258">
      <c r="A258" s="2">
        <v>45815.44894675926</v>
      </c>
      <c r="B258" s="1" t="s">
        <v>316</v>
      </c>
      <c r="C258" s="1" t="s">
        <v>197</v>
      </c>
      <c r="D258" s="1" t="s">
        <v>323</v>
      </c>
      <c r="E258" s="1" t="s">
        <v>368</v>
      </c>
      <c r="F258" s="1" t="s">
        <v>11</v>
      </c>
      <c r="G258" s="1" t="s">
        <v>361</v>
      </c>
    </row>
    <row r="259">
      <c r="A259" s="2">
        <v>45815.45410879629</v>
      </c>
      <c r="B259" s="1" t="s">
        <v>316</v>
      </c>
      <c r="C259" s="1" t="s">
        <v>197</v>
      </c>
      <c r="D259" s="1" t="s">
        <v>323</v>
      </c>
      <c r="E259" s="1" t="s">
        <v>369</v>
      </c>
      <c r="F259" s="1" t="s">
        <v>271</v>
      </c>
      <c r="G259" s="1" t="s">
        <v>361</v>
      </c>
    </row>
    <row r="260">
      <c r="A260" s="2">
        <v>45815.45527777778</v>
      </c>
      <c r="B260" s="1" t="s">
        <v>316</v>
      </c>
      <c r="C260" s="1" t="s">
        <v>197</v>
      </c>
      <c r="D260" s="1" t="s">
        <v>323</v>
      </c>
      <c r="E260" s="1" t="s">
        <v>370</v>
      </c>
      <c r="F260" s="1" t="s">
        <v>271</v>
      </c>
      <c r="G260" s="1" t="s">
        <v>361</v>
      </c>
    </row>
    <row r="261">
      <c r="A261" s="2">
        <v>45815.488587962966</v>
      </c>
      <c r="B261" s="1" t="s">
        <v>197</v>
      </c>
      <c r="C261" s="1" t="s">
        <v>316</v>
      </c>
      <c r="D261" s="1" t="s">
        <v>323</v>
      </c>
      <c r="E261" s="1" t="s">
        <v>371</v>
      </c>
      <c r="F261" s="1" t="s">
        <v>11</v>
      </c>
      <c r="G261" s="1" t="s">
        <v>363</v>
      </c>
    </row>
    <row r="262">
      <c r="A262" s="2">
        <v>45815.48940972222</v>
      </c>
      <c r="B262" s="1" t="s">
        <v>197</v>
      </c>
      <c r="C262" s="1" t="s">
        <v>316</v>
      </c>
      <c r="D262" s="1" t="s">
        <v>323</v>
      </c>
      <c r="E262" s="1" t="s">
        <v>372</v>
      </c>
      <c r="F262" s="1" t="s">
        <v>11</v>
      </c>
      <c r="G262" s="1" t="s">
        <v>363</v>
      </c>
    </row>
    <row r="263">
      <c r="A263" s="2">
        <v>45815.496296296296</v>
      </c>
      <c r="B263" s="1" t="s">
        <v>316</v>
      </c>
      <c r="C263" s="1" t="s">
        <v>197</v>
      </c>
      <c r="D263" s="1" t="s">
        <v>323</v>
      </c>
      <c r="E263" s="1" t="s">
        <v>373</v>
      </c>
      <c r="F263" s="1" t="s">
        <v>11</v>
      </c>
      <c r="G263" s="1" t="s">
        <v>361</v>
      </c>
    </row>
    <row r="264">
      <c r="A264" s="2">
        <v>45815.52142361111</v>
      </c>
      <c r="B264" s="1" t="s">
        <v>316</v>
      </c>
      <c r="C264" s="1" t="s">
        <v>197</v>
      </c>
      <c r="D264" s="1" t="s">
        <v>323</v>
      </c>
      <c r="E264" s="1" t="s">
        <v>374</v>
      </c>
      <c r="F264" s="1" t="s">
        <v>11</v>
      </c>
      <c r="G264" s="1" t="s">
        <v>361</v>
      </c>
    </row>
    <row r="265">
      <c r="A265" s="2">
        <v>45815.52269675926</v>
      </c>
      <c r="B265" s="1" t="s">
        <v>316</v>
      </c>
      <c r="C265" s="1" t="s">
        <v>197</v>
      </c>
      <c r="D265" s="1" t="s">
        <v>323</v>
      </c>
      <c r="E265" s="1" t="s">
        <v>375</v>
      </c>
      <c r="F265" s="1" t="s">
        <v>11</v>
      </c>
      <c r="G265" s="1" t="s">
        <v>361</v>
      </c>
    </row>
    <row r="266">
      <c r="A266" s="2">
        <v>45815.52373842592</v>
      </c>
      <c r="B266" s="1" t="s">
        <v>316</v>
      </c>
      <c r="C266" s="1" t="s">
        <v>197</v>
      </c>
      <c r="D266" s="1" t="s">
        <v>323</v>
      </c>
      <c r="E266" s="1" t="s">
        <v>376</v>
      </c>
      <c r="F266" s="1" t="s">
        <v>11</v>
      </c>
      <c r="G266" s="1" t="s">
        <v>361</v>
      </c>
    </row>
    <row r="267">
      <c r="A267" s="2">
        <v>45815.59111111111</v>
      </c>
      <c r="B267" s="1" t="s">
        <v>316</v>
      </c>
      <c r="C267" s="1" t="s">
        <v>197</v>
      </c>
      <c r="D267" s="1" t="s">
        <v>323</v>
      </c>
      <c r="E267" s="1" t="s">
        <v>377</v>
      </c>
      <c r="F267" s="1" t="s">
        <v>11</v>
      </c>
      <c r="G267" s="1" t="s">
        <v>361</v>
      </c>
    </row>
    <row r="268">
      <c r="A268" s="2">
        <v>45817.81930555555</v>
      </c>
      <c r="B268" s="1" t="s">
        <v>197</v>
      </c>
      <c r="C268" s="1" t="s">
        <v>316</v>
      </c>
      <c r="D268" s="1" t="s">
        <v>378</v>
      </c>
      <c r="E268" s="1" t="s">
        <v>379</v>
      </c>
      <c r="F268" s="1" t="s">
        <v>11</v>
      </c>
      <c r="G268" s="1" t="s">
        <v>380</v>
      </c>
    </row>
    <row r="269">
      <c r="A269" s="2">
        <v>45818.37063657407</v>
      </c>
      <c r="B269" s="1" t="s">
        <v>197</v>
      </c>
      <c r="C269" s="1" t="s">
        <v>316</v>
      </c>
      <c r="D269" s="1" t="s">
        <v>378</v>
      </c>
      <c r="E269" s="1" t="s">
        <v>381</v>
      </c>
      <c r="F269" s="1" t="s">
        <v>11</v>
      </c>
      <c r="G269" s="1" t="s">
        <v>380</v>
      </c>
    </row>
    <row r="270">
      <c r="A270" s="2">
        <v>45818.378657407404</v>
      </c>
      <c r="B270" s="1" t="s">
        <v>197</v>
      </c>
      <c r="C270" s="1" t="s">
        <v>316</v>
      </c>
      <c r="D270" s="1" t="s">
        <v>378</v>
      </c>
      <c r="E270" s="1" t="s">
        <v>382</v>
      </c>
      <c r="F270" s="1" t="s">
        <v>11</v>
      </c>
      <c r="G270" s="1" t="s">
        <v>380</v>
      </c>
    </row>
    <row r="271">
      <c r="A271" s="2">
        <v>45818.60833333333</v>
      </c>
      <c r="B271" s="1" t="s">
        <v>316</v>
      </c>
      <c r="C271" s="1" t="s">
        <v>197</v>
      </c>
      <c r="D271" s="1" t="s">
        <v>383</v>
      </c>
      <c r="E271" s="1" t="s">
        <v>384</v>
      </c>
      <c r="F271" s="1" t="s">
        <v>11</v>
      </c>
      <c r="G271" s="1" t="s">
        <v>385</v>
      </c>
    </row>
    <row r="272">
      <c r="A272" s="2">
        <v>45818.6134375</v>
      </c>
      <c r="B272" s="1" t="s">
        <v>316</v>
      </c>
      <c r="C272" s="1" t="s">
        <v>197</v>
      </c>
      <c r="D272" s="1" t="s">
        <v>383</v>
      </c>
      <c r="E272" s="1" t="s">
        <v>386</v>
      </c>
      <c r="F272" s="1" t="s">
        <v>11</v>
      </c>
      <c r="G272" s="1" t="s">
        <v>385</v>
      </c>
    </row>
    <row r="273">
      <c r="A273" s="2">
        <v>45819.3837037037</v>
      </c>
      <c r="B273" s="1" t="s">
        <v>197</v>
      </c>
      <c r="C273" s="1" t="s">
        <v>316</v>
      </c>
      <c r="D273" s="1" t="s">
        <v>323</v>
      </c>
      <c r="E273" s="1" t="s">
        <v>387</v>
      </c>
      <c r="F273" s="1" t="s">
        <v>11</v>
      </c>
      <c r="G273" s="1" t="s">
        <v>388</v>
      </c>
    </row>
    <row r="274">
      <c r="A274" s="2">
        <v>45819.38829861111</v>
      </c>
      <c r="B274" s="1" t="s">
        <v>197</v>
      </c>
      <c r="C274" s="1" t="s">
        <v>316</v>
      </c>
      <c r="D274" s="1" t="s">
        <v>323</v>
      </c>
      <c r="E274" s="1" t="s">
        <v>389</v>
      </c>
      <c r="F274" s="1" t="s">
        <v>11</v>
      </c>
      <c r="G274" s="1" t="s">
        <v>388</v>
      </c>
    </row>
    <row r="275">
      <c r="A275" s="2">
        <v>45819.389861111114</v>
      </c>
      <c r="B275" s="1" t="s">
        <v>197</v>
      </c>
      <c r="C275" s="1" t="s">
        <v>316</v>
      </c>
      <c r="D275" s="1" t="s">
        <v>323</v>
      </c>
      <c r="E275" s="1" t="s">
        <v>390</v>
      </c>
      <c r="F275" s="1" t="s">
        <v>11</v>
      </c>
      <c r="G275" s="1" t="s">
        <v>388</v>
      </c>
    </row>
    <row r="276">
      <c r="A276" s="2">
        <v>45819.561944444446</v>
      </c>
      <c r="B276" s="1" t="s">
        <v>391</v>
      </c>
      <c r="C276" s="1" t="s">
        <v>316</v>
      </c>
      <c r="D276" s="1" t="s">
        <v>392</v>
      </c>
      <c r="F276" s="1" t="s">
        <v>11</v>
      </c>
      <c r="G276" s="1" t="s">
        <v>393</v>
      </c>
    </row>
    <row r="277">
      <c r="A277" s="2">
        <v>45819.56201388889</v>
      </c>
      <c r="B277" s="1" t="s">
        <v>394</v>
      </c>
      <c r="C277" s="1" t="s">
        <v>151</v>
      </c>
      <c r="D277" s="1" t="s">
        <v>395</v>
      </c>
      <c r="E277" s="1" t="s">
        <v>396</v>
      </c>
      <c r="F277" s="1" t="s">
        <v>271</v>
      </c>
      <c r="G277" s="1" t="s">
        <v>397</v>
      </c>
    </row>
    <row r="278">
      <c r="A278" s="2">
        <v>45819.61449074074</v>
      </c>
      <c r="B278" s="1" t="s">
        <v>197</v>
      </c>
      <c r="C278" s="1" t="s">
        <v>316</v>
      </c>
      <c r="D278" s="1" t="s">
        <v>378</v>
      </c>
      <c r="E278" s="1" t="s">
        <v>398</v>
      </c>
      <c r="F278" s="1" t="s">
        <v>11</v>
      </c>
      <c r="G278" s="1" t="s">
        <v>380</v>
      </c>
    </row>
    <row r="279">
      <c r="A279" s="2">
        <v>45819.622037037036</v>
      </c>
      <c r="B279" s="1" t="s">
        <v>197</v>
      </c>
      <c r="C279" s="1" t="s">
        <v>316</v>
      </c>
      <c r="D279" s="1" t="s">
        <v>378</v>
      </c>
      <c r="E279" s="1" t="s">
        <v>399</v>
      </c>
      <c r="F279" s="1" t="s">
        <v>11</v>
      </c>
      <c r="G279" s="1" t="s">
        <v>380</v>
      </c>
    </row>
    <row r="280">
      <c r="A280" s="2">
        <v>45820.34458333333</v>
      </c>
      <c r="B280" s="1" t="s">
        <v>197</v>
      </c>
      <c r="C280" s="1" t="s">
        <v>151</v>
      </c>
      <c r="D280" s="1" t="s">
        <v>400</v>
      </c>
      <c r="E280" s="1" t="s">
        <v>401</v>
      </c>
      <c r="F280" s="1" t="s">
        <v>11</v>
      </c>
      <c r="G280" s="1" t="s">
        <v>208</v>
      </c>
    </row>
    <row r="281">
      <c r="A281" s="2">
        <v>45820.35869212963</v>
      </c>
      <c r="B281" s="1" t="s">
        <v>316</v>
      </c>
      <c r="C281" s="1" t="s">
        <v>197</v>
      </c>
      <c r="D281" s="1" t="s">
        <v>402</v>
      </c>
      <c r="E281" s="1" t="s">
        <v>403</v>
      </c>
      <c r="F281" s="1" t="s">
        <v>11</v>
      </c>
      <c r="G281" s="1" t="s">
        <v>211</v>
      </c>
    </row>
    <row r="282">
      <c r="A282" s="2">
        <v>45820.36858796296</v>
      </c>
      <c r="B282" s="1" t="s">
        <v>197</v>
      </c>
      <c r="C282" s="1" t="s">
        <v>316</v>
      </c>
      <c r="D282" s="1" t="s">
        <v>402</v>
      </c>
      <c r="E282" s="1" t="s">
        <v>404</v>
      </c>
      <c r="F282" s="1" t="s">
        <v>11</v>
      </c>
      <c r="G282" s="1" t="s">
        <v>208</v>
      </c>
    </row>
    <row r="283">
      <c r="A283" s="2">
        <v>45820.36953703704</v>
      </c>
      <c r="B283" s="1" t="s">
        <v>197</v>
      </c>
      <c r="C283" s="1" t="s">
        <v>316</v>
      </c>
      <c r="D283" s="1" t="s">
        <v>402</v>
      </c>
      <c r="E283" s="1" t="s">
        <v>405</v>
      </c>
      <c r="F283" s="1" t="s">
        <v>11</v>
      </c>
      <c r="G283" s="1" t="s">
        <v>208</v>
      </c>
    </row>
    <row r="284">
      <c r="A284" s="2">
        <v>45820.4215625</v>
      </c>
      <c r="B284" s="1" t="s">
        <v>197</v>
      </c>
      <c r="C284" s="1" t="s">
        <v>321</v>
      </c>
      <c r="E284" s="1" t="s">
        <v>406</v>
      </c>
      <c r="F284" s="1" t="s">
        <v>271</v>
      </c>
      <c r="G284" s="1" t="s">
        <v>208</v>
      </c>
    </row>
    <row r="285">
      <c r="A285" s="2">
        <v>45820.421689814815</v>
      </c>
      <c r="B285" s="1" t="s">
        <v>197</v>
      </c>
      <c r="C285" s="1" t="s">
        <v>321</v>
      </c>
      <c r="E285" s="1" t="s">
        <v>406</v>
      </c>
      <c r="F285" s="1" t="s">
        <v>271</v>
      </c>
      <c r="G285" s="1" t="s">
        <v>208</v>
      </c>
    </row>
    <row r="286">
      <c r="A286" s="2">
        <v>45822.31039351852</v>
      </c>
      <c r="B286" s="1" t="s">
        <v>316</v>
      </c>
      <c r="C286" s="1" t="s">
        <v>197</v>
      </c>
      <c r="D286" s="1" t="s">
        <v>383</v>
      </c>
      <c r="E286" s="1" t="s">
        <v>407</v>
      </c>
      <c r="F286" s="1" t="s">
        <v>11</v>
      </c>
      <c r="G286" s="1" t="s">
        <v>385</v>
      </c>
    </row>
    <row r="287">
      <c r="A287" s="2">
        <v>45822.35731481481</v>
      </c>
      <c r="B287" s="1" t="s">
        <v>316</v>
      </c>
      <c r="C287" s="1" t="s">
        <v>355</v>
      </c>
      <c r="D287" s="1" t="s">
        <v>408</v>
      </c>
      <c r="E287" s="1" t="s">
        <v>409</v>
      </c>
      <c r="F287" s="1" t="s">
        <v>11</v>
      </c>
      <c r="G287" s="1" t="s">
        <v>211</v>
      </c>
    </row>
    <row r="288">
      <c r="A288" s="2">
        <v>45822.65886574074</v>
      </c>
      <c r="B288" s="1" t="s">
        <v>316</v>
      </c>
      <c r="C288" s="1" t="s">
        <v>197</v>
      </c>
      <c r="E288" s="1" t="s">
        <v>410</v>
      </c>
      <c r="F288" s="1" t="s">
        <v>11</v>
      </c>
      <c r="G288" s="1" t="s">
        <v>411</v>
      </c>
    </row>
    <row r="289">
      <c r="A289" s="2">
        <v>45822.86075231482</v>
      </c>
      <c r="B289" s="1" t="s">
        <v>197</v>
      </c>
      <c r="C289" s="1" t="s">
        <v>316</v>
      </c>
      <c r="D289" s="1" t="s">
        <v>323</v>
      </c>
      <c r="E289" s="1" t="s">
        <v>412</v>
      </c>
      <c r="F289" s="1" t="s">
        <v>11</v>
      </c>
      <c r="G289" s="1" t="s">
        <v>380</v>
      </c>
    </row>
    <row r="290">
      <c r="A290" s="2">
        <v>45822.93412037037</v>
      </c>
      <c r="B290" s="1" t="s">
        <v>316</v>
      </c>
      <c r="C290" s="1" t="s">
        <v>197</v>
      </c>
      <c r="D290" s="1" t="s">
        <v>323</v>
      </c>
      <c r="E290" s="1" t="s">
        <v>413</v>
      </c>
      <c r="F290" s="1" t="s">
        <v>11</v>
      </c>
      <c r="G290" s="1" t="s">
        <v>414</v>
      </c>
    </row>
    <row r="291">
      <c r="A291" s="2">
        <v>45822.96741898148</v>
      </c>
      <c r="B291" s="1" t="s">
        <v>316</v>
      </c>
      <c r="C291" s="1" t="s">
        <v>197</v>
      </c>
      <c r="D291" s="1" t="s">
        <v>323</v>
      </c>
      <c r="E291" s="1" t="s">
        <v>415</v>
      </c>
      <c r="F291" s="1" t="s">
        <v>11</v>
      </c>
      <c r="G291" s="1" t="s">
        <v>414</v>
      </c>
    </row>
    <row r="292">
      <c r="A292" s="2">
        <v>45822.98292824074</v>
      </c>
      <c r="B292" s="1" t="s">
        <v>316</v>
      </c>
      <c r="C292" s="1" t="s">
        <v>197</v>
      </c>
      <c r="D292" s="1" t="s">
        <v>323</v>
      </c>
      <c r="E292" s="1" t="s">
        <v>416</v>
      </c>
      <c r="F292" s="1" t="s">
        <v>11</v>
      </c>
      <c r="G292" s="1" t="s">
        <v>414</v>
      </c>
    </row>
    <row r="293">
      <c r="A293" s="2">
        <v>45823.01893518519</v>
      </c>
      <c r="B293" s="1" t="s">
        <v>316</v>
      </c>
      <c r="C293" s="1" t="s">
        <v>197</v>
      </c>
      <c r="D293" s="1" t="s">
        <v>323</v>
      </c>
      <c r="E293" s="1" t="s">
        <v>417</v>
      </c>
      <c r="F293" s="1" t="s">
        <v>11</v>
      </c>
      <c r="G293" s="1" t="s">
        <v>414</v>
      </c>
    </row>
    <row r="294">
      <c r="A294" s="2">
        <v>45823.19917824074</v>
      </c>
      <c r="B294" s="1" t="s">
        <v>197</v>
      </c>
      <c r="C294" s="1" t="s">
        <v>316</v>
      </c>
      <c r="D294" s="1" t="s">
        <v>323</v>
      </c>
      <c r="E294" s="1" t="s">
        <v>418</v>
      </c>
      <c r="F294" s="1" t="s">
        <v>11</v>
      </c>
      <c r="G294" s="1" t="s">
        <v>380</v>
      </c>
    </row>
    <row r="295">
      <c r="A295" s="2">
        <v>45823.243946759256</v>
      </c>
      <c r="B295" s="1" t="s">
        <v>197</v>
      </c>
      <c r="C295" s="1" t="s">
        <v>316</v>
      </c>
      <c r="D295" s="1" t="s">
        <v>323</v>
      </c>
      <c r="E295" s="1" t="s">
        <v>419</v>
      </c>
      <c r="F295" s="1" t="s">
        <v>11</v>
      </c>
      <c r="G295" s="1" t="s">
        <v>380</v>
      </c>
    </row>
    <row r="296">
      <c r="A296" s="2">
        <v>45823.37517361111</v>
      </c>
      <c r="B296" s="1" t="s">
        <v>391</v>
      </c>
      <c r="C296" s="1" t="s">
        <v>316</v>
      </c>
      <c r="D296" s="1" t="s">
        <v>420</v>
      </c>
      <c r="F296" s="1" t="s">
        <v>11</v>
      </c>
      <c r="G296" s="1" t="s">
        <v>393</v>
      </c>
    </row>
    <row r="297">
      <c r="A297" s="2">
        <v>45823.37587962963</v>
      </c>
      <c r="B297" s="1" t="s">
        <v>391</v>
      </c>
      <c r="C297" s="1" t="s">
        <v>316</v>
      </c>
      <c r="D297" s="1" t="s">
        <v>420</v>
      </c>
      <c r="F297" s="1" t="s">
        <v>11</v>
      </c>
      <c r="G297" s="1" t="s">
        <v>393</v>
      </c>
    </row>
    <row r="298">
      <c r="A298" s="2">
        <v>45823.311273148145</v>
      </c>
      <c r="B298" s="1" t="s">
        <v>316</v>
      </c>
      <c r="C298" s="1" t="s">
        <v>197</v>
      </c>
      <c r="D298" s="1" t="s">
        <v>323</v>
      </c>
      <c r="E298" s="1" t="s">
        <v>421</v>
      </c>
      <c r="F298" s="1" t="s">
        <v>11</v>
      </c>
      <c r="G298" s="1" t="s">
        <v>414</v>
      </c>
    </row>
    <row r="299">
      <c r="A299" s="2">
        <v>45823.312418981484</v>
      </c>
      <c r="B299" s="1" t="s">
        <v>316</v>
      </c>
      <c r="C299" s="1" t="s">
        <v>197</v>
      </c>
      <c r="D299" s="1" t="s">
        <v>323</v>
      </c>
      <c r="E299" s="1" t="s">
        <v>422</v>
      </c>
      <c r="F299" s="1" t="s">
        <v>11</v>
      </c>
      <c r="G299" s="1" t="s">
        <v>414</v>
      </c>
    </row>
    <row r="300">
      <c r="A300" s="2">
        <v>45823.31327546296</v>
      </c>
      <c r="B300" s="1" t="s">
        <v>316</v>
      </c>
      <c r="C300" s="1" t="s">
        <v>391</v>
      </c>
      <c r="D300" s="1" t="s">
        <v>423</v>
      </c>
      <c r="E300" s="1" t="s">
        <v>424</v>
      </c>
      <c r="F300" s="1" t="s">
        <v>11</v>
      </c>
      <c r="G300" s="1" t="s">
        <v>425</v>
      </c>
    </row>
    <row r="301">
      <c r="A301" s="2">
        <v>45823.31655092593</v>
      </c>
      <c r="B301" s="1" t="s">
        <v>316</v>
      </c>
      <c r="C301" s="1" t="s">
        <v>197</v>
      </c>
      <c r="D301" s="1" t="s">
        <v>323</v>
      </c>
      <c r="E301" s="1" t="s">
        <v>426</v>
      </c>
      <c r="F301" s="1" t="s">
        <v>11</v>
      </c>
      <c r="G301" s="1" t="s">
        <v>414</v>
      </c>
    </row>
    <row r="302">
      <c r="A302" s="2">
        <v>45823.31693287037</v>
      </c>
      <c r="B302" s="1" t="s">
        <v>316</v>
      </c>
      <c r="C302" s="1" t="s">
        <v>197</v>
      </c>
      <c r="D302" s="1" t="s">
        <v>323</v>
      </c>
      <c r="E302" s="1" t="s">
        <v>427</v>
      </c>
      <c r="F302" s="1" t="s">
        <v>11</v>
      </c>
      <c r="G302" s="1" t="s">
        <v>414</v>
      </c>
    </row>
    <row r="303">
      <c r="A303" s="2">
        <v>45823.37725694444</v>
      </c>
      <c r="B303" s="1" t="s">
        <v>197</v>
      </c>
      <c r="C303" s="1" t="s">
        <v>316</v>
      </c>
      <c r="D303" s="1" t="s">
        <v>323</v>
      </c>
      <c r="E303" s="1" t="s">
        <v>428</v>
      </c>
      <c r="F303" s="1" t="s">
        <v>11</v>
      </c>
      <c r="G303" s="1" t="s">
        <v>380</v>
      </c>
    </row>
    <row r="304">
      <c r="A304" s="2">
        <v>45823.37940972222</v>
      </c>
      <c r="B304" s="1" t="s">
        <v>197</v>
      </c>
      <c r="C304" s="1" t="s">
        <v>316</v>
      </c>
      <c r="D304" s="1" t="s">
        <v>323</v>
      </c>
      <c r="E304" s="1" t="s">
        <v>429</v>
      </c>
      <c r="F304" s="1" t="s">
        <v>11</v>
      </c>
      <c r="G304" s="1" t="s">
        <v>380</v>
      </c>
    </row>
    <row r="305">
      <c r="A305" s="2">
        <v>45823.38019675926</v>
      </c>
      <c r="B305" s="1" t="s">
        <v>197</v>
      </c>
      <c r="C305" s="1" t="s">
        <v>316</v>
      </c>
      <c r="D305" s="1" t="s">
        <v>323</v>
      </c>
      <c r="E305" s="1" t="s">
        <v>430</v>
      </c>
      <c r="F305" s="1" t="s">
        <v>11</v>
      </c>
      <c r="G305" s="1" t="s">
        <v>380</v>
      </c>
    </row>
    <row r="306">
      <c r="A306" s="2">
        <v>45823.38055555556</v>
      </c>
      <c r="B306" s="1" t="s">
        <v>197</v>
      </c>
      <c r="C306" s="1" t="s">
        <v>316</v>
      </c>
      <c r="D306" s="1" t="s">
        <v>323</v>
      </c>
      <c r="E306" s="1" t="s">
        <v>431</v>
      </c>
      <c r="F306" s="1" t="s">
        <v>11</v>
      </c>
      <c r="G306" s="1" t="s">
        <v>380</v>
      </c>
    </row>
    <row r="307">
      <c r="A307" s="2">
        <v>45823.38078703704</v>
      </c>
      <c r="B307" s="1" t="s">
        <v>197</v>
      </c>
      <c r="C307" s="1" t="s">
        <v>316</v>
      </c>
      <c r="D307" s="1" t="s">
        <v>323</v>
      </c>
      <c r="E307" s="1" t="s">
        <v>432</v>
      </c>
      <c r="F307" s="1" t="s">
        <v>11</v>
      </c>
      <c r="G307" s="1" t="s">
        <v>380</v>
      </c>
    </row>
    <row r="308">
      <c r="A308" s="2">
        <v>45823.38900462963</v>
      </c>
      <c r="B308" s="1" t="s">
        <v>197</v>
      </c>
      <c r="C308" s="1" t="s">
        <v>316</v>
      </c>
      <c r="D308" s="1" t="s">
        <v>323</v>
      </c>
      <c r="E308" s="1" t="s">
        <v>433</v>
      </c>
      <c r="F308" s="1" t="s">
        <v>11</v>
      </c>
      <c r="G308" s="1" t="s">
        <v>380</v>
      </c>
    </row>
    <row r="309">
      <c r="A309" s="2">
        <v>45823.39188657407</v>
      </c>
      <c r="B309" s="1" t="s">
        <v>197</v>
      </c>
      <c r="C309" s="1" t="s">
        <v>316</v>
      </c>
      <c r="D309" s="1" t="s">
        <v>323</v>
      </c>
      <c r="E309" s="1" t="s">
        <v>434</v>
      </c>
      <c r="F309" s="1" t="s">
        <v>11</v>
      </c>
      <c r="G309" s="1" t="s">
        <v>380</v>
      </c>
    </row>
    <row r="310">
      <c r="A310" s="2">
        <v>45823.39334490741</v>
      </c>
      <c r="B310" s="1" t="s">
        <v>316</v>
      </c>
      <c r="C310" s="1" t="s">
        <v>197</v>
      </c>
      <c r="D310" s="1" t="s">
        <v>323</v>
      </c>
      <c r="E310" s="1" t="s">
        <v>435</v>
      </c>
      <c r="F310" s="1" t="s">
        <v>11</v>
      </c>
      <c r="G310" s="1" t="s">
        <v>414</v>
      </c>
    </row>
    <row r="311">
      <c r="A311" s="2">
        <v>45823.39462962963</v>
      </c>
      <c r="B311" s="1" t="s">
        <v>316</v>
      </c>
      <c r="C311" s="1" t="s">
        <v>197</v>
      </c>
      <c r="D311" s="1" t="s">
        <v>323</v>
      </c>
      <c r="E311" s="1" t="s">
        <v>436</v>
      </c>
      <c r="F311" s="1" t="s">
        <v>11</v>
      </c>
      <c r="G311" s="1" t="s">
        <v>414</v>
      </c>
    </row>
    <row r="312">
      <c r="A312" s="2">
        <v>45823.41030092593</v>
      </c>
      <c r="B312" s="1" t="s">
        <v>197</v>
      </c>
      <c r="C312" s="1" t="s">
        <v>316</v>
      </c>
      <c r="D312" s="1" t="s">
        <v>323</v>
      </c>
      <c r="E312" s="1" t="s">
        <v>437</v>
      </c>
      <c r="F312" s="1" t="s">
        <v>11</v>
      </c>
      <c r="G312" s="1" t="s">
        <v>380</v>
      </c>
    </row>
    <row r="313">
      <c r="A313" s="2">
        <v>45823.41055555556</v>
      </c>
      <c r="B313" s="1" t="s">
        <v>197</v>
      </c>
      <c r="C313" s="1" t="s">
        <v>316</v>
      </c>
      <c r="D313" s="1" t="s">
        <v>323</v>
      </c>
      <c r="E313" s="1" t="s">
        <v>438</v>
      </c>
      <c r="F313" s="1" t="s">
        <v>11</v>
      </c>
      <c r="G313" s="1" t="s">
        <v>380</v>
      </c>
    </row>
    <row r="314">
      <c r="A314" s="2">
        <v>45823.41076388889</v>
      </c>
      <c r="B314" s="1" t="s">
        <v>197</v>
      </c>
      <c r="C314" s="1" t="s">
        <v>316</v>
      </c>
      <c r="D314" s="1" t="s">
        <v>323</v>
      </c>
      <c r="E314" s="1" t="s">
        <v>439</v>
      </c>
      <c r="F314" s="1" t="s">
        <v>11</v>
      </c>
      <c r="G314" s="1" t="s">
        <v>380</v>
      </c>
    </row>
    <row r="315">
      <c r="A315" s="2">
        <v>45823.410949074074</v>
      </c>
      <c r="B315" s="1" t="s">
        <v>197</v>
      </c>
      <c r="C315" s="1" t="s">
        <v>316</v>
      </c>
      <c r="D315" s="1" t="s">
        <v>323</v>
      </c>
      <c r="E315" s="1" t="s">
        <v>440</v>
      </c>
      <c r="F315" s="1" t="s">
        <v>11</v>
      </c>
      <c r="G315" s="1" t="s">
        <v>380</v>
      </c>
    </row>
    <row r="316">
      <c r="A316" s="2">
        <v>45823.41134259259</v>
      </c>
      <c r="B316" s="1" t="s">
        <v>197</v>
      </c>
      <c r="C316" s="1" t="s">
        <v>316</v>
      </c>
      <c r="D316" s="1" t="s">
        <v>323</v>
      </c>
      <c r="E316" s="1" t="s">
        <v>441</v>
      </c>
      <c r="F316" s="1" t="s">
        <v>11</v>
      </c>
      <c r="G316" s="1" t="s">
        <v>380</v>
      </c>
    </row>
    <row r="317">
      <c r="A317" s="2">
        <v>45823.412303240744</v>
      </c>
      <c r="B317" s="1" t="s">
        <v>197</v>
      </c>
      <c r="C317" s="1" t="s">
        <v>316</v>
      </c>
      <c r="D317" s="1" t="s">
        <v>323</v>
      </c>
      <c r="E317" s="1" t="s">
        <v>442</v>
      </c>
      <c r="F317" s="1" t="s">
        <v>11</v>
      </c>
      <c r="G317" s="1" t="s">
        <v>380</v>
      </c>
    </row>
    <row r="318">
      <c r="A318" s="2">
        <v>45823.41253472222</v>
      </c>
      <c r="B318" s="1" t="s">
        <v>197</v>
      </c>
      <c r="C318" s="1" t="s">
        <v>316</v>
      </c>
      <c r="D318" s="1" t="s">
        <v>323</v>
      </c>
      <c r="E318" s="1" t="s">
        <v>443</v>
      </c>
      <c r="F318" s="1" t="s">
        <v>11</v>
      </c>
      <c r="G318" s="1" t="s">
        <v>380</v>
      </c>
    </row>
    <row r="319">
      <c r="A319" s="2">
        <v>45823.41271990741</v>
      </c>
      <c r="B319" s="1" t="s">
        <v>197</v>
      </c>
      <c r="C319" s="1" t="s">
        <v>316</v>
      </c>
      <c r="D319" s="1" t="s">
        <v>323</v>
      </c>
      <c r="E319" s="1" t="s">
        <v>444</v>
      </c>
      <c r="F319" s="1" t="s">
        <v>11</v>
      </c>
      <c r="G319" s="1" t="s">
        <v>380</v>
      </c>
    </row>
    <row r="320">
      <c r="A320" s="2">
        <v>45823.41736111111</v>
      </c>
      <c r="B320" s="1" t="s">
        <v>197</v>
      </c>
      <c r="C320" s="1" t="s">
        <v>316</v>
      </c>
      <c r="D320" s="1" t="s">
        <v>323</v>
      </c>
      <c r="E320" s="1" t="s">
        <v>445</v>
      </c>
      <c r="F320" s="1" t="s">
        <v>11</v>
      </c>
      <c r="G320" s="1" t="s">
        <v>380</v>
      </c>
    </row>
    <row r="321">
      <c r="A321" s="2">
        <v>45823.41806712963</v>
      </c>
      <c r="B321" s="1" t="s">
        <v>197</v>
      </c>
      <c r="C321" s="1" t="s">
        <v>316</v>
      </c>
      <c r="D321" s="1" t="s">
        <v>323</v>
      </c>
      <c r="E321" s="1" t="s">
        <v>446</v>
      </c>
      <c r="F321" s="1" t="s">
        <v>11</v>
      </c>
      <c r="G321" s="1" t="s">
        <v>380</v>
      </c>
    </row>
    <row r="322">
      <c r="A322" s="2">
        <v>45823.43568287037</v>
      </c>
      <c r="B322" s="1" t="s">
        <v>197</v>
      </c>
      <c r="C322" s="1" t="s">
        <v>316</v>
      </c>
      <c r="D322" s="1" t="s">
        <v>323</v>
      </c>
      <c r="E322" s="1" t="s">
        <v>447</v>
      </c>
      <c r="F322" s="1" t="s">
        <v>11</v>
      </c>
      <c r="G322" s="1" t="s">
        <v>380</v>
      </c>
    </row>
    <row r="323">
      <c r="A323" s="2">
        <v>45823.44840277778</v>
      </c>
      <c r="B323" s="1" t="s">
        <v>197</v>
      </c>
      <c r="C323" s="1" t="s">
        <v>316</v>
      </c>
      <c r="D323" s="1" t="s">
        <v>323</v>
      </c>
      <c r="E323" s="1" t="s">
        <v>448</v>
      </c>
      <c r="F323" s="1" t="s">
        <v>11</v>
      </c>
      <c r="G323" s="1" t="s">
        <v>380</v>
      </c>
    </row>
    <row r="324">
      <c r="A324" s="2">
        <v>45823.75103009259</v>
      </c>
      <c r="B324" s="1" t="s">
        <v>150</v>
      </c>
      <c r="C324" s="1" t="s">
        <v>151</v>
      </c>
      <c r="D324" s="1" t="s">
        <v>449</v>
      </c>
      <c r="E324" s="1" t="s">
        <v>153</v>
      </c>
      <c r="F324" s="1" t="s">
        <v>11</v>
      </c>
      <c r="G324" s="1" t="s">
        <v>14</v>
      </c>
    </row>
    <row r="325">
      <c r="A325" s="2">
        <v>45824.40045138889</v>
      </c>
      <c r="B325" s="1" t="s">
        <v>316</v>
      </c>
      <c r="C325" s="1" t="s">
        <v>197</v>
      </c>
      <c r="D325" s="1" t="s">
        <v>450</v>
      </c>
      <c r="E325" s="1" t="s">
        <v>451</v>
      </c>
      <c r="F325" s="1" t="s">
        <v>11</v>
      </c>
      <c r="G325" s="1" t="s">
        <v>318</v>
      </c>
    </row>
    <row r="326">
      <c r="A326" s="2">
        <v>45824.439305555556</v>
      </c>
      <c r="B326" s="1" t="s">
        <v>452</v>
      </c>
      <c r="C326" s="1" t="s">
        <v>355</v>
      </c>
      <c r="D326" s="1" t="s">
        <v>453</v>
      </c>
      <c r="E326" s="1" t="s">
        <v>451</v>
      </c>
      <c r="F326" s="1" t="s">
        <v>11</v>
      </c>
      <c r="G326" s="1" t="s">
        <v>357</v>
      </c>
    </row>
    <row r="327">
      <c r="A327" s="2">
        <v>45824.458020833335</v>
      </c>
      <c r="B327" s="1" t="s">
        <v>316</v>
      </c>
      <c r="C327" s="1" t="s">
        <v>197</v>
      </c>
      <c r="E327" s="1" t="s">
        <v>454</v>
      </c>
      <c r="F327" s="1" t="s">
        <v>11</v>
      </c>
      <c r="G327" s="1" t="s">
        <v>357</v>
      </c>
    </row>
    <row r="328">
      <c r="A328" s="2">
        <v>45825.76902777778</v>
      </c>
      <c r="B328" s="1" t="s">
        <v>316</v>
      </c>
      <c r="C328" s="1" t="s">
        <v>455</v>
      </c>
      <c r="D328" s="1" t="s">
        <v>456</v>
      </c>
      <c r="E328" s="1" t="s">
        <v>457</v>
      </c>
      <c r="F328" s="1" t="s">
        <v>11</v>
      </c>
      <c r="G328" s="1" t="s">
        <v>306</v>
      </c>
    </row>
    <row r="329">
      <c r="A329" s="2">
        <v>45826.363657407404</v>
      </c>
      <c r="B329" s="1" t="s">
        <v>316</v>
      </c>
      <c r="C329" s="1" t="s">
        <v>197</v>
      </c>
      <c r="D329" s="1" t="s">
        <v>458</v>
      </c>
      <c r="E329" s="1" t="s">
        <v>459</v>
      </c>
      <c r="F329" s="1" t="s">
        <v>11</v>
      </c>
      <c r="G329" s="1" t="s">
        <v>414</v>
      </c>
    </row>
    <row r="330">
      <c r="A330" s="2">
        <v>45826.42178240741</v>
      </c>
      <c r="B330" s="1" t="s">
        <v>316</v>
      </c>
      <c r="C330" s="1" t="s">
        <v>197</v>
      </c>
      <c r="E330" s="1" t="s">
        <v>460</v>
      </c>
      <c r="F330" s="1" t="s">
        <v>11</v>
      </c>
      <c r="G330" s="1" t="s">
        <v>414</v>
      </c>
    </row>
    <row r="331">
      <c r="A331" s="2">
        <v>45826.45076388889</v>
      </c>
      <c r="B331" s="1" t="s">
        <v>197</v>
      </c>
      <c r="C331" s="1" t="s">
        <v>316</v>
      </c>
      <c r="D331" s="1" t="s">
        <v>461</v>
      </c>
      <c r="E331" s="1" t="s">
        <v>462</v>
      </c>
      <c r="F331" s="1" t="s">
        <v>11</v>
      </c>
      <c r="G331" s="1" t="s">
        <v>463</v>
      </c>
    </row>
    <row r="332">
      <c r="A332" s="2">
        <v>45826.45171296296</v>
      </c>
      <c r="B332" s="1" t="s">
        <v>197</v>
      </c>
      <c r="C332" s="1" t="s">
        <v>316</v>
      </c>
      <c r="D332" s="1" t="s">
        <v>323</v>
      </c>
      <c r="E332" s="1" t="s">
        <v>464</v>
      </c>
      <c r="F332" s="1" t="s">
        <v>11</v>
      </c>
      <c r="G332" s="1" t="s">
        <v>463</v>
      </c>
    </row>
    <row r="333">
      <c r="A333" s="2">
        <v>45826.45224537037</v>
      </c>
      <c r="B333" s="1" t="s">
        <v>197</v>
      </c>
      <c r="C333" s="1" t="s">
        <v>316</v>
      </c>
      <c r="D333" s="1" t="s">
        <v>323</v>
      </c>
      <c r="E333" s="1" t="s">
        <v>465</v>
      </c>
      <c r="F333" s="1" t="s">
        <v>11</v>
      </c>
      <c r="G333" s="1" t="s">
        <v>463</v>
      </c>
    </row>
    <row r="334">
      <c r="A334" s="2">
        <v>45826.45309027778</v>
      </c>
      <c r="B334" s="1" t="s">
        <v>197</v>
      </c>
      <c r="C334" s="1" t="s">
        <v>316</v>
      </c>
      <c r="D334" s="1" t="s">
        <v>323</v>
      </c>
      <c r="E334" s="1" t="s">
        <v>466</v>
      </c>
      <c r="F334" s="1" t="s">
        <v>11</v>
      </c>
      <c r="G334" s="1" t="s">
        <v>463</v>
      </c>
    </row>
    <row r="335">
      <c r="A335" s="2">
        <v>45826.45394675926</v>
      </c>
      <c r="B335" s="1" t="s">
        <v>197</v>
      </c>
      <c r="C335" s="1" t="s">
        <v>316</v>
      </c>
      <c r="D335" s="1" t="s">
        <v>323</v>
      </c>
      <c r="E335" s="1" t="s">
        <v>467</v>
      </c>
      <c r="F335" s="1" t="s">
        <v>11</v>
      </c>
      <c r="G335" s="1" t="s">
        <v>463</v>
      </c>
    </row>
    <row r="336">
      <c r="A336" s="2">
        <v>45826.45491898148</v>
      </c>
      <c r="B336" s="1" t="s">
        <v>316</v>
      </c>
      <c r="C336" s="1" t="s">
        <v>197</v>
      </c>
      <c r="D336" s="1" t="s">
        <v>323</v>
      </c>
      <c r="E336" s="1" t="s">
        <v>468</v>
      </c>
      <c r="F336" s="1" t="s">
        <v>11</v>
      </c>
      <c r="G336" s="1" t="s">
        <v>414</v>
      </c>
    </row>
    <row r="337">
      <c r="A337" s="2">
        <v>45826.45501157407</v>
      </c>
      <c r="B337" s="1" t="s">
        <v>197</v>
      </c>
      <c r="C337" s="1" t="s">
        <v>316</v>
      </c>
      <c r="D337" s="1" t="s">
        <v>323</v>
      </c>
      <c r="E337" s="1" t="s">
        <v>469</v>
      </c>
      <c r="F337" s="1" t="s">
        <v>11</v>
      </c>
      <c r="G337" s="1" t="s">
        <v>463</v>
      </c>
    </row>
    <row r="338">
      <c r="A338" s="2">
        <v>45826.455243055556</v>
      </c>
      <c r="B338" s="1" t="s">
        <v>316</v>
      </c>
      <c r="C338" s="1" t="s">
        <v>197</v>
      </c>
      <c r="D338" s="1" t="s">
        <v>323</v>
      </c>
      <c r="E338" s="1" t="s">
        <v>470</v>
      </c>
      <c r="F338" s="1" t="s">
        <v>11</v>
      </c>
      <c r="G338" s="1" t="s">
        <v>414</v>
      </c>
    </row>
    <row r="339">
      <c r="A339" s="2">
        <v>45826.45548611111</v>
      </c>
      <c r="B339" s="1" t="s">
        <v>316</v>
      </c>
      <c r="C339" s="1" t="s">
        <v>197</v>
      </c>
      <c r="D339" s="1" t="s">
        <v>323</v>
      </c>
      <c r="E339" s="1" t="s">
        <v>471</v>
      </c>
      <c r="F339" s="1" t="s">
        <v>11</v>
      </c>
      <c r="G339" s="1" t="s">
        <v>414</v>
      </c>
    </row>
    <row r="340">
      <c r="A340" s="2">
        <v>45826.457349537035</v>
      </c>
      <c r="B340" s="1" t="s">
        <v>316</v>
      </c>
      <c r="C340" s="1" t="s">
        <v>197</v>
      </c>
      <c r="D340" s="1" t="s">
        <v>323</v>
      </c>
      <c r="E340" s="1" t="s">
        <v>472</v>
      </c>
      <c r="F340" s="1" t="s">
        <v>11</v>
      </c>
      <c r="G340" s="1" t="s">
        <v>414</v>
      </c>
    </row>
    <row r="341">
      <c r="A341" s="2">
        <v>45826.458136574074</v>
      </c>
      <c r="B341" s="1" t="s">
        <v>316</v>
      </c>
      <c r="C341" s="1" t="s">
        <v>197</v>
      </c>
      <c r="D341" s="1" t="s">
        <v>323</v>
      </c>
      <c r="E341" s="1" t="s">
        <v>473</v>
      </c>
      <c r="F341" s="1" t="s">
        <v>11</v>
      </c>
      <c r="G341" s="1" t="s">
        <v>414</v>
      </c>
    </row>
    <row r="342">
      <c r="A342" s="2">
        <v>45826.460486111115</v>
      </c>
      <c r="B342" s="1" t="s">
        <v>316</v>
      </c>
      <c r="C342" s="1" t="s">
        <v>197</v>
      </c>
      <c r="D342" s="1" t="s">
        <v>323</v>
      </c>
      <c r="E342" s="1" t="s">
        <v>474</v>
      </c>
      <c r="F342" s="1" t="s">
        <v>11</v>
      </c>
      <c r="G342" s="1" t="s">
        <v>414</v>
      </c>
    </row>
    <row r="343">
      <c r="A343" s="2">
        <v>45826.461180555554</v>
      </c>
      <c r="B343" s="1" t="s">
        <v>316</v>
      </c>
      <c r="C343" s="1" t="s">
        <v>197</v>
      </c>
      <c r="D343" s="1" t="s">
        <v>323</v>
      </c>
      <c r="E343" s="1" t="s">
        <v>475</v>
      </c>
      <c r="F343" s="1" t="s">
        <v>11</v>
      </c>
      <c r="G343" s="1" t="s">
        <v>414</v>
      </c>
    </row>
    <row r="344">
      <c r="A344" s="2">
        <v>45826.4799537037</v>
      </c>
      <c r="B344" s="1" t="s">
        <v>316</v>
      </c>
      <c r="C344" s="1" t="s">
        <v>197</v>
      </c>
      <c r="D344" s="1" t="s">
        <v>461</v>
      </c>
      <c r="E344" s="1" t="s">
        <v>476</v>
      </c>
      <c r="F344" s="1" t="s">
        <v>11</v>
      </c>
      <c r="G344" s="1" t="s">
        <v>414</v>
      </c>
    </row>
    <row r="345">
      <c r="A345" s="2">
        <v>45826.48131944444</v>
      </c>
      <c r="B345" s="1" t="s">
        <v>316</v>
      </c>
      <c r="C345" s="1" t="s">
        <v>197</v>
      </c>
      <c r="D345" s="1" t="s">
        <v>461</v>
      </c>
      <c r="E345" s="1" t="s">
        <v>477</v>
      </c>
      <c r="F345" s="1" t="s">
        <v>11</v>
      </c>
      <c r="G345" s="1" t="s">
        <v>414</v>
      </c>
    </row>
    <row r="346">
      <c r="A346" s="2">
        <v>45826.48542824074</v>
      </c>
      <c r="B346" s="1" t="s">
        <v>197</v>
      </c>
      <c r="C346" s="1" t="s">
        <v>316</v>
      </c>
      <c r="D346" s="1" t="s">
        <v>461</v>
      </c>
      <c r="E346" s="1" t="s">
        <v>478</v>
      </c>
      <c r="F346" s="1" t="s">
        <v>11</v>
      </c>
      <c r="G346" s="1" t="s">
        <v>380</v>
      </c>
    </row>
    <row r="347">
      <c r="A347" s="2">
        <v>45826.48568287037</v>
      </c>
      <c r="B347" s="1" t="s">
        <v>197</v>
      </c>
      <c r="C347" s="1" t="s">
        <v>316</v>
      </c>
      <c r="D347" s="1" t="s">
        <v>461</v>
      </c>
      <c r="E347" s="1" t="s">
        <v>479</v>
      </c>
      <c r="F347" s="1" t="s">
        <v>11</v>
      </c>
      <c r="G347" s="1" t="s">
        <v>380</v>
      </c>
    </row>
    <row r="348">
      <c r="A348" s="2">
        <v>45826.486030092594</v>
      </c>
      <c r="B348" s="1" t="s">
        <v>197</v>
      </c>
      <c r="C348" s="1" t="s">
        <v>316</v>
      </c>
      <c r="D348" s="1" t="s">
        <v>323</v>
      </c>
      <c r="E348" s="1" t="s">
        <v>480</v>
      </c>
      <c r="F348" s="1" t="s">
        <v>11</v>
      </c>
      <c r="G348" s="1" t="s">
        <v>380</v>
      </c>
    </row>
    <row r="349">
      <c r="A349" s="2">
        <v>45826.48645833333</v>
      </c>
      <c r="B349" s="1" t="s">
        <v>197</v>
      </c>
      <c r="C349" s="1" t="s">
        <v>316</v>
      </c>
      <c r="D349" s="1" t="s">
        <v>323</v>
      </c>
      <c r="E349" s="1" t="s">
        <v>481</v>
      </c>
      <c r="F349" s="1" t="s">
        <v>11</v>
      </c>
      <c r="G349" s="1" t="s">
        <v>380</v>
      </c>
    </row>
    <row r="350">
      <c r="A350" s="2">
        <v>45826.48855324074</v>
      </c>
      <c r="B350" s="1" t="s">
        <v>316</v>
      </c>
      <c r="C350" s="1" t="s">
        <v>197</v>
      </c>
      <c r="D350" s="1" t="s">
        <v>482</v>
      </c>
      <c r="E350" s="1" t="s">
        <v>483</v>
      </c>
      <c r="F350" s="1" t="s">
        <v>11</v>
      </c>
      <c r="G350" s="1" t="s">
        <v>411</v>
      </c>
    </row>
    <row r="351">
      <c r="A351" s="2">
        <v>45826.49159722222</v>
      </c>
      <c r="B351" s="1" t="s">
        <v>197</v>
      </c>
      <c r="C351" s="1" t="s">
        <v>316</v>
      </c>
      <c r="D351" s="1" t="s">
        <v>484</v>
      </c>
      <c r="E351" s="1" t="s">
        <v>485</v>
      </c>
      <c r="F351" s="1" t="s">
        <v>11</v>
      </c>
      <c r="G351" s="1" t="s">
        <v>380</v>
      </c>
    </row>
    <row r="352">
      <c r="A352" s="2">
        <v>45826.491944444446</v>
      </c>
      <c r="B352" s="1" t="s">
        <v>197</v>
      </c>
      <c r="C352" s="1" t="s">
        <v>316</v>
      </c>
      <c r="D352" s="1" t="s">
        <v>484</v>
      </c>
      <c r="E352" s="1" t="s">
        <v>486</v>
      </c>
      <c r="F352" s="1" t="s">
        <v>11</v>
      </c>
      <c r="G352" s="1" t="s">
        <v>380</v>
      </c>
    </row>
    <row r="353">
      <c r="A353" s="2">
        <v>45826.493576388886</v>
      </c>
      <c r="B353" s="1" t="s">
        <v>197</v>
      </c>
      <c r="C353" s="1" t="s">
        <v>316</v>
      </c>
      <c r="D353" s="1" t="s">
        <v>484</v>
      </c>
      <c r="E353" s="1" t="s">
        <v>487</v>
      </c>
      <c r="F353" s="1" t="s">
        <v>11</v>
      </c>
      <c r="G353" s="1" t="s">
        <v>380</v>
      </c>
    </row>
    <row r="354">
      <c r="A354" s="2">
        <v>45826.5284375</v>
      </c>
      <c r="B354" s="1" t="s">
        <v>316</v>
      </c>
      <c r="C354" s="1" t="s">
        <v>197</v>
      </c>
      <c r="D354" s="1" t="s">
        <v>484</v>
      </c>
      <c r="E354" s="1" t="s">
        <v>488</v>
      </c>
      <c r="F354" s="1" t="s">
        <v>11</v>
      </c>
      <c r="G354" s="1" t="s">
        <v>414</v>
      </c>
    </row>
    <row r="355">
      <c r="A355" s="2">
        <v>45826.528958333336</v>
      </c>
      <c r="B355" s="1" t="s">
        <v>316</v>
      </c>
      <c r="C355" s="1" t="s">
        <v>197</v>
      </c>
      <c r="D355" s="1" t="s">
        <v>484</v>
      </c>
      <c r="E355" s="1" t="s">
        <v>489</v>
      </c>
      <c r="F355" s="1" t="s">
        <v>11</v>
      </c>
      <c r="G355" s="1" t="s">
        <v>414</v>
      </c>
    </row>
    <row r="356">
      <c r="A356" s="2">
        <v>45826.53333333333</v>
      </c>
      <c r="B356" s="1" t="s">
        <v>316</v>
      </c>
      <c r="C356" s="1" t="s">
        <v>197</v>
      </c>
      <c r="D356" s="1" t="s">
        <v>461</v>
      </c>
      <c r="E356" s="1" t="s">
        <v>490</v>
      </c>
      <c r="F356" s="1" t="s">
        <v>11</v>
      </c>
      <c r="G356" s="1" t="s">
        <v>414</v>
      </c>
    </row>
    <row r="357">
      <c r="A357" s="2">
        <v>45826.70364583333</v>
      </c>
      <c r="B357" s="1" t="s">
        <v>316</v>
      </c>
      <c r="C357" s="1" t="s">
        <v>197</v>
      </c>
      <c r="D357" s="1" t="s">
        <v>484</v>
      </c>
      <c r="E357" s="1" t="s">
        <v>491</v>
      </c>
      <c r="F357" s="1" t="s">
        <v>11</v>
      </c>
      <c r="G357" s="1" t="s">
        <v>492</v>
      </c>
    </row>
    <row r="358">
      <c r="A358" s="2">
        <v>45826.703888888886</v>
      </c>
      <c r="B358" s="1" t="s">
        <v>316</v>
      </c>
      <c r="C358" s="1" t="s">
        <v>197</v>
      </c>
      <c r="D358" s="1" t="s">
        <v>484</v>
      </c>
      <c r="E358" s="1" t="s">
        <v>493</v>
      </c>
      <c r="F358" s="1" t="s">
        <v>11</v>
      </c>
      <c r="G358" s="1" t="s">
        <v>492</v>
      </c>
    </row>
    <row r="359">
      <c r="A359" s="2">
        <v>45827.382256944446</v>
      </c>
      <c r="B359" s="1" t="s">
        <v>316</v>
      </c>
      <c r="C359" s="1" t="s">
        <v>197</v>
      </c>
      <c r="D359" s="1" t="s">
        <v>494</v>
      </c>
      <c r="E359" s="1" t="s">
        <v>495</v>
      </c>
      <c r="F359" s="1" t="s">
        <v>11</v>
      </c>
      <c r="G359" s="1" t="s">
        <v>211</v>
      </c>
    </row>
    <row r="360">
      <c r="A360" s="2">
        <v>45827.38559027778</v>
      </c>
      <c r="B360" s="1" t="s">
        <v>316</v>
      </c>
      <c r="C360" s="1" t="s">
        <v>197</v>
      </c>
      <c r="D360" s="1" t="s">
        <v>496</v>
      </c>
      <c r="E360" s="1" t="s">
        <v>497</v>
      </c>
      <c r="F360" s="1" t="s">
        <v>11</v>
      </c>
      <c r="G360" s="1" t="s">
        <v>285</v>
      </c>
    </row>
    <row r="361">
      <c r="A361" s="2">
        <v>45827.46701388889</v>
      </c>
      <c r="B361" s="1" t="s">
        <v>316</v>
      </c>
      <c r="C361" s="1" t="s">
        <v>197</v>
      </c>
      <c r="E361" s="1" t="s">
        <v>498</v>
      </c>
      <c r="F361" s="1" t="s">
        <v>11</v>
      </c>
      <c r="G361" s="1" t="s">
        <v>285</v>
      </c>
    </row>
    <row r="362">
      <c r="A362" s="2">
        <v>45827.756064814814</v>
      </c>
      <c r="B362" s="1" t="s">
        <v>150</v>
      </c>
      <c r="C362" s="1" t="s">
        <v>151</v>
      </c>
      <c r="D362" s="1" t="s">
        <v>320</v>
      </c>
      <c r="E362" s="1" t="s">
        <v>153</v>
      </c>
      <c r="F362" s="1" t="s">
        <v>11</v>
      </c>
      <c r="G362" s="1" t="s">
        <v>14</v>
      </c>
    </row>
    <row r="363">
      <c r="A363" s="2">
        <v>45827.7184837963</v>
      </c>
      <c r="B363" s="1" t="s">
        <v>316</v>
      </c>
      <c r="C363" s="1" t="s">
        <v>355</v>
      </c>
      <c r="D363" s="1" t="s">
        <v>499</v>
      </c>
      <c r="E363" s="1" t="s">
        <v>500</v>
      </c>
      <c r="F363" s="1" t="s">
        <v>11</v>
      </c>
      <c r="G363" s="1" t="s">
        <v>411</v>
      </c>
    </row>
    <row r="364">
      <c r="A364" s="2">
        <v>45827.87196759259</v>
      </c>
      <c r="B364" s="1" t="s">
        <v>391</v>
      </c>
      <c r="C364" s="1" t="s">
        <v>316</v>
      </c>
      <c r="D364" s="1" t="s">
        <v>501</v>
      </c>
      <c r="E364" s="1" t="s">
        <v>502</v>
      </c>
      <c r="F364" s="1" t="s">
        <v>11</v>
      </c>
      <c r="G364" s="1" t="s">
        <v>380</v>
      </c>
    </row>
    <row r="365">
      <c r="A365" s="2">
        <v>45827.768541666665</v>
      </c>
      <c r="B365" s="1" t="s">
        <v>316</v>
      </c>
      <c r="C365" s="1" t="s">
        <v>391</v>
      </c>
      <c r="D365" s="1" t="s">
        <v>501</v>
      </c>
      <c r="E365" s="1" t="s">
        <v>503</v>
      </c>
      <c r="F365" s="1" t="s">
        <v>11</v>
      </c>
      <c r="G365" s="1" t="s">
        <v>414</v>
      </c>
    </row>
    <row r="366">
      <c r="A366" s="2">
        <v>45827.92186342592</v>
      </c>
      <c r="B366" s="1" t="s">
        <v>391</v>
      </c>
      <c r="C366" s="1" t="s">
        <v>316</v>
      </c>
      <c r="D366" s="1" t="s">
        <v>501</v>
      </c>
      <c r="E366" s="1" t="s">
        <v>504</v>
      </c>
      <c r="F366" s="1" t="s">
        <v>11</v>
      </c>
      <c r="G366" s="1" t="s">
        <v>380</v>
      </c>
    </row>
    <row r="367">
      <c r="A367" s="2">
        <v>45827.92454861111</v>
      </c>
      <c r="B367" s="1" t="s">
        <v>391</v>
      </c>
      <c r="C367" s="1" t="s">
        <v>316</v>
      </c>
      <c r="D367" s="1" t="s">
        <v>501</v>
      </c>
      <c r="E367" s="1" t="s">
        <v>505</v>
      </c>
      <c r="F367" s="1" t="s">
        <v>11</v>
      </c>
      <c r="G367" s="1" t="s">
        <v>380</v>
      </c>
    </row>
    <row r="368">
      <c r="A368" s="2">
        <v>45827.927453703705</v>
      </c>
      <c r="B368" s="1" t="s">
        <v>391</v>
      </c>
      <c r="C368" s="1" t="s">
        <v>316</v>
      </c>
      <c r="D368" s="1" t="s">
        <v>501</v>
      </c>
      <c r="E368" s="1" t="s">
        <v>506</v>
      </c>
      <c r="F368" s="1" t="s">
        <v>11</v>
      </c>
      <c r="G368" s="1" t="s">
        <v>380</v>
      </c>
    </row>
    <row r="369">
      <c r="A369" s="2">
        <v>45827.94122685185</v>
      </c>
      <c r="B369" s="1" t="s">
        <v>316</v>
      </c>
      <c r="C369" s="1" t="s">
        <v>391</v>
      </c>
      <c r="D369" s="1" t="s">
        <v>501</v>
      </c>
      <c r="E369" s="1" t="s">
        <v>507</v>
      </c>
      <c r="F369" s="1" t="s">
        <v>11</v>
      </c>
      <c r="G369" s="1" t="s">
        <v>414</v>
      </c>
    </row>
    <row r="370">
      <c r="A370" s="2">
        <v>45827.95104166667</v>
      </c>
      <c r="B370" s="1" t="s">
        <v>316</v>
      </c>
      <c r="C370" s="1" t="s">
        <v>316</v>
      </c>
      <c r="D370" s="1" t="s">
        <v>508</v>
      </c>
      <c r="F370" s="1" t="s">
        <v>271</v>
      </c>
      <c r="G370" s="1" t="s">
        <v>509</v>
      </c>
    </row>
    <row r="371">
      <c r="A371" s="2">
        <v>45827.963692129626</v>
      </c>
      <c r="B371" s="3" t="str">
        <f>?UTF-8?B?THVuYSDigKI=?= &lt;lunacraigcep@gmail.com&gt;</f>
        <v>#ERROR!</v>
      </c>
      <c r="C371" s="1" t="s">
        <v>316</v>
      </c>
      <c r="D371" s="1" t="s">
        <v>510</v>
      </c>
      <c r="E371" s="1" t="s">
        <v>282</v>
      </c>
      <c r="F371" s="1" t="s">
        <v>271</v>
      </c>
      <c r="G371" s="1" t="s">
        <v>511</v>
      </c>
    </row>
    <row r="372">
      <c r="A372" s="2">
        <v>45828.48982638889</v>
      </c>
      <c r="B372" s="1" t="s">
        <v>391</v>
      </c>
      <c r="C372" s="1" t="s">
        <v>316</v>
      </c>
      <c r="D372" s="1" t="s">
        <v>501</v>
      </c>
      <c r="E372" s="1" t="s">
        <v>512</v>
      </c>
      <c r="F372" s="1" t="s">
        <v>11</v>
      </c>
      <c r="G372" s="1" t="s">
        <v>513</v>
      </c>
    </row>
    <row r="373">
      <c r="A373" s="2">
        <v>45828.490439814814</v>
      </c>
      <c r="B373" s="1" t="s">
        <v>391</v>
      </c>
      <c r="C373" s="1" t="s">
        <v>316</v>
      </c>
      <c r="D373" s="1" t="s">
        <v>501</v>
      </c>
      <c r="E373" s="1" t="s">
        <v>514</v>
      </c>
      <c r="F373" s="1" t="s">
        <v>11</v>
      </c>
      <c r="G373" s="1" t="s">
        <v>513</v>
      </c>
    </row>
    <row r="374">
      <c r="A374" s="2">
        <v>45828.49081018518</v>
      </c>
      <c r="B374" s="1" t="s">
        <v>391</v>
      </c>
      <c r="C374" s="1" t="s">
        <v>316</v>
      </c>
      <c r="D374" s="1" t="s">
        <v>501</v>
      </c>
      <c r="E374" s="1" t="s">
        <v>515</v>
      </c>
      <c r="F374" s="1" t="s">
        <v>11</v>
      </c>
      <c r="G374" s="1" t="s">
        <v>513</v>
      </c>
    </row>
    <row r="375">
      <c r="A375" s="2">
        <v>45830.399305555555</v>
      </c>
      <c r="B375" s="1" t="s">
        <v>316</v>
      </c>
      <c r="C375" s="1" t="s">
        <v>391</v>
      </c>
      <c r="D375" s="1" t="s">
        <v>501</v>
      </c>
      <c r="E375" s="1" t="s">
        <v>516</v>
      </c>
      <c r="F375" s="1" t="s">
        <v>11</v>
      </c>
      <c r="G375" s="1" t="s">
        <v>517</v>
      </c>
    </row>
    <row r="376">
      <c r="A376" s="2">
        <v>45830.42805555555</v>
      </c>
      <c r="B376" s="3" t="str">
        <f>?UTF-8?B?THVuYSDigKI=?= &lt;lunacraigcep@gmail.com&gt;</f>
        <v>#ERROR!</v>
      </c>
      <c r="C376" s="1" t="s">
        <v>518</v>
      </c>
      <c r="D376" s="1" t="s">
        <v>519</v>
      </c>
      <c r="E376" s="1" t="s">
        <v>520</v>
      </c>
      <c r="F376" s="1" t="s">
        <v>11</v>
      </c>
      <c r="G376" s="1" t="s">
        <v>521</v>
      </c>
    </row>
    <row r="377">
      <c r="A377" s="2">
        <v>45831.22635416667</v>
      </c>
      <c r="B377" s="1" t="s">
        <v>316</v>
      </c>
      <c r="C377" s="1" t="s">
        <v>355</v>
      </c>
      <c r="D377" s="1" t="s">
        <v>522</v>
      </c>
      <c r="E377" s="1" t="s">
        <v>523</v>
      </c>
      <c r="F377" s="1" t="s">
        <v>11</v>
      </c>
      <c r="G377" s="1" t="s">
        <v>211</v>
      </c>
    </row>
    <row r="378">
      <c r="A378" s="2">
        <v>45831.46773148148</v>
      </c>
      <c r="B378" s="1" t="s">
        <v>197</v>
      </c>
      <c r="C378" s="1" t="s">
        <v>316</v>
      </c>
      <c r="D378" s="1" t="s">
        <v>524</v>
      </c>
      <c r="E378" s="1" t="s">
        <v>525</v>
      </c>
      <c r="F378" s="1" t="s">
        <v>271</v>
      </c>
      <c r="G378" s="1" t="s">
        <v>208</v>
      </c>
    </row>
    <row r="379">
      <c r="A379" s="2">
        <v>45831.489895833336</v>
      </c>
      <c r="B379" s="1" t="s">
        <v>316</v>
      </c>
      <c r="C379" s="1" t="s">
        <v>197</v>
      </c>
      <c r="D379" s="1" t="s">
        <v>524</v>
      </c>
      <c r="E379" s="1" t="s">
        <v>526</v>
      </c>
      <c r="F379" s="1" t="s">
        <v>11</v>
      </c>
      <c r="G379" s="1" t="s">
        <v>211</v>
      </c>
    </row>
    <row r="380">
      <c r="A380" s="2">
        <v>45831.52177083334</v>
      </c>
      <c r="B380" s="1" t="s">
        <v>316</v>
      </c>
      <c r="C380" s="1" t="s">
        <v>197</v>
      </c>
      <c r="D380" s="1" t="s">
        <v>524</v>
      </c>
      <c r="E380" s="1" t="s">
        <v>527</v>
      </c>
      <c r="F380" s="1" t="s">
        <v>11</v>
      </c>
      <c r="G380" s="1" t="s">
        <v>211</v>
      </c>
    </row>
    <row r="381">
      <c r="A381" s="2">
        <v>45831.856875</v>
      </c>
      <c r="B381" s="1" t="s">
        <v>316</v>
      </c>
      <c r="C381" s="1" t="s">
        <v>197</v>
      </c>
      <c r="D381" s="1" t="s">
        <v>524</v>
      </c>
      <c r="E381" s="1" t="s">
        <v>528</v>
      </c>
      <c r="F381" s="1" t="s">
        <v>11</v>
      </c>
      <c r="G381" s="1" t="s">
        <v>211</v>
      </c>
    </row>
    <row r="382">
      <c r="A382" s="2">
        <v>45832.31313657408</v>
      </c>
      <c r="B382" s="1" t="s">
        <v>197</v>
      </c>
      <c r="C382" s="1" t="s">
        <v>316</v>
      </c>
      <c r="D382" s="1" t="s">
        <v>524</v>
      </c>
      <c r="E382" s="1" t="s">
        <v>529</v>
      </c>
      <c r="F382" s="1" t="s">
        <v>11</v>
      </c>
      <c r="G382" s="1" t="s">
        <v>208</v>
      </c>
    </row>
    <row r="383">
      <c r="A383" s="2">
        <v>45832.3953125</v>
      </c>
      <c r="B383" s="1" t="s">
        <v>316</v>
      </c>
      <c r="C383" s="1" t="s">
        <v>197</v>
      </c>
      <c r="D383" s="1" t="s">
        <v>524</v>
      </c>
      <c r="E383" s="1" t="s">
        <v>530</v>
      </c>
      <c r="F383" s="1" t="s">
        <v>271</v>
      </c>
      <c r="G383" s="1" t="s">
        <v>211</v>
      </c>
    </row>
    <row r="384">
      <c r="A384" s="2">
        <v>45832.55806712963</v>
      </c>
      <c r="B384" s="1" t="s">
        <v>197</v>
      </c>
      <c r="C384" s="1" t="s">
        <v>316</v>
      </c>
      <c r="D384" s="1" t="s">
        <v>524</v>
      </c>
      <c r="E384" s="1" t="s">
        <v>531</v>
      </c>
      <c r="F384" s="1" t="s">
        <v>11</v>
      </c>
      <c r="G384" s="1" t="s">
        <v>208</v>
      </c>
    </row>
    <row r="385">
      <c r="A385" s="2">
        <v>45832.59787037037</v>
      </c>
      <c r="B385" s="1" t="s">
        <v>316</v>
      </c>
      <c r="C385" s="1" t="s">
        <v>197</v>
      </c>
      <c r="D385" s="1" t="s">
        <v>524</v>
      </c>
      <c r="E385" s="1" t="s">
        <v>532</v>
      </c>
      <c r="F385" s="1" t="s">
        <v>11</v>
      </c>
      <c r="G385" s="1" t="s">
        <v>211</v>
      </c>
    </row>
    <row r="386">
      <c r="A386" s="2">
        <v>45832.78450231482</v>
      </c>
      <c r="B386" s="1" t="s">
        <v>316</v>
      </c>
      <c r="C386" s="1" t="s">
        <v>197</v>
      </c>
      <c r="D386" s="1" t="s">
        <v>524</v>
      </c>
      <c r="E386" s="1" t="s">
        <v>533</v>
      </c>
      <c r="F386" s="1" t="s">
        <v>11</v>
      </c>
      <c r="G386" s="1" t="s">
        <v>211</v>
      </c>
    </row>
    <row r="387">
      <c r="A387" s="2">
        <v>45832.78954861111</v>
      </c>
      <c r="B387" s="1" t="s">
        <v>197</v>
      </c>
      <c r="C387" s="1" t="s">
        <v>316</v>
      </c>
      <c r="D387" s="1" t="s">
        <v>524</v>
      </c>
      <c r="E387" s="1" t="s">
        <v>534</v>
      </c>
      <c r="F387" s="1" t="s">
        <v>11</v>
      </c>
      <c r="G387" s="1" t="s">
        <v>208</v>
      </c>
    </row>
    <row r="388">
      <c r="A388" s="2">
        <v>45832.79033564815</v>
      </c>
      <c r="B388" s="1" t="s">
        <v>197</v>
      </c>
      <c r="C388" s="1" t="s">
        <v>316</v>
      </c>
      <c r="D388" s="1" t="s">
        <v>524</v>
      </c>
      <c r="E388" s="1" t="s">
        <v>535</v>
      </c>
      <c r="F388" s="1" t="s">
        <v>11</v>
      </c>
      <c r="G388" s="1" t="s">
        <v>208</v>
      </c>
    </row>
    <row r="389">
      <c r="A389" s="2">
        <v>45832.80085648148</v>
      </c>
      <c r="B389" s="1" t="s">
        <v>197</v>
      </c>
      <c r="C389" s="1" t="s">
        <v>316</v>
      </c>
      <c r="D389" s="1" t="s">
        <v>524</v>
      </c>
      <c r="E389" s="1" t="s">
        <v>536</v>
      </c>
      <c r="F389" s="1" t="s">
        <v>11</v>
      </c>
      <c r="G389" s="1" t="s">
        <v>208</v>
      </c>
    </row>
    <row r="390">
      <c r="A390" s="2">
        <v>45832.85128472222</v>
      </c>
      <c r="B390" s="1" t="s">
        <v>316</v>
      </c>
      <c r="C390" s="1" t="s">
        <v>197</v>
      </c>
      <c r="D390" s="1" t="s">
        <v>524</v>
      </c>
      <c r="E390" s="1" t="s">
        <v>537</v>
      </c>
      <c r="F390" s="1" t="s">
        <v>271</v>
      </c>
      <c r="G390" s="1" t="s">
        <v>211</v>
      </c>
    </row>
    <row r="391">
      <c r="A391" s="2">
        <v>45832.85664351852</v>
      </c>
      <c r="B391" s="1" t="s">
        <v>197</v>
      </c>
      <c r="C391" s="1" t="s">
        <v>316</v>
      </c>
      <c r="D391" s="1" t="s">
        <v>524</v>
      </c>
      <c r="E391" s="1" t="s">
        <v>538</v>
      </c>
      <c r="F391" s="1" t="s">
        <v>11</v>
      </c>
      <c r="G391" s="1" t="s">
        <v>208</v>
      </c>
    </row>
    <row r="392">
      <c r="A392" s="2">
        <v>45832.861712962964</v>
      </c>
      <c r="B392" s="1" t="s">
        <v>197</v>
      </c>
      <c r="C392" s="1" t="s">
        <v>316</v>
      </c>
      <c r="D392" s="1" t="s">
        <v>524</v>
      </c>
      <c r="E392" s="1" t="s">
        <v>539</v>
      </c>
      <c r="F392" s="1" t="s">
        <v>11</v>
      </c>
      <c r="G392" s="1" t="s">
        <v>208</v>
      </c>
    </row>
    <row r="393">
      <c r="A393" s="2">
        <v>45832.86516203704</v>
      </c>
      <c r="B393" s="1" t="s">
        <v>316</v>
      </c>
      <c r="C393" s="1" t="s">
        <v>197</v>
      </c>
      <c r="D393" s="1" t="s">
        <v>524</v>
      </c>
      <c r="E393" s="1" t="s">
        <v>540</v>
      </c>
      <c r="F393" s="1" t="s">
        <v>11</v>
      </c>
      <c r="G393" s="1" t="s">
        <v>211</v>
      </c>
    </row>
    <row r="394">
      <c r="A394" s="2">
        <v>45833.52612268519</v>
      </c>
      <c r="B394" s="1" t="s">
        <v>316</v>
      </c>
      <c r="C394" s="1" t="s">
        <v>197</v>
      </c>
      <c r="D394" s="1" t="s">
        <v>524</v>
      </c>
      <c r="E394" s="1" t="s">
        <v>541</v>
      </c>
      <c r="F394" s="1" t="s">
        <v>11</v>
      </c>
      <c r="G394" s="1" t="s">
        <v>211</v>
      </c>
    </row>
    <row r="395">
      <c r="A395" s="2">
        <v>45833.72619212963</v>
      </c>
      <c r="B395" s="1" t="s">
        <v>316</v>
      </c>
      <c r="C395" s="1" t="s">
        <v>197</v>
      </c>
      <c r="D395" s="1" t="s">
        <v>524</v>
      </c>
      <c r="E395" s="1" t="s">
        <v>542</v>
      </c>
      <c r="F395" s="1" t="s">
        <v>11</v>
      </c>
      <c r="G395" s="1" t="s">
        <v>211</v>
      </c>
    </row>
    <row r="396">
      <c r="A396" s="2">
        <v>45833.93733796296</v>
      </c>
      <c r="B396" s="1" t="s">
        <v>316</v>
      </c>
      <c r="C396" s="1" t="s">
        <v>197</v>
      </c>
      <c r="D396" s="1" t="s">
        <v>524</v>
      </c>
      <c r="E396" s="1" t="s">
        <v>543</v>
      </c>
      <c r="F396" s="1" t="s">
        <v>11</v>
      </c>
      <c r="G396" s="1" t="s">
        <v>211</v>
      </c>
    </row>
    <row r="397">
      <c r="A397" s="2">
        <v>45834.338900462964</v>
      </c>
      <c r="B397" s="1" t="s">
        <v>316</v>
      </c>
      <c r="C397" s="1" t="s">
        <v>355</v>
      </c>
      <c r="D397" s="1" t="s">
        <v>544</v>
      </c>
      <c r="E397" s="1" t="s">
        <v>545</v>
      </c>
      <c r="F397" s="1" t="s">
        <v>271</v>
      </c>
      <c r="G397" s="1" t="s">
        <v>211</v>
      </c>
    </row>
    <row r="398">
      <c r="A398" s="2">
        <v>45834.342685185184</v>
      </c>
      <c r="B398" s="1" t="s">
        <v>197</v>
      </c>
      <c r="C398" s="1" t="s">
        <v>316</v>
      </c>
      <c r="D398" s="1" t="s">
        <v>546</v>
      </c>
      <c r="E398" s="1" t="s">
        <v>547</v>
      </c>
      <c r="F398" s="1" t="s">
        <v>11</v>
      </c>
      <c r="G398" s="1" t="s">
        <v>208</v>
      </c>
    </row>
    <row r="399">
      <c r="A399" s="2">
        <v>45834.36767361111</v>
      </c>
      <c r="B399" s="1" t="s">
        <v>316</v>
      </c>
      <c r="C399" s="1" t="s">
        <v>197</v>
      </c>
      <c r="D399" s="1" t="s">
        <v>546</v>
      </c>
      <c r="E399" s="1" t="s">
        <v>548</v>
      </c>
      <c r="F399" s="1" t="s">
        <v>11</v>
      </c>
      <c r="G399" s="1" t="s">
        <v>211</v>
      </c>
    </row>
    <row r="400">
      <c r="A400" s="2">
        <v>45834.36912037037</v>
      </c>
      <c r="B400" s="1" t="s">
        <v>316</v>
      </c>
      <c r="C400" s="1" t="s">
        <v>197</v>
      </c>
      <c r="D400" s="1" t="s">
        <v>546</v>
      </c>
      <c r="E400" s="1" t="s">
        <v>549</v>
      </c>
      <c r="F400" s="1" t="s">
        <v>11</v>
      </c>
      <c r="G400" s="1" t="s">
        <v>211</v>
      </c>
    </row>
    <row r="401">
      <c r="A401" s="2">
        <v>45834.36924768519</v>
      </c>
      <c r="B401" s="1" t="s">
        <v>197</v>
      </c>
      <c r="C401" s="1" t="s">
        <v>316</v>
      </c>
      <c r="D401" s="1" t="s">
        <v>546</v>
      </c>
      <c r="E401" s="1" t="s">
        <v>550</v>
      </c>
      <c r="F401" s="1" t="s">
        <v>11</v>
      </c>
      <c r="G401" s="1" t="s">
        <v>208</v>
      </c>
    </row>
    <row r="402">
      <c r="A402" s="2">
        <v>45834.37018518519</v>
      </c>
      <c r="B402" s="1" t="s">
        <v>316</v>
      </c>
      <c r="C402" s="1" t="s">
        <v>197</v>
      </c>
      <c r="D402" s="1" t="s">
        <v>546</v>
      </c>
      <c r="E402" s="1" t="s">
        <v>551</v>
      </c>
      <c r="F402" s="1" t="s">
        <v>11</v>
      </c>
      <c r="G402" s="1" t="s">
        <v>211</v>
      </c>
    </row>
    <row r="403">
      <c r="A403" s="2">
        <v>45834.37834490741</v>
      </c>
      <c r="B403" s="1" t="s">
        <v>197</v>
      </c>
      <c r="C403" s="1" t="s">
        <v>316</v>
      </c>
      <c r="D403" s="1" t="s">
        <v>546</v>
      </c>
      <c r="E403" s="1" t="s">
        <v>552</v>
      </c>
      <c r="F403" s="1" t="s">
        <v>11</v>
      </c>
      <c r="G403" s="1" t="s">
        <v>208</v>
      </c>
    </row>
    <row r="404">
      <c r="A404" s="2">
        <v>45834.38037037037</v>
      </c>
      <c r="B404" s="1" t="s">
        <v>197</v>
      </c>
      <c r="C404" s="1" t="s">
        <v>316</v>
      </c>
      <c r="D404" s="1" t="s">
        <v>546</v>
      </c>
      <c r="E404" s="1" t="s">
        <v>553</v>
      </c>
      <c r="F404" s="1" t="s">
        <v>11</v>
      </c>
      <c r="G404" s="1" t="s">
        <v>208</v>
      </c>
    </row>
    <row r="405">
      <c r="A405" s="2">
        <v>45834.38055555556</v>
      </c>
      <c r="B405" s="1" t="s">
        <v>197</v>
      </c>
      <c r="C405" s="1" t="s">
        <v>316</v>
      </c>
      <c r="D405" s="1" t="s">
        <v>546</v>
      </c>
      <c r="E405" s="1" t="s">
        <v>554</v>
      </c>
      <c r="F405" s="1" t="s">
        <v>11</v>
      </c>
      <c r="G405" s="1" t="s">
        <v>208</v>
      </c>
    </row>
    <row r="406">
      <c r="A406" s="2">
        <v>45834.382256944446</v>
      </c>
      <c r="B406" s="1" t="s">
        <v>316</v>
      </c>
      <c r="C406" s="1" t="s">
        <v>197</v>
      </c>
      <c r="D406" s="1" t="s">
        <v>546</v>
      </c>
      <c r="E406" s="1" t="s">
        <v>555</v>
      </c>
      <c r="F406" s="1" t="s">
        <v>11</v>
      </c>
      <c r="G406" s="1" t="s">
        <v>211</v>
      </c>
    </row>
    <row r="407">
      <c r="A407" s="2">
        <v>45834.40415509259</v>
      </c>
      <c r="B407" s="1" t="s">
        <v>316</v>
      </c>
      <c r="C407" s="1" t="s">
        <v>197</v>
      </c>
      <c r="D407" s="1" t="s">
        <v>546</v>
      </c>
      <c r="E407" s="1" t="s">
        <v>556</v>
      </c>
      <c r="F407" s="1" t="s">
        <v>11</v>
      </c>
      <c r="G407" s="1" t="s">
        <v>211</v>
      </c>
    </row>
    <row r="408">
      <c r="A408" s="2">
        <v>45834.46606481481</v>
      </c>
      <c r="B408" s="1" t="s">
        <v>197</v>
      </c>
      <c r="C408" s="1" t="s">
        <v>316</v>
      </c>
      <c r="D408" s="1" t="s">
        <v>546</v>
      </c>
      <c r="E408" s="1" t="s">
        <v>557</v>
      </c>
      <c r="F408" s="1" t="s">
        <v>11</v>
      </c>
      <c r="G408" s="1" t="s">
        <v>388</v>
      </c>
    </row>
    <row r="409">
      <c r="A409" s="2">
        <v>45834.557800925926</v>
      </c>
      <c r="B409" s="1" t="s">
        <v>316</v>
      </c>
      <c r="C409" s="1" t="s">
        <v>197</v>
      </c>
      <c r="D409" s="1" t="s">
        <v>546</v>
      </c>
      <c r="E409" s="1" t="s">
        <v>558</v>
      </c>
      <c r="F409" s="1" t="s">
        <v>11</v>
      </c>
      <c r="G409" s="1" t="s">
        <v>559</v>
      </c>
    </row>
    <row r="410">
      <c r="A410" s="2">
        <v>45835.2416087963</v>
      </c>
      <c r="B410" s="1" t="s">
        <v>316</v>
      </c>
      <c r="C410" s="1" t="s">
        <v>197</v>
      </c>
      <c r="E410" s="1" t="s">
        <v>560</v>
      </c>
      <c r="F410" s="1" t="s">
        <v>11</v>
      </c>
      <c r="G410" s="1" t="s">
        <v>561</v>
      </c>
    </row>
    <row r="411">
      <c r="A411" s="2">
        <v>45835.25105324074</v>
      </c>
      <c r="B411" s="1" t="s">
        <v>316</v>
      </c>
      <c r="C411" s="1" t="s">
        <v>197</v>
      </c>
      <c r="D411" s="1" t="s">
        <v>562</v>
      </c>
      <c r="E411" s="1" t="s">
        <v>563</v>
      </c>
      <c r="F411" s="1" t="s">
        <v>11</v>
      </c>
      <c r="G411" s="1" t="s">
        <v>211</v>
      </c>
    </row>
    <row r="412">
      <c r="A412" s="2">
        <v>45835.25679398148</v>
      </c>
      <c r="B412" s="1" t="s">
        <v>316</v>
      </c>
      <c r="C412" s="1" t="s">
        <v>197</v>
      </c>
      <c r="E412" s="1" t="s">
        <v>564</v>
      </c>
      <c r="F412" s="1" t="s">
        <v>11</v>
      </c>
      <c r="G412" s="1" t="s">
        <v>211</v>
      </c>
    </row>
    <row r="413">
      <c r="A413" s="2">
        <v>45836.805138888885</v>
      </c>
      <c r="B413" s="1" t="s">
        <v>316</v>
      </c>
      <c r="C413" s="1" t="s">
        <v>355</v>
      </c>
      <c r="D413" s="1" t="s">
        <v>565</v>
      </c>
      <c r="E413" s="1" t="s">
        <v>566</v>
      </c>
      <c r="F413" s="1" t="s">
        <v>11</v>
      </c>
      <c r="G413" s="1" t="s">
        <v>211</v>
      </c>
    </row>
    <row r="414">
      <c r="A414" s="2">
        <v>45837.28167824074</v>
      </c>
      <c r="B414" s="1" t="s">
        <v>316</v>
      </c>
      <c r="C414" s="1" t="s">
        <v>391</v>
      </c>
      <c r="E414" s="1" t="s">
        <v>567</v>
      </c>
      <c r="F414" s="1" t="s">
        <v>11</v>
      </c>
      <c r="G414" s="1" t="s">
        <v>568</v>
      </c>
    </row>
    <row r="415">
      <c r="A415" s="2">
        <v>45838.70600694444</v>
      </c>
      <c r="B415" s="1" t="s">
        <v>316</v>
      </c>
      <c r="C415" s="1" t="s">
        <v>358</v>
      </c>
      <c r="D415" s="1" t="s">
        <v>569</v>
      </c>
      <c r="E415" s="1" t="s">
        <v>570</v>
      </c>
      <c r="F415" s="1" t="s">
        <v>11</v>
      </c>
      <c r="G415" s="1" t="s">
        <v>211</v>
      </c>
    </row>
    <row r="416">
      <c r="A416" s="2">
        <v>45838.89357638889</v>
      </c>
      <c r="B416" s="1" t="s">
        <v>316</v>
      </c>
      <c r="C416" s="1" t="s">
        <v>355</v>
      </c>
      <c r="D416" s="1" t="s">
        <v>571</v>
      </c>
      <c r="E416" s="1" t="s">
        <v>572</v>
      </c>
      <c r="F416" s="1" t="s">
        <v>271</v>
      </c>
      <c r="G416" s="1" t="s">
        <v>211</v>
      </c>
    </row>
    <row r="417">
      <c r="A417" s="2">
        <v>45839.76025462963</v>
      </c>
      <c r="B417" s="1" t="s">
        <v>184</v>
      </c>
      <c r="C417" s="1" t="s">
        <v>185</v>
      </c>
      <c r="D417" s="3" t="str">
        <f>?utf-8?q?Craig_n_Emma,_don=E2=80=99t_miss_these_popular_finds=E2=80=94sh?= =?utf-8?q?op_now_=F0=9F=9B=92?=</f>
        <v>#ERROR!</v>
      </c>
      <c r="E417" s="1" t="s">
        <v>186</v>
      </c>
      <c r="F417" s="1" t="s">
        <v>11</v>
      </c>
      <c r="G417" s="1" t="s">
        <v>14</v>
      </c>
    </row>
    <row r="418">
      <c r="A418" s="2">
        <v>45842.25880787037</v>
      </c>
      <c r="B418" s="1" t="s">
        <v>573</v>
      </c>
      <c r="C418" s="1" t="s">
        <v>151</v>
      </c>
      <c r="D418" s="1" t="s">
        <v>574</v>
      </c>
      <c r="E418" s="1" t="s">
        <v>575</v>
      </c>
      <c r="F418" s="1" t="s">
        <v>11</v>
      </c>
      <c r="G418" s="1" t="s">
        <v>165</v>
      </c>
    </row>
    <row r="419">
      <c r="A419" s="2">
        <v>45842.41400462963</v>
      </c>
      <c r="B419" s="1" t="s">
        <v>197</v>
      </c>
      <c r="C419" s="1" t="s">
        <v>151</v>
      </c>
      <c r="D419" s="1" t="s">
        <v>576</v>
      </c>
      <c r="E419" s="1" t="s">
        <v>577</v>
      </c>
      <c r="F419" s="1" t="s">
        <v>271</v>
      </c>
      <c r="G419" s="1" t="s">
        <v>388</v>
      </c>
    </row>
    <row r="420">
      <c r="A420" s="2">
        <v>45842.55123842593</v>
      </c>
      <c r="B420" s="1" t="s">
        <v>316</v>
      </c>
      <c r="C420" s="1" t="s">
        <v>197</v>
      </c>
      <c r="D420" s="1" t="s">
        <v>578</v>
      </c>
      <c r="E420" s="1" t="s">
        <v>579</v>
      </c>
      <c r="F420" s="1" t="s">
        <v>11</v>
      </c>
      <c r="G420" s="1" t="s">
        <v>204</v>
      </c>
    </row>
    <row r="421">
      <c r="A421" s="2">
        <v>45842.55478009259</v>
      </c>
      <c r="B421" s="1" t="s">
        <v>316</v>
      </c>
      <c r="C421" s="1" t="s">
        <v>197</v>
      </c>
      <c r="D421" s="1" t="s">
        <v>578</v>
      </c>
      <c r="E421" s="1" t="s">
        <v>580</v>
      </c>
      <c r="F421" s="1" t="s">
        <v>11</v>
      </c>
      <c r="G421" s="1" t="s">
        <v>204</v>
      </c>
    </row>
    <row r="422">
      <c r="A422" s="2">
        <v>45842.60034722222</v>
      </c>
      <c r="B422" s="1" t="s">
        <v>197</v>
      </c>
      <c r="C422" s="1" t="s">
        <v>316</v>
      </c>
      <c r="D422" s="1" t="s">
        <v>578</v>
      </c>
      <c r="E422" s="1" t="s">
        <v>581</v>
      </c>
      <c r="F422" s="1" t="s">
        <v>11</v>
      </c>
      <c r="G422" s="1" t="s">
        <v>200</v>
      </c>
    </row>
    <row r="423">
      <c r="A423" s="2">
        <v>45842.60091435185</v>
      </c>
      <c r="B423" s="1" t="s">
        <v>197</v>
      </c>
      <c r="C423" s="1" t="s">
        <v>316</v>
      </c>
      <c r="D423" s="1" t="s">
        <v>578</v>
      </c>
      <c r="E423" s="1" t="s">
        <v>582</v>
      </c>
      <c r="F423" s="1" t="s">
        <v>11</v>
      </c>
      <c r="G423" s="1" t="s">
        <v>200</v>
      </c>
    </row>
    <row r="424">
      <c r="A424" s="2">
        <v>45842.6028125</v>
      </c>
      <c r="B424" s="1" t="s">
        <v>316</v>
      </c>
      <c r="C424" s="1" t="s">
        <v>197</v>
      </c>
      <c r="D424" s="1" t="s">
        <v>578</v>
      </c>
      <c r="E424" s="1" t="s">
        <v>583</v>
      </c>
      <c r="F424" s="1" t="s">
        <v>11</v>
      </c>
      <c r="G424" s="1" t="s">
        <v>204</v>
      </c>
    </row>
    <row r="425">
      <c r="A425" s="2">
        <v>45842.60517361111</v>
      </c>
      <c r="B425" s="1" t="s">
        <v>316</v>
      </c>
      <c r="C425" s="1" t="s">
        <v>197</v>
      </c>
      <c r="D425" s="1" t="s">
        <v>578</v>
      </c>
      <c r="E425" s="1" t="s">
        <v>584</v>
      </c>
      <c r="F425" s="1" t="s">
        <v>271</v>
      </c>
      <c r="G425" s="1" t="s">
        <v>204</v>
      </c>
    </row>
    <row r="426">
      <c r="A426" s="2">
        <v>45842.734143518515</v>
      </c>
      <c r="B426" s="1" t="s">
        <v>391</v>
      </c>
      <c r="C426" s="1" t="s">
        <v>316</v>
      </c>
      <c r="D426" s="1" t="s">
        <v>461</v>
      </c>
      <c r="E426" s="1" t="s">
        <v>585</v>
      </c>
      <c r="F426" s="1" t="s">
        <v>11</v>
      </c>
      <c r="G426" s="1" t="s">
        <v>586</v>
      </c>
    </row>
    <row r="427">
      <c r="A427" s="2">
        <v>45842.61005787037</v>
      </c>
      <c r="B427" s="1" t="s">
        <v>197</v>
      </c>
      <c r="C427" s="1" t="s">
        <v>316</v>
      </c>
      <c r="D427" s="1" t="s">
        <v>578</v>
      </c>
      <c r="E427" s="1" t="s">
        <v>587</v>
      </c>
      <c r="F427" s="1" t="s">
        <v>11</v>
      </c>
      <c r="G427" s="1" t="s">
        <v>200</v>
      </c>
    </row>
    <row r="428">
      <c r="A428" s="2">
        <v>45842.61032407408</v>
      </c>
      <c r="B428" s="1" t="s">
        <v>197</v>
      </c>
      <c r="C428" s="1" t="s">
        <v>316</v>
      </c>
      <c r="D428" s="1" t="s">
        <v>578</v>
      </c>
      <c r="E428" s="1" t="s">
        <v>588</v>
      </c>
      <c r="F428" s="1" t="s">
        <v>11</v>
      </c>
      <c r="G428" s="1" t="s">
        <v>200</v>
      </c>
    </row>
    <row r="429">
      <c r="A429" s="2">
        <v>45842.61125</v>
      </c>
      <c r="B429" s="1" t="s">
        <v>197</v>
      </c>
      <c r="C429" s="1" t="s">
        <v>316</v>
      </c>
      <c r="D429" s="1" t="s">
        <v>578</v>
      </c>
      <c r="E429" s="1" t="s">
        <v>589</v>
      </c>
      <c r="F429" s="1" t="s">
        <v>11</v>
      </c>
      <c r="G429" s="1" t="s">
        <v>200</v>
      </c>
    </row>
    <row r="430">
      <c r="A430" s="2">
        <v>45842.61219907407</v>
      </c>
      <c r="B430" s="1" t="s">
        <v>316</v>
      </c>
      <c r="C430" s="1" t="s">
        <v>197</v>
      </c>
      <c r="D430" s="1" t="s">
        <v>578</v>
      </c>
      <c r="E430" s="1" t="s">
        <v>590</v>
      </c>
      <c r="F430" s="1" t="s">
        <v>11</v>
      </c>
      <c r="G430" s="1" t="s">
        <v>204</v>
      </c>
    </row>
    <row r="431">
      <c r="A431" s="2">
        <v>45842.61287037037</v>
      </c>
      <c r="B431" s="1" t="s">
        <v>316</v>
      </c>
      <c r="C431" s="1" t="s">
        <v>391</v>
      </c>
      <c r="D431" s="1" t="s">
        <v>461</v>
      </c>
      <c r="E431" s="1" t="s">
        <v>591</v>
      </c>
      <c r="F431" s="1" t="s">
        <v>11</v>
      </c>
      <c r="G431" s="1" t="s">
        <v>592</v>
      </c>
    </row>
    <row r="432">
      <c r="A432" s="2">
        <v>45842.61456018518</v>
      </c>
      <c r="B432" s="1" t="s">
        <v>316</v>
      </c>
      <c r="C432" s="1" t="s">
        <v>197</v>
      </c>
      <c r="D432" s="1" t="s">
        <v>578</v>
      </c>
      <c r="E432" s="1" t="s">
        <v>593</v>
      </c>
      <c r="F432" s="1" t="s">
        <v>11</v>
      </c>
      <c r="G432" s="1" t="s">
        <v>204</v>
      </c>
    </row>
    <row r="433">
      <c r="A433" s="2">
        <v>45842.618368055555</v>
      </c>
      <c r="B433" s="1" t="s">
        <v>197</v>
      </c>
      <c r="C433" s="1" t="s">
        <v>316</v>
      </c>
      <c r="D433" s="1" t="s">
        <v>578</v>
      </c>
      <c r="E433" s="1" t="s">
        <v>594</v>
      </c>
      <c r="F433" s="1" t="s">
        <v>11</v>
      </c>
      <c r="G433" s="1" t="s">
        <v>200</v>
      </c>
    </row>
    <row r="434">
      <c r="A434" s="2">
        <v>45842.63849537037</v>
      </c>
      <c r="B434" s="1" t="s">
        <v>197</v>
      </c>
      <c r="C434" s="1" t="s">
        <v>316</v>
      </c>
      <c r="D434" s="1" t="s">
        <v>578</v>
      </c>
      <c r="E434" s="1" t="s">
        <v>595</v>
      </c>
      <c r="F434" s="1" t="s">
        <v>11</v>
      </c>
      <c r="G434" s="1" t="s">
        <v>200</v>
      </c>
    </row>
    <row r="435">
      <c r="A435" s="2">
        <v>45842.67159722222</v>
      </c>
      <c r="B435" s="1" t="s">
        <v>316</v>
      </c>
      <c r="C435" s="1" t="s">
        <v>197</v>
      </c>
      <c r="D435" s="1" t="s">
        <v>578</v>
      </c>
      <c r="E435" s="1" t="s">
        <v>596</v>
      </c>
      <c r="F435" s="1" t="s">
        <v>11</v>
      </c>
      <c r="G435" s="1" t="s">
        <v>597</v>
      </c>
    </row>
    <row r="436">
      <c r="A436" s="2">
        <v>45842.680925925924</v>
      </c>
      <c r="B436" s="1" t="s">
        <v>316</v>
      </c>
      <c r="C436" s="1" t="s">
        <v>197</v>
      </c>
      <c r="D436" s="1" t="s">
        <v>578</v>
      </c>
      <c r="E436" s="1" t="s">
        <v>598</v>
      </c>
      <c r="F436" s="1" t="s">
        <v>11</v>
      </c>
      <c r="G436" s="1" t="s">
        <v>204</v>
      </c>
    </row>
    <row r="437">
      <c r="A437" s="2">
        <v>45843.033472222225</v>
      </c>
      <c r="B437" s="1" t="s">
        <v>316</v>
      </c>
      <c r="C437" s="1" t="s">
        <v>197</v>
      </c>
      <c r="D437" s="1" t="s">
        <v>578</v>
      </c>
      <c r="E437" s="1" t="s">
        <v>599</v>
      </c>
      <c r="F437" s="1" t="s">
        <v>271</v>
      </c>
      <c r="G437" s="1" t="s">
        <v>204</v>
      </c>
    </row>
    <row r="438">
      <c r="A438" s="2">
        <v>45843.291666666664</v>
      </c>
      <c r="B438" s="1" t="s">
        <v>316</v>
      </c>
      <c r="C438" s="1" t="s">
        <v>197</v>
      </c>
      <c r="D438" s="1" t="s">
        <v>600</v>
      </c>
      <c r="E438" s="1" t="s">
        <v>601</v>
      </c>
      <c r="F438" s="1" t="s">
        <v>11</v>
      </c>
      <c r="G438" s="1" t="s">
        <v>211</v>
      </c>
    </row>
    <row r="439">
      <c r="A439" s="2">
        <v>45843.46826388889</v>
      </c>
      <c r="B439" s="1" t="s">
        <v>316</v>
      </c>
      <c r="C439" s="1" t="s">
        <v>197</v>
      </c>
      <c r="D439" s="1" t="s">
        <v>578</v>
      </c>
      <c r="E439" s="1" t="s">
        <v>602</v>
      </c>
      <c r="F439" s="1" t="s">
        <v>11</v>
      </c>
      <c r="G439" s="1" t="s">
        <v>204</v>
      </c>
    </row>
    <row r="440">
      <c r="A440" s="2">
        <v>45843.47175925926</v>
      </c>
      <c r="B440" s="1" t="s">
        <v>316</v>
      </c>
      <c r="C440" s="1" t="s">
        <v>197</v>
      </c>
      <c r="D440" s="1" t="s">
        <v>578</v>
      </c>
      <c r="E440" s="1" t="s">
        <v>603</v>
      </c>
      <c r="F440" s="1" t="s">
        <v>11</v>
      </c>
      <c r="G440" s="1" t="s">
        <v>204</v>
      </c>
    </row>
    <row r="441">
      <c r="A441" s="2">
        <v>45843.48142361111</v>
      </c>
      <c r="B441" s="1" t="s">
        <v>316</v>
      </c>
      <c r="C441" s="1" t="s">
        <v>197</v>
      </c>
      <c r="D441" s="1" t="s">
        <v>578</v>
      </c>
      <c r="E441" s="1" t="s">
        <v>604</v>
      </c>
      <c r="F441" s="1" t="s">
        <v>11</v>
      </c>
      <c r="G441" s="1" t="s">
        <v>204</v>
      </c>
    </row>
    <row r="442">
      <c r="A442" s="2">
        <v>45844.39412037037</v>
      </c>
      <c r="B442" s="1" t="s">
        <v>316</v>
      </c>
      <c r="C442" s="1" t="s">
        <v>197</v>
      </c>
      <c r="D442" s="1" t="s">
        <v>605</v>
      </c>
      <c r="E442" s="1" t="s">
        <v>606</v>
      </c>
      <c r="F442" s="1" t="s">
        <v>11</v>
      </c>
      <c r="G442" s="1" t="s">
        <v>285</v>
      </c>
    </row>
    <row r="443">
      <c r="A443" s="2">
        <v>45844.62693287037</v>
      </c>
      <c r="B443" s="1" t="s">
        <v>316</v>
      </c>
      <c r="C443" s="1" t="s">
        <v>355</v>
      </c>
      <c r="D443" s="1" t="s">
        <v>569</v>
      </c>
      <c r="E443" s="1" t="s">
        <v>607</v>
      </c>
      <c r="F443" s="1" t="s">
        <v>11</v>
      </c>
      <c r="G443" s="1" t="s">
        <v>285</v>
      </c>
    </row>
    <row r="444">
      <c r="A444" s="2">
        <v>45844.996296296296</v>
      </c>
      <c r="B444" s="1" t="s">
        <v>316</v>
      </c>
      <c r="C444" s="1" t="s">
        <v>197</v>
      </c>
      <c r="D444" s="1" t="s">
        <v>608</v>
      </c>
      <c r="E444" s="1" t="s">
        <v>609</v>
      </c>
      <c r="F444" s="1" t="s">
        <v>11</v>
      </c>
      <c r="G444" s="1" t="s">
        <v>211</v>
      </c>
    </row>
    <row r="445">
      <c r="A445" s="2">
        <v>45849.06047453704</v>
      </c>
      <c r="B445" s="1" t="s">
        <v>316</v>
      </c>
      <c r="C445" s="1" t="s">
        <v>197</v>
      </c>
      <c r="D445" s="1" t="s">
        <v>522</v>
      </c>
      <c r="E445" s="1" t="s">
        <v>610</v>
      </c>
      <c r="F445" s="1" t="s">
        <v>11</v>
      </c>
      <c r="G445" s="1" t="s">
        <v>285</v>
      </c>
    </row>
    <row r="446">
      <c r="A446" s="2">
        <v>45849.17056712963</v>
      </c>
      <c r="B446" s="1" t="s">
        <v>316</v>
      </c>
      <c r="C446" s="1" t="s">
        <v>197</v>
      </c>
      <c r="D446" s="1" t="s">
        <v>611</v>
      </c>
      <c r="E446" s="1" t="s">
        <v>612</v>
      </c>
      <c r="F446" s="1" t="s">
        <v>11</v>
      </c>
      <c r="G446" s="1" t="s">
        <v>285</v>
      </c>
    </row>
    <row r="447">
      <c r="A447" s="2">
        <v>45850.76082175926</v>
      </c>
      <c r="B447" s="1" t="s">
        <v>316</v>
      </c>
      <c r="C447" s="1" t="s">
        <v>355</v>
      </c>
      <c r="D447" s="1" t="s">
        <v>613</v>
      </c>
      <c r="E447" s="1" t="s">
        <v>614</v>
      </c>
      <c r="F447" s="1" t="s">
        <v>271</v>
      </c>
      <c r="G447" s="1" t="s">
        <v>211</v>
      </c>
    </row>
    <row r="448">
      <c r="A448" s="2">
        <v>45850.819872685184</v>
      </c>
      <c r="B448" s="1" t="s">
        <v>197</v>
      </c>
      <c r="C448" s="1" t="s">
        <v>316</v>
      </c>
      <c r="D448" s="1" t="s">
        <v>615</v>
      </c>
      <c r="E448" s="1" t="s">
        <v>616</v>
      </c>
      <c r="F448" s="1" t="s">
        <v>11</v>
      </c>
      <c r="G448" s="1" t="s">
        <v>200</v>
      </c>
    </row>
    <row r="449">
      <c r="A449" s="2">
        <v>45850.86283564815</v>
      </c>
      <c r="B449" s="1" t="s">
        <v>316</v>
      </c>
      <c r="C449" s="1" t="s">
        <v>197</v>
      </c>
      <c r="D449" s="1" t="s">
        <v>617</v>
      </c>
      <c r="E449" s="1" t="s">
        <v>618</v>
      </c>
      <c r="F449" s="1" t="s">
        <v>11</v>
      </c>
      <c r="G449" s="1" t="s">
        <v>204</v>
      </c>
    </row>
    <row r="450">
      <c r="A450" s="2">
        <v>45850.90347222222</v>
      </c>
      <c r="B450" s="1" t="s">
        <v>316</v>
      </c>
      <c r="C450" s="1" t="s">
        <v>355</v>
      </c>
      <c r="D450" s="1" t="s">
        <v>619</v>
      </c>
      <c r="E450" s="1" t="s">
        <v>620</v>
      </c>
      <c r="F450" s="1" t="s">
        <v>271</v>
      </c>
      <c r="G450" s="1" t="s">
        <v>204</v>
      </c>
    </row>
    <row r="451">
      <c r="A451" s="2">
        <v>45851.60967592592</v>
      </c>
      <c r="B451" s="1" t="s">
        <v>316</v>
      </c>
      <c r="C451" s="1" t="s">
        <v>197</v>
      </c>
      <c r="D451" s="1" t="s">
        <v>621</v>
      </c>
      <c r="E451" s="1" t="s">
        <v>622</v>
      </c>
      <c r="F451" s="1" t="s">
        <v>11</v>
      </c>
      <c r="G451" s="1" t="s">
        <v>211</v>
      </c>
    </row>
    <row r="452">
      <c r="A452" s="2">
        <v>45851.75035879629</v>
      </c>
      <c r="B452" s="1" t="s">
        <v>184</v>
      </c>
      <c r="C452" s="1" t="s">
        <v>185</v>
      </c>
      <c r="D452" s="1" t="s">
        <v>319</v>
      </c>
      <c r="E452" s="1" t="s">
        <v>186</v>
      </c>
      <c r="F452" s="1" t="s">
        <v>11</v>
      </c>
      <c r="G452" s="1" t="s">
        <v>167</v>
      </c>
    </row>
    <row r="453">
      <c r="A453" s="2">
        <v>45852.423263888886</v>
      </c>
      <c r="B453" s="1" t="s">
        <v>197</v>
      </c>
      <c r="C453" s="1" t="s">
        <v>316</v>
      </c>
      <c r="D453" s="1" t="s">
        <v>623</v>
      </c>
      <c r="E453" s="1" t="s">
        <v>624</v>
      </c>
      <c r="F453" s="1" t="s">
        <v>11</v>
      </c>
      <c r="G453" s="1" t="s">
        <v>200</v>
      </c>
    </row>
    <row r="454">
      <c r="A454" s="2">
        <v>45852.42386574074</v>
      </c>
      <c r="B454" s="1" t="s">
        <v>197</v>
      </c>
      <c r="C454" s="1" t="s">
        <v>316</v>
      </c>
      <c r="D454" s="1" t="s">
        <v>623</v>
      </c>
      <c r="E454" s="1" t="s">
        <v>625</v>
      </c>
      <c r="F454" s="1" t="s">
        <v>11</v>
      </c>
      <c r="G454" s="1" t="s">
        <v>200</v>
      </c>
    </row>
    <row r="455">
      <c r="A455" s="2">
        <v>45852.42427083333</v>
      </c>
      <c r="B455" s="1" t="s">
        <v>197</v>
      </c>
      <c r="C455" s="1" t="s">
        <v>316</v>
      </c>
      <c r="D455" s="1" t="s">
        <v>623</v>
      </c>
      <c r="E455" s="1" t="s">
        <v>626</v>
      </c>
      <c r="F455" s="1" t="s">
        <v>11</v>
      </c>
      <c r="G455" s="1" t="s">
        <v>200</v>
      </c>
    </row>
    <row r="456">
      <c r="A456" s="2">
        <v>45852.49721064815</v>
      </c>
      <c r="B456" s="1" t="s">
        <v>316</v>
      </c>
      <c r="C456" s="1" t="s">
        <v>197</v>
      </c>
      <c r="D456" s="1" t="s">
        <v>623</v>
      </c>
      <c r="E456" s="1" t="s">
        <v>627</v>
      </c>
      <c r="F456" s="1" t="s">
        <v>11</v>
      </c>
      <c r="G456" s="1" t="s">
        <v>204</v>
      </c>
    </row>
    <row r="457">
      <c r="A457" s="2">
        <v>45852.49884259259</v>
      </c>
      <c r="B457" s="1" t="s">
        <v>316</v>
      </c>
      <c r="C457" s="1" t="s">
        <v>197</v>
      </c>
      <c r="D457" s="1" t="s">
        <v>623</v>
      </c>
      <c r="E457" s="1" t="s">
        <v>628</v>
      </c>
      <c r="F457" s="1" t="s">
        <v>11</v>
      </c>
      <c r="G457" s="1" t="s">
        <v>204</v>
      </c>
    </row>
    <row r="458">
      <c r="A458" s="2">
        <v>45855.135983796295</v>
      </c>
      <c r="B458" s="1" t="s">
        <v>316</v>
      </c>
      <c r="C458" s="1" t="s">
        <v>197</v>
      </c>
      <c r="D458" s="1" t="s">
        <v>629</v>
      </c>
      <c r="E458" s="1" t="s">
        <v>630</v>
      </c>
      <c r="F458" s="1" t="s">
        <v>11</v>
      </c>
      <c r="G458" s="1" t="s">
        <v>285</v>
      </c>
    </row>
    <row r="459">
      <c r="A459" s="2">
        <v>45855.759050925924</v>
      </c>
      <c r="B459" s="1" t="s">
        <v>150</v>
      </c>
      <c r="C459" s="1" t="s">
        <v>151</v>
      </c>
      <c r="D459" s="1" t="s">
        <v>320</v>
      </c>
      <c r="E459" s="1" t="s">
        <v>153</v>
      </c>
      <c r="F459" s="1" t="s">
        <v>11</v>
      </c>
      <c r="G459" s="1" t="s">
        <v>14</v>
      </c>
    </row>
    <row r="460">
      <c r="A460" s="2">
        <v>45857.10361111111</v>
      </c>
      <c r="B460" s="1" t="s">
        <v>316</v>
      </c>
      <c r="C460" s="1" t="s">
        <v>197</v>
      </c>
      <c r="E460" s="1" t="s">
        <v>631</v>
      </c>
      <c r="F460" s="1" t="s">
        <v>11</v>
      </c>
      <c r="G460" s="1" t="s">
        <v>211</v>
      </c>
    </row>
    <row r="461">
      <c r="A461" s="2">
        <v>45864.31266203704</v>
      </c>
      <c r="B461" s="1" t="s">
        <v>316</v>
      </c>
      <c r="C461" s="1" t="s">
        <v>197</v>
      </c>
      <c r="D461" s="1" t="s">
        <v>632</v>
      </c>
      <c r="E461" s="1" t="s">
        <v>633</v>
      </c>
      <c r="F461" s="1" t="s">
        <v>11</v>
      </c>
      <c r="G461" s="1" t="s">
        <v>211</v>
      </c>
    </row>
    <row r="462">
      <c r="A462" s="2">
        <v>45864.42927083333</v>
      </c>
      <c r="B462" s="1" t="s">
        <v>197</v>
      </c>
      <c r="C462" s="1" t="s">
        <v>316</v>
      </c>
      <c r="D462" s="1" t="s">
        <v>634</v>
      </c>
      <c r="E462" s="1" t="s">
        <v>635</v>
      </c>
      <c r="F462" s="1" t="s">
        <v>11</v>
      </c>
      <c r="G462" s="1" t="s">
        <v>200</v>
      </c>
    </row>
    <row r="463">
      <c r="A463" s="2">
        <v>45864.59846064815</v>
      </c>
      <c r="B463" s="1" t="s">
        <v>150</v>
      </c>
      <c r="C463" s="1" t="s">
        <v>151</v>
      </c>
      <c r="D463" s="1" t="s">
        <v>320</v>
      </c>
      <c r="E463" s="1" t="s">
        <v>153</v>
      </c>
      <c r="F463" s="1" t="s">
        <v>11</v>
      </c>
      <c r="G463" s="1" t="s">
        <v>14</v>
      </c>
    </row>
    <row r="464">
      <c r="A464" s="2">
        <v>45864.745405092595</v>
      </c>
      <c r="B464" s="1" t="s">
        <v>316</v>
      </c>
      <c r="C464" s="1" t="s">
        <v>197</v>
      </c>
      <c r="D464" s="1" t="s">
        <v>634</v>
      </c>
      <c r="E464" s="1" t="s">
        <v>636</v>
      </c>
      <c r="F464" s="1" t="s">
        <v>11</v>
      </c>
      <c r="G464" s="1" t="s">
        <v>204</v>
      </c>
    </row>
    <row r="465">
      <c r="A465" s="2">
        <v>45864.74690972222</v>
      </c>
      <c r="B465" s="1" t="s">
        <v>316</v>
      </c>
      <c r="C465" s="1" t="s">
        <v>197</v>
      </c>
      <c r="D465" s="1" t="s">
        <v>634</v>
      </c>
      <c r="E465" s="1" t="s">
        <v>637</v>
      </c>
      <c r="F465" s="1" t="s">
        <v>11</v>
      </c>
      <c r="G465" s="1" t="s">
        <v>204</v>
      </c>
    </row>
    <row r="466">
      <c r="A466" s="2">
        <v>45865.33756944445</v>
      </c>
      <c r="B466" s="1" t="s">
        <v>316</v>
      </c>
      <c r="C466" s="1" t="s">
        <v>355</v>
      </c>
      <c r="D466" s="1" t="s">
        <v>638</v>
      </c>
      <c r="E466" s="1" t="s">
        <v>639</v>
      </c>
      <c r="F466" s="1" t="s">
        <v>11</v>
      </c>
      <c r="G466" s="1" t="s">
        <v>211</v>
      </c>
    </row>
    <row r="467">
      <c r="A467" s="2">
        <v>45867.75408564815</v>
      </c>
      <c r="B467" s="1" t="s">
        <v>150</v>
      </c>
      <c r="C467" s="1" t="s">
        <v>151</v>
      </c>
      <c r="D467" s="1" t="s">
        <v>449</v>
      </c>
      <c r="E467" s="1" t="s">
        <v>153</v>
      </c>
      <c r="F467" s="1" t="s">
        <v>11</v>
      </c>
      <c r="G467" s="1" t="s">
        <v>14</v>
      </c>
    </row>
    <row r="468">
      <c r="A468" s="2">
        <v>45869.43984953704</v>
      </c>
      <c r="B468" s="1" t="s">
        <v>316</v>
      </c>
      <c r="C468" s="1" t="s">
        <v>197</v>
      </c>
      <c r="D468" s="1" t="s">
        <v>640</v>
      </c>
      <c r="E468" s="1" t="s">
        <v>641</v>
      </c>
      <c r="F468" s="1" t="s">
        <v>11</v>
      </c>
      <c r="G468" s="1" t="s">
        <v>211</v>
      </c>
    </row>
    <row r="469">
      <c r="A469" s="2">
        <v>45869.44697916666</v>
      </c>
      <c r="B469" s="1" t="s">
        <v>316</v>
      </c>
      <c r="C469" s="1" t="s">
        <v>197</v>
      </c>
      <c r="D469" s="1" t="s">
        <v>569</v>
      </c>
      <c r="E469" s="1" t="s">
        <v>642</v>
      </c>
      <c r="F469" s="1" t="s">
        <v>11</v>
      </c>
      <c r="G469" s="1" t="s">
        <v>211</v>
      </c>
    </row>
    <row r="470">
      <c r="A470" s="2">
        <v>45870.93917824074</v>
      </c>
      <c r="B470" s="1" t="s">
        <v>316</v>
      </c>
      <c r="C470" s="1" t="s">
        <v>197</v>
      </c>
      <c r="D470" s="1" t="s">
        <v>643</v>
      </c>
      <c r="E470" s="1" t="s">
        <v>644</v>
      </c>
      <c r="F470" s="1" t="s">
        <v>11</v>
      </c>
      <c r="G470" s="1" t="s">
        <v>211</v>
      </c>
    </row>
    <row r="471">
      <c r="A471" s="2">
        <v>45871.07953703704</v>
      </c>
      <c r="B471" s="1" t="s">
        <v>197</v>
      </c>
      <c r="C471" s="1" t="s">
        <v>316</v>
      </c>
      <c r="D471" s="1" t="s">
        <v>645</v>
      </c>
      <c r="E471" s="1" t="s">
        <v>646</v>
      </c>
      <c r="F471" s="1" t="s">
        <v>271</v>
      </c>
      <c r="G471" s="1" t="s">
        <v>200</v>
      </c>
    </row>
    <row r="472">
      <c r="A472" s="2">
        <v>45871.09998842593</v>
      </c>
      <c r="B472" s="1" t="s">
        <v>316</v>
      </c>
      <c r="C472" s="1" t="s">
        <v>197</v>
      </c>
      <c r="D472" s="1" t="s">
        <v>645</v>
      </c>
      <c r="E472" s="1" t="s">
        <v>647</v>
      </c>
      <c r="F472" s="1" t="s">
        <v>11</v>
      </c>
      <c r="G472" s="1" t="s">
        <v>204</v>
      </c>
    </row>
    <row r="473">
      <c r="A473" s="2">
        <v>45871.1141087963</v>
      </c>
      <c r="B473" s="1" t="s">
        <v>316</v>
      </c>
      <c r="C473" s="1" t="s">
        <v>197</v>
      </c>
      <c r="D473" s="1" t="s">
        <v>645</v>
      </c>
      <c r="E473" s="1" t="s">
        <v>648</v>
      </c>
      <c r="F473" s="1" t="s">
        <v>11</v>
      </c>
      <c r="G473" s="1" t="s">
        <v>204</v>
      </c>
    </row>
    <row r="474">
      <c r="A474" s="2">
        <v>45871.61623842592</v>
      </c>
      <c r="B474" s="1" t="s">
        <v>316</v>
      </c>
      <c r="C474" s="1" t="s">
        <v>197</v>
      </c>
      <c r="D474" s="1" t="s">
        <v>649</v>
      </c>
      <c r="E474" s="1" t="s">
        <v>650</v>
      </c>
      <c r="F474" s="1" t="s">
        <v>11</v>
      </c>
      <c r="G474" s="1" t="s">
        <v>211</v>
      </c>
    </row>
    <row r="475">
      <c r="A475" s="2">
        <v>45871.63995370371</v>
      </c>
      <c r="B475" s="1" t="s">
        <v>197</v>
      </c>
      <c r="C475" s="1" t="s">
        <v>316</v>
      </c>
      <c r="D475" s="1" t="s">
        <v>651</v>
      </c>
      <c r="E475" s="1" t="s">
        <v>652</v>
      </c>
      <c r="F475" s="1" t="s">
        <v>11</v>
      </c>
      <c r="G475" s="1" t="s">
        <v>200</v>
      </c>
    </row>
    <row r="476">
      <c r="A476" s="2">
        <v>45871.64077546296</v>
      </c>
      <c r="B476" s="1" t="s">
        <v>197</v>
      </c>
      <c r="C476" s="1" t="s">
        <v>316</v>
      </c>
      <c r="D476" s="1" t="s">
        <v>651</v>
      </c>
      <c r="E476" s="1" t="s">
        <v>653</v>
      </c>
      <c r="F476" s="1" t="s">
        <v>11</v>
      </c>
      <c r="G476" s="1" t="s">
        <v>200</v>
      </c>
    </row>
    <row r="477">
      <c r="A477" s="2">
        <v>45871.64890046296</v>
      </c>
      <c r="B477" s="1" t="s">
        <v>316</v>
      </c>
      <c r="C477" s="1" t="s">
        <v>197</v>
      </c>
      <c r="D477" s="1" t="s">
        <v>651</v>
      </c>
      <c r="E477" s="1" t="s">
        <v>654</v>
      </c>
      <c r="F477" s="1" t="s">
        <v>11</v>
      </c>
      <c r="G477" s="1" t="s">
        <v>204</v>
      </c>
    </row>
    <row r="478">
      <c r="A478" s="2">
        <v>45871.64952546296</v>
      </c>
      <c r="B478" s="1" t="s">
        <v>316</v>
      </c>
      <c r="C478" s="1" t="s">
        <v>197</v>
      </c>
      <c r="D478" s="1" t="s">
        <v>651</v>
      </c>
      <c r="E478" s="1" t="s">
        <v>655</v>
      </c>
      <c r="F478" s="1" t="s">
        <v>11</v>
      </c>
      <c r="G478" s="1" t="s">
        <v>204</v>
      </c>
    </row>
    <row r="479">
      <c r="A479" s="2">
        <v>45871.91133101852</v>
      </c>
      <c r="B479" s="1" t="s">
        <v>197</v>
      </c>
      <c r="C479" s="1" t="s">
        <v>316</v>
      </c>
      <c r="D479" s="1" t="s">
        <v>651</v>
      </c>
      <c r="E479" s="1" t="s">
        <v>656</v>
      </c>
      <c r="F479" s="1" t="s">
        <v>11</v>
      </c>
      <c r="G479" s="1" t="s">
        <v>200</v>
      </c>
    </row>
    <row r="480">
      <c r="A480" s="2">
        <v>45871.93445601852</v>
      </c>
      <c r="B480" s="1" t="s">
        <v>197</v>
      </c>
      <c r="C480" s="1" t="s">
        <v>316</v>
      </c>
      <c r="D480" s="1" t="s">
        <v>651</v>
      </c>
      <c r="E480" s="1" t="s">
        <v>657</v>
      </c>
      <c r="F480" s="1" t="s">
        <v>11</v>
      </c>
      <c r="G480" s="1" t="s">
        <v>200</v>
      </c>
    </row>
    <row r="481">
      <c r="A481" s="2">
        <v>45871.94724537037</v>
      </c>
      <c r="B481" s="1" t="s">
        <v>316</v>
      </c>
      <c r="C481" s="1" t="s">
        <v>197</v>
      </c>
      <c r="D481" s="1" t="s">
        <v>651</v>
      </c>
      <c r="E481" s="1" t="s">
        <v>658</v>
      </c>
      <c r="F481" s="1" t="s">
        <v>11</v>
      </c>
      <c r="G481" s="1" t="s">
        <v>204</v>
      </c>
    </row>
    <row r="482">
      <c r="A482" s="2">
        <v>45871.947916666664</v>
      </c>
      <c r="B482" s="1" t="s">
        <v>316</v>
      </c>
      <c r="C482" s="1" t="s">
        <v>197</v>
      </c>
      <c r="D482" s="1" t="s">
        <v>651</v>
      </c>
      <c r="E482" s="1" t="s">
        <v>659</v>
      </c>
      <c r="F482" s="1" t="s">
        <v>11</v>
      </c>
      <c r="G482" s="1" t="s">
        <v>204</v>
      </c>
    </row>
    <row r="483">
      <c r="A483" s="2">
        <v>45871.98189814815</v>
      </c>
      <c r="B483" s="1" t="s">
        <v>316</v>
      </c>
      <c r="C483" s="1" t="s">
        <v>197</v>
      </c>
      <c r="D483" s="1" t="s">
        <v>651</v>
      </c>
      <c r="E483" s="1" t="s">
        <v>660</v>
      </c>
      <c r="F483" s="1" t="s">
        <v>11</v>
      </c>
      <c r="G483" s="1" t="s">
        <v>204</v>
      </c>
    </row>
    <row r="484">
      <c r="A484" s="2">
        <v>45871.98730324074</v>
      </c>
      <c r="B484" s="1" t="s">
        <v>316</v>
      </c>
      <c r="C484" s="1" t="s">
        <v>197</v>
      </c>
      <c r="D484" s="1" t="s">
        <v>651</v>
      </c>
      <c r="E484" s="1" t="s">
        <v>661</v>
      </c>
      <c r="F484" s="1" t="s">
        <v>11</v>
      </c>
      <c r="G484" s="1" t="s">
        <v>204</v>
      </c>
    </row>
    <row r="485">
      <c r="A485" s="2">
        <v>45872.31508101852</v>
      </c>
      <c r="B485" s="1" t="s">
        <v>197</v>
      </c>
      <c r="C485" s="1" t="s">
        <v>316</v>
      </c>
      <c r="D485" s="1" t="s">
        <v>651</v>
      </c>
      <c r="E485" s="1" t="s">
        <v>662</v>
      </c>
      <c r="F485" s="1" t="s">
        <v>11</v>
      </c>
      <c r="G485" s="1" t="s">
        <v>200</v>
      </c>
    </row>
    <row r="486">
      <c r="A486" s="2">
        <v>45872.31613425926</v>
      </c>
      <c r="B486" s="1" t="s">
        <v>197</v>
      </c>
      <c r="C486" s="1" t="s">
        <v>316</v>
      </c>
      <c r="D486" s="1" t="s">
        <v>651</v>
      </c>
      <c r="E486" s="1" t="s">
        <v>663</v>
      </c>
      <c r="F486" s="1" t="s">
        <v>11</v>
      </c>
      <c r="G486" s="1" t="s">
        <v>200</v>
      </c>
    </row>
    <row r="487">
      <c r="A487" s="2">
        <v>45872.317766203705</v>
      </c>
      <c r="B487" s="1" t="s">
        <v>197</v>
      </c>
      <c r="C487" s="1" t="s">
        <v>316</v>
      </c>
      <c r="D487" s="1" t="s">
        <v>651</v>
      </c>
      <c r="E487" s="1" t="s">
        <v>664</v>
      </c>
      <c r="F487" s="1" t="s">
        <v>11</v>
      </c>
      <c r="G487" s="1" t="s">
        <v>200</v>
      </c>
    </row>
    <row r="488">
      <c r="A488" s="2">
        <v>45872.41940972222</v>
      </c>
      <c r="B488" s="1" t="s">
        <v>316</v>
      </c>
      <c r="C488" s="1" t="s">
        <v>197</v>
      </c>
      <c r="D488" s="1" t="s">
        <v>651</v>
      </c>
      <c r="E488" s="1" t="s">
        <v>665</v>
      </c>
      <c r="F488" s="1" t="s">
        <v>11</v>
      </c>
      <c r="G488" s="1" t="s">
        <v>204</v>
      </c>
    </row>
    <row r="489">
      <c r="A489" s="2">
        <v>45872.476273148146</v>
      </c>
      <c r="B489" s="1" t="s">
        <v>316</v>
      </c>
      <c r="C489" s="1" t="s">
        <v>197</v>
      </c>
      <c r="D489" s="1" t="s">
        <v>651</v>
      </c>
      <c r="E489" s="1" t="s">
        <v>666</v>
      </c>
      <c r="F489" s="1" t="s">
        <v>11</v>
      </c>
      <c r="G489" s="1" t="s">
        <v>204</v>
      </c>
    </row>
    <row r="490">
      <c r="A490" s="2">
        <v>45872.6025</v>
      </c>
      <c r="B490" s="1" t="s">
        <v>316</v>
      </c>
      <c r="C490" s="1" t="s">
        <v>197</v>
      </c>
      <c r="D490" s="1" t="s">
        <v>651</v>
      </c>
      <c r="E490" s="1" t="s">
        <v>667</v>
      </c>
      <c r="F490" s="1" t="s">
        <v>11</v>
      </c>
      <c r="G490" s="1" t="s">
        <v>204</v>
      </c>
    </row>
    <row r="491">
      <c r="A491" s="2">
        <v>45872.610972222225</v>
      </c>
      <c r="B491" s="1" t="s">
        <v>316</v>
      </c>
      <c r="C491" s="1" t="s">
        <v>197</v>
      </c>
      <c r="D491" s="1" t="s">
        <v>651</v>
      </c>
      <c r="E491" s="1" t="s">
        <v>668</v>
      </c>
      <c r="F491" s="1" t="s">
        <v>11</v>
      </c>
      <c r="G491" s="1" t="s">
        <v>204</v>
      </c>
    </row>
    <row r="492">
      <c r="A492" s="2">
        <v>45875.00896990741</v>
      </c>
      <c r="B492" s="1" t="s">
        <v>316</v>
      </c>
      <c r="C492" s="1" t="s">
        <v>197</v>
      </c>
      <c r="D492" s="1" t="s">
        <v>669</v>
      </c>
      <c r="E492" s="1" t="s">
        <v>670</v>
      </c>
      <c r="F492" s="1" t="s">
        <v>11</v>
      </c>
      <c r="G492" s="1" t="s">
        <v>211</v>
      </c>
    </row>
    <row r="493">
      <c r="A493" s="2">
        <v>45875.752546296295</v>
      </c>
      <c r="B493" s="1" t="s">
        <v>150</v>
      </c>
      <c r="C493" s="1" t="s">
        <v>151</v>
      </c>
      <c r="D493" s="1" t="s">
        <v>320</v>
      </c>
      <c r="E493" s="1" t="s">
        <v>153</v>
      </c>
      <c r="F493" s="1" t="s">
        <v>11</v>
      </c>
      <c r="G493" s="1" t="s">
        <v>14</v>
      </c>
    </row>
    <row r="494">
      <c r="A494" s="2">
        <v>45877.33967592593</v>
      </c>
      <c r="B494" s="1" t="s">
        <v>316</v>
      </c>
      <c r="C494" s="1" t="s">
        <v>197</v>
      </c>
      <c r="D494" s="1" t="s">
        <v>671</v>
      </c>
      <c r="E494" s="1" t="s">
        <v>672</v>
      </c>
      <c r="F494" s="1" t="s">
        <v>11</v>
      </c>
      <c r="G494" s="1" t="s">
        <v>211</v>
      </c>
    </row>
    <row r="495">
      <c r="A495" s="2">
        <v>45878.6553587963</v>
      </c>
      <c r="B495" s="1" t="s">
        <v>316</v>
      </c>
      <c r="C495" s="1" t="s">
        <v>197</v>
      </c>
      <c r="D495" s="1" t="s">
        <v>673</v>
      </c>
      <c r="E495" s="1" t="s">
        <v>674</v>
      </c>
      <c r="F495" s="1" t="s">
        <v>11</v>
      </c>
      <c r="G495" s="1" t="s">
        <v>204</v>
      </c>
    </row>
    <row r="496">
      <c r="A496" s="2">
        <v>45878.81763888889</v>
      </c>
      <c r="B496" s="1" t="s">
        <v>675</v>
      </c>
      <c r="C496" s="1" t="s">
        <v>676</v>
      </c>
      <c r="D496" s="1" t="s">
        <v>677</v>
      </c>
      <c r="E496" s="1" t="s">
        <v>678</v>
      </c>
      <c r="F496" s="1" t="s">
        <v>11</v>
      </c>
      <c r="G496" s="1" t="s">
        <v>16</v>
      </c>
    </row>
    <row r="497">
      <c r="A497" s="2">
        <v>45878.892175925925</v>
      </c>
      <c r="B497" s="1" t="s">
        <v>316</v>
      </c>
      <c r="C497" s="1" t="s">
        <v>197</v>
      </c>
      <c r="D497" s="1" t="s">
        <v>679</v>
      </c>
      <c r="E497" s="1" t="s">
        <v>680</v>
      </c>
      <c r="F497" s="1" t="s">
        <v>11</v>
      </c>
      <c r="G497" s="1" t="s">
        <v>285</v>
      </c>
    </row>
    <row r="498">
      <c r="A498" s="2">
        <v>45879.38543981482</v>
      </c>
      <c r="B498" s="1" t="s">
        <v>316</v>
      </c>
      <c r="C498" s="1" t="s">
        <v>197</v>
      </c>
      <c r="D498" s="1" t="s">
        <v>569</v>
      </c>
      <c r="E498" s="1" t="s">
        <v>681</v>
      </c>
      <c r="F498" s="1" t="s">
        <v>11</v>
      </c>
      <c r="G498" s="1" t="s">
        <v>211</v>
      </c>
    </row>
    <row r="499">
      <c r="A499" s="2">
        <v>45880.05902777778</v>
      </c>
      <c r="B499" s="1" t="s">
        <v>316</v>
      </c>
      <c r="C499" s="1" t="s">
        <v>355</v>
      </c>
      <c r="D499" s="1" t="s">
        <v>682</v>
      </c>
      <c r="E499" s="1" t="s">
        <v>683</v>
      </c>
      <c r="F499" s="1" t="s">
        <v>11</v>
      </c>
      <c r="G499" s="1" t="s">
        <v>285</v>
      </c>
    </row>
    <row r="500">
      <c r="A500" s="2">
        <v>45880.53653935185</v>
      </c>
      <c r="B500" s="1" t="s">
        <v>316</v>
      </c>
      <c r="C500" s="1" t="s">
        <v>355</v>
      </c>
      <c r="D500" s="1" t="s">
        <v>684</v>
      </c>
      <c r="E500" s="1" t="s">
        <v>685</v>
      </c>
      <c r="F500" s="1" t="s">
        <v>11</v>
      </c>
      <c r="G500" s="1" t="s">
        <v>204</v>
      </c>
    </row>
    <row r="501">
      <c r="A501" s="2">
        <v>45881.34637731482</v>
      </c>
      <c r="B501" s="1" t="s">
        <v>197</v>
      </c>
      <c r="C501" s="1" t="s">
        <v>316</v>
      </c>
      <c r="D501" s="1" t="s">
        <v>686</v>
      </c>
      <c r="E501" s="1" t="s">
        <v>687</v>
      </c>
      <c r="F501" s="1" t="s">
        <v>11</v>
      </c>
      <c r="G501" s="1" t="s">
        <v>200</v>
      </c>
    </row>
    <row r="502">
      <c r="A502" s="2">
        <v>45881.91075231481</v>
      </c>
      <c r="B502" s="1" t="s">
        <v>316</v>
      </c>
      <c r="C502" s="1" t="s">
        <v>197</v>
      </c>
      <c r="D502" s="1" t="s">
        <v>686</v>
      </c>
      <c r="E502" s="1" t="s">
        <v>688</v>
      </c>
      <c r="F502" s="1" t="s">
        <v>11</v>
      </c>
      <c r="G502" s="1" t="s">
        <v>204</v>
      </c>
    </row>
    <row r="503">
      <c r="A503" s="2">
        <v>45881.91222222222</v>
      </c>
      <c r="B503" s="1" t="s">
        <v>316</v>
      </c>
      <c r="C503" s="1" t="s">
        <v>197</v>
      </c>
      <c r="D503" s="1" t="s">
        <v>686</v>
      </c>
      <c r="E503" s="1" t="s">
        <v>689</v>
      </c>
      <c r="F503" s="1" t="s">
        <v>11</v>
      </c>
      <c r="G503" s="1" t="s">
        <v>204</v>
      </c>
    </row>
    <row r="504">
      <c r="A504" s="2">
        <v>45881.945543981485</v>
      </c>
      <c r="B504" s="1" t="s">
        <v>316</v>
      </c>
      <c r="C504" s="1" t="s">
        <v>197</v>
      </c>
      <c r="D504" s="1" t="s">
        <v>686</v>
      </c>
      <c r="E504" s="1" t="s">
        <v>690</v>
      </c>
      <c r="F504" s="1" t="s">
        <v>11</v>
      </c>
      <c r="G504" s="1" t="s">
        <v>204</v>
      </c>
    </row>
    <row r="505">
      <c r="A505" s="2">
        <v>45882.60555555556</v>
      </c>
      <c r="B505" s="1" t="s">
        <v>691</v>
      </c>
      <c r="C505" s="1" t="s">
        <v>676</v>
      </c>
      <c r="D505" s="1" t="s">
        <v>692</v>
      </c>
      <c r="E505" s="1" t="s">
        <v>693</v>
      </c>
      <c r="F505" s="1" t="s">
        <v>11</v>
      </c>
      <c r="G505" s="1" t="s">
        <v>16</v>
      </c>
    </row>
    <row r="506">
      <c r="A506" s="2">
        <v>45882.619155092594</v>
      </c>
      <c r="B506" s="1" t="s">
        <v>316</v>
      </c>
      <c r="C506" s="1" t="s">
        <v>197</v>
      </c>
      <c r="D506" s="1" t="s">
        <v>694</v>
      </c>
      <c r="E506" s="1" t="s">
        <v>695</v>
      </c>
      <c r="F506" s="1" t="s">
        <v>11</v>
      </c>
      <c r="G506" s="1" t="s">
        <v>211</v>
      </c>
    </row>
    <row r="507">
      <c r="A507" s="2">
        <v>45882.6483912037</v>
      </c>
      <c r="B507" s="1" t="s">
        <v>197</v>
      </c>
      <c r="C507" s="1" t="s">
        <v>316</v>
      </c>
      <c r="D507" s="1" t="s">
        <v>696</v>
      </c>
      <c r="E507" s="1" t="s">
        <v>697</v>
      </c>
      <c r="F507" s="1" t="s">
        <v>11</v>
      </c>
      <c r="G507" s="1" t="s">
        <v>200</v>
      </c>
    </row>
    <row r="508">
      <c r="A508" s="2">
        <v>45882.746770833335</v>
      </c>
      <c r="B508" s="1" t="s">
        <v>316</v>
      </c>
      <c r="C508" s="1" t="s">
        <v>197</v>
      </c>
      <c r="D508" s="1" t="s">
        <v>696</v>
      </c>
      <c r="E508" s="1" t="s">
        <v>698</v>
      </c>
      <c r="F508" s="1" t="s">
        <v>11</v>
      </c>
      <c r="G508" s="1" t="s">
        <v>204</v>
      </c>
    </row>
    <row r="509">
      <c r="A509" s="2">
        <v>45882.75664351852</v>
      </c>
      <c r="B509" s="1" t="s">
        <v>316</v>
      </c>
      <c r="C509" s="1" t="s">
        <v>197</v>
      </c>
      <c r="D509" s="1" t="s">
        <v>696</v>
      </c>
      <c r="E509" s="1" t="s">
        <v>699</v>
      </c>
      <c r="F509" s="1" t="s">
        <v>11</v>
      </c>
      <c r="G509" s="1" t="s">
        <v>204</v>
      </c>
    </row>
    <row r="510">
      <c r="A510" s="2">
        <v>45882.76767361111</v>
      </c>
      <c r="B510" s="1" t="s">
        <v>316</v>
      </c>
      <c r="C510" s="1" t="s">
        <v>197</v>
      </c>
      <c r="D510" s="1" t="s">
        <v>696</v>
      </c>
      <c r="E510" s="1" t="s">
        <v>700</v>
      </c>
      <c r="F510" s="1" t="s">
        <v>11</v>
      </c>
      <c r="G510" s="1" t="s">
        <v>204</v>
      </c>
    </row>
    <row r="511">
      <c r="A511" s="2">
        <v>45882.79715277778</v>
      </c>
      <c r="B511" s="1" t="s">
        <v>316</v>
      </c>
      <c r="C511" s="1" t="s">
        <v>197</v>
      </c>
      <c r="D511" s="1" t="s">
        <v>696</v>
      </c>
      <c r="E511" s="1" t="s">
        <v>701</v>
      </c>
      <c r="F511" s="1" t="s">
        <v>11</v>
      </c>
      <c r="G511" s="1" t="s">
        <v>204</v>
      </c>
    </row>
    <row r="512">
      <c r="A512" s="2">
        <v>45882.82021990741</v>
      </c>
      <c r="B512" s="1" t="s">
        <v>316</v>
      </c>
      <c r="C512" s="1" t="s">
        <v>197</v>
      </c>
      <c r="D512" s="1" t="s">
        <v>696</v>
      </c>
      <c r="E512" s="1" t="s">
        <v>702</v>
      </c>
      <c r="F512" s="1" t="s">
        <v>11</v>
      </c>
      <c r="G512" s="1" t="s">
        <v>204</v>
      </c>
    </row>
    <row r="513">
      <c r="A513" s="2">
        <v>45882.82800925926</v>
      </c>
      <c r="B513" s="1" t="s">
        <v>316</v>
      </c>
      <c r="C513" s="1" t="s">
        <v>197</v>
      </c>
      <c r="D513" s="1" t="s">
        <v>696</v>
      </c>
      <c r="E513" s="1" t="s">
        <v>703</v>
      </c>
      <c r="F513" s="1" t="s">
        <v>11</v>
      </c>
      <c r="G513" s="1" t="s">
        <v>204</v>
      </c>
    </row>
    <row r="514">
      <c r="A514" s="2">
        <v>45886.96162037037</v>
      </c>
      <c r="B514" s="1" t="s">
        <v>316</v>
      </c>
      <c r="C514" s="1" t="s">
        <v>197</v>
      </c>
      <c r="D514" s="1" t="s">
        <v>704</v>
      </c>
      <c r="E514" s="1" t="s">
        <v>705</v>
      </c>
      <c r="F514" s="1" t="s">
        <v>11</v>
      </c>
      <c r="G514" s="1" t="s">
        <v>285</v>
      </c>
    </row>
    <row r="515">
      <c r="A515" s="2">
        <v>45888.46158564815</v>
      </c>
      <c r="B515" s="1" t="s">
        <v>316</v>
      </c>
      <c r="C515" s="1" t="s">
        <v>197</v>
      </c>
      <c r="D515" s="1" t="s">
        <v>706</v>
      </c>
      <c r="E515" s="1" t="s">
        <v>707</v>
      </c>
      <c r="F515" s="1" t="s">
        <v>11</v>
      </c>
      <c r="G515" s="1" t="s">
        <v>708</v>
      </c>
    </row>
    <row r="516">
      <c r="A516" s="2">
        <v>45888.52513888889</v>
      </c>
      <c r="B516" s="1" t="s">
        <v>197</v>
      </c>
      <c r="C516" s="1" t="s">
        <v>316</v>
      </c>
      <c r="D516" s="1" t="s">
        <v>709</v>
      </c>
      <c r="E516" s="1" t="s">
        <v>710</v>
      </c>
      <c r="F516" s="1" t="s">
        <v>11</v>
      </c>
      <c r="G516" s="1" t="s">
        <v>711</v>
      </c>
    </row>
    <row r="517">
      <c r="A517" s="2">
        <v>45888.576516203706</v>
      </c>
      <c r="B517" s="1" t="s">
        <v>316</v>
      </c>
      <c r="C517" s="1" t="s">
        <v>197</v>
      </c>
      <c r="D517" s="1" t="s">
        <v>709</v>
      </c>
      <c r="E517" s="1" t="s">
        <v>712</v>
      </c>
      <c r="F517" s="1" t="s">
        <v>11</v>
      </c>
      <c r="G517" s="1" t="s">
        <v>708</v>
      </c>
    </row>
    <row r="518">
      <c r="A518" s="2">
        <v>45888.73553240741</v>
      </c>
      <c r="B518" s="1" t="s">
        <v>316</v>
      </c>
      <c r="C518" s="1" t="s">
        <v>197</v>
      </c>
      <c r="E518" s="1" t="s">
        <v>713</v>
      </c>
      <c r="F518" s="1" t="s">
        <v>271</v>
      </c>
      <c r="G518" s="1" t="s">
        <v>285</v>
      </c>
    </row>
    <row r="519">
      <c r="A519" s="2">
        <v>45888.8921412037</v>
      </c>
      <c r="B519" s="1" t="s">
        <v>316</v>
      </c>
      <c r="C519" s="1" t="s">
        <v>197</v>
      </c>
      <c r="D519" s="1" t="s">
        <v>709</v>
      </c>
      <c r="E519" s="1" t="s">
        <v>714</v>
      </c>
      <c r="F519" s="1" t="s">
        <v>11</v>
      </c>
      <c r="G519" s="1" t="s">
        <v>715</v>
      </c>
    </row>
    <row r="520">
      <c r="A520" s="2">
        <v>45889.29237268519</v>
      </c>
      <c r="B520" s="1" t="s">
        <v>691</v>
      </c>
      <c r="C520" s="1" t="s">
        <v>676</v>
      </c>
      <c r="D520" s="1" t="s">
        <v>716</v>
      </c>
      <c r="E520" s="1" t="s">
        <v>717</v>
      </c>
      <c r="F520" s="1" t="s">
        <v>11</v>
      </c>
      <c r="G520" s="1" t="s">
        <v>718</v>
      </c>
    </row>
    <row r="521">
      <c r="A521" s="2">
        <v>45889.707766203705</v>
      </c>
      <c r="B521" s="1" t="s">
        <v>197</v>
      </c>
      <c r="C521" s="1" t="s">
        <v>719</v>
      </c>
      <c r="E521" s="1" t="s">
        <v>720</v>
      </c>
      <c r="F521" s="1" t="s">
        <v>11</v>
      </c>
      <c r="G521" s="1" t="s">
        <v>721</v>
      </c>
    </row>
    <row r="522">
      <c r="A522" s="2">
        <v>45889.797002314815</v>
      </c>
      <c r="B522" s="1" t="s">
        <v>452</v>
      </c>
      <c r="C522" s="1" t="s">
        <v>197</v>
      </c>
      <c r="D522" s="1" t="s">
        <v>323</v>
      </c>
      <c r="E522" s="1" t="s">
        <v>722</v>
      </c>
      <c r="F522" s="1" t="s">
        <v>11</v>
      </c>
      <c r="G522" s="1" t="s">
        <v>723</v>
      </c>
    </row>
    <row r="523">
      <c r="A523" s="2">
        <v>45889.79765046296</v>
      </c>
      <c r="B523" s="1" t="s">
        <v>452</v>
      </c>
      <c r="C523" s="1" t="s">
        <v>197</v>
      </c>
      <c r="D523" s="1" t="s">
        <v>323</v>
      </c>
      <c r="E523" s="1" t="s">
        <v>724</v>
      </c>
      <c r="F523" s="1" t="s">
        <v>11</v>
      </c>
      <c r="G523" s="1" t="s">
        <v>723</v>
      </c>
    </row>
    <row r="524">
      <c r="A524" s="2">
        <v>45889.798784722225</v>
      </c>
      <c r="B524" s="1" t="s">
        <v>452</v>
      </c>
      <c r="C524" s="1" t="s">
        <v>197</v>
      </c>
      <c r="D524" s="1" t="s">
        <v>323</v>
      </c>
      <c r="E524" s="1" t="s">
        <v>725</v>
      </c>
      <c r="F524" s="1" t="s">
        <v>11</v>
      </c>
      <c r="G524" s="1" t="s">
        <v>726</v>
      </c>
    </row>
    <row r="525">
      <c r="A525" s="2">
        <v>45889.8205787037</v>
      </c>
      <c r="B525" s="1" t="s">
        <v>316</v>
      </c>
      <c r="C525" s="1" t="s">
        <v>727</v>
      </c>
      <c r="D525" s="1" t="s">
        <v>728</v>
      </c>
      <c r="E525" s="1" t="s">
        <v>729</v>
      </c>
      <c r="F525" s="1" t="s">
        <v>271</v>
      </c>
      <c r="G525" s="1" t="s">
        <v>306</v>
      </c>
    </row>
    <row r="526">
      <c r="A526" s="2">
        <v>45889.956342592595</v>
      </c>
      <c r="B526" s="1" t="s">
        <v>316</v>
      </c>
      <c r="C526" s="1" t="s">
        <v>730</v>
      </c>
      <c r="D526" s="1" t="s">
        <v>731</v>
      </c>
      <c r="E526" s="1" t="s">
        <v>732</v>
      </c>
      <c r="F526" s="1" t="s">
        <v>11</v>
      </c>
      <c r="G526" s="1" t="s">
        <v>211</v>
      </c>
    </row>
    <row r="527">
      <c r="A527" s="2">
        <v>45890.79671296296</v>
      </c>
      <c r="B527" s="1" t="s">
        <v>316</v>
      </c>
      <c r="C527" s="1" t="s">
        <v>727</v>
      </c>
      <c r="D527" s="1" t="s">
        <v>733</v>
      </c>
      <c r="E527" s="1" t="s">
        <v>734</v>
      </c>
      <c r="F527" s="1" t="s">
        <v>11</v>
      </c>
      <c r="G527" s="1" t="s">
        <v>306</v>
      </c>
    </row>
    <row r="528">
      <c r="A528" s="2">
        <v>45890.83744212963</v>
      </c>
      <c r="B528" s="1" t="s">
        <v>316</v>
      </c>
      <c r="C528" s="1" t="s">
        <v>197</v>
      </c>
      <c r="D528" s="1" t="s">
        <v>735</v>
      </c>
      <c r="E528" s="1" t="s">
        <v>736</v>
      </c>
      <c r="F528" s="1" t="s">
        <v>11</v>
      </c>
      <c r="G528" s="1" t="s">
        <v>285</v>
      </c>
    </row>
    <row r="529">
      <c r="A529" s="2">
        <v>45891.26361111111</v>
      </c>
      <c r="B529" s="1" t="s">
        <v>316</v>
      </c>
      <c r="C529" s="1" t="s">
        <v>737</v>
      </c>
      <c r="D529" s="3" t="str">
        <f>?UTF-8?Q?Urgent_Request_for_Assistance_with_Family_Law_Case_?=
	=?UTF-8?Q?=E2=80=93_Harper_Ryan=E2=80=99s_Safety?=</f>
        <v>#ERROR!</v>
      </c>
      <c r="E529" s="1" t="s">
        <v>738</v>
      </c>
      <c r="F529" s="1" t="s">
        <v>11</v>
      </c>
      <c r="G529" s="1" t="s">
        <v>739</v>
      </c>
    </row>
    <row r="530">
      <c r="A530" s="2">
        <v>45891.26378472222</v>
      </c>
      <c r="B530" s="1" t="s">
        <v>316</v>
      </c>
      <c r="C530" s="1" t="s">
        <v>727</v>
      </c>
      <c r="D530" s="1" t="s">
        <v>740</v>
      </c>
      <c r="E530" s="1" t="s">
        <v>741</v>
      </c>
      <c r="F530" s="1" t="s">
        <v>11</v>
      </c>
      <c r="G530" s="1" t="s">
        <v>739</v>
      </c>
    </row>
    <row r="531">
      <c r="A531" s="2">
        <v>45891.389340277776</v>
      </c>
      <c r="B531" s="1" t="s">
        <v>742</v>
      </c>
      <c r="C531" s="1" t="s">
        <v>316</v>
      </c>
      <c r="D531" s="3" t="str">
        <f>?Windows-1252?Q?Automatic_reply:_Urgent_Request_for_Assistance_with_Fami?=
 =?Windows-1252?Q?ly_Law_Case_=96_Harper_Ryan=92s_Safety?=</f>
        <v>#ERROR!</v>
      </c>
      <c r="E531" s="1" t="s">
        <v>743</v>
      </c>
      <c r="F531" s="1" t="s">
        <v>11</v>
      </c>
      <c r="G531" s="1" t="s">
        <v>744</v>
      </c>
    </row>
    <row r="532">
      <c r="A532" s="2">
        <v>45891.52564814815</v>
      </c>
      <c r="B532" s="1" t="s">
        <v>727</v>
      </c>
      <c r="C532" s="1" t="s">
        <v>316</v>
      </c>
      <c r="D532" s="1" t="s">
        <v>745</v>
      </c>
      <c r="E532" s="1" t="s">
        <v>746</v>
      </c>
      <c r="F532" s="1" t="s">
        <v>271</v>
      </c>
      <c r="G532" s="1" t="s">
        <v>586</v>
      </c>
    </row>
    <row r="533">
      <c r="A533" s="2">
        <v>45891.45068287037</v>
      </c>
      <c r="B533" s="1" t="s">
        <v>316</v>
      </c>
      <c r="C533" s="1" t="s">
        <v>727</v>
      </c>
      <c r="D533" s="1" t="s">
        <v>747</v>
      </c>
      <c r="E533" s="1" t="s">
        <v>748</v>
      </c>
      <c r="F533" s="1" t="s">
        <v>271</v>
      </c>
      <c r="G533" s="1" t="s">
        <v>592</v>
      </c>
    </row>
    <row r="534">
      <c r="A534" s="2">
        <v>45891.59612268519</v>
      </c>
      <c r="B534" s="1" t="s">
        <v>316</v>
      </c>
      <c r="C534" s="1" t="s">
        <v>197</v>
      </c>
      <c r="D534" s="1" t="s">
        <v>749</v>
      </c>
      <c r="E534" s="1" t="s">
        <v>750</v>
      </c>
      <c r="F534" s="1" t="s">
        <v>11</v>
      </c>
      <c r="G534" s="1" t="s">
        <v>285</v>
      </c>
    </row>
    <row r="535">
      <c r="A535" s="2">
        <v>45891.743935185186</v>
      </c>
      <c r="B535" s="1" t="s">
        <v>316</v>
      </c>
      <c r="C535" s="1" t="s">
        <v>197</v>
      </c>
      <c r="D535" s="1" t="s">
        <v>600</v>
      </c>
      <c r="E535" s="1" t="s">
        <v>751</v>
      </c>
      <c r="F535" s="1" t="s">
        <v>11</v>
      </c>
      <c r="G535" s="1" t="s">
        <v>211</v>
      </c>
    </row>
    <row r="536">
      <c r="A536" s="2">
        <v>45891.857615740744</v>
      </c>
      <c r="B536" s="1" t="s">
        <v>316</v>
      </c>
      <c r="C536" s="1" t="s">
        <v>197</v>
      </c>
      <c r="D536" s="1" t="s">
        <v>752</v>
      </c>
      <c r="E536" s="1" t="s">
        <v>753</v>
      </c>
      <c r="F536" s="1" t="s">
        <v>271</v>
      </c>
      <c r="G536" s="1" t="s">
        <v>285</v>
      </c>
    </row>
    <row r="537">
      <c r="A537" s="2">
        <v>45891.90662037037</v>
      </c>
      <c r="B537" s="1" t="s">
        <v>316</v>
      </c>
      <c r="C537" s="1" t="s">
        <v>754</v>
      </c>
      <c r="D537" s="1" t="s">
        <v>600</v>
      </c>
      <c r="E537" s="1" t="s">
        <v>755</v>
      </c>
      <c r="F537" s="1" t="s">
        <v>11</v>
      </c>
      <c r="G537" s="1" t="s">
        <v>756</v>
      </c>
    </row>
    <row r="538">
      <c r="A538" s="2">
        <v>45891.994155092594</v>
      </c>
      <c r="B538" s="1" t="s">
        <v>316</v>
      </c>
      <c r="C538" s="1" t="s">
        <v>355</v>
      </c>
      <c r="D538" s="1" t="s">
        <v>757</v>
      </c>
      <c r="E538" s="1" t="s">
        <v>758</v>
      </c>
      <c r="F538" s="1" t="s">
        <v>11</v>
      </c>
      <c r="G538" s="1" t="s">
        <v>285</v>
      </c>
    </row>
    <row r="539">
      <c r="A539" s="2">
        <v>45892.360289351855</v>
      </c>
      <c r="B539" s="1" t="s">
        <v>316</v>
      </c>
      <c r="C539" s="1" t="s">
        <v>355</v>
      </c>
      <c r="D539" s="1" t="s">
        <v>759</v>
      </c>
      <c r="E539" s="1" t="s">
        <v>760</v>
      </c>
      <c r="F539" s="1" t="s">
        <v>11</v>
      </c>
      <c r="G539" s="1" t="s">
        <v>568</v>
      </c>
    </row>
    <row r="540">
      <c r="A540" s="2">
        <v>45892.363703703704</v>
      </c>
      <c r="B540" s="1" t="s">
        <v>316</v>
      </c>
      <c r="C540" s="1" t="s">
        <v>355</v>
      </c>
      <c r="D540" s="1" t="s">
        <v>761</v>
      </c>
      <c r="E540" s="1" t="s">
        <v>762</v>
      </c>
      <c r="F540" s="1" t="s">
        <v>11</v>
      </c>
      <c r="G540" s="1" t="s">
        <v>306</v>
      </c>
    </row>
    <row r="541">
      <c r="A541" s="2">
        <v>45892.364641203705</v>
      </c>
      <c r="B541" s="1" t="s">
        <v>316</v>
      </c>
      <c r="C541" s="1" t="s">
        <v>197</v>
      </c>
      <c r="D541" s="1" t="s">
        <v>763</v>
      </c>
      <c r="E541" s="1" t="s">
        <v>764</v>
      </c>
      <c r="F541" s="1" t="s">
        <v>11</v>
      </c>
      <c r="G541" s="1" t="s">
        <v>568</v>
      </c>
    </row>
    <row r="542">
      <c r="A542" s="2">
        <v>45894.333333333336</v>
      </c>
      <c r="B542" s="1" t="s">
        <v>316</v>
      </c>
      <c r="C542" s="1" t="s">
        <v>355</v>
      </c>
      <c r="D542" s="1" t="s">
        <v>765</v>
      </c>
      <c r="E542" s="1" t="s">
        <v>766</v>
      </c>
      <c r="F542" s="1" t="s">
        <v>11</v>
      </c>
      <c r="G542" s="1" t="s">
        <v>767</v>
      </c>
    </row>
    <row r="543">
      <c r="A543" s="2">
        <v>45896.02079861111</v>
      </c>
      <c r="B543" s="1" t="s">
        <v>316</v>
      </c>
      <c r="C543" s="1" t="s">
        <v>355</v>
      </c>
      <c r="D543" s="1" t="s">
        <v>768</v>
      </c>
      <c r="E543" s="1" t="s">
        <v>769</v>
      </c>
      <c r="F543" s="1" t="s">
        <v>11</v>
      </c>
      <c r="G543" s="1" t="s">
        <v>306</v>
      </c>
    </row>
    <row r="544">
      <c r="A544" s="2">
        <v>45896.471597222226</v>
      </c>
      <c r="B544" s="1" t="s">
        <v>391</v>
      </c>
      <c r="C544" s="1" t="s">
        <v>316</v>
      </c>
      <c r="D544" s="1" t="s">
        <v>770</v>
      </c>
      <c r="E544" s="1" t="s">
        <v>771</v>
      </c>
      <c r="F544" s="1" t="s">
        <v>11</v>
      </c>
      <c r="G544" s="1" t="s">
        <v>586</v>
      </c>
    </row>
    <row r="545">
      <c r="A545" s="2">
        <v>45896.4721875</v>
      </c>
      <c r="B545" s="1" t="s">
        <v>391</v>
      </c>
      <c r="C545" s="1" t="s">
        <v>316</v>
      </c>
      <c r="D545" s="1" t="s">
        <v>770</v>
      </c>
      <c r="E545" s="1" t="s">
        <v>772</v>
      </c>
      <c r="F545" s="1" t="s">
        <v>11</v>
      </c>
      <c r="G545" s="1" t="s">
        <v>586</v>
      </c>
    </row>
    <row r="546">
      <c r="A546" s="2">
        <v>45896.47591435185</v>
      </c>
      <c r="B546" s="1" t="s">
        <v>391</v>
      </c>
      <c r="C546" s="1" t="s">
        <v>316</v>
      </c>
      <c r="D546" s="1" t="s">
        <v>770</v>
      </c>
      <c r="E546" s="1" t="s">
        <v>773</v>
      </c>
      <c r="F546" s="1" t="s">
        <v>11</v>
      </c>
      <c r="G546" s="1" t="s">
        <v>586</v>
      </c>
    </row>
    <row r="547">
      <c r="A547" s="2">
        <v>45896.47741898148</v>
      </c>
      <c r="B547" s="1" t="s">
        <v>391</v>
      </c>
      <c r="C547" s="1" t="s">
        <v>316</v>
      </c>
      <c r="D547" s="1" t="s">
        <v>770</v>
      </c>
      <c r="E547" s="1" t="s">
        <v>774</v>
      </c>
      <c r="F547" s="1" t="s">
        <v>11</v>
      </c>
      <c r="G547" s="1" t="s">
        <v>586</v>
      </c>
    </row>
    <row r="548">
      <c r="A548" s="2">
        <v>45896.38761574074</v>
      </c>
      <c r="B548" s="1" t="s">
        <v>316</v>
      </c>
      <c r="C548" s="1" t="s">
        <v>391</v>
      </c>
      <c r="D548" s="1" t="s">
        <v>770</v>
      </c>
      <c r="E548" s="1" t="s">
        <v>775</v>
      </c>
      <c r="F548" s="1" t="s">
        <v>11</v>
      </c>
      <c r="G548" s="1" t="s">
        <v>592</v>
      </c>
    </row>
    <row r="549">
      <c r="A549" s="2">
        <v>45896.387824074074</v>
      </c>
      <c r="B549" s="1" t="s">
        <v>316</v>
      </c>
      <c r="C549" s="1" t="s">
        <v>391</v>
      </c>
      <c r="D549" s="1" t="s">
        <v>770</v>
      </c>
      <c r="E549" s="1" t="s">
        <v>776</v>
      </c>
      <c r="F549" s="1" t="s">
        <v>11</v>
      </c>
      <c r="G549" s="1" t="s">
        <v>592</v>
      </c>
    </row>
    <row r="550">
      <c r="A550" s="2">
        <v>45896.39135416667</v>
      </c>
      <c r="B550" s="1" t="s">
        <v>316</v>
      </c>
      <c r="C550" s="1" t="s">
        <v>391</v>
      </c>
      <c r="D550" s="1" t="s">
        <v>770</v>
      </c>
      <c r="E550" s="1" t="s">
        <v>777</v>
      </c>
      <c r="F550" s="1" t="s">
        <v>11</v>
      </c>
      <c r="G550" s="1" t="s">
        <v>592</v>
      </c>
    </row>
    <row r="551">
      <c r="A551" s="2">
        <v>45896.39283564815</v>
      </c>
      <c r="B551" s="1" t="s">
        <v>316</v>
      </c>
      <c r="C551" s="1" t="s">
        <v>391</v>
      </c>
      <c r="D551" s="1" t="s">
        <v>770</v>
      </c>
      <c r="E551" s="1" t="s">
        <v>778</v>
      </c>
      <c r="F551" s="1" t="s">
        <v>11</v>
      </c>
      <c r="G551" s="1" t="s">
        <v>592</v>
      </c>
    </row>
    <row r="552">
      <c r="A552" s="2">
        <v>45896.52599537037</v>
      </c>
      <c r="B552" s="1" t="s">
        <v>391</v>
      </c>
      <c r="C552" s="1" t="s">
        <v>316</v>
      </c>
      <c r="D552" s="1" t="s">
        <v>770</v>
      </c>
      <c r="E552" s="1" t="s">
        <v>779</v>
      </c>
      <c r="F552" s="1" t="s">
        <v>11</v>
      </c>
      <c r="G552" s="1" t="s">
        <v>586</v>
      </c>
    </row>
    <row r="553">
      <c r="A553" s="2">
        <v>45896.521365740744</v>
      </c>
      <c r="B553" s="1" t="s">
        <v>316</v>
      </c>
      <c r="C553" s="1" t="s">
        <v>391</v>
      </c>
      <c r="D553" s="1" t="s">
        <v>770</v>
      </c>
      <c r="E553" s="1" t="s">
        <v>780</v>
      </c>
      <c r="F553" s="1" t="s">
        <v>11</v>
      </c>
      <c r="G553" s="1" t="s">
        <v>592</v>
      </c>
    </row>
    <row r="554">
      <c r="A554" s="2">
        <v>45896.65456018518</v>
      </c>
      <c r="B554" s="1" t="s">
        <v>391</v>
      </c>
      <c r="C554" s="1" t="s">
        <v>316</v>
      </c>
      <c r="D554" s="1" t="s">
        <v>770</v>
      </c>
      <c r="E554" s="1" t="s">
        <v>781</v>
      </c>
      <c r="F554" s="1" t="s">
        <v>11</v>
      </c>
      <c r="G554" s="1" t="s">
        <v>586</v>
      </c>
    </row>
    <row r="555">
      <c r="A555" s="2">
        <v>45896.53094907408</v>
      </c>
      <c r="B555" s="1" t="s">
        <v>316</v>
      </c>
      <c r="C555" s="1" t="s">
        <v>391</v>
      </c>
      <c r="D555" s="1" t="s">
        <v>770</v>
      </c>
      <c r="E555" s="1" t="s">
        <v>782</v>
      </c>
      <c r="F555" s="1" t="s">
        <v>11</v>
      </c>
      <c r="G555" s="1" t="s">
        <v>592</v>
      </c>
    </row>
    <row r="556">
      <c r="A556" s="2">
        <v>45896.659421296295</v>
      </c>
      <c r="B556" s="1" t="s">
        <v>391</v>
      </c>
      <c r="C556" s="1" t="s">
        <v>316</v>
      </c>
      <c r="D556" s="1" t="s">
        <v>770</v>
      </c>
      <c r="E556" s="1" t="s">
        <v>783</v>
      </c>
      <c r="F556" s="1" t="s">
        <v>11</v>
      </c>
      <c r="G556" s="1" t="s">
        <v>586</v>
      </c>
    </row>
    <row r="557">
      <c r="A557" s="2">
        <v>45896.53631944444</v>
      </c>
      <c r="B557" s="1" t="s">
        <v>316</v>
      </c>
      <c r="C557" s="1" t="s">
        <v>391</v>
      </c>
      <c r="D557" s="1" t="s">
        <v>770</v>
      </c>
      <c r="E557" s="1" t="s">
        <v>784</v>
      </c>
      <c r="F557" s="1" t="s">
        <v>11</v>
      </c>
      <c r="G557" s="1" t="s">
        <v>592</v>
      </c>
    </row>
    <row r="558">
      <c r="A558" s="2">
        <v>45896.53693287037</v>
      </c>
      <c r="B558" s="1" t="s">
        <v>316</v>
      </c>
      <c r="C558" s="1" t="s">
        <v>391</v>
      </c>
      <c r="D558" s="1" t="s">
        <v>770</v>
      </c>
      <c r="E558" s="1" t="s">
        <v>785</v>
      </c>
      <c r="F558" s="1" t="s">
        <v>11</v>
      </c>
      <c r="G558" s="1" t="s">
        <v>592</v>
      </c>
    </row>
    <row r="559">
      <c r="A559" s="2">
        <v>45896.53803240741</v>
      </c>
      <c r="B559" s="1" t="s">
        <v>316</v>
      </c>
      <c r="C559" s="1" t="s">
        <v>391</v>
      </c>
      <c r="D559" s="1" t="s">
        <v>770</v>
      </c>
      <c r="E559" s="1" t="s">
        <v>786</v>
      </c>
      <c r="F559" s="1" t="s">
        <v>11</v>
      </c>
      <c r="G559" s="1" t="s">
        <v>592</v>
      </c>
    </row>
    <row r="560">
      <c r="A560" s="2">
        <v>45896.6658912037</v>
      </c>
      <c r="B560" s="1" t="s">
        <v>391</v>
      </c>
      <c r="C560" s="1" t="s">
        <v>316</v>
      </c>
      <c r="D560" s="1" t="s">
        <v>770</v>
      </c>
      <c r="E560" s="1" t="s">
        <v>787</v>
      </c>
      <c r="F560" s="1" t="s">
        <v>11</v>
      </c>
      <c r="G560" s="1" t="s">
        <v>586</v>
      </c>
    </row>
    <row r="561">
      <c r="A561" s="2">
        <v>45896.66601851852</v>
      </c>
      <c r="B561" s="1" t="s">
        <v>391</v>
      </c>
      <c r="C561" s="1" t="s">
        <v>316</v>
      </c>
      <c r="D561" s="1" t="s">
        <v>770</v>
      </c>
      <c r="E561" s="1" t="s">
        <v>788</v>
      </c>
      <c r="F561" s="1" t="s">
        <v>11</v>
      </c>
      <c r="G561" s="1" t="s">
        <v>586</v>
      </c>
    </row>
    <row r="562">
      <c r="A562" s="2">
        <v>45896.66609953704</v>
      </c>
      <c r="B562" s="1" t="s">
        <v>391</v>
      </c>
      <c r="C562" s="1" t="s">
        <v>316</v>
      </c>
      <c r="D562" s="1" t="s">
        <v>770</v>
      </c>
      <c r="E562" s="1" t="s">
        <v>789</v>
      </c>
      <c r="F562" s="1" t="s">
        <v>11</v>
      </c>
      <c r="G562" s="1" t="s">
        <v>586</v>
      </c>
    </row>
    <row r="563">
      <c r="A563" s="2">
        <v>45896.66646990741</v>
      </c>
      <c r="B563" s="1" t="s">
        <v>391</v>
      </c>
      <c r="C563" s="1" t="s">
        <v>316</v>
      </c>
      <c r="D563" s="1" t="s">
        <v>770</v>
      </c>
      <c r="E563" s="1" t="s">
        <v>790</v>
      </c>
      <c r="F563" s="1" t="s">
        <v>11</v>
      </c>
      <c r="G563" s="1" t="s">
        <v>586</v>
      </c>
    </row>
    <row r="564">
      <c r="A564" s="2">
        <v>45896.54215277778</v>
      </c>
      <c r="B564" s="1" t="s">
        <v>316</v>
      </c>
      <c r="C564" s="1" t="s">
        <v>391</v>
      </c>
      <c r="D564" s="1" t="s">
        <v>770</v>
      </c>
      <c r="E564" s="1" t="s">
        <v>791</v>
      </c>
      <c r="F564" s="1" t="s">
        <v>11</v>
      </c>
      <c r="G564" s="1" t="s">
        <v>592</v>
      </c>
    </row>
    <row r="565">
      <c r="A565" s="2">
        <v>45896.66737268519</v>
      </c>
      <c r="B565" s="1" t="s">
        <v>391</v>
      </c>
      <c r="C565" s="1" t="s">
        <v>316</v>
      </c>
      <c r="D565" s="1" t="s">
        <v>770</v>
      </c>
      <c r="E565" s="1" t="s">
        <v>792</v>
      </c>
      <c r="F565" s="1" t="s">
        <v>11</v>
      </c>
      <c r="G565" s="1" t="s">
        <v>586</v>
      </c>
    </row>
    <row r="566">
      <c r="A566" s="2">
        <v>45896.543275462966</v>
      </c>
      <c r="B566" s="1" t="s">
        <v>316</v>
      </c>
      <c r="C566" s="1" t="s">
        <v>391</v>
      </c>
      <c r="D566" s="1" t="s">
        <v>770</v>
      </c>
      <c r="E566" s="1" t="s">
        <v>793</v>
      </c>
      <c r="F566" s="1" t="s">
        <v>11</v>
      </c>
      <c r="G566" s="1" t="s">
        <v>592</v>
      </c>
    </row>
    <row r="567">
      <c r="A567" s="2">
        <v>45896.669282407405</v>
      </c>
      <c r="B567" s="1" t="s">
        <v>391</v>
      </c>
      <c r="C567" s="1" t="s">
        <v>316</v>
      </c>
      <c r="D567" s="1" t="s">
        <v>770</v>
      </c>
      <c r="E567" s="1" t="s">
        <v>794</v>
      </c>
      <c r="F567" s="1" t="s">
        <v>11</v>
      </c>
      <c r="G567" s="1" t="s">
        <v>586</v>
      </c>
    </row>
    <row r="568">
      <c r="A568" s="2">
        <v>45896.5453587963</v>
      </c>
      <c r="B568" s="1" t="s">
        <v>316</v>
      </c>
      <c r="C568" s="1" t="s">
        <v>391</v>
      </c>
      <c r="D568" s="1" t="s">
        <v>770</v>
      </c>
      <c r="E568" s="1" t="s">
        <v>795</v>
      </c>
      <c r="F568" s="1" t="s">
        <v>11</v>
      </c>
      <c r="G568" s="1" t="s">
        <v>592</v>
      </c>
    </row>
    <row r="569">
      <c r="A569" s="2">
        <v>45896.54620370371</v>
      </c>
      <c r="B569" s="1" t="s">
        <v>316</v>
      </c>
      <c r="C569" s="1" t="s">
        <v>391</v>
      </c>
      <c r="D569" s="1" t="s">
        <v>770</v>
      </c>
      <c r="E569" s="1" t="s">
        <v>796</v>
      </c>
      <c r="F569" s="1" t="s">
        <v>11</v>
      </c>
      <c r="G569" s="1" t="s">
        <v>592</v>
      </c>
    </row>
    <row r="570">
      <c r="A570" s="2">
        <v>45896.70777777778</v>
      </c>
      <c r="B570" s="1" t="s">
        <v>391</v>
      </c>
      <c r="C570" s="1" t="s">
        <v>316</v>
      </c>
      <c r="D570" s="1" t="s">
        <v>770</v>
      </c>
      <c r="E570" s="1" t="s">
        <v>797</v>
      </c>
      <c r="F570" s="1" t="s">
        <v>11</v>
      </c>
      <c r="G570" s="1" t="s">
        <v>586</v>
      </c>
    </row>
    <row r="571">
      <c r="A571" s="2">
        <v>45896.70792824074</v>
      </c>
      <c r="B571" s="1" t="s">
        <v>391</v>
      </c>
      <c r="C571" s="1" t="s">
        <v>316</v>
      </c>
      <c r="D571" s="1" t="s">
        <v>770</v>
      </c>
      <c r="E571" s="1" t="s">
        <v>798</v>
      </c>
      <c r="F571" s="1" t="s">
        <v>11</v>
      </c>
      <c r="G571" s="1" t="s">
        <v>586</v>
      </c>
    </row>
    <row r="572">
      <c r="A572" s="2">
        <v>45896.59027777778</v>
      </c>
      <c r="B572" s="1" t="s">
        <v>316</v>
      </c>
      <c r="C572" s="1" t="s">
        <v>391</v>
      </c>
      <c r="D572" s="1" t="s">
        <v>770</v>
      </c>
      <c r="E572" s="1" t="s">
        <v>799</v>
      </c>
      <c r="F572" s="1" t="s">
        <v>11</v>
      </c>
      <c r="G572" s="1" t="s">
        <v>592</v>
      </c>
    </row>
    <row r="573">
      <c r="A573" s="2">
        <v>45896.59166666667</v>
      </c>
      <c r="B573" s="1" t="s">
        <v>316</v>
      </c>
      <c r="C573" s="1" t="s">
        <v>391</v>
      </c>
      <c r="D573" s="1" t="s">
        <v>770</v>
      </c>
      <c r="E573" s="1" t="s">
        <v>800</v>
      </c>
      <c r="F573" s="1" t="s">
        <v>11</v>
      </c>
      <c r="G573" s="1" t="s">
        <v>592</v>
      </c>
    </row>
    <row r="574">
      <c r="A574" s="2">
        <v>45896.73903935185</v>
      </c>
      <c r="B574" s="1" t="s">
        <v>391</v>
      </c>
      <c r="C574" s="1" t="s">
        <v>316</v>
      </c>
      <c r="D574" s="1" t="s">
        <v>770</v>
      </c>
      <c r="E574" s="1" t="s">
        <v>801</v>
      </c>
      <c r="F574" s="1" t="s">
        <v>11</v>
      </c>
      <c r="G574" s="1" t="s">
        <v>586</v>
      </c>
    </row>
    <row r="575">
      <c r="A575" s="2">
        <v>45896.74849537037</v>
      </c>
      <c r="B575" s="1" t="s">
        <v>391</v>
      </c>
      <c r="C575" s="1" t="s">
        <v>316</v>
      </c>
      <c r="D575" s="1" t="s">
        <v>770</v>
      </c>
      <c r="E575" s="1" t="s">
        <v>802</v>
      </c>
      <c r="F575" s="1" t="s">
        <v>11</v>
      </c>
      <c r="G575" s="1" t="s">
        <v>586</v>
      </c>
    </row>
    <row r="576">
      <c r="A576" s="2">
        <v>45896.74862268518</v>
      </c>
      <c r="B576" s="1" t="s">
        <v>391</v>
      </c>
      <c r="C576" s="1" t="s">
        <v>316</v>
      </c>
      <c r="D576" s="1" t="s">
        <v>770</v>
      </c>
      <c r="E576" s="1" t="s">
        <v>803</v>
      </c>
      <c r="F576" s="1" t="s">
        <v>11</v>
      </c>
      <c r="G576" s="1" t="s">
        <v>586</v>
      </c>
    </row>
    <row r="577">
      <c r="A577" s="2">
        <v>45896.660046296296</v>
      </c>
      <c r="B577" s="1" t="s">
        <v>316</v>
      </c>
      <c r="C577" s="1" t="s">
        <v>391</v>
      </c>
      <c r="D577" s="1" t="s">
        <v>770</v>
      </c>
      <c r="E577" s="1" t="s">
        <v>804</v>
      </c>
      <c r="F577" s="1" t="s">
        <v>11</v>
      </c>
      <c r="G577" s="1" t="s">
        <v>592</v>
      </c>
    </row>
    <row r="578">
      <c r="A578" s="2">
        <v>45896.66275462963</v>
      </c>
      <c r="B578" s="1" t="s">
        <v>316</v>
      </c>
      <c r="C578" s="1" t="s">
        <v>391</v>
      </c>
      <c r="D578" s="1" t="s">
        <v>770</v>
      </c>
      <c r="E578" s="1" t="s">
        <v>805</v>
      </c>
      <c r="F578" s="1" t="s">
        <v>11</v>
      </c>
      <c r="G578" s="1" t="s">
        <v>592</v>
      </c>
    </row>
    <row r="579">
      <c r="A579" s="2">
        <v>45896.69541666667</v>
      </c>
      <c r="B579" s="1" t="s">
        <v>316</v>
      </c>
      <c r="C579" s="1" t="s">
        <v>391</v>
      </c>
      <c r="D579" s="1" t="s">
        <v>770</v>
      </c>
      <c r="E579" s="1" t="s">
        <v>806</v>
      </c>
      <c r="F579" s="1" t="s">
        <v>11</v>
      </c>
      <c r="G579" s="1" t="s">
        <v>807</v>
      </c>
    </row>
    <row r="580">
      <c r="A580" s="2">
        <v>45897.6171412037</v>
      </c>
      <c r="B580" s="1" t="s">
        <v>316</v>
      </c>
      <c r="C580" s="1" t="s">
        <v>197</v>
      </c>
      <c r="D580" s="1" t="s">
        <v>808</v>
      </c>
      <c r="E580" s="1" t="s">
        <v>809</v>
      </c>
      <c r="F580" s="1" t="s">
        <v>11</v>
      </c>
      <c r="G580" s="1" t="s">
        <v>810</v>
      </c>
    </row>
    <row r="581">
      <c r="A581" s="2">
        <v>45899.40835648148</v>
      </c>
      <c r="B581" s="1" t="s">
        <v>316</v>
      </c>
      <c r="C581" s="1" t="s">
        <v>355</v>
      </c>
      <c r="D581" s="1" t="s">
        <v>569</v>
      </c>
      <c r="E581" s="1" t="s">
        <v>811</v>
      </c>
      <c r="F581" s="1" t="s">
        <v>11</v>
      </c>
      <c r="G581" s="1" t="s">
        <v>812</v>
      </c>
    </row>
    <row r="582">
      <c r="A582" s="2">
        <v>45899.42255787037</v>
      </c>
      <c r="B582" s="1" t="s">
        <v>197</v>
      </c>
      <c r="C582" s="1" t="s">
        <v>316</v>
      </c>
      <c r="D582" s="1" t="s">
        <v>813</v>
      </c>
      <c r="E582" s="1" t="s">
        <v>814</v>
      </c>
      <c r="F582" s="1" t="s">
        <v>11</v>
      </c>
      <c r="G582" s="1" t="s">
        <v>200</v>
      </c>
    </row>
    <row r="583">
      <c r="A583" s="2">
        <v>45899.424212962964</v>
      </c>
      <c r="B583" s="1" t="s">
        <v>197</v>
      </c>
      <c r="C583" s="1" t="s">
        <v>316</v>
      </c>
      <c r="D583" s="1" t="s">
        <v>815</v>
      </c>
      <c r="E583" s="1" t="s">
        <v>816</v>
      </c>
      <c r="F583" s="1" t="s">
        <v>11</v>
      </c>
      <c r="G583" s="1" t="s">
        <v>817</v>
      </c>
    </row>
    <row r="584">
      <c r="A584" s="2">
        <v>45899.427083333336</v>
      </c>
      <c r="B584" s="1" t="s">
        <v>197</v>
      </c>
      <c r="C584" s="1" t="s">
        <v>316</v>
      </c>
      <c r="D584" s="1" t="s">
        <v>815</v>
      </c>
      <c r="E584" s="1" t="s">
        <v>818</v>
      </c>
      <c r="F584" s="1" t="s">
        <v>11</v>
      </c>
      <c r="G584" s="1" t="s">
        <v>817</v>
      </c>
    </row>
    <row r="585">
      <c r="A585" s="2">
        <v>45899.4906712963</v>
      </c>
      <c r="B585" s="1" t="s">
        <v>316</v>
      </c>
      <c r="C585" s="1" t="s">
        <v>197</v>
      </c>
      <c r="D585" s="1" t="s">
        <v>815</v>
      </c>
      <c r="E585" s="1" t="s">
        <v>819</v>
      </c>
      <c r="F585" s="1" t="s">
        <v>11</v>
      </c>
      <c r="G585" s="1" t="s">
        <v>812</v>
      </c>
    </row>
    <row r="586">
      <c r="A586" s="2">
        <v>45899.57716435185</v>
      </c>
      <c r="B586" s="1" t="s">
        <v>316</v>
      </c>
      <c r="C586" s="1" t="s">
        <v>197</v>
      </c>
      <c r="D586" s="1" t="s">
        <v>815</v>
      </c>
      <c r="E586" s="1" t="s">
        <v>820</v>
      </c>
      <c r="F586" s="1" t="s">
        <v>11</v>
      </c>
      <c r="G586" s="1" t="s">
        <v>812</v>
      </c>
    </row>
    <row r="587">
      <c r="A587" s="2">
        <v>45899.578518518516</v>
      </c>
      <c r="B587" s="1" t="s">
        <v>316</v>
      </c>
      <c r="C587" s="1" t="s">
        <v>197</v>
      </c>
      <c r="D587" s="1" t="s">
        <v>813</v>
      </c>
      <c r="E587" s="1" t="s">
        <v>821</v>
      </c>
      <c r="F587" s="1" t="s">
        <v>11</v>
      </c>
      <c r="G587" s="1" t="s">
        <v>810</v>
      </c>
    </row>
    <row r="588">
      <c r="A588" s="2">
        <v>45899.65962962963</v>
      </c>
      <c r="B588" s="1" t="s">
        <v>316</v>
      </c>
      <c r="C588" s="1" t="s">
        <v>316</v>
      </c>
      <c r="D588" s="1" t="s">
        <v>822</v>
      </c>
      <c r="E588" s="1" t="s">
        <v>823</v>
      </c>
      <c r="F588" s="1" t="s">
        <v>271</v>
      </c>
      <c r="G588" s="1" t="s">
        <v>824</v>
      </c>
    </row>
    <row r="589">
      <c r="A589" s="2">
        <v>45899.664675925924</v>
      </c>
      <c r="B589" s="1" t="s">
        <v>316</v>
      </c>
      <c r="C589" s="1" t="s">
        <v>316</v>
      </c>
      <c r="D589" s="1" t="s">
        <v>825</v>
      </c>
      <c r="E589" s="1" t="s">
        <v>280</v>
      </c>
      <c r="F589" s="1" t="s">
        <v>271</v>
      </c>
      <c r="G589" s="1" t="s">
        <v>824</v>
      </c>
    </row>
    <row r="590">
      <c r="A590" s="2">
        <v>45899.67642361111</v>
      </c>
      <c r="B590" s="1" t="s">
        <v>316</v>
      </c>
      <c r="C590" s="1" t="s">
        <v>197</v>
      </c>
      <c r="D590" s="1" t="s">
        <v>813</v>
      </c>
      <c r="E590" s="1" t="s">
        <v>826</v>
      </c>
      <c r="F590" s="1" t="s">
        <v>11</v>
      </c>
      <c r="G590" s="1" t="s">
        <v>810</v>
      </c>
    </row>
    <row r="591">
      <c r="A591" s="2">
        <v>45899.733078703706</v>
      </c>
      <c r="B591" s="1" t="s">
        <v>197</v>
      </c>
      <c r="C591" s="1" t="s">
        <v>316</v>
      </c>
      <c r="D591" s="1" t="s">
        <v>815</v>
      </c>
      <c r="E591" s="1" t="s">
        <v>827</v>
      </c>
      <c r="F591" s="1" t="s">
        <v>11</v>
      </c>
      <c r="G591" s="1" t="s">
        <v>817</v>
      </c>
    </row>
    <row r="592">
      <c r="A592" s="2">
        <v>45899.736446759256</v>
      </c>
      <c r="B592" s="1" t="s">
        <v>197</v>
      </c>
      <c r="C592" s="1" t="s">
        <v>316</v>
      </c>
      <c r="D592" s="1" t="s">
        <v>815</v>
      </c>
      <c r="E592" s="1" t="s">
        <v>828</v>
      </c>
      <c r="F592" s="1" t="s">
        <v>11</v>
      </c>
      <c r="G592" s="1" t="s">
        <v>817</v>
      </c>
    </row>
    <row r="593">
      <c r="A593" s="2">
        <v>45899.811203703706</v>
      </c>
      <c r="B593" s="1" t="s">
        <v>316</v>
      </c>
      <c r="C593" s="1" t="s">
        <v>197</v>
      </c>
      <c r="D593" s="1" t="s">
        <v>815</v>
      </c>
      <c r="E593" s="1" t="s">
        <v>829</v>
      </c>
      <c r="F593" s="1" t="s">
        <v>11</v>
      </c>
      <c r="G593" s="1" t="s">
        <v>812</v>
      </c>
    </row>
    <row r="594">
      <c r="A594" s="2">
        <v>45899.81689814815</v>
      </c>
      <c r="B594" s="1" t="s">
        <v>316</v>
      </c>
      <c r="C594" s="1" t="s">
        <v>197</v>
      </c>
      <c r="D594" s="1" t="s">
        <v>815</v>
      </c>
      <c r="E594" s="1" t="s">
        <v>830</v>
      </c>
      <c r="F594" s="1" t="s">
        <v>11</v>
      </c>
      <c r="G594" s="1" t="s">
        <v>812</v>
      </c>
    </row>
    <row r="595">
      <c r="A595" s="2">
        <v>45899.84967592593</v>
      </c>
      <c r="B595" s="1" t="s">
        <v>197</v>
      </c>
      <c r="C595" s="1" t="s">
        <v>316</v>
      </c>
      <c r="D595" s="1" t="s">
        <v>813</v>
      </c>
      <c r="E595" s="1" t="s">
        <v>831</v>
      </c>
      <c r="F595" s="1" t="s">
        <v>11</v>
      </c>
      <c r="G595" s="1" t="s">
        <v>200</v>
      </c>
    </row>
    <row r="596">
      <c r="A596" s="2">
        <v>45899.85482638889</v>
      </c>
      <c r="B596" s="1" t="s">
        <v>197</v>
      </c>
      <c r="C596" s="1" t="s">
        <v>316</v>
      </c>
      <c r="D596" s="1" t="s">
        <v>815</v>
      </c>
      <c r="E596" s="1" t="s">
        <v>832</v>
      </c>
      <c r="F596" s="1" t="s">
        <v>11</v>
      </c>
      <c r="G596" s="1" t="s">
        <v>817</v>
      </c>
    </row>
    <row r="597">
      <c r="A597" s="2">
        <v>45899.95313657408</v>
      </c>
      <c r="B597" s="1" t="s">
        <v>197</v>
      </c>
      <c r="C597" s="1" t="s">
        <v>316</v>
      </c>
      <c r="D597" s="1" t="s">
        <v>813</v>
      </c>
      <c r="E597" s="1" t="s">
        <v>833</v>
      </c>
      <c r="F597" s="1" t="s">
        <v>11</v>
      </c>
      <c r="G597" s="1" t="s">
        <v>200</v>
      </c>
    </row>
    <row r="598">
      <c r="A598" s="2">
        <v>45899.954988425925</v>
      </c>
      <c r="B598" s="1" t="s">
        <v>197</v>
      </c>
      <c r="C598" s="1" t="s">
        <v>316</v>
      </c>
      <c r="D598" s="1" t="s">
        <v>815</v>
      </c>
      <c r="E598" s="1" t="s">
        <v>834</v>
      </c>
      <c r="F598" s="1" t="s">
        <v>11</v>
      </c>
      <c r="G598" s="1" t="s">
        <v>817</v>
      </c>
    </row>
    <row r="599">
      <c r="A599" s="2">
        <v>45900.37976851852</v>
      </c>
      <c r="B599" s="1" t="s">
        <v>316</v>
      </c>
      <c r="C599" s="1" t="s">
        <v>197</v>
      </c>
      <c r="D599" s="1" t="s">
        <v>813</v>
      </c>
      <c r="E599" s="1" t="s">
        <v>835</v>
      </c>
      <c r="F599" s="1" t="s">
        <v>11</v>
      </c>
      <c r="G599" s="1" t="s">
        <v>810</v>
      </c>
    </row>
    <row r="600">
      <c r="A600" s="2">
        <v>45900.41405092592</v>
      </c>
      <c r="B600" s="1" t="s">
        <v>316</v>
      </c>
      <c r="C600" s="1" t="s">
        <v>197</v>
      </c>
      <c r="D600" s="1" t="s">
        <v>815</v>
      </c>
      <c r="E600" s="1" t="s">
        <v>836</v>
      </c>
      <c r="F600" s="1" t="s">
        <v>11</v>
      </c>
      <c r="G600" s="1" t="s">
        <v>837</v>
      </c>
    </row>
    <row r="601">
      <c r="A601" s="2">
        <v>45900.42329861111</v>
      </c>
      <c r="B601" s="1" t="s">
        <v>316</v>
      </c>
      <c r="C601" s="1" t="s">
        <v>197</v>
      </c>
      <c r="D601" s="1" t="s">
        <v>815</v>
      </c>
      <c r="E601" s="1" t="s">
        <v>838</v>
      </c>
      <c r="F601" s="1" t="s">
        <v>11</v>
      </c>
      <c r="G601" s="1" t="s">
        <v>837</v>
      </c>
    </row>
    <row r="602">
      <c r="A602" s="2">
        <v>45900.580416666664</v>
      </c>
      <c r="B602" s="1" t="s">
        <v>197</v>
      </c>
      <c r="C602" s="1" t="s">
        <v>316</v>
      </c>
      <c r="D602" s="1" t="s">
        <v>815</v>
      </c>
      <c r="E602" s="1" t="s">
        <v>839</v>
      </c>
      <c r="F602" s="1" t="s">
        <v>11</v>
      </c>
      <c r="G602" s="1" t="s">
        <v>817</v>
      </c>
    </row>
    <row r="603">
      <c r="A603" s="2">
        <v>45900.59100694444</v>
      </c>
      <c r="B603" s="1" t="s">
        <v>316</v>
      </c>
      <c r="C603" s="1" t="s">
        <v>197</v>
      </c>
      <c r="D603" s="1" t="s">
        <v>815</v>
      </c>
      <c r="E603" s="1" t="s">
        <v>840</v>
      </c>
      <c r="F603" s="1" t="s">
        <v>11</v>
      </c>
      <c r="G603" s="1" t="s">
        <v>837</v>
      </c>
    </row>
    <row r="604">
      <c r="A604" s="2">
        <v>45901.361655092594</v>
      </c>
      <c r="B604" s="1" t="s">
        <v>197</v>
      </c>
      <c r="C604" s="1" t="s">
        <v>316</v>
      </c>
      <c r="D604" s="1" t="s">
        <v>815</v>
      </c>
      <c r="E604" s="1" t="s">
        <v>841</v>
      </c>
      <c r="F604" s="1" t="s">
        <v>11</v>
      </c>
      <c r="G604" s="1" t="s">
        <v>842</v>
      </c>
    </row>
    <row r="605">
      <c r="A605" s="2">
        <v>45901.36230324074</v>
      </c>
      <c r="B605" s="1" t="s">
        <v>197</v>
      </c>
      <c r="C605" s="1" t="s">
        <v>316</v>
      </c>
      <c r="D605" s="1" t="s">
        <v>815</v>
      </c>
      <c r="E605" s="1" t="s">
        <v>843</v>
      </c>
      <c r="F605" s="1" t="s">
        <v>11</v>
      </c>
      <c r="G605" s="1" t="s">
        <v>842</v>
      </c>
    </row>
    <row r="606">
      <c r="A606" s="2">
        <v>45901.47318287037</v>
      </c>
      <c r="B606" s="1" t="s">
        <v>316</v>
      </c>
      <c r="C606" s="1" t="s">
        <v>197</v>
      </c>
      <c r="D606" s="1" t="s">
        <v>815</v>
      </c>
      <c r="E606" s="1" t="s">
        <v>844</v>
      </c>
      <c r="F606" s="1" t="s">
        <v>11</v>
      </c>
      <c r="G606" s="1" t="s">
        <v>845</v>
      </c>
    </row>
    <row r="607">
      <c r="A607" s="2">
        <v>45901.47399305556</v>
      </c>
      <c r="B607" s="1" t="s">
        <v>316</v>
      </c>
      <c r="C607" s="1" t="s">
        <v>197</v>
      </c>
      <c r="D607" s="1" t="s">
        <v>815</v>
      </c>
      <c r="E607" s="1" t="s">
        <v>846</v>
      </c>
      <c r="F607" s="1" t="s">
        <v>11</v>
      </c>
      <c r="G607" s="1" t="s">
        <v>845</v>
      </c>
    </row>
    <row r="608">
      <c r="A608" s="2">
        <v>45901.47577546296</v>
      </c>
      <c r="B608" s="1" t="s">
        <v>316</v>
      </c>
      <c r="C608" s="1" t="s">
        <v>197</v>
      </c>
      <c r="D608" s="1" t="s">
        <v>815</v>
      </c>
      <c r="E608" s="1" t="s">
        <v>847</v>
      </c>
      <c r="F608" s="1" t="s">
        <v>11</v>
      </c>
      <c r="G608" s="1" t="s">
        <v>845</v>
      </c>
    </row>
    <row r="609">
      <c r="A609" s="2">
        <v>45901.47791666666</v>
      </c>
      <c r="B609" s="1" t="s">
        <v>316</v>
      </c>
      <c r="C609" s="1" t="s">
        <v>197</v>
      </c>
      <c r="D609" s="1" t="s">
        <v>815</v>
      </c>
      <c r="E609" s="1" t="s">
        <v>848</v>
      </c>
      <c r="F609" s="1" t="s">
        <v>11</v>
      </c>
      <c r="G609" s="1" t="s">
        <v>845</v>
      </c>
    </row>
    <row r="610">
      <c r="A610" s="2">
        <v>45901.489432870374</v>
      </c>
      <c r="B610" s="1" t="s">
        <v>197</v>
      </c>
      <c r="C610" s="1" t="s">
        <v>316</v>
      </c>
      <c r="D610" s="1" t="s">
        <v>815</v>
      </c>
      <c r="E610" s="1" t="s">
        <v>849</v>
      </c>
      <c r="F610" s="1" t="s">
        <v>11</v>
      </c>
      <c r="G610" s="1" t="s">
        <v>842</v>
      </c>
    </row>
    <row r="611">
      <c r="A611" s="2">
        <v>45901.65027777778</v>
      </c>
      <c r="B611" s="1" t="s">
        <v>391</v>
      </c>
      <c r="C611" s="1" t="s">
        <v>850</v>
      </c>
      <c r="D611" s="1" t="s">
        <v>323</v>
      </c>
      <c r="E611" s="1" t="s">
        <v>851</v>
      </c>
      <c r="F611" s="1" t="s">
        <v>11</v>
      </c>
      <c r="G611" s="1" t="s">
        <v>586</v>
      </c>
    </row>
    <row r="612">
      <c r="A612" s="2">
        <v>45901.529641203706</v>
      </c>
      <c r="B612" s="1" t="s">
        <v>316</v>
      </c>
      <c r="C612" s="1" t="s">
        <v>197</v>
      </c>
      <c r="D612" s="1" t="s">
        <v>815</v>
      </c>
      <c r="E612" s="1" t="s">
        <v>852</v>
      </c>
      <c r="F612" s="1" t="s">
        <v>11</v>
      </c>
      <c r="G612" s="1" t="s">
        <v>845</v>
      </c>
    </row>
    <row r="613">
      <c r="A613" s="2">
        <v>45901.53003472222</v>
      </c>
      <c r="B613" s="1" t="s">
        <v>452</v>
      </c>
      <c r="C613" s="1" t="s">
        <v>391</v>
      </c>
      <c r="D613" s="1" t="s">
        <v>323</v>
      </c>
      <c r="E613" s="1" t="s">
        <v>853</v>
      </c>
      <c r="F613" s="1" t="s">
        <v>11</v>
      </c>
      <c r="G613" s="1" t="s">
        <v>807</v>
      </c>
    </row>
    <row r="614">
      <c r="A614" s="2">
        <v>45901.54615740741</v>
      </c>
      <c r="B614" s="1" t="s">
        <v>197</v>
      </c>
      <c r="C614" s="1" t="s">
        <v>316</v>
      </c>
      <c r="D614" s="1" t="s">
        <v>815</v>
      </c>
      <c r="E614" s="1" t="s">
        <v>854</v>
      </c>
      <c r="F614" s="1" t="s">
        <v>11</v>
      </c>
      <c r="G614" s="1" t="s">
        <v>842</v>
      </c>
    </row>
    <row r="615">
      <c r="A615" s="2">
        <v>45901.60194444445</v>
      </c>
      <c r="B615" s="1" t="s">
        <v>316</v>
      </c>
      <c r="C615" s="1" t="s">
        <v>197</v>
      </c>
      <c r="D615" s="1" t="s">
        <v>815</v>
      </c>
      <c r="E615" s="1" t="s">
        <v>855</v>
      </c>
      <c r="F615" s="1" t="s">
        <v>271</v>
      </c>
      <c r="G615" s="1" t="s">
        <v>845</v>
      </c>
    </row>
    <row r="616">
      <c r="A616" s="2">
        <v>45901.60340277778</v>
      </c>
      <c r="B616" s="1" t="s">
        <v>316</v>
      </c>
      <c r="C616" s="1" t="s">
        <v>197</v>
      </c>
      <c r="D616" s="1" t="s">
        <v>815</v>
      </c>
      <c r="E616" s="1" t="s">
        <v>856</v>
      </c>
      <c r="F616" s="1" t="s">
        <v>11</v>
      </c>
      <c r="G616" s="1" t="s">
        <v>845</v>
      </c>
    </row>
    <row r="617">
      <c r="A617" s="2">
        <v>45901.61415509259</v>
      </c>
      <c r="B617" s="1" t="s">
        <v>197</v>
      </c>
      <c r="C617" s="1" t="s">
        <v>316</v>
      </c>
      <c r="D617" s="1" t="s">
        <v>815</v>
      </c>
      <c r="E617" s="1" t="s">
        <v>857</v>
      </c>
      <c r="F617" s="1" t="s">
        <v>11</v>
      </c>
      <c r="G617" s="1" t="s">
        <v>842</v>
      </c>
    </row>
    <row r="618">
      <c r="A618" s="2">
        <v>45901.61472222222</v>
      </c>
      <c r="B618" s="1" t="s">
        <v>197</v>
      </c>
      <c r="C618" s="1" t="s">
        <v>316</v>
      </c>
      <c r="D618" s="1" t="s">
        <v>815</v>
      </c>
      <c r="E618" s="1" t="s">
        <v>858</v>
      </c>
      <c r="F618" s="1" t="s">
        <v>11</v>
      </c>
      <c r="G618" s="1" t="s">
        <v>842</v>
      </c>
    </row>
    <row r="619">
      <c r="A619" s="2">
        <v>45901.615648148145</v>
      </c>
      <c r="B619" s="1" t="s">
        <v>197</v>
      </c>
      <c r="C619" s="1" t="s">
        <v>316</v>
      </c>
      <c r="D619" s="1" t="s">
        <v>815</v>
      </c>
      <c r="E619" s="1" t="s">
        <v>859</v>
      </c>
      <c r="F619" s="1" t="s">
        <v>11</v>
      </c>
      <c r="G619" s="1" t="s">
        <v>842</v>
      </c>
    </row>
    <row r="620">
      <c r="A620" s="2">
        <v>45901.616215277776</v>
      </c>
      <c r="B620" s="1" t="s">
        <v>197</v>
      </c>
      <c r="C620" s="1" t="s">
        <v>316</v>
      </c>
      <c r="D620" s="1" t="s">
        <v>815</v>
      </c>
      <c r="E620" s="1" t="s">
        <v>860</v>
      </c>
      <c r="F620" s="1" t="s">
        <v>11</v>
      </c>
      <c r="G620" s="1" t="s">
        <v>842</v>
      </c>
    </row>
    <row r="621">
      <c r="A621" s="2">
        <v>45901.62126157407</v>
      </c>
      <c r="B621" s="1" t="s">
        <v>197</v>
      </c>
      <c r="C621" s="1" t="s">
        <v>316</v>
      </c>
      <c r="D621" s="1" t="s">
        <v>815</v>
      </c>
      <c r="E621" s="1" t="s">
        <v>861</v>
      </c>
      <c r="F621" s="1" t="s">
        <v>11</v>
      </c>
      <c r="G621" s="1" t="s">
        <v>842</v>
      </c>
    </row>
    <row r="622">
      <c r="A622" s="2">
        <v>45901.62153935185</v>
      </c>
      <c r="B622" s="1" t="s">
        <v>197</v>
      </c>
      <c r="C622" s="1" t="s">
        <v>316</v>
      </c>
      <c r="D622" s="1" t="s">
        <v>815</v>
      </c>
      <c r="E622" s="1" t="s">
        <v>862</v>
      </c>
      <c r="F622" s="1" t="s">
        <v>11</v>
      </c>
      <c r="G622" s="1" t="s">
        <v>842</v>
      </c>
    </row>
    <row r="623">
      <c r="A623" s="2">
        <v>45901.63821759259</v>
      </c>
      <c r="B623" s="1" t="s">
        <v>197</v>
      </c>
      <c r="C623" s="1" t="s">
        <v>316</v>
      </c>
      <c r="D623" s="1" t="s">
        <v>815</v>
      </c>
      <c r="E623" s="1" t="s">
        <v>863</v>
      </c>
      <c r="F623" s="1" t="s">
        <v>11</v>
      </c>
      <c r="G623" s="1" t="s">
        <v>842</v>
      </c>
    </row>
    <row r="624">
      <c r="A624" s="2">
        <v>45901.70491898148</v>
      </c>
      <c r="B624" s="1" t="s">
        <v>197</v>
      </c>
      <c r="C624" s="1" t="s">
        <v>316</v>
      </c>
      <c r="D624" s="1" t="s">
        <v>815</v>
      </c>
      <c r="E624" s="1" t="s">
        <v>864</v>
      </c>
      <c r="F624" s="1" t="s">
        <v>11</v>
      </c>
      <c r="G624" s="1" t="s">
        <v>842</v>
      </c>
    </row>
    <row r="625">
      <c r="A625" s="2">
        <v>45901.711539351854</v>
      </c>
      <c r="B625" s="1" t="s">
        <v>316</v>
      </c>
      <c r="C625" s="1" t="s">
        <v>197</v>
      </c>
      <c r="D625" s="1" t="s">
        <v>815</v>
      </c>
      <c r="E625" s="1" t="s">
        <v>865</v>
      </c>
      <c r="F625" s="1" t="s">
        <v>11</v>
      </c>
      <c r="G625" s="1" t="s">
        <v>845</v>
      </c>
    </row>
    <row r="626">
      <c r="A626" s="2">
        <v>45901.715</v>
      </c>
      <c r="B626" s="1" t="s">
        <v>197</v>
      </c>
      <c r="C626" s="1" t="s">
        <v>316</v>
      </c>
      <c r="D626" s="1" t="s">
        <v>815</v>
      </c>
      <c r="E626" s="1" t="s">
        <v>866</v>
      </c>
      <c r="F626" s="1" t="s">
        <v>11</v>
      </c>
      <c r="G626" s="1" t="s">
        <v>842</v>
      </c>
    </row>
    <row r="627">
      <c r="A627" s="2">
        <v>45901.71528935185</v>
      </c>
      <c r="B627" s="1" t="s">
        <v>316</v>
      </c>
      <c r="C627" s="1" t="s">
        <v>197</v>
      </c>
      <c r="D627" s="1" t="s">
        <v>815</v>
      </c>
      <c r="E627" s="1" t="s">
        <v>867</v>
      </c>
      <c r="F627" s="1" t="s">
        <v>11</v>
      </c>
      <c r="G627" s="1" t="s">
        <v>845</v>
      </c>
    </row>
    <row r="628">
      <c r="A628" s="2">
        <v>45901.715625</v>
      </c>
      <c r="B628" s="1" t="s">
        <v>316</v>
      </c>
      <c r="C628" s="1" t="s">
        <v>197</v>
      </c>
      <c r="D628" s="1" t="s">
        <v>815</v>
      </c>
      <c r="E628" s="1" t="s">
        <v>868</v>
      </c>
      <c r="F628" s="1" t="s">
        <v>11</v>
      </c>
      <c r="G628" s="1" t="s">
        <v>845</v>
      </c>
    </row>
    <row r="629">
      <c r="A629" s="2">
        <v>45901.72336805556</v>
      </c>
      <c r="B629" s="1" t="s">
        <v>197</v>
      </c>
      <c r="C629" s="1" t="s">
        <v>316</v>
      </c>
      <c r="D629" s="1" t="s">
        <v>815</v>
      </c>
      <c r="E629" s="1" t="s">
        <v>869</v>
      </c>
      <c r="F629" s="1" t="s">
        <v>11</v>
      </c>
      <c r="G629" s="1" t="s">
        <v>842</v>
      </c>
    </row>
    <row r="630">
      <c r="A630" s="2">
        <v>45901.723912037036</v>
      </c>
      <c r="B630" s="1" t="s">
        <v>197</v>
      </c>
      <c r="C630" s="1" t="s">
        <v>316</v>
      </c>
      <c r="D630" s="1" t="s">
        <v>815</v>
      </c>
      <c r="E630" s="1" t="s">
        <v>870</v>
      </c>
      <c r="F630" s="1" t="s">
        <v>11</v>
      </c>
      <c r="G630" s="1" t="s">
        <v>842</v>
      </c>
    </row>
    <row r="631">
      <c r="A631" s="2">
        <v>45901.72833333333</v>
      </c>
      <c r="B631" s="1" t="s">
        <v>197</v>
      </c>
      <c r="C631" s="1" t="s">
        <v>316</v>
      </c>
      <c r="D631" s="1" t="s">
        <v>815</v>
      </c>
      <c r="E631" s="1" t="s">
        <v>871</v>
      </c>
      <c r="F631" s="1" t="s">
        <v>11</v>
      </c>
      <c r="G631" s="1" t="s">
        <v>842</v>
      </c>
    </row>
    <row r="632">
      <c r="A632" s="2">
        <v>45901.728784722225</v>
      </c>
      <c r="B632" s="1" t="s">
        <v>316</v>
      </c>
      <c r="C632" s="1" t="s">
        <v>197</v>
      </c>
      <c r="D632" s="1" t="s">
        <v>815</v>
      </c>
      <c r="E632" s="1" t="s">
        <v>872</v>
      </c>
      <c r="F632" s="1" t="s">
        <v>11</v>
      </c>
      <c r="G632" s="1" t="s">
        <v>845</v>
      </c>
    </row>
    <row r="633">
      <c r="A633" s="2">
        <v>45901.73583333333</v>
      </c>
      <c r="B633" s="1" t="s">
        <v>197</v>
      </c>
      <c r="C633" s="1" t="s">
        <v>316</v>
      </c>
      <c r="D633" s="1" t="s">
        <v>815</v>
      </c>
      <c r="E633" s="1" t="s">
        <v>873</v>
      </c>
      <c r="F633" s="1" t="s">
        <v>11</v>
      </c>
      <c r="G633" s="1" t="s">
        <v>842</v>
      </c>
    </row>
    <row r="634">
      <c r="A634" s="2">
        <v>45901.73706018519</v>
      </c>
      <c r="B634" s="1" t="s">
        <v>197</v>
      </c>
      <c r="C634" s="1" t="s">
        <v>316</v>
      </c>
      <c r="D634" s="1" t="s">
        <v>815</v>
      </c>
      <c r="E634" s="1" t="s">
        <v>874</v>
      </c>
      <c r="F634" s="1" t="s">
        <v>11</v>
      </c>
      <c r="G634" s="1" t="s">
        <v>842</v>
      </c>
    </row>
    <row r="635">
      <c r="A635" s="2">
        <v>45901.77128472222</v>
      </c>
      <c r="B635" s="1" t="s">
        <v>197</v>
      </c>
      <c r="C635" s="1" t="s">
        <v>316</v>
      </c>
      <c r="D635" s="1" t="s">
        <v>815</v>
      </c>
      <c r="E635" s="1" t="s">
        <v>875</v>
      </c>
      <c r="F635" s="1" t="s">
        <v>11</v>
      </c>
      <c r="G635" s="1" t="s">
        <v>842</v>
      </c>
    </row>
    <row r="636">
      <c r="A636" s="2">
        <v>45901.79152777778</v>
      </c>
      <c r="B636" s="1" t="s">
        <v>316</v>
      </c>
      <c r="C636" s="1" t="s">
        <v>197</v>
      </c>
      <c r="D636" s="1" t="s">
        <v>815</v>
      </c>
      <c r="E636" s="1" t="s">
        <v>876</v>
      </c>
      <c r="F636" s="1" t="s">
        <v>11</v>
      </c>
      <c r="G636" s="1" t="s">
        <v>845</v>
      </c>
    </row>
    <row r="637">
      <c r="A637" s="2">
        <v>45902.29238425926</v>
      </c>
      <c r="B637" s="1" t="s">
        <v>691</v>
      </c>
      <c r="C637" s="1" t="s">
        <v>676</v>
      </c>
      <c r="D637" s="1" t="s">
        <v>877</v>
      </c>
      <c r="E637" s="1" t="s">
        <v>878</v>
      </c>
      <c r="F637" s="1" t="s">
        <v>11</v>
      </c>
      <c r="G637" s="1" t="s">
        <v>16</v>
      </c>
    </row>
    <row r="638">
      <c r="A638" s="2">
        <v>45904.561261574076</v>
      </c>
      <c r="B638" s="1" t="s">
        <v>316</v>
      </c>
      <c r="C638" s="1" t="s">
        <v>358</v>
      </c>
      <c r="D638" s="1" t="s">
        <v>879</v>
      </c>
      <c r="E638" s="1" t="s">
        <v>880</v>
      </c>
      <c r="F638" s="1" t="s">
        <v>271</v>
      </c>
      <c r="G638" s="1" t="s">
        <v>204</v>
      </c>
    </row>
    <row r="639">
      <c r="A639" s="2">
        <v>45904.82069444445</v>
      </c>
      <c r="B639" s="1" t="s">
        <v>391</v>
      </c>
      <c r="C639" s="1" t="s">
        <v>316</v>
      </c>
      <c r="D639" s="1" t="s">
        <v>881</v>
      </c>
      <c r="E639" s="1" t="s">
        <v>882</v>
      </c>
      <c r="F639" s="1" t="s">
        <v>271</v>
      </c>
      <c r="G639" s="1" t="s">
        <v>883</v>
      </c>
    </row>
    <row r="640">
      <c r="A640" s="2">
        <v>45904.721041666664</v>
      </c>
      <c r="B640" s="1" t="s">
        <v>316</v>
      </c>
      <c r="C640" s="1" t="s">
        <v>391</v>
      </c>
      <c r="D640" s="1" t="s">
        <v>881</v>
      </c>
      <c r="E640" s="1" t="s">
        <v>884</v>
      </c>
      <c r="F640" s="1" t="s">
        <v>271</v>
      </c>
      <c r="G640" s="1" t="s">
        <v>204</v>
      </c>
    </row>
    <row r="641">
      <c r="A641" s="2">
        <v>45904.778344907405</v>
      </c>
      <c r="B641" s="1" t="s">
        <v>316</v>
      </c>
      <c r="C641" s="1" t="s">
        <v>391</v>
      </c>
      <c r="D641" s="1" t="s">
        <v>881</v>
      </c>
      <c r="E641" s="1" t="s">
        <v>885</v>
      </c>
      <c r="F641" s="1" t="s">
        <v>271</v>
      </c>
      <c r="G641" s="1" t="s">
        <v>204</v>
      </c>
    </row>
    <row r="642">
      <c r="A642" s="2">
        <v>45904.99369212963</v>
      </c>
      <c r="B642" s="1" t="s">
        <v>391</v>
      </c>
      <c r="C642" s="1" t="s">
        <v>316</v>
      </c>
      <c r="D642" s="1" t="s">
        <v>881</v>
      </c>
      <c r="E642" s="1" t="s">
        <v>886</v>
      </c>
      <c r="F642" s="1" t="s">
        <v>271</v>
      </c>
      <c r="G642" s="1" t="s">
        <v>883</v>
      </c>
    </row>
    <row r="643">
      <c r="A643" s="2">
        <v>45904.994479166664</v>
      </c>
      <c r="B643" s="1" t="s">
        <v>391</v>
      </c>
      <c r="C643" s="1" t="s">
        <v>316</v>
      </c>
      <c r="D643" s="1" t="s">
        <v>881</v>
      </c>
      <c r="E643" s="1" t="s">
        <v>887</v>
      </c>
      <c r="F643" s="1" t="s">
        <v>271</v>
      </c>
      <c r="G643" s="1" t="s">
        <v>883</v>
      </c>
    </row>
    <row r="644">
      <c r="A644" s="2">
        <v>45905.00607638889</v>
      </c>
      <c r="B644" s="1" t="s">
        <v>391</v>
      </c>
      <c r="C644" s="1" t="s">
        <v>316</v>
      </c>
      <c r="D644" s="1" t="s">
        <v>881</v>
      </c>
      <c r="E644" s="1" t="s">
        <v>888</v>
      </c>
      <c r="F644" s="1" t="s">
        <v>271</v>
      </c>
      <c r="G644" s="1" t="s">
        <v>883</v>
      </c>
    </row>
    <row r="645">
      <c r="A645" s="2">
        <v>45904.927083333336</v>
      </c>
      <c r="B645" s="1" t="s">
        <v>316</v>
      </c>
      <c r="C645" s="1" t="s">
        <v>391</v>
      </c>
      <c r="D645" s="1" t="s">
        <v>881</v>
      </c>
      <c r="E645" s="1" t="s">
        <v>889</v>
      </c>
      <c r="F645" s="1" t="s">
        <v>271</v>
      </c>
      <c r="G645" s="1" t="s">
        <v>204</v>
      </c>
    </row>
    <row r="646">
      <c r="A646" s="2">
        <v>45904.928819444445</v>
      </c>
      <c r="B646" s="1" t="s">
        <v>316</v>
      </c>
      <c r="C646" s="1" t="s">
        <v>391</v>
      </c>
      <c r="D646" s="1" t="s">
        <v>881</v>
      </c>
      <c r="E646" s="1" t="s">
        <v>890</v>
      </c>
      <c r="F646" s="1" t="s">
        <v>271</v>
      </c>
      <c r="G646" s="1" t="s">
        <v>204</v>
      </c>
    </row>
    <row r="647">
      <c r="A647" s="2">
        <v>45904.93054398148</v>
      </c>
      <c r="B647" s="1" t="s">
        <v>316</v>
      </c>
      <c r="C647" s="1" t="s">
        <v>391</v>
      </c>
      <c r="D647" s="1" t="s">
        <v>881</v>
      </c>
      <c r="E647" s="1" t="s">
        <v>891</v>
      </c>
      <c r="F647" s="1" t="s">
        <v>271</v>
      </c>
      <c r="G647" s="1" t="s">
        <v>204</v>
      </c>
    </row>
    <row r="648">
      <c r="A648" s="2">
        <v>45905.45445601852</v>
      </c>
      <c r="B648" s="1" t="s">
        <v>391</v>
      </c>
      <c r="C648" s="1" t="s">
        <v>316</v>
      </c>
      <c r="D648" s="1" t="s">
        <v>881</v>
      </c>
      <c r="E648" s="1" t="s">
        <v>892</v>
      </c>
      <c r="F648" s="1" t="s">
        <v>271</v>
      </c>
      <c r="G648" s="1" t="s">
        <v>883</v>
      </c>
    </row>
    <row r="649">
      <c r="A649" s="2">
        <v>45905.45483796296</v>
      </c>
      <c r="B649" s="1" t="s">
        <v>391</v>
      </c>
      <c r="C649" s="1" t="s">
        <v>316</v>
      </c>
      <c r="D649" s="1" t="s">
        <v>881</v>
      </c>
      <c r="E649" s="1" t="s">
        <v>893</v>
      </c>
      <c r="F649" s="1" t="s">
        <v>271</v>
      </c>
      <c r="G649" s="1" t="s">
        <v>883</v>
      </c>
    </row>
    <row r="650">
      <c r="A650" s="2">
        <v>45905.45909722222</v>
      </c>
      <c r="B650" s="1" t="s">
        <v>391</v>
      </c>
      <c r="C650" s="1" t="s">
        <v>316</v>
      </c>
      <c r="D650" s="1" t="s">
        <v>881</v>
      </c>
      <c r="E650" s="1" t="s">
        <v>894</v>
      </c>
      <c r="F650" s="1" t="s">
        <v>271</v>
      </c>
      <c r="G650" s="1" t="s">
        <v>883</v>
      </c>
    </row>
    <row r="651">
      <c r="A651" s="2">
        <v>45905.45930555555</v>
      </c>
      <c r="B651" s="1" t="s">
        <v>391</v>
      </c>
      <c r="C651" s="1" t="s">
        <v>316</v>
      </c>
      <c r="D651" s="1" t="s">
        <v>881</v>
      </c>
      <c r="E651" s="1" t="s">
        <v>895</v>
      </c>
      <c r="F651" s="1" t="s">
        <v>271</v>
      </c>
      <c r="G651" s="1" t="s">
        <v>883</v>
      </c>
    </row>
    <row r="652">
      <c r="A652" s="2">
        <v>45905.34258101852</v>
      </c>
      <c r="B652" s="1" t="s">
        <v>316</v>
      </c>
      <c r="C652" s="1" t="s">
        <v>391</v>
      </c>
      <c r="D652" s="1" t="s">
        <v>881</v>
      </c>
      <c r="E652" s="1" t="s">
        <v>896</v>
      </c>
      <c r="F652" s="1" t="s">
        <v>271</v>
      </c>
      <c r="G652" s="1" t="s">
        <v>204</v>
      </c>
    </row>
    <row r="653">
      <c r="A653" s="2">
        <v>45905.475</v>
      </c>
      <c r="B653" s="1" t="s">
        <v>391</v>
      </c>
      <c r="C653" s="1" t="s">
        <v>316</v>
      </c>
      <c r="D653" s="1" t="s">
        <v>881</v>
      </c>
      <c r="E653" s="1" t="s">
        <v>897</v>
      </c>
      <c r="F653" s="1" t="s">
        <v>271</v>
      </c>
      <c r="G653" s="1" t="s">
        <v>883</v>
      </c>
    </row>
    <row r="654">
      <c r="A654" s="2">
        <v>45905.47990740741</v>
      </c>
      <c r="B654" s="1" t="s">
        <v>391</v>
      </c>
      <c r="C654" s="1" t="s">
        <v>316</v>
      </c>
      <c r="D654" s="1" t="s">
        <v>881</v>
      </c>
      <c r="E654" s="1" t="s">
        <v>898</v>
      </c>
      <c r="F654" s="1" t="s">
        <v>271</v>
      </c>
      <c r="G654" s="1" t="s">
        <v>883</v>
      </c>
    </row>
    <row r="655">
      <c r="A655" s="2">
        <v>45905.35590277778</v>
      </c>
      <c r="B655" s="1" t="s">
        <v>316</v>
      </c>
      <c r="C655" s="1" t="s">
        <v>391</v>
      </c>
      <c r="D655" s="1" t="s">
        <v>881</v>
      </c>
      <c r="E655" s="1" t="s">
        <v>899</v>
      </c>
      <c r="F655" s="1" t="s">
        <v>271</v>
      </c>
      <c r="G655" s="1" t="s">
        <v>204</v>
      </c>
    </row>
    <row r="656">
      <c r="A656" s="2">
        <v>45905.356412037036</v>
      </c>
      <c r="B656" s="1" t="s">
        <v>316</v>
      </c>
      <c r="C656" s="1" t="s">
        <v>391</v>
      </c>
      <c r="D656" s="1" t="s">
        <v>881</v>
      </c>
      <c r="E656" s="1" t="s">
        <v>900</v>
      </c>
      <c r="F656" s="1" t="s">
        <v>271</v>
      </c>
      <c r="G656" s="1" t="s">
        <v>204</v>
      </c>
    </row>
    <row r="657">
      <c r="A657" s="2">
        <v>45905.35697916667</v>
      </c>
      <c r="B657" s="1" t="s">
        <v>316</v>
      </c>
      <c r="C657" s="1" t="s">
        <v>391</v>
      </c>
      <c r="D657" s="1" t="s">
        <v>881</v>
      </c>
      <c r="E657" s="1" t="s">
        <v>901</v>
      </c>
      <c r="F657" s="1" t="s">
        <v>271</v>
      </c>
      <c r="G657" s="1" t="s">
        <v>204</v>
      </c>
    </row>
    <row r="658">
      <c r="A658" s="2">
        <v>45905.35733796296</v>
      </c>
      <c r="B658" s="1" t="s">
        <v>316</v>
      </c>
      <c r="C658" s="1" t="s">
        <v>391</v>
      </c>
      <c r="D658" s="1" t="s">
        <v>881</v>
      </c>
      <c r="E658" s="1" t="s">
        <v>902</v>
      </c>
      <c r="F658" s="1" t="s">
        <v>271</v>
      </c>
      <c r="G658" s="1" t="s">
        <v>204</v>
      </c>
    </row>
    <row r="659">
      <c r="A659" s="2">
        <v>45905.48579861111</v>
      </c>
      <c r="B659" s="1" t="s">
        <v>391</v>
      </c>
      <c r="C659" s="1" t="s">
        <v>316</v>
      </c>
      <c r="D659" s="1" t="s">
        <v>881</v>
      </c>
      <c r="E659" s="1" t="s">
        <v>903</v>
      </c>
      <c r="F659" s="1" t="s">
        <v>271</v>
      </c>
      <c r="G659" s="1" t="s">
        <v>883</v>
      </c>
    </row>
    <row r="660">
      <c r="A660" s="2">
        <v>45905.487488425926</v>
      </c>
      <c r="B660" s="1" t="s">
        <v>391</v>
      </c>
      <c r="C660" s="1" t="s">
        <v>316</v>
      </c>
      <c r="D660" s="1" t="s">
        <v>881</v>
      </c>
      <c r="E660" s="1" t="s">
        <v>904</v>
      </c>
      <c r="F660" s="1" t="s">
        <v>271</v>
      </c>
      <c r="G660" s="1" t="s">
        <v>883</v>
      </c>
    </row>
    <row r="661">
      <c r="A661" s="2">
        <v>45905.36305555556</v>
      </c>
      <c r="B661" s="1" t="s">
        <v>316</v>
      </c>
      <c r="C661" s="1" t="s">
        <v>391</v>
      </c>
      <c r="D661" s="1" t="s">
        <v>881</v>
      </c>
      <c r="E661" s="1" t="s">
        <v>905</v>
      </c>
      <c r="F661" s="1" t="s">
        <v>271</v>
      </c>
      <c r="G661" s="1" t="s">
        <v>204</v>
      </c>
    </row>
    <row r="662">
      <c r="A662" s="2">
        <v>45905.4887962963</v>
      </c>
      <c r="B662" s="1" t="s">
        <v>391</v>
      </c>
      <c r="C662" s="1" t="s">
        <v>316</v>
      </c>
      <c r="D662" s="1" t="s">
        <v>881</v>
      </c>
      <c r="E662" s="1" t="s">
        <v>906</v>
      </c>
      <c r="F662" s="1" t="s">
        <v>271</v>
      </c>
      <c r="G662" s="1" t="s">
        <v>883</v>
      </c>
    </row>
    <row r="663">
      <c r="A663" s="2">
        <v>45905.36386574074</v>
      </c>
      <c r="B663" s="1" t="s">
        <v>316</v>
      </c>
      <c r="C663" s="1" t="s">
        <v>391</v>
      </c>
      <c r="D663" s="1" t="s">
        <v>881</v>
      </c>
      <c r="E663" s="1" t="s">
        <v>907</v>
      </c>
      <c r="F663" s="1" t="s">
        <v>271</v>
      </c>
      <c r="G663" s="1" t="s">
        <v>204</v>
      </c>
    </row>
    <row r="664">
      <c r="A664" s="2">
        <v>45905.364641203705</v>
      </c>
      <c r="B664" s="1" t="s">
        <v>316</v>
      </c>
      <c r="C664" s="1" t="s">
        <v>391</v>
      </c>
      <c r="D664" s="1" t="s">
        <v>881</v>
      </c>
      <c r="E664" s="1" t="s">
        <v>908</v>
      </c>
      <c r="F664" s="1" t="s">
        <v>271</v>
      </c>
      <c r="G664" s="1" t="s">
        <v>204</v>
      </c>
    </row>
    <row r="665">
      <c r="A665" s="2">
        <v>45905.4940625</v>
      </c>
      <c r="B665" s="1" t="s">
        <v>391</v>
      </c>
      <c r="C665" s="1" t="s">
        <v>316</v>
      </c>
      <c r="D665" s="1" t="s">
        <v>881</v>
      </c>
      <c r="E665" s="1" t="s">
        <v>909</v>
      </c>
      <c r="F665" s="1" t="s">
        <v>271</v>
      </c>
      <c r="G665" s="1" t="s">
        <v>200</v>
      </c>
    </row>
    <row r="666">
      <c r="A666" s="2">
        <v>45905.4949537037</v>
      </c>
      <c r="B666" s="1" t="s">
        <v>391</v>
      </c>
      <c r="C666" s="1" t="s">
        <v>316</v>
      </c>
      <c r="E666" s="1" t="s">
        <v>910</v>
      </c>
      <c r="F666" s="1" t="s">
        <v>11</v>
      </c>
      <c r="G666" s="1" t="s">
        <v>200</v>
      </c>
    </row>
    <row r="667">
      <c r="A667" s="2">
        <v>45905.40453703704</v>
      </c>
      <c r="B667" s="1" t="s">
        <v>316</v>
      </c>
      <c r="C667" s="1" t="s">
        <v>391</v>
      </c>
      <c r="D667" s="1" t="s">
        <v>323</v>
      </c>
      <c r="E667" s="1" t="s">
        <v>911</v>
      </c>
      <c r="F667" s="1" t="s">
        <v>11</v>
      </c>
      <c r="G667" s="1" t="s">
        <v>204</v>
      </c>
    </row>
    <row r="668">
      <c r="A668" s="2">
        <v>45905.58329861111</v>
      </c>
      <c r="B668" s="1" t="s">
        <v>391</v>
      </c>
      <c r="C668" s="1" t="s">
        <v>316</v>
      </c>
      <c r="D668" s="1" t="s">
        <v>323</v>
      </c>
      <c r="E668" s="1" t="s">
        <v>912</v>
      </c>
      <c r="F668" s="1" t="s">
        <v>11</v>
      </c>
      <c r="G668" s="1" t="s">
        <v>200</v>
      </c>
    </row>
    <row r="669">
      <c r="A669" s="2">
        <v>45905.4955787037</v>
      </c>
      <c r="B669" s="1" t="s">
        <v>316</v>
      </c>
      <c r="C669" s="1" t="s">
        <v>391</v>
      </c>
      <c r="D669" s="1" t="s">
        <v>323</v>
      </c>
      <c r="E669" s="1" t="s">
        <v>913</v>
      </c>
      <c r="F669" s="1" t="s">
        <v>11</v>
      </c>
      <c r="G669" s="1" t="s">
        <v>204</v>
      </c>
    </row>
    <row r="670">
      <c r="A670" s="2">
        <v>45905.49686342593</v>
      </c>
      <c r="B670" s="1" t="s">
        <v>316</v>
      </c>
      <c r="C670" s="1" t="s">
        <v>391</v>
      </c>
      <c r="D670" s="1" t="s">
        <v>323</v>
      </c>
      <c r="E670" s="1" t="s">
        <v>914</v>
      </c>
      <c r="F670" s="1" t="s">
        <v>11</v>
      </c>
      <c r="G670" s="1" t="s">
        <v>204</v>
      </c>
    </row>
    <row r="671">
      <c r="A671" s="2">
        <v>45905.72324074074</v>
      </c>
      <c r="B671" s="1" t="s">
        <v>391</v>
      </c>
      <c r="C671" s="1" t="s">
        <v>316</v>
      </c>
      <c r="D671" s="1" t="s">
        <v>323</v>
      </c>
      <c r="E671" s="1" t="s">
        <v>915</v>
      </c>
      <c r="F671" s="1" t="s">
        <v>11</v>
      </c>
      <c r="G671" s="1" t="s">
        <v>200</v>
      </c>
    </row>
    <row r="672">
      <c r="A672" s="2">
        <v>45905.72741898148</v>
      </c>
      <c r="B672" s="1" t="s">
        <v>391</v>
      </c>
      <c r="C672" s="1" t="s">
        <v>316</v>
      </c>
      <c r="D672" s="1" t="s">
        <v>323</v>
      </c>
      <c r="E672" s="1" t="s">
        <v>916</v>
      </c>
      <c r="F672" s="1" t="s">
        <v>11</v>
      </c>
      <c r="G672" s="1" t="s">
        <v>200</v>
      </c>
    </row>
    <row r="673">
      <c r="A673" s="2">
        <v>45905.731469907405</v>
      </c>
      <c r="B673" s="1" t="s">
        <v>391</v>
      </c>
      <c r="C673" s="1" t="s">
        <v>316</v>
      </c>
      <c r="D673" s="1" t="s">
        <v>323</v>
      </c>
      <c r="E673" s="1" t="s">
        <v>917</v>
      </c>
      <c r="F673" s="1" t="s">
        <v>11</v>
      </c>
      <c r="G673" s="1" t="s">
        <v>200</v>
      </c>
    </row>
    <row r="674">
      <c r="A674" s="2">
        <v>45905.785787037035</v>
      </c>
      <c r="B674" s="1" t="s">
        <v>391</v>
      </c>
      <c r="C674" s="1" t="s">
        <v>316</v>
      </c>
      <c r="D674" s="1" t="s">
        <v>323</v>
      </c>
      <c r="E674" s="1" t="s">
        <v>918</v>
      </c>
      <c r="F674" s="1" t="s">
        <v>11</v>
      </c>
      <c r="G674" s="1" t="s">
        <v>200</v>
      </c>
    </row>
    <row r="675">
      <c r="A675" s="2">
        <v>45905.66627314815</v>
      </c>
      <c r="B675" s="1" t="s">
        <v>316</v>
      </c>
      <c r="C675" s="1" t="s">
        <v>391</v>
      </c>
      <c r="D675" s="1" t="s">
        <v>323</v>
      </c>
      <c r="E675" s="1" t="s">
        <v>919</v>
      </c>
      <c r="F675" s="1" t="s">
        <v>11</v>
      </c>
      <c r="G675" s="1" t="s">
        <v>204</v>
      </c>
    </row>
    <row r="676">
      <c r="A676" s="2">
        <v>45905.86618055555</v>
      </c>
      <c r="B676" s="1" t="s">
        <v>391</v>
      </c>
      <c r="C676" s="1" t="s">
        <v>316</v>
      </c>
      <c r="D676" s="1" t="s">
        <v>323</v>
      </c>
      <c r="E676" s="1" t="s">
        <v>920</v>
      </c>
      <c r="F676" s="1" t="s">
        <v>11</v>
      </c>
      <c r="G676" s="1" t="s">
        <v>200</v>
      </c>
    </row>
    <row r="677">
      <c r="A677" s="2">
        <v>45905.79957175926</v>
      </c>
      <c r="B677" s="1" t="s">
        <v>316</v>
      </c>
      <c r="C677" s="1" t="s">
        <v>391</v>
      </c>
      <c r="D677" s="1" t="s">
        <v>323</v>
      </c>
      <c r="E677" s="1" t="s">
        <v>921</v>
      </c>
      <c r="F677" s="1" t="s">
        <v>11</v>
      </c>
      <c r="G677" s="1" t="s">
        <v>204</v>
      </c>
    </row>
    <row r="678">
      <c r="A678" s="2">
        <v>45906.45107638889</v>
      </c>
      <c r="B678" s="1" t="s">
        <v>391</v>
      </c>
      <c r="C678" s="1" t="s">
        <v>316</v>
      </c>
      <c r="D678" s="1" t="s">
        <v>323</v>
      </c>
      <c r="E678" s="1" t="s">
        <v>922</v>
      </c>
      <c r="F678" s="1" t="s">
        <v>11</v>
      </c>
      <c r="G678" s="1" t="s">
        <v>586</v>
      </c>
    </row>
    <row r="679">
      <c r="A679" s="2">
        <v>45906.45222222222</v>
      </c>
      <c r="B679" s="1" t="s">
        <v>391</v>
      </c>
      <c r="C679" s="1" t="s">
        <v>316</v>
      </c>
      <c r="D679" s="1" t="s">
        <v>323</v>
      </c>
      <c r="E679" s="1" t="s">
        <v>923</v>
      </c>
      <c r="F679" s="1" t="s">
        <v>11</v>
      </c>
      <c r="G679" s="1" t="s">
        <v>586</v>
      </c>
    </row>
    <row r="680">
      <c r="A680" s="2">
        <v>45906.45601851852</v>
      </c>
      <c r="B680" s="1" t="s">
        <v>391</v>
      </c>
      <c r="C680" s="1" t="s">
        <v>316</v>
      </c>
      <c r="D680" s="1" t="s">
        <v>323</v>
      </c>
      <c r="E680" s="1" t="s">
        <v>924</v>
      </c>
      <c r="F680" s="1" t="s">
        <v>11</v>
      </c>
      <c r="G680" s="1" t="s">
        <v>586</v>
      </c>
    </row>
    <row r="681">
      <c r="A681" s="2">
        <v>45906.46333333333</v>
      </c>
      <c r="B681" s="1" t="s">
        <v>391</v>
      </c>
      <c r="C681" s="1" t="s">
        <v>316</v>
      </c>
      <c r="D681" s="1" t="s">
        <v>323</v>
      </c>
      <c r="E681" s="1" t="s">
        <v>925</v>
      </c>
      <c r="F681" s="1" t="s">
        <v>11</v>
      </c>
      <c r="G681" s="1" t="s">
        <v>586</v>
      </c>
    </row>
    <row r="682">
      <c r="A682" s="2">
        <v>45906.341203703705</v>
      </c>
      <c r="B682" s="1" t="s">
        <v>316</v>
      </c>
      <c r="C682" s="1" t="s">
        <v>391</v>
      </c>
      <c r="D682" s="1" t="s">
        <v>323</v>
      </c>
      <c r="E682" s="1" t="s">
        <v>926</v>
      </c>
      <c r="F682" s="1" t="s">
        <v>11</v>
      </c>
      <c r="G682" s="1" t="s">
        <v>592</v>
      </c>
    </row>
    <row r="683">
      <c r="A683" s="2">
        <v>45906.34799768519</v>
      </c>
      <c r="B683" s="1" t="s">
        <v>316</v>
      </c>
      <c r="C683" s="1" t="s">
        <v>391</v>
      </c>
      <c r="D683" s="1" t="s">
        <v>323</v>
      </c>
      <c r="E683" s="1" t="s">
        <v>927</v>
      </c>
      <c r="F683" s="1" t="s">
        <v>11</v>
      </c>
      <c r="G683" s="1" t="s">
        <v>592</v>
      </c>
    </row>
    <row r="684">
      <c r="A684" s="2">
        <v>45906.519421296296</v>
      </c>
      <c r="B684" s="1" t="s">
        <v>391</v>
      </c>
      <c r="C684" s="1" t="s">
        <v>316</v>
      </c>
      <c r="D684" s="1" t="s">
        <v>323</v>
      </c>
      <c r="E684" s="1" t="s">
        <v>928</v>
      </c>
      <c r="F684" s="1" t="s">
        <v>11</v>
      </c>
      <c r="G684" s="1" t="s">
        <v>586</v>
      </c>
    </row>
    <row r="685">
      <c r="A685" s="2">
        <v>45906.52111111111</v>
      </c>
      <c r="B685" s="1" t="s">
        <v>391</v>
      </c>
      <c r="C685" s="1" t="s">
        <v>316</v>
      </c>
      <c r="D685" s="1" t="s">
        <v>323</v>
      </c>
      <c r="E685" s="1" t="s">
        <v>929</v>
      </c>
      <c r="F685" s="1" t="s">
        <v>11</v>
      </c>
      <c r="G685" s="1" t="s">
        <v>586</v>
      </c>
    </row>
    <row r="686">
      <c r="A686" s="2">
        <v>45906.52427083333</v>
      </c>
      <c r="B686" s="1" t="s">
        <v>391</v>
      </c>
      <c r="C686" s="1" t="s">
        <v>316</v>
      </c>
      <c r="D686" s="1" t="s">
        <v>323</v>
      </c>
      <c r="E686" s="1" t="s">
        <v>930</v>
      </c>
      <c r="F686" s="1" t="s">
        <v>11</v>
      </c>
      <c r="G686" s="1" t="s">
        <v>586</v>
      </c>
    </row>
    <row r="687">
      <c r="A687" s="2">
        <v>45906.52460648148</v>
      </c>
      <c r="B687" s="1" t="s">
        <v>391</v>
      </c>
      <c r="C687" s="1" t="s">
        <v>316</v>
      </c>
      <c r="D687" s="1" t="s">
        <v>323</v>
      </c>
      <c r="E687" s="1" t="s">
        <v>931</v>
      </c>
      <c r="F687" s="1" t="s">
        <v>11</v>
      </c>
      <c r="G687" s="1" t="s">
        <v>586</v>
      </c>
    </row>
    <row r="688">
      <c r="A688" s="2">
        <v>45906.52627314815</v>
      </c>
      <c r="B688" s="1" t="s">
        <v>391</v>
      </c>
      <c r="C688" s="1" t="s">
        <v>316</v>
      </c>
      <c r="D688" s="1" t="s">
        <v>323</v>
      </c>
      <c r="E688" s="1" t="s">
        <v>932</v>
      </c>
      <c r="F688" s="1" t="s">
        <v>11</v>
      </c>
      <c r="G688" s="1" t="s">
        <v>586</v>
      </c>
    </row>
    <row r="689">
      <c r="A689" s="2">
        <v>45906.52712962963</v>
      </c>
      <c r="B689" s="1" t="s">
        <v>391</v>
      </c>
      <c r="C689" s="1" t="s">
        <v>316</v>
      </c>
      <c r="D689" s="1" t="s">
        <v>323</v>
      </c>
      <c r="E689" s="1" t="s">
        <v>933</v>
      </c>
      <c r="F689" s="1" t="s">
        <v>11</v>
      </c>
      <c r="G689" s="1" t="s">
        <v>586</v>
      </c>
    </row>
    <row r="690">
      <c r="A690" s="2">
        <v>45906.52837962963</v>
      </c>
      <c r="B690" s="1" t="s">
        <v>391</v>
      </c>
      <c r="C690" s="1" t="s">
        <v>316</v>
      </c>
      <c r="D690" s="1" t="s">
        <v>323</v>
      </c>
      <c r="E690" s="1" t="s">
        <v>934</v>
      </c>
      <c r="F690" s="1" t="s">
        <v>11</v>
      </c>
      <c r="G690" s="1" t="s">
        <v>586</v>
      </c>
    </row>
    <row r="691">
      <c r="A691" s="2">
        <v>45906.52976851852</v>
      </c>
      <c r="B691" s="1" t="s">
        <v>391</v>
      </c>
      <c r="C691" s="1" t="s">
        <v>316</v>
      </c>
      <c r="D691" s="1" t="s">
        <v>323</v>
      </c>
      <c r="E691" s="1" t="s">
        <v>935</v>
      </c>
      <c r="F691" s="1" t="s">
        <v>11</v>
      </c>
      <c r="G691" s="1" t="s">
        <v>586</v>
      </c>
    </row>
    <row r="692">
      <c r="A692" s="2">
        <v>45906.53197916667</v>
      </c>
      <c r="B692" s="1" t="s">
        <v>391</v>
      </c>
      <c r="C692" s="1" t="s">
        <v>316</v>
      </c>
      <c r="D692" s="1" t="s">
        <v>936</v>
      </c>
      <c r="E692" s="1" t="s">
        <v>937</v>
      </c>
      <c r="F692" s="1" t="s">
        <v>11</v>
      </c>
      <c r="G692" s="1" t="s">
        <v>586</v>
      </c>
    </row>
    <row r="693">
      <c r="A693" s="2">
        <v>45906.56837962963</v>
      </c>
      <c r="B693" s="1" t="s">
        <v>391</v>
      </c>
      <c r="C693" s="1" t="s">
        <v>316</v>
      </c>
      <c r="D693" s="1" t="s">
        <v>323</v>
      </c>
      <c r="E693" s="1" t="s">
        <v>938</v>
      </c>
      <c r="F693" s="1" t="s">
        <v>11</v>
      </c>
      <c r="G693" s="1" t="s">
        <v>586</v>
      </c>
    </row>
    <row r="694">
      <c r="A694" s="2">
        <v>45906.81395833333</v>
      </c>
      <c r="B694" s="1" t="s">
        <v>316</v>
      </c>
      <c r="C694" s="1" t="s">
        <v>391</v>
      </c>
      <c r="D694" s="1" t="s">
        <v>939</v>
      </c>
      <c r="E694" s="1" t="s">
        <v>940</v>
      </c>
      <c r="F694" s="1" t="s">
        <v>11</v>
      </c>
      <c r="G694" s="1" t="s">
        <v>807</v>
      </c>
    </row>
    <row r="695">
      <c r="A695" s="2">
        <v>45909.313425925924</v>
      </c>
      <c r="B695" s="1" t="s">
        <v>316</v>
      </c>
      <c r="C695" s="1" t="s">
        <v>358</v>
      </c>
      <c r="D695" s="1" t="s">
        <v>941</v>
      </c>
      <c r="E695" s="1" t="s">
        <v>942</v>
      </c>
      <c r="F695" s="1" t="s">
        <v>11</v>
      </c>
      <c r="G695" s="1" t="s">
        <v>568</v>
      </c>
    </row>
    <row r="696">
      <c r="A696" s="2">
        <v>45909.78607638889</v>
      </c>
      <c r="B696" s="1" t="s">
        <v>307</v>
      </c>
      <c r="C696" s="1" t="s">
        <v>308</v>
      </c>
      <c r="D696" s="1" t="s">
        <v>943</v>
      </c>
      <c r="E696" s="1" t="s">
        <v>944</v>
      </c>
      <c r="F696" s="1" t="s">
        <v>11</v>
      </c>
      <c r="G696" s="1" t="s">
        <v>311</v>
      </c>
    </row>
    <row r="697">
      <c r="A697" s="2">
        <v>45912.57989583333</v>
      </c>
      <c r="B697" s="1" t="s">
        <v>316</v>
      </c>
      <c r="C697" s="1" t="s">
        <v>945</v>
      </c>
      <c r="D697" s="1" t="s">
        <v>946</v>
      </c>
      <c r="E697" s="1" t="s">
        <v>947</v>
      </c>
      <c r="F697" s="1" t="s">
        <v>271</v>
      </c>
      <c r="G697" s="1" t="s">
        <v>306</v>
      </c>
    </row>
    <row r="698">
      <c r="A698" s="2">
        <v>45912.586851851855</v>
      </c>
      <c r="B698" s="1" t="s">
        <v>316</v>
      </c>
      <c r="C698" s="1" t="s">
        <v>355</v>
      </c>
      <c r="D698" s="1" t="s">
        <v>948</v>
      </c>
      <c r="E698" s="1" t="s">
        <v>949</v>
      </c>
      <c r="F698" s="1" t="s">
        <v>11</v>
      </c>
      <c r="G698" s="1" t="s">
        <v>568</v>
      </c>
    </row>
    <row r="699">
      <c r="A699" s="2">
        <v>45913.42737268518</v>
      </c>
      <c r="B699" s="1" t="s">
        <v>316</v>
      </c>
      <c r="C699" s="1" t="s">
        <v>355</v>
      </c>
      <c r="D699" s="1" t="s">
        <v>950</v>
      </c>
      <c r="E699" s="1" t="s">
        <v>951</v>
      </c>
      <c r="F699" s="1" t="s">
        <v>11</v>
      </c>
      <c r="G699" s="1" t="s">
        <v>306</v>
      </c>
    </row>
    <row r="700">
      <c r="A700" s="2">
        <v>45914.901921296296</v>
      </c>
      <c r="B700" s="1" t="s">
        <v>316</v>
      </c>
      <c r="C700" s="1" t="s">
        <v>355</v>
      </c>
      <c r="D700" s="1" t="s">
        <v>569</v>
      </c>
      <c r="E700" s="1" t="s">
        <v>952</v>
      </c>
      <c r="F700" s="1" t="s">
        <v>11</v>
      </c>
      <c r="G700" s="1" t="s">
        <v>568</v>
      </c>
    </row>
    <row r="701">
      <c r="A701" s="2">
        <v>45916.04170138889</v>
      </c>
      <c r="B701" s="1" t="s">
        <v>691</v>
      </c>
      <c r="C701" s="1" t="s">
        <v>676</v>
      </c>
      <c r="D701" s="1" t="s">
        <v>953</v>
      </c>
      <c r="E701" s="1" t="s">
        <v>954</v>
      </c>
      <c r="F701" s="1" t="s">
        <v>11</v>
      </c>
      <c r="G701" s="1" t="s">
        <v>16</v>
      </c>
    </row>
    <row r="702">
      <c r="A702" s="2">
        <v>45919.9119212963</v>
      </c>
      <c r="B702" s="1" t="s">
        <v>316</v>
      </c>
      <c r="C702" s="1" t="s">
        <v>355</v>
      </c>
      <c r="D702" s="1" t="s">
        <v>569</v>
      </c>
      <c r="E702" s="1" t="s">
        <v>955</v>
      </c>
      <c r="F702" s="1" t="s">
        <v>11</v>
      </c>
      <c r="G702" s="1" t="s">
        <v>568</v>
      </c>
    </row>
    <row r="703">
      <c r="A703" s="2">
        <v>45921.01144675926</v>
      </c>
      <c r="B703" s="1" t="s">
        <v>316</v>
      </c>
      <c r="C703" s="1" t="s">
        <v>197</v>
      </c>
      <c r="D703" s="1" t="s">
        <v>569</v>
      </c>
      <c r="E703" s="1" t="s">
        <v>956</v>
      </c>
      <c r="F703" s="1" t="s">
        <v>11</v>
      </c>
      <c r="G703" s="1" t="s">
        <v>568</v>
      </c>
    </row>
    <row r="704">
      <c r="A704" s="2">
        <v>45921.94572916667</v>
      </c>
      <c r="B704" s="1" t="s">
        <v>316</v>
      </c>
      <c r="C704" s="1" t="s">
        <v>355</v>
      </c>
      <c r="D704" s="1" t="s">
        <v>198</v>
      </c>
      <c r="E704" s="1" t="s">
        <v>957</v>
      </c>
      <c r="F704" s="1" t="s">
        <v>11</v>
      </c>
      <c r="G704" s="1" t="s">
        <v>568</v>
      </c>
    </row>
    <row r="705">
      <c r="A705" s="2">
        <v>45925.38564814815</v>
      </c>
      <c r="B705" s="1" t="s">
        <v>316</v>
      </c>
      <c r="C705" s="1" t="s">
        <v>355</v>
      </c>
      <c r="E705" s="1" t="s">
        <v>958</v>
      </c>
      <c r="F705" s="1" t="s">
        <v>11</v>
      </c>
      <c r="G705" s="1" t="s">
        <v>568</v>
      </c>
    </row>
    <row r="706">
      <c r="A706" s="2">
        <v>45926.333333333336</v>
      </c>
      <c r="B706" s="1" t="s">
        <v>316</v>
      </c>
      <c r="C706" s="1" t="s">
        <v>355</v>
      </c>
      <c r="D706" s="1" t="s">
        <v>959</v>
      </c>
      <c r="E706" s="1" t="s">
        <v>960</v>
      </c>
      <c r="F706" s="1" t="s">
        <v>11</v>
      </c>
      <c r="G706" s="1" t="s">
        <v>568</v>
      </c>
    </row>
    <row r="707">
      <c r="A707" s="2">
        <v>45927.903287037036</v>
      </c>
      <c r="B707" s="1" t="s">
        <v>316</v>
      </c>
      <c r="C707" s="1" t="s">
        <v>727</v>
      </c>
      <c r="D707" s="1" t="s">
        <v>961</v>
      </c>
      <c r="E707" s="1" t="s">
        <v>962</v>
      </c>
      <c r="F707" s="1" t="s">
        <v>11</v>
      </c>
      <c r="G707" s="1" t="s">
        <v>568</v>
      </c>
    </row>
    <row r="708">
      <c r="A708" s="2">
        <v>45933.139375</v>
      </c>
      <c r="B708" s="1" t="s">
        <v>316</v>
      </c>
      <c r="C708" s="1" t="s">
        <v>197</v>
      </c>
      <c r="D708" s="1" t="s">
        <v>963</v>
      </c>
      <c r="E708" s="1" t="s">
        <v>964</v>
      </c>
      <c r="F708" s="1" t="s">
        <v>11</v>
      </c>
      <c r="G708" s="1" t="s">
        <v>965</v>
      </c>
    </row>
    <row r="709">
      <c r="A709" s="2">
        <v>45933.15001157407</v>
      </c>
      <c r="B709" s="1" t="s">
        <v>316</v>
      </c>
      <c r="C709" s="1" t="s">
        <v>316</v>
      </c>
      <c r="D709" s="1" t="s">
        <v>966</v>
      </c>
      <c r="E709" s="1" t="s">
        <v>282</v>
      </c>
      <c r="F709" s="1" t="s">
        <v>271</v>
      </c>
      <c r="G709" s="1" t="s">
        <v>824</v>
      </c>
    </row>
    <row r="710">
      <c r="A710" s="2">
        <v>45933.151354166665</v>
      </c>
      <c r="B710" s="1" t="s">
        <v>316</v>
      </c>
      <c r="C710" s="1" t="s">
        <v>316</v>
      </c>
      <c r="D710" s="1" t="s">
        <v>967</v>
      </c>
      <c r="E710" s="1" t="s">
        <v>968</v>
      </c>
      <c r="F710" s="1" t="s">
        <v>271</v>
      </c>
      <c r="G710" s="1" t="s">
        <v>824</v>
      </c>
    </row>
    <row r="711">
      <c r="A711" s="2">
        <v>45933.15403935185</v>
      </c>
      <c r="B711" s="1" t="s">
        <v>316</v>
      </c>
      <c r="C711" s="1" t="s">
        <v>316</v>
      </c>
      <c r="D711" s="1" t="s">
        <v>969</v>
      </c>
      <c r="E711" s="1" t="s">
        <v>641</v>
      </c>
      <c r="F711" s="1" t="s">
        <v>271</v>
      </c>
      <c r="G711" s="1" t="s">
        <v>824</v>
      </c>
    </row>
    <row r="712">
      <c r="A712" s="2">
        <v>45933.333333333336</v>
      </c>
      <c r="B712" s="1" t="s">
        <v>316</v>
      </c>
      <c r="C712" s="1" t="s">
        <v>355</v>
      </c>
      <c r="D712" s="1" t="s">
        <v>970</v>
      </c>
      <c r="E712" s="1" t="s">
        <v>971</v>
      </c>
      <c r="F712" s="1" t="s">
        <v>11</v>
      </c>
      <c r="G712" s="1" t="s">
        <v>568</v>
      </c>
    </row>
    <row r="713">
      <c r="A713" s="2">
        <v>45933.4687962963</v>
      </c>
      <c r="B713" s="1" t="s">
        <v>316</v>
      </c>
      <c r="C713" s="1" t="s">
        <v>727</v>
      </c>
      <c r="D713" s="1" t="s">
        <v>747</v>
      </c>
      <c r="E713" s="1" t="s">
        <v>972</v>
      </c>
      <c r="F713" s="1" t="s">
        <v>271</v>
      </c>
      <c r="G713" s="1" t="s">
        <v>973</v>
      </c>
    </row>
    <row r="714">
      <c r="A714" s="2">
        <v>45934.13222222222</v>
      </c>
      <c r="B714" s="1" t="s">
        <v>974</v>
      </c>
      <c r="C714" s="1" t="s">
        <v>151</v>
      </c>
      <c r="D714" s="1" t="s">
        <v>975</v>
      </c>
      <c r="E714" s="1" t="s">
        <v>976</v>
      </c>
      <c r="F714" s="1" t="s">
        <v>11</v>
      </c>
      <c r="G714" s="1" t="s">
        <v>167</v>
      </c>
    </row>
    <row r="715">
      <c r="A715" s="2">
        <v>45936.57616898148</v>
      </c>
      <c r="B715" s="1" t="s">
        <v>977</v>
      </c>
      <c r="C715" s="1" t="s">
        <v>978</v>
      </c>
      <c r="D715" s="1" t="s">
        <v>979</v>
      </c>
      <c r="E715" s="1" t="s">
        <v>980</v>
      </c>
      <c r="F715" s="1" t="s">
        <v>271</v>
      </c>
      <c r="G715" s="1" t="s">
        <v>586</v>
      </c>
    </row>
    <row r="716">
      <c r="A716" s="2">
        <v>45936.620891203704</v>
      </c>
      <c r="B716" s="1" t="s">
        <v>316</v>
      </c>
      <c r="C716" s="1" t="s">
        <v>981</v>
      </c>
      <c r="D716" s="1" t="s">
        <v>982</v>
      </c>
      <c r="E716" s="1" t="s">
        <v>983</v>
      </c>
      <c r="F716" s="1" t="s">
        <v>271</v>
      </c>
      <c r="G716" s="1" t="s">
        <v>592</v>
      </c>
    </row>
    <row r="717">
      <c r="A717" s="2">
        <v>45937.043275462966</v>
      </c>
      <c r="B717" s="1" t="s">
        <v>316</v>
      </c>
      <c r="C717" s="1" t="s">
        <v>355</v>
      </c>
      <c r="E717" s="1" t="s">
        <v>984</v>
      </c>
      <c r="F717" s="1" t="s">
        <v>11</v>
      </c>
      <c r="G717" s="1" t="s">
        <v>306</v>
      </c>
    </row>
    <row r="718">
      <c r="A718" s="2">
        <v>45940.64925925926</v>
      </c>
      <c r="B718" s="1" t="s">
        <v>316</v>
      </c>
      <c r="C718" s="1" t="s">
        <v>985</v>
      </c>
      <c r="D718" s="1" t="s">
        <v>986</v>
      </c>
      <c r="E718" s="1" t="s">
        <v>987</v>
      </c>
      <c r="F718" s="1" t="s">
        <v>11</v>
      </c>
      <c r="G718" s="1" t="s">
        <v>306</v>
      </c>
    </row>
    <row r="719">
      <c r="A719" s="2">
        <v>45941.04704861111</v>
      </c>
      <c r="B719" s="1" t="s">
        <v>316</v>
      </c>
      <c r="C719" s="1" t="s">
        <v>197</v>
      </c>
      <c r="D719" s="1" t="s">
        <v>988</v>
      </c>
      <c r="E719" s="1" t="s">
        <v>989</v>
      </c>
      <c r="F719" s="1" t="s">
        <v>11</v>
      </c>
      <c r="G719" s="1" t="s">
        <v>973</v>
      </c>
    </row>
    <row r="720">
      <c r="A720" s="2">
        <v>45943.17755787037</v>
      </c>
      <c r="B720" s="1" t="s">
        <v>990</v>
      </c>
      <c r="C720" s="1" t="s">
        <v>151</v>
      </c>
      <c r="D720" s="1" t="s">
        <v>991</v>
      </c>
      <c r="E720" s="1" t="s">
        <v>992</v>
      </c>
      <c r="F720" s="1" t="s">
        <v>11</v>
      </c>
      <c r="G720" s="1" t="s">
        <v>12</v>
      </c>
    </row>
    <row r="721">
      <c r="A721" s="2">
        <v>45948.02309027778</v>
      </c>
      <c r="B721" s="1" t="s">
        <v>316</v>
      </c>
      <c r="C721" s="1" t="s">
        <v>197</v>
      </c>
      <c r="D721" s="1" t="s">
        <v>569</v>
      </c>
      <c r="E721" s="1" t="s">
        <v>993</v>
      </c>
      <c r="F721" s="1" t="s">
        <v>11</v>
      </c>
      <c r="G721" s="1" t="s">
        <v>568</v>
      </c>
    </row>
    <row r="722">
      <c r="A722" s="2">
        <v>45948.16799768519</v>
      </c>
      <c r="B722" s="1" t="s">
        <v>316</v>
      </c>
      <c r="C722" s="1" t="s">
        <v>197</v>
      </c>
      <c r="D722" s="1" t="s">
        <v>569</v>
      </c>
      <c r="E722" s="1" t="s">
        <v>282</v>
      </c>
      <c r="F722" s="1" t="s">
        <v>11</v>
      </c>
      <c r="G722" s="1" t="s">
        <v>973</v>
      </c>
    </row>
  </sheetData>
  <drawing r:id="rId1"/>
</worksheet>
</file>