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dy_legal_emails" sheetId="1" r:id="rId4"/>
  </sheets>
  <definedNames/>
  <calcPr/>
</workbook>
</file>

<file path=xl/sharedStrings.xml><?xml version="1.0" encoding="utf-8"?>
<sst xmlns="http://schemas.openxmlformats.org/spreadsheetml/2006/main" count="10222" uniqueCount="2774">
  <si>
    <t>Date</t>
  </si>
  <si>
    <t>From</t>
  </si>
  <si>
    <t>To</t>
  </si>
  <si>
    <t>Subject</t>
  </si>
  <si>
    <t>Body_Preview</t>
  </si>
  <si>
    <t>partypoker &lt;info@email.partyaccount.com&gt;</t>
  </si>
  <si>
    <t>&lt;charliewharlie369@outlook.com&gt;</t>
  </si>
  <si>
    <t>You still need to verify your account</t>
  </si>
  <si>
    <t>&lt;!DOCTYPE html "-//w3c//dtd xhtml 1.0 transitional//en" "http://www.w3.org/tr/xhtml1/dtd/xhtml1-transitional.dtd"&gt;&lt;html&gt;&lt;head&gt;
&lt;meta http-equiv="Content-Type" content="text/html; charset=utf-8"&gt;&lt;style</t>
  </si>
  <si>
    <t>PokerStars Home Games &lt;yourclub@pokerstars.com&gt;</t>
  </si>
  <si>
    <t>#RunItUp: Final Standings!</t>
  </si>
  <si>
    <t xml:space="preserve">
Hello, CharlieW@rli
ClubID: 950160. 
ClubManager: jcarverpoker
ClubPwd: Warriors
SeasonID: 1262805
SeasonName: 4
Here are the results of you last season:
Rank)  UserID  (Points)
1)	TheMacDads (44.</t>
  </si>
  <si>
    <t xml:space="preserve">
Hello, CharlieW@rli
ClubID: 950160. 
ClubManager: jcarverpoker
ClubPwd: Warriors
SeasonID: 1265081
SeasonName: 5
Here are the results of you last season:
Rank)  UserID  (Points)
1)	Origgin (38.22)</t>
  </si>
  <si>
    <t>Intertops News &lt;newsletter@e.intertops.eu&gt;</t>
  </si>
  <si>
    <t>charliewharlie369@outlook.com</t>
  </si>
  <si>
    <t>Stacey, take a trip to the Final Four</t>
  </si>
  <si>
    <t xml:space="preserve">
Win a trip to the Final Four!
Every wager in February counts!
Hi Stacey,
(Your username is: CharlieWharlie)
Super Bowl 50 is done and dusted - now it's time to turn your thoughts to the year's nex</t>
  </si>
  <si>
    <t>&lt;security@pokerstars.com&gt;</t>
  </si>
  <si>
    <t>PokerStars Security - Documents Cropped - Please Resend</t>
  </si>
  <si>
    <t>Hello Stacey,
Thank you for your email and providing these documents.
Your photo ID has been received and approved.
Regrettably, the payment document that you have submitted to us is not acceptable</t>
  </si>
  <si>
    <t>s c &lt;charliewharlie369@outlook.com&gt;</t>
  </si>
  <si>
    <t>"security@pokerstars.com" &lt;security@pokerstars.com&gt;</t>
  </si>
  <si>
    <t>RE: PokerStars Security - Documents Cropped - Please Resend</t>
  </si>
  <si>
    <t xml:space="preserve">TYS 
&gt; From: security@pokerstars.com
&gt; To: charliewharlie369@outlook.com
&gt; Subject: PokerStars Security - Documents Cropped - Please Resend
&gt; Date: Wed, 23 Mar 2016 04:19:12 -0400
&gt; 
&gt; Hello Stacey,
</t>
  </si>
  <si>
    <t xml:space="preserve">
Hello, CharlieW@rli
ClubID: 950160. 
ClubManager: jcarverpoker
ClubPwd: Warriors
SeasonID: 1271269
SeasonName: 6
Here are the results of you last season:
Rank)  UserID  (Points)
 (1)	ciGi_CH (26.3</t>
  </si>
  <si>
    <t>Netflix &lt;info@mailer.netflix.com&gt;</t>
  </si>
  <si>
    <t>craig, Suits Season 5 is now on Netflix</t>
  </si>
  <si>
    <t xml:space="preserve">
NETFLIX
Now on Netflix
Suits Season 5
2015  10 Episodes
HD
When he impresses a big lawyer with his razor-sharp mind, a college dropout scores a coveted associate job, even though he has n</t>
  </si>
  <si>
    <t>&lt;security@starsaccount.com&gt;</t>
  </si>
  <si>
    <t>&lt;CharlieWharlie369@outlook.com&gt;</t>
  </si>
  <si>
    <t>Stars Account Restricted - Settlement of Negative Balance</t>
  </si>
  <si>
    <t>Hello Stacey,
Thank you for your email. 
We ask that you make a deposit to cover the amount owed. Please visit the cashier and deposit with one of the available deposit options.  
We look forward t</t>
  </si>
  <si>
    <t>&lt;security@starsaccount.net&gt;</t>
  </si>
  <si>
    <t>Customer Satisfaction</t>
  </si>
  <si>
    <t xml:space="preserve">
Hello CharlieW@rli,
We would love to hear what you think regarding your recent experience with our Customer Service team.
Are you satisfied with the service you have received? (Please only click on</t>
  </si>
  <si>
    <t>Bodog &lt;service@email.bodog.eu&gt;</t>
  </si>
  <si>
    <t>Check Out the New Bodog</t>
  </si>
  <si>
    <t>&lt;!DOCTYPE html PUBLIC "-//W3C//DTD XHTML 1.0 Transitional//EN" "http://www.w3.org/TR/xhtml1/DTD/xhtml1-transitional.dtd"&gt;&lt;html xmlns="http://www.w3.org/1999/xhtml"&gt;&lt;head&gt;
&lt;meta http-equiv="Content-Typ</t>
  </si>
  <si>
    <t>PokerStars Home Games &lt;yourclub@starsaccount.com&gt;</t>
  </si>
  <si>
    <t xml:space="preserve">
Hello, CharlieW@rli
ClubID: 950160. 
ClubManager: jcarverpoker
ClubPwd: Warriors
SeasonID: 1283953
SeasonName: 8
Here are the results of you last season:
Rank)  UserID  (Points)
 (1)	czts (36.80)
</t>
  </si>
  <si>
    <t>"partypoker" &lt;rewards@email.partypoker.com&gt;</t>
  </si>
  <si>
    <t>Stacey, play Boris Becker heads-up for $25,000!</t>
  </si>
  <si>
    <t xml:space="preserve">
www.partypoker.comTake on our Beat the Ace Missions for your chance to play a tennis legend!
http://click.email.gamingmails.com/?qs=88e810ab8d785549d21e43f73044c3c2358d1f183c1e94246a35955f8d165</t>
  </si>
  <si>
    <t>craig, The Fall Series 3 is now on Netflix</t>
  </si>
  <si>
    <t xml:space="preserve">
NETFLIX
Now on Netflix
The Fall Series 3
2016  6 Episodes
HD
 Stella Gibson arrested her suspect, but if she's going to get justice for the victims, Spector must survive the gunshots h</t>
  </si>
  <si>
    <t>"DraftKings" &lt;email@e.draftkings.com&gt;</t>
  </si>
  <si>
    <t>charlie369, your NBA Mid-Season Recap is here.</t>
  </si>
  <si>
    <t>DraftKings
https://www.draftkings.com/gateway?s=109812678&amp;preurl=%2F%2Fdeeplink.me%2Fwww.draftkings.com%2Fcontest-lobby 
https://www.draftkings.com/gateway?s=109812678&amp;preurl=%2F%2Fdeeplink.me%2Fwww.</t>
  </si>
  <si>
    <t>Stacey, sweet offers on the sixteen</t>
  </si>
  <si>
    <t xml:space="preserve">
Sweet offers on the Sixteen
The Madness continues
Hi Stacey,
(Your username is: CharlieWharlie)
The college hoops stars are getting their breath back after four crazy days on the courts. Thursday </t>
  </si>
  <si>
    <t>"PokerStars Home Games" &lt;yourclub@starsaccount.com&gt;</t>
  </si>
  <si>
    <t xml:space="preserve">
Hello, CharlieW@rli
ClubID: 950160. 
ClubManager: jcarverpoker
ClubPwd: Warriors
SeasonID: 1292183
SeasonName: 9
Here are the results of you last season:
Rank)  UserID  (Points)
 (1)	Rymdis (33.63</t>
  </si>
  <si>
    <t xml:space="preserve">
Hello, CharlieW@rli
ClubID: 950160. 
ClubManager: jcarverpoker
ClubPwd: Warriors
SeasonID: 1295856
SeasonName: 10
Here are the results of you last season:
Rank)  UserID  (Points)
 (1)	BjornarS (16</t>
  </si>
  <si>
    <t>DraftKings
https://www.draftkings.com 
https://www.draftkings.com/account 
charlie369 
2016/17 NBA Recap
https://www.draftkings.com/gateway?s=192785708 
 YOUR NBA HIGHLIGHTS PACKAGE
The 2017-2018 N</t>
  </si>
  <si>
    <t>"PartyCasino" &lt;promo@email.partycasino.com&gt;</t>
  </si>
  <si>
    <t>No tricks, just treats: 20 Free Spins</t>
  </si>
  <si>
    <t>To view this email as a web page, go to the link below, or copy and paste it into your browser's address window.
http://view.email.gamingmails.com/?qs=8647fedf7297f5e3b689a9aa1c5b9db2201f3141ca1f4b3a5</t>
  </si>
  <si>
    <t xml:space="preserve">"ecoPayz" &lt;noreply@ecopayz.com&gt; </t>
  </si>
  <si>
    <t>"Stacey Campbell" &lt;charliewharlie369@outlook.com&gt;</t>
  </si>
  <si>
    <t>Please review our updated Privacy Policy</t>
  </si>
  <si>
    <t>View online https://ecopayz.cmail19.com/t/d-e-bcdiul-yhkkjluldt-u/
We’ve updated our Privacy Policy
Dear Stacey Campbell,
We wanted to let you know we've updated our  Privacy Policy [https://www.ec</t>
  </si>
  <si>
    <t>888poker &lt;promotions@email.888poker.com&gt;</t>
  </si>
  <si>
    <t>Want up to $250 in bonuses? Join our Cashback Fever challenge!</t>
  </si>
  <si>
    <t xml:space="preserve">Want up to $250 in bonuses? Join our Cashback Fever challenge!
Get started to get your cashback bonus!
View this email in your browser.
*T&amp;C’s below apply
Username: CharlieWarli
Have you got Cashback </t>
  </si>
  <si>
    <t>A FREE God of the Arena $1,000,000 Main Event Qualifier ticket is
 yours Stacey!</t>
  </si>
  <si>
    <t>A FREE God of the Arena $1,000,000 Main Event Qualifier ticket is yours Stacey!
Our progressive knockout series is coming!
View this email in your browser.
*T&amp;C’s below apply
Username: CharlieWarli
Qu</t>
  </si>
  <si>
    <t>God of the Arena $1,000,000 Main Event: Qualify now Stacey!</t>
  </si>
  <si>
    <t>God of the Arena $1,000,000 Main Event: Qualify now Stacey!
Our progressive knockout series is coming!
View this email in your browser.
*T&amp;C’s below apply
Username: CharlieWarli
Qualify for our $1,000</t>
  </si>
  <si>
    <t xml:space="preserve">
Hello, CharlieW@rli
ClubID: 950160. 
ClubManager: jcarverpoker
ClubPwd: Warriors
SeasonID: 1310073
SeasonName: 11
Here are the results of you last season:
Rank)  UserID  (Points)
 (1)	raggieddi (1</t>
  </si>
  <si>
    <t>** Jivaro Promotions
------------------------------------------------------------
** October-November 2018
------------------------------------------------------------
https://www.americascardroom</t>
  </si>
  <si>
    <t>"PocketFives.com" &lt;support@pocketfives.com&gt;</t>
  </si>
  <si>
    <t>P5s Headlines: West Virginia Officially Legalizes Online Gaming</t>
  </si>
  <si>
    <t>To view this email online, paste this link into your browser:
https://t.e2ma.net/message/8254cc/0kmvvm
 (https://t.e2ma.net/click/8254cc/0kmvvm/s6t17l)
Everything You Need To Know About the 2019</t>
  </si>
  <si>
    <t>** Jivaro Promotions
------------------------------------------------------------
** April 2019
------------------------------------------------------------
https://record.secure.acraffiliates.com</t>
  </si>
  <si>
    <t>P5s Headlines: Epic Bad Beat, Maria Ho at WPT Final Table, Pennsylvania Online Poker Launch Date</t>
  </si>
  <si>
    <t>To view this email online, paste this link into your browser:
https://t.e2ma.net/message/cy8egc/0kmvvm
 (https://t.e2ma.net/click/cy8egc/0kmvvm/of2qam)
Andrew Neeme Dishes Out Epic Bad Beat Duri</t>
  </si>
  <si>
    <t>To view this email online, paste this link into your browser:
https://t.e2ma.net/message/oj5nhc/0kmvvm
 (https://t.e2ma.net/click/oj5nhc/0kmvvm/8ejvbm)
PokerStars SCOOP: 16 Days, 201 Events, $75</t>
  </si>
  <si>
    <t>2019 WSOP: Negreanu, Conniff, Imsirovic Reach $10K Turbo Final Table</t>
  </si>
  <si>
    <t>To view this email online, paste this link into your browser:
https://t.e2ma.net/message/8ezjlc/0kmvvm
 (https://t.e2ma.net/click/8ezjlc/0kmvvm/ov6sfm)
2019 WSOP Opens with Negreanu, Conniff, Im</t>
  </si>
  <si>
    <t>2019 WSOP: Scott Clements Wins Third WSOP Gold Bracelet</t>
  </si>
  <si>
    <t xml:space="preserve">To view this email online, paste this link into your browser:
https://t.e2ma.net/message/oj5jmc/0kmvvm
 (https://t.e2ma.net/click/oj5jmc/0kmvvm/86ougm)
2019 WSOP: Scott Clements Wins Third WSOP </t>
  </si>
  <si>
    <t>2019 WSOP: Adam Friedman Goes Back-To-Back in $10,000 Dealer's Choice</t>
  </si>
  <si>
    <t>To view this email online, paste this link into your browser:
https://t.e2ma.net/message/g1x3nc/0kmvvm
 (https://t.e2ma.net/click/g1x3nc/0kmvvm/c2jeim)
2019 WSOP: Adam Friedman Goes Back-To-Back</t>
  </si>
  <si>
    <t>Lera Playamo &lt;lera@playamo.com&gt;</t>
  </si>
  <si>
    <t>PLAYAMO CASINO DEPOSITING ISSUE CA</t>
  </si>
  <si>
    <t xml:space="preserve">Hello dear Craig,
Welcome to Playamo Casino!
My name is Lera and I am here to help you with your deposit, as I see that
you have some difficulties with that.
*Please try to contact your bank as you </t>
  </si>
  <si>
    <t>"=?UTF-8?Q?PokerStars?=" &lt;events@starsaccount.com&gt;</t>
  </si>
  <si>
    <t>Dear CharlieW@rli,
We’re making some changes to our End User License Agreement. The next time you log into your client or mobile app, you’ll be asked to accept these changes. Then, you can get back t</t>
  </si>
  <si>
    <t>"Lucky Creek" &lt;Casino@LuckyCreek.com&gt;</t>
  </si>
  <si>
    <t>&lt;Charliewharlie369@outlook.com&gt;</t>
  </si>
  <si>
    <t>Your pre-match match!</t>
  </si>
  <si>
    <t xml:space="preserve">
25 Spins + 250% Match
Kickoff Big Game Sunday with 25 Free Spins and a 250% match, Craig!
The ball’s in your court now, so make sure you go for an Epic win with this one time opportunity!
25 Free S</t>
  </si>
  <si>
    <t>In this Together</t>
  </si>
  <si>
    <t xml:space="preserve">
Let's all do our bit
Keep Safe Craig!
We are all in this together. Together we need to get through this in a way that is the least disruptive. On that way we need to appreciate the positives and that</t>
  </si>
  <si>
    <t>"BlackLotusCasino.com" &lt;casino@blacklotuscasino.com&gt;</t>
  </si>
  <si>
    <t xml:space="preserve">
Let's all do our bit
Keep Safe craig!
We are all in this together. Together we need to get through this in a way that is the least disruptive. On that way we need to appreciate the positives and that</t>
  </si>
  <si>
    <t>"Kijiji Canada" &lt;no-reply@shop.kijiji.ca&gt;</t>
  </si>
  <si>
    <t>You can make a difference in your community</t>
  </si>
  <si>
    <t>&lt;!-- STYLE BLOCK START v1.0.2 nov 20, 2019 --&gt;&lt;!DOCTYPE html PUBLIC "-//W3C//DTD HTML 4.01 Transitional//EN" "http://www.w3.org/TR/html4/loose.dtd"&gt;&lt;html xmlns="http://www.w3.org/1999/xhtml" xmlns:v="</t>
  </si>
  <si>
    <t>Because We Care</t>
  </si>
  <si>
    <t xml:space="preserve">
We are with you
Craig
Recent times have been challenging. We are all desperately looking forward to continuing with our life’s in the sense that we were used to. All of us here at Lucky Creek has bee</t>
  </si>
  <si>
    <t>Now you can shop local businesses on Kijiji with contactless options</t>
  </si>
  <si>
    <t>&lt;!DOCTYPE html PUBLIC "-//W3C//DTD HTML 4.01 Transitional//EN" "http://www.w3.org/TR/html4/loose.dtd"&gt;&lt;html xmlns="http://www.w3.org/1999/xhtml" xmlns:v="urn:schemas-microsoft-com:vml" xmlns:o="urn:sc</t>
  </si>
  <si>
    <t>Put some money in your pocket</t>
  </si>
  <si>
    <t>Stacey, it’s on the house - play in the $100,000 Mega Deep!
Stacey, it’s on the house - play in the $100,000 Mega Deep!
T&amp;C’s  apply - see below
Hi Stacey,
For a limited time only, you have an amazing</t>
  </si>
  <si>
    <t>Do you have any of these items to sell?</t>
  </si>
  <si>
    <t>&lt;!-- STYLE BLOCK START v1.0.4 Jan 9, 2020 --&gt;&lt;!DOCTYPE html PUBLIC "-//W3C//DTD HTML 4.01 Transitional//EN" "http://www.w3.org/TR/html4/loose.dtd"&gt;&lt;html xmlns="http://www.w3.org/1999/xhtml" xmlns:v="u</t>
  </si>
  <si>
    <t xml:space="preserve">Stacey, it’s on the house - play in the 888Millions Sunday Mega Deep - $100,000 GTD!
Stacey, it’s on the house - play in the $100,000 Mega Deep!
T&amp;C’s  apply - see below
Hi Stacey,
For a limited time </t>
  </si>
  <si>
    <t>Stacey, some more for you - play in the 888Millions Mini Sunday
 Special - $50,000 GTD!</t>
  </si>
  <si>
    <t>Stacey, some more for you - play in the 888Millions Mini Sunday Special - $50,000 GTD!
Stacey, some more for you - play in the 888Millions Mini Sunday Special - $50,000 GTD!
T&amp;C’s  apply - see below
H</t>
  </si>
  <si>
    <t>Stacey, some more for you - play in the 888Millions Sunday Special - $100,000 GTD !
T&amp;C’s apply - see below
Hi Stacey,
For a limited time only, you have an amazing opportunity to play in our 888Millio</t>
  </si>
  <si>
    <t>"service@intl.paypal.com" &lt;service@intl.paypal.com&gt;</t>
  </si>
  <si>
    <t>dawn dixon &lt;charliewharlie369@outlook.com&gt;</t>
  </si>
  <si>
    <t>carla ings sent you $5.00 CAD</t>
  </si>
  <si>
    <t>&lt;html dir="ltr"&gt;&lt;head&gt;
&lt;meta http-equiv="Content-Type" content="text/html; charset=utf-8"&gt;
    &lt;meta name="viewport" content="initial-scale=1.0,minimum-scale=1.0,maximum-scale=1.0,width=device-width,</t>
  </si>
  <si>
    <t>Joshua Adams sent you $10.00 CAD</t>
  </si>
  <si>
    <t>You've got money</t>
  </si>
  <si>
    <t>&lt;html&gt;&lt;head&gt;
&lt;meta http-equiv="Content-Type" content="text/html; charset=utf-8"&gt;
   		&lt;meta name="viewport" content="initial-scale=1.0,minimum-scale=1.0,maximum-scale=1.0,width=device-width,height=d</t>
  </si>
  <si>
    <t>Stacey, some more for you - play in the 888Millions Mini Sunday Special - $50,000 GTD!
T&amp;C’s apply - see below
Hi Stacey,
For a limited time only, you have an amazing opportunity to play in our 888Mil</t>
  </si>
  <si>
    <t>Stacey, some more for you - play in the 888Millions Mini Sunday
 Special - $75,000 GTD!</t>
  </si>
  <si>
    <t>Stacey, some more for you - play in the 888Millions Mini Sunday Special - $75,000 GTD!
T&amp;C’s apply - see below
Hi Stacey,
For a limited time only, you have an amazing opportunity to play in our 888Mil</t>
  </si>
  <si>
    <t>Stacey, it’s on the house - play in the Sunday Mega Deep - $100,000 GTD!
Stacey, it’s on the house - play in the $100,000 Mega Deep!
T&amp;C’s  apply - see below
Hi Stacey,
For a limited time only, you ha</t>
  </si>
  <si>
    <t>Stacey, it’s on the house - play in the $100,000 Mega Deep!
T&amp;C’s apply - see below
Hi Stacey,
For a limited time only, you have an amazing opportunity to play in our $100,000 guaranteed Mega Deep tou</t>
  </si>
  <si>
    <t>Your money is available</t>
  </si>
  <si>
    <t>PayPal  &lt;paypal@mail.paypal.ca&gt;</t>
  </si>
  <si>
    <t>Upcoming changes to our PayPal legal agreements</t>
  </si>
  <si>
    <t>Stacey, it’s on the house - play in the $150,000 Big Shot 109 Main Event!
T&amp;C’s apply - see below
Hi Stacey,
For a limited time only, you have an amazing opportunity to play in our $150,000 guaranteed</t>
  </si>
  <si>
    <t>Stacey, it’s on the house - play in the $50,000 Big Shot 525 - NEW!
T&amp;C’s apply - see below
Hi Stacey,
For a limited time only, you have an amazing opportunity to play in our $50,000 guaranteed Big Sh</t>
  </si>
  <si>
    <t>Stacey, it’s on the house - play in the $150,000 Sunday Sale Main Event!
T&amp;C’s apply - see below
Hi Stacey,
For a limited time only, you have an amazing opportunity to play in our $150,000 Sunday Sale</t>
  </si>
  <si>
    <t>Score Free Bets every day throughout Euro 2020. Also, we’re boosting the full time market in every match each day…
Kick off the tournament with boosted odds &amp; enhanced specials. Plus, see our France v</t>
  </si>
  <si>
    <t>Stop everything! Micro stakes is taking over 888poker.</t>
  </si>
  <si>
    <t>Stop everything! Micro stakes is taking over 888poker.
For a limited time only.
View this email in your browser.
Funded players only • Promotion is valid until 08/15/2021 • Day 1s of the Main Event ru</t>
  </si>
  <si>
    <t>888casino &lt;promotions@email.888casino.com&gt;</t>
  </si>
  <si>
    <t>Win up to 8,500X in Wonderland</t>
  </si>
  <si>
    <t>&lt;span PHCONTENTPARENT="true" CONTENTEDITABLE="false" id="dc_0_ph_marker" style="background-color: rgb(255, 255, 153);display:inline-block;position:relative;" &gt; &lt;!--PH_MARKER_END_dc_0_ph_marker--&gt;&lt;/spa</t>
  </si>
  <si>
    <t>Stacey, it’s on the house - play in the XL Autumn #22 - $200,000 Tune Up!
T&amp;C’s apply - see below
Hi Stacey,
For a limited time only, you have an amazing opportunity to play in our XL Autumn #22 - $20</t>
  </si>
  <si>
    <t>Platinum Play &lt;PlatinumPlay@PlatinumPlay-email.com&gt;</t>
  </si>
  <si>
    <t>Welcome to Platinum Play, Craig =?UTF-8?B?8J+YjeKcqA==?=</t>
  </si>
  <si>
    <t>&lt;meta http-equiv="Content-Type" content="text/html; charset=utf-8"&gt;&lt;meta name="color-scheme" content="light dark"&gt;
&lt;meta name="supported-color-schemes" content="light dark"&gt;
&lt;div id="metaData" style="</t>
  </si>
  <si>
    <t>Triple the bonuses and thrills, Craig =?UTF-8?B?8J+MoPCfjKDwn4yg?=</t>
  </si>
  <si>
    <t>Stacey, it’s on the house - play in the WPTDeepStacks #11 - $100,000 High Roller!
T&amp;C’s apply - see below
Hi Stacey,
You have an amazing opportunity to play in our WPTDeepStacks #11 - $100,000 High Ro</t>
  </si>
  <si>
    <t>b-12pssxx4hg7l06@rts.kijiji.ca</t>
  </si>
  <si>
    <t>Re: Reply to your "Let us install your Christmas lights " Ad on Kijiji</t>
  </si>
  <si>
    <t>My address is:
15 Annie May Court
Garlands Crossing
Cell:  403-993-2035
Mary
Sent from my iPhone
&gt; On Dec 13, 2021, at 3:10 PM, Charlie &lt;s-tf7nfblq9fhx@rts.kijiji.ca&gt; wrote:
&gt; 
&gt; ﻿
&gt;  
&gt; The follo</t>
  </si>
  <si>
    <t>Stacey, it’s on the house - play in the WPTDeepStacks #25 - $200,000 Big Shot 109 ME!
T&amp;C’s apply - see below
Hi Stacey,
You have an amazing opportunity to play in our WPTDeepStacks #25 - $200,000 Big</t>
  </si>
  <si>
    <t>C W &lt;charliewharlie369@outlook.com&gt;</t>
  </si>
  <si>
    <t>Joy &lt;b-x31g0kxrfdgks@rts.kijiji.ca&gt;</t>
  </si>
  <si>
    <t>Re: Reply to your "Let us install your Christmas Lights" Ad on Kijiji</t>
  </si>
  <si>
    <t xml:space="preserve">&lt;html&gt;
&lt;head&gt;
&lt;meta http-equiv="Content-Type" content="text/html; charset=utf-8"&gt;
&lt;/head&gt;
&lt;body&gt;
&lt;div&gt;
&lt;div&gt;
&lt;div dir="ltr" style="color: rgb(0, 0, 0); background-color: rgb(255, 255, 255);"&gt;
</t>
  </si>
  <si>
    <t xml:space="preserve">Stacey, it’s on the house - play in theXL Winter #1 - $100,000 Opening Event!
T&amp;C’s apply - see below
Hi Stacey,
For a limited time only, you have an amazing opportunity to play in our
XL Winter #1 - </t>
  </si>
  <si>
    <t>Stacey, it’s on the house - play in the XL Winter #22 - $200,000 Tune Up!
T&amp;C’s apply - see below
Hi Stacey,
For a limited time only, you have an amazing opportunity to play in our
XL Winter #22 - $20</t>
  </si>
  <si>
    <t xml:space="preserve">Stacey, it’s on the house - play in the XL Winter #43 - $500,000 Main Event!
T&amp;C’s apply - see below
Hi Stacey,
For a limited time only, you have an amazing opportunity to play in our
XL Winter #43 - </t>
  </si>
  <si>
    <t>Stacey, it’s on the house - play in the 888Millions Event #1 - $200,000 GTD (Day 1) !
T&amp;C’s apply - see below
Hi Stacey,
For a limited time only, you have an amazing opportunity to play in our
888Mill</t>
  </si>
  <si>
    <t>Stacey, it’s on the house - play in the 888Millions Event #3 - $250,000 GTD (Day 1) !
T&amp;C’s apply - see below
Hi Stacey,
For a limited time only, you have an amazing opportunity to play in our
888Mill</t>
  </si>
  <si>
    <t>no-reply@spotify.com</t>
  </si>
  <si>
    <t>Welcome to Premium Duo</t>
  </si>
  <si>
    <t xml:space="preserve">
Welcome to Premium Duo.
You’ve successfully joined the Duo plan with C.This means you’ll be able to enjoy all the benefits of your own Spotify Premium account. This plan is being paid for by C.
</t>
  </si>
  <si>
    <t>Stacey, it’s on the house - play in the 888Millions Event #5 - $1,000,000 GTD (Day 1) !
T&amp;C’s apply - see below
Hi Stacey,
For a limited time only, you have an amazing opportunity to play in our
888Mi</t>
  </si>
  <si>
    <t>Stacey, a second chance on us - play in the 888Millions Event #5 -
 $1,000,000 GTD (Day 1) !</t>
  </si>
  <si>
    <t>It’s on the house - play in the 888Millions Event #5 - $1,000,000 GTD (Day 1) !
T&amp;C’s apply - see below
Hi Stacey,
For a limited time only, you have an amazing opportunity to play in our
888Millions E</t>
  </si>
  <si>
    <t>Stacey, it’s on the house - play in the $100,000 Big Shot 109 Main Event!
T&amp;C’s apply - see below
Hi Stacey,
For a limited time only, you have an amazing opportunity to play in our $100,000 guaranteed</t>
  </si>
  <si>
    <t xml:space="preserve">
You've lost access to Premium.
*Cali* has either changed Premium plans, lost access to or removed you from their Premium Duo plan. This means that you’ve switched to Spotify’s free service. If you</t>
  </si>
  <si>
    <t>eBay &lt;ebay@noreply1.ebay.com&gt;</t>
  </si>
  <si>
    <t>charliew_96 &lt;charliewharlie369@outlook.com&gt;</t>
  </si>
  <si>
    <t>A coupon! Let's find the perfect gift for mom =?UTF-8?B?8J+Snw==?=</t>
  </si>
  <si>
    <t>&lt;!DOCTYPE html&gt;&lt;!--9a2b1246-e773-4edd-8da1-7bb33ed87f4e_v1--&gt;&lt;html&gt;&lt;head&gt;
&lt;meta http-equiv="Content-Type" content="text/html; charset=utf-8"&gt;&lt;style type="text/css"&gt;@media handheld,only screen and (-we</t>
  </si>
  <si>
    <t>Stacey, it’s on the house - play in the KO Games #22 - $150,000 Tune Up PKO
T&amp;C’s apply - see below
Hi Stacey,
For a limited time only, you have an amazing opportunity to play in our KO Games #22 - $1</t>
  </si>
  <si>
    <t>Stacey, it’s on the house - play in the KO Games #43 - $300,000 Main Event PKO
T&amp;C’s apply - see below
Hi Stacey,
For a limited time only, you have an amazing opportunity to play in our KO Games #43 -</t>
  </si>
  <si>
    <t>Stacey, it’s on the house - play in KO Games #44 - $50,000 Mini Main PKO!
T&amp;C’s apply - see below
Hi Stacey,
For a limited time only, you have an amazing opportunity to play in our KO Games #44 - $50,</t>
  </si>
  <si>
    <t>Get ready for the playoffs =?UTF-8?B?8J+Pkg==?=</t>
  </si>
  <si>
    <t>&lt;!DOCTYPE html&gt;&lt;!--adf409ab-5eb7-40dc-a6fb-ed18b79390f6_v2--&gt;&lt;html&gt;&lt;head&gt;
&lt;meta http-equiv="Content-Type" content="text/html; charset=utf-8"&gt;&lt;style type="text/css"&gt;@media handheld,only screen and (-we</t>
  </si>
  <si>
    <t>Twitch &lt;no-reply@twitch.tv&gt;</t>
  </si>
  <si>
    <t xml:space="preserve">&lt;!doctype html&gt;&lt;html xmlns="http://www.w3.org/1999/xhtml" style="margin:0;padding:0;background-color:#efeef1" xmlns:v="urn:schemas-microsoft-com:vml" xmlns:o="urn:schemas-microsoft-com:office:office" </t>
  </si>
  <si>
    <t>&lt;!DOCTYPE html&gt;&lt;!--2927db90-c172-439f-af5c-20d69a07e46d_v1--&gt;&lt;html&gt;&lt;head&gt;
&lt;meta http-equiv="Content-Type" content="text/html; charset=utf-8"&gt;&lt;style type="text/css"&gt;@media handheld,only screen and (-we</t>
  </si>
  <si>
    <t>eBay Refurbished =?UTF-8?B?8J+Smg==?= is your shopping BFF</t>
  </si>
  <si>
    <t>&lt;!DOCTYPE html&gt;&lt;!--91b9fb3b-f2df-48ac-bfaf-d7a66d72ebcc_v1--&gt;&lt;html&gt;&lt;head&gt;
&lt;meta http-equiv="Content-Type" content="text/html; charset=utf-8"&gt;&lt;!--|MSMS_CSS|--&gt;&lt;style type="text/css"&gt;@media handheld,onl</t>
  </si>
  <si>
    <t>Grab your $10 freebie and join THE ROYAL QUEST!</t>
  </si>
  <si>
    <t xml:space="preserve">Grab your $10 freebie and join THE ROYAL QUEST!
Make your entrance and claim the crown.
View this email in your browser.
Username: CharlieWarli
Will you win the crown?
Stacey, step into your kingdom…
</t>
  </si>
  <si>
    <t>&lt;!DOCTYPE html&gt;&lt;!--d0e458fe-b92a-4b2a-819b-4ba4b5ae2718_v1--&gt;&lt;html&gt;&lt;head&gt;
&lt;meta http-equiv="Content-Type" content="text/html; charset=utf-8"&gt;&lt;style type="text/css"&gt;@media handheld,only screen and (-we</t>
  </si>
  <si>
    <t>eBay &lt;ebay@reply.ebay.ca&gt;</t>
  </si>
  <si>
    <t>&lt;!DOCTYPE html&gt;&lt;!--35615c86-17a6-41e1-b5fa-350796b8b479_v2--&gt;&lt;html&gt;&lt;head&gt;
&lt;meta http-equiv="Content-Type" content="text/html; charset=utf-8"&gt;&lt;style type="text/css"&gt;@media handheld,only screen and (-we</t>
  </si>
  <si>
    <t>Score! =?UTF-8?B?8J+Pkg==?= $10 off trading cards</t>
  </si>
  <si>
    <t>&lt;!DOCTYPE html&gt;&lt;!--47298f1a-830e-447f-98d4-ab140c4b719f_v1--&gt;&lt;html&gt;&lt;head&gt;
&lt;meta http-equiv="Content-Type" content="text/html; charset=iso-8859-1"&gt;&lt;style type="text/css"&gt;@media handheld,only screen and</t>
  </si>
  <si>
    <t>&lt;!DOCTYPE html&gt;&lt;!--6a0ddc05-d241-40f1-b8ca-3b5750d9166d_v1--&gt;&lt;html&gt;&lt;head&gt;
&lt;meta http-equiv="Content-Type" content="text/html; charset=utf-8"&gt;&lt;!--|MSMS_CSS|--&gt;&lt;style type="text/css"&gt;@media handheld,onl</t>
  </si>
  <si>
    <t>The Big Thank You Contest is Back!</t>
  </si>
  <si>
    <t>&lt;!DOCTYPE html&gt;&lt;!--c989a885-d263-4f91-badf-f77ca61abe14_v1--&gt;&lt;html&gt;&lt;head&gt;
&lt;meta http-equiv="Content-Type" content="text/html; charset=utf-8"&gt;&lt;!--|MSMS_CSS|--&gt;&lt;style type="text/css"&gt;@media handheld,onl</t>
  </si>
  <si>
    <t>$300 cash for your opinion</t>
  </si>
  <si>
    <t>$300 cash for your opinion
Help us improve your 888poker experience!
View this email in your browser.
Username: CharlieWarli
Make your voice heard!
Hey Stacey,
What do you think about our promotions a</t>
  </si>
  <si>
    <t>Deal Alert =?UTF-8?B?8J+aqA==?= Hurry! These deals won't last long</t>
  </si>
  <si>
    <t>&lt;!DOCTYPE html&gt;&lt;!--e7b60c28-729f-4416-be5a-5e02994b6587_v1--&gt;&lt;html&gt;&lt;head&gt;
&lt;meta http-equiv="Content-Type" content="text/html; charset=utf-8"&gt;&lt;!--|MSMS_CSS|--&gt;&lt;style type="text/css"&gt;@media handheld,onl</t>
  </si>
  <si>
    <t>&lt;!DOCTYPE html&gt;&lt;!--54f4500e-a0f2-4c0b-ba48-7fdf75cce46f_v1--&gt;&lt;html&gt;&lt;head&gt;
&lt;meta http-equiv="Content-Type" content="text/html; charset=utf-8"&gt;&lt;!--|MSMS_CSS|--&gt;&lt;style type="text/css"&gt;@media handheld,onl</t>
  </si>
  <si>
    <t>Get every card for your dream team</t>
  </si>
  <si>
    <t>&lt;!DOCTYPE html&gt;&lt;!--d6d73b80-eb7f-4010-bcae-cbbdd37a5b2e_v1--&gt;&lt;html&gt;&lt;head&gt;
&lt;meta http-equiv="Content-Type" content="text/html; charset=utf-8"&gt;&lt;!--|MSMS_CSS|--&gt;&lt;style type="text/css"&gt;@media handheld,onl</t>
  </si>
  <si>
    <t>Get an A+ in savings on tech</t>
  </si>
  <si>
    <t>&lt;!DOCTYPE html&gt;&lt;!--13a274d4-d70f-4aab-a3bc-7b798e37aafa_v1--&gt;&lt;html&gt;&lt;head&gt;
&lt;meta http-equiv="Content-Type" content="text/html; charset=utf-8"&gt;&lt;!--|MSMS_CSS|--&gt;&lt;style type="text/css"&gt;@media handheld,onl</t>
  </si>
  <si>
    <t>&lt;!DOCTYPE html&gt;&lt;!--fb5e88d7-10d0-4b79-8ea6-1eb5cf40bc61_v1--&gt;&lt;html&gt;&lt;head&gt;
&lt;meta http-equiv="Content-Type" content="text/html; charset=utf-8"&gt;&lt;!--|MSMS_CSS|--&gt;&lt;style type="text/css"&gt;@media handheld,onl</t>
  </si>
  <si>
    <t>You are now an established seller</t>
  </si>
  <si>
    <t>&lt;html dir="ltr" lang="en"&gt;&lt;head&gt;
&lt;meta http-equiv="Content-Type" content="text/html; charset=utf-8"&gt;
    &lt;meta name="viewport" content="initial-scale=1.0,minimum-scale=1.0,maximum-scale=1.0,width=devi</t>
  </si>
  <si>
    <t>C W &lt;CharlieWharlie369@outlook.com&gt;</t>
  </si>
  <si>
    <t>"nailedrightroofing@gmail.com" &lt;nailedrightroofing@gmail.com&gt;</t>
  </si>
  <si>
    <t>Re: Reply to your "Looking for roofers " Ad on Kijiji</t>
  </si>
  <si>
    <t>&lt;html&gt;
&lt;head&gt;
&lt;meta http-equiv="Content-Type" content="text/html; charset=utf-8"&gt;
&lt;/head&gt;
&lt;body&gt;
&lt;div&gt;
&lt;div&gt;
&lt;div dir="ltr"&gt;I’ll have a roof starting Wednesday. $15 a bundle for up to 6/12 then</t>
  </si>
  <si>
    <t>&lt;!DOCTYPE html&gt;&lt;!--754717f8-ee29-498e-9a86-7e5c1320d02b_v1--&gt;&lt;html&gt;&lt;head&gt;
&lt;meta http-equiv="Content-Type" content="text/html; charset=iso-8859-1"&gt;&lt;!--|MSMS_CSS|--&gt;&lt;style type="text/css"&gt;@media handhel</t>
  </si>
  <si>
    <t>Black Friday starts NOW. Get those =?UTF-8?B?8J+OgfCfjoHwn46B?=</t>
  </si>
  <si>
    <t>&lt;!DOCTYPE html&gt;&lt;!--489ab525-a36f-40b7-919b-8e8b279fe571_v3--&gt;&lt;html&gt;&lt;head&gt;
&lt;meta http-equiv="Content-Type" content="text/html; charset=utf-8"&gt;&lt;!--|MSMS_CSS|--&gt;&lt;style type="text/css"&gt;@media handheld,onl</t>
  </si>
  <si>
    <t>&lt;!DOCTYPE html&gt;&lt;!--13937227-49b8-4b76-afe3-0194b5e53a63_v1--&gt;&lt;html&gt;&lt;head&gt;
&lt;meta http-equiv="Content-Type" content="text/html; charset=utf-8"&gt;&lt;!--|MSMS_CSS|--&gt;&lt;style type="text/css"&gt;@media handheld,onl</t>
  </si>
  <si>
    <t>&lt;!DOCTYPE html&gt;&lt;!--0bb35a2f-ac4d-4113-8ff9-bf1c48616d0b_v1--&gt;&lt;html&gt;&lt;head&gt;
&lt;meta http-equiv="Content-Type" content="text/html; charset=utf-8"&gt;&lt;!--|MSMS_CSS|--&gt;&lt;style type="text/css"&gt;@media handheld,onl</t>
  </si>
  <si>
    <t>&lt;!DOCTYPE html&gt;&lt;!--2955d2e8-a18e-404e-b0d9-7c4a38d8e03b_v1--&gt;&lt;html&gt;&lt;head&gt;
&lt;meta http-equiv="Content-Type" content="text/html; charset=utf-8"&gt;&lt;!--|MSMS_CSS|--&gt;&lt;style type="text/css"&gt;@media handheld,onl</t>
  </si>
  <si>
    <t>The =?UTF-8?B?8J+RjyBzYXZpbmdzIPCfkY8ganVzdCDwn5GPIGRvbid0IPCfkY8=?=
 stop!</t>
  </si>
  <si>
    <t>&lt;!DOCTYPE html&gt;&lt;!--6e5f0693-c002-4a40-803e-0fded6f76b6c_v1--&gt;&lt;html&gt;&lt;head&gt;
&lt;meta http-equiv="Content-Type" content="text/html; charset=utf-8"&gt;&lt;!--|MSMS_CSS|--&gt;&lt;style type="text/css"&gt;@media handheld,onl</t>
  </si>
  <si>
    <t>Help us improve your 888poker experience</t>
  </si>
  <si>
    <t>Help us improve your 888poker experience
Made to listen, made to enhance your game – we want your opinion!
View this email in your browser.
Username: CharlieWarli
We’d love to hear your opinion
Hey St</t>
  </si>
  <si>
    <t>Gifts under $50 =?UTF-8?B?8J+kkQ==?= Make your move!</t>
  </si>
  <si>
    <t>&lt;!DOCTYPE html&gt;&lt;!--16cf4cf3-5327-4a9f-9408-3eae1ba78254_v1--&gt;&lt;html&gt;&lt;head&gt;
&lt;meta http-equiv="Content-Type" content="text/html; charset=utf-8"&gt;&lt;!--|MSMS_CSS|--&gt;&lt;style type="text/css"&gt;@media handheld,onl</t>
  </si>
  <si>
    <t>&lt;!DOCTYPE html&gt;&lt;!--b668db43-7b35-4aaf-9f2c-660811758cfa_v1--&gt;&lt;html&gt;&lt;head&gt;
&lt;meta http-equiv="Content-Type" content="text/html; charset=utf-8"&gt;&lt;!--|MSMS_CSS|--&gt;&lt;style type="text/css"&gt;@media handheld,onl</t>
  </si>
  <si>
    <t>&lt;!DOCTYPE html&gt;&lt;!--9751b341-1cb8-484d-995d-2375932ba904_v1--&gt;&lt;html&gt;&lt;head&gt;
&lt;meta http-equiv="Content-Type" content="text/html; charset=utf-8"&gt;&lt;!--|MSMS_CSS|--&gt;&lt;style type="text/css"&gt;@media handheld,onl</t>
  </si>
  <si>
    <t>&lt;!DOCTYPE html&gt;&lt;!--2873f2d2-70ba-46c0-b1a0-d84e143f11df_v1--&gt;&lt;html&gt;&lt;head&gt;
&lt;meta http-equiv="Content-Type" content="text/html; charset=utf-8"&gt;&lt;!--|MSMS_CSS|--&gt;&lt;style type="text/css"&gt;@media handheld,onl</t>
  </si>
  <si>
    <t xml:space="preserve">
You've lost access to Premium.
*Cali* has either changed Premium plans, lost access to or removed you from their Premium Family plan. This means that you’ve switched to Spotify’s free service. If </t>
  </si>
  <si>
    <t>Welcome to Premium Family</t>
  </si>
  <si>
    <t xml:space="preserve">
Welcome to Premium Family.
You’ve successfully joined the Family plan with Cali.This means you’ll be able to enjoy all the benefits of your own Spotify Premium account. This plan is being paid for</t>
  </si>
  <si>
    <t>Buying with local pickup. =?UTF-8?B?SXTigJlz?= faster, free and
 secure.</t>
  </si>
  <si>
    <t>&lt;!DOCTYPE html&gt;&lt;!--a25f329a-84cb-4c13-87d5-1da625e0b6c0_v1--&gt;&lt;html&gt;&lt;head&gt;
&lt;meta http-equiv="Content-Type" content="text/html; charset=utf-8"&gt;&lt;!--|MSMS_CSS|--&gt;&lt;style type="text/css"&gt;@media handheld,onl</t>
  </si>
  <si>
    <t>Spotify &lt;no-reply@spotify.com&gt;</t>
  </si>
  <si>
    <t>There's a payment-related problem with your Premium Family plan</t>
  </si>
  <si>
    <t xml:space="preserve">
*Your account manager's payment seems to have failed.&lt;b&gt;*&lt;/b&gt;
We're having problems with your Premium Family  subscription. As things stand, your Premium account will be cancelled and you'll soon m</t>
  </si>
  <si>
    <t>You'll lose access to Premium Family soon</t>
  </si>
  <si>
    <t xml:space="preserve">
*You'll soon lose your Premium Family benefits.*
We haven't received payment for your Spotify subscription. You're about to lose access to Premium before moving onto Spotify Free.*That means you'l</t>
  </si>
  <si>
    <t>Log in to Spotify</t>
  </si>
  <si>
    <t xml:space="preserve">
Welcome back
Tap the button below from your mobile device to finish logging in to Spotify.
GO TO SPOTIFY ( https://accounts.spotify.com/login/ott/music#token=slXZZVcXSdCmcNoSPJY4TQ&amp;passwordToken=</t>
  </si>
  <si>
    <t xml:space="preserve">
Welcome back
Tap the button below from your mobile device to finish logging in to Spotify.
GO TO SPOTIFY ( https://accounts.spotify.com/login/ott/music#token=tgPriieHTcSXACxvGNVaPg&amp;passwordToken=</t>
  </si>
  <si>
    <t>Dreams &lt;promo@dreamspromos.com&gt;</t>
  </si>
  <si>
    <t>Dawn Dixon &lt;charliewharlie369@outlook.com&gt;</t>
  </si>
  <si>
    <t>Claim now, Dawn: 30 Spins on Alien Wins =?UTF-8?B?8J+MoA==?=</t>
  </si>
  <si>
    <t>Dreams
We accept Crypto!
Spin on us!
They Come in Peace
Hey there, Dawn the Dreamer,
We've beamed down something out-of-this-world for your weekend at Dreams! 
Embark on an interstellar adventure wit</t>
  </si>
  <si>
    <t>"Fair Go" &lt;news@e.fairgo.com&gt;</t>
  </si>
  <si>
    <t>PLENTIFUL TREASURES
https://click.e.fairgo.com/?qs=6875965373ac00fab32a9de4e2f41bb529e610589117e241005f56d1557541b0449a48b231d253d6d757581cfdfd732edd824bee3e602aab 
https://click.e.fairgo.com/?qs=687</t>
  </si>
  <si>
    <t>Craig Schulz &lt;charliewharlie369@outlook.com&gt;</t>
  </si>
  <si>
    <t>Claim now, Craig: 30 Spins on Alien Wins =?UTF-8?B?8J+MoA==?=</t>
  </si>
  <si>
    <t>Dreams
We accept Crypto!
Spin on us!
They Come in Peace
Hey there, Craig the Dreamer,
We've beamed down something out-of-this-world for your weekend at Dreams! 
Embark on an interstellar adventure wi</t>
  </si>
  <si>
    <t>Authenticity Guarantee for trading cards is here!
 =?UTF-8?B?8J+HqPCfh6Y=?=</t>
  </si>
  <si>
    <t>&lt;!DOCTYPE html&gt;&lt;!--32267539-234d-4693-b27f-89867d94b98b_v1--&gt;&lt;html&gt;&lt;head&gt;
&lt;meta http-equiv="Content-Type" content="text/html; charset=iso-8859-1"&gt;&lt;!--|MSMS_CSS|--&gt;&lt;style type="text/css"&gt;@media handhel</t>
  </si>
  <si>
    <t>PLENTIFUL TREASURES
https://click.e.fairgo.com/?qs=e3b9b0a965a33466df08b7b0f03a3358ea80dd87f48b83eb46a07f4f1cfc7e6b3f33587a82a82a75296a9a4c49e6f9976099c75faba18e6a 
https://click.e.fairgo.com/?qs=e3b</t>
  </si>
  <si>
    <t>&lt;!DOCTYPE html&gt;&lt;!--58c1065e-e0a2-4e4e-9685-58876a6ce774_v1--&gt;&lt;html&gt;&lt;head&gt;
&lt;meta http-equiv="Content-Type" content="text/html; charset=utf-8"&gt;&lt;!--|MSMS_CSS|--&gt;&lt;style type="text/css"&gt;@media handheld,onl</t>
  </si>
  <si>
    <t>Lucky Nugget &lt;LuckyNugget@LuckyNugget-email.com&gt;</t>
  </si>
  <si>
    <t>A warm welcome to Lucky Nugget, Dawn</t>
  </si>
  <si>
    <t>Your bonus is ready, Dawn! =?UTF-8?B?8J+OgQ==?=</t>
  </si>
  <si>
    <t>"Canada Life" &lt;myhealthplan@e.canadalife.com&gt;</t>
  </si>
  <si>
    <t xml:space="preserve">
 Review your Freedom to Choose&amp;#8482; health and dental insurance coverage details.To view this email as a web page, click 
https://view.mail.canadalife.com/?qs=a5daf2994cf7b76a76da4b936e44598506</t>
  </si>
  <si>
    <t>Still thinking about getting coverage?</t>
  </si>
  <si>
    <t xml:space="preserve">
 Apply now to cover your health costs.To view this email as a web page, click 
https://view.mail.canadalife.com/?qs=ced942f360500e01cd9081def8a2415ed064ef5b929c5490cefe2b9549ecfb3b93fa2dc758bec532</t>
  </si>
  <si>
    <t xml:space="preserve">
 You've got options.To view this email as a web page, click 
https://view.mail.canadalife.com/?qs=9849c873358e16f3aa71216d4d1355b40124ec2f218bea4db9ab2bf2efaba9357a15f03799e7b3b6a44c3de6e53c26d53</t>
  </si>
  <si>
    <t xml:space="preserve">
 Did you know you get these additional services?To view this email as a web page, click 
https://view.mail.canadalife.com/?qs=36b66f504c32388b7dfd85f76a6df23e545b6135d0e65d53f18abb95281b68de3346</t>
  </si>
  <si>
    <t>PLENTIFUL TREASURES
https://click.e.fairgo.com/?qs=afc04978f1d8652a8b46c4aba0970ea6af8b3a853e9e1ca7e9beb832a8afd2ef554a6f98330b8be9908f40fec9f8e932c6a59500eb9b72f1 
https://click.e.fairgo.com/?qs=afc</t>
  </si>
  <si>
    <t>Get a fresh quote</t>
  </si>
  <si>
    <t xml:space="preserve">
 Apply now to cover your health costs.To view this email as a web page, click 
https://view.mail.canadalife.com/?qs=fe0956775e0effd0fbd831c8d2ff9757126b14d564739a47caba7657f98ca201bdaede72369615776</t>
  </si>
  <si>
    <t>Medley Wohner &lt;team@acculynx.com&gt;</t>
  </si>
  <si>
    <t>6 ways roofers can save time</t>
  </si>
  <si>
    <t>Here are some simple ways AccuLynx can help you free up time when you’re at your busiest.
6-Ways_3 (https://go.acculynx.com/e3t/Ctc/ZQ+113/cjsMG04/VWRZ7614P-nQW6vgJBq6Mjs1kW8wLjj951Qc3_N80642Y3l5QzW6</t>
  </si>
  <si>
    <t>PLENTIFUL TREASURES
https://click.e.fairgo.com/?qs=0e15a3c6cd8a318a068094cba071854eff46dbbf4919ab4e6c714ccb537a702e18341ba375113a54d7a35440e1405908f60a7fa3ea4e1cbe 
https://click.e.fairgo.com/?qs=0e1</t>
  </si>
  <si>
    <t>"AIR MILES Reward Program" &lt;no-reply@programnews.airmiles.ca&gt;</t>
  </si>
  <si>
    <t>&lt;!------------- AM HTML EMAIL BOILERPLATE v4.0 // RDELACRUZ -------------&gt;&lt;!DOCTYPE HTML&gt;&lt;html xmlns="http://www.w3.org/1999/xhtml" xmlns:v="urn:schemas-microsoft-com:vml" xmlns:o="urn:schemas-microso</t>
  </si>
  <si>
    <t>Spin Casino &lt;SpinCasino@SpinCasino-email.com&gt;</t>
  </si>
  <si>
    <t>Can't login, Dawn? Help is here!</t>
  </si>
  <si>
    <t>Reset Password Request</t>
  </si>
  <si>
    <t>&lt;meta http-equiv="Content-Type" content="text/html; charset=iso-8859-1"&gt;&lt;meta name="color-scheme" content="light dark"&gt;
&lt;meta name="supported-color-schemes" content="light dark"&gt;
&lt;div id="metaData" st</t>
  </si>
  <si>
    <t>CasinoCastle &lt;support@casinocastle.com&gt;</t>
  </si>
  <si>
    <t>Did you know? You have free spins available today!</t>
  </si>
  <si>
    <t>Discover The Cash Prize Logan Has For You!
( https://www.casinocastle.com/promos ) Username: *vroofn* | Forgot password? ( https://www.casinocastle.com/?forgot_password=yes ) | Read Online ( https://</t>
  </si>
  <si>
    <t>Forgot Your Username, Craig?</t>
  </si>
  <si>
    <t>Another bonus offer, Babe!</t>
  </si>
  <si>
    <t>You added a new address</t>
  </si>
  <si>
    <t>PLENTIFUL TREASURES
https://click.e.fairgo.com/?qs=60c3ee0875bbe5a5a76f19acef965561feb42fec88acbf486f6da2ebb069a91250e99c29c5647f6aea7759ed096d7ecb3493b9cdf349a363 
https://click.e.fairgo.com/?qs=60c</t>
  </si>
  <si>
    <t>Slots Garden &lt;promo@slotsgardenmail.com&gt;</t>
  </si>
  <si>
    <t>Dawn, rise to royalty with a 265% Bonus =?UTF-8?B?8J+RkQ==?=</t>
  </si>
  <si>
    <t xml:space="preserve">Slots Garden
Let's spin the Royal Reels 			
Let's spin the Royal Reels 							
Step back into the bygone era of Queen Elizabeth to score some majestic cash wins on Regal Riches!
To ensure you make </t>
  </si>
  <si>
    <t>Lucky Legends &lt;promos@legendarymails.com&gt;</t>
  </si>
  <si>
    <t>Try Lucky Legends with 44 Spins in God of Wealth...</t>
  </si>
  <si>
    <t>Lucky Legends
God of Wealth
44 FREE SPINS
Win up to $100 - No Deposit Required
YOUR BONUS CODE: WEALTH
PLAY NOW
http://url5004.legendarymails.com/ls/click?upn=IZbiJ7kV2JXtzVhF2NunISPjS074B6NniExsRT</t>
  </si>
  <si>
    <t>Partner offers just for you,  Babe!</t>
  </si>
  <si>
    <t>&lt;!------------- AM HTML EMAIL BOILERPLATE v5.0 // RDELACRUZ -------------&gt;&lt;!DOCTYPE HTML&gt;&lt;html xmlns="http://www.w3.org/1999/xhtml" xmlns:v="urn:schemas-microsoft-com:vml" xmlns:o="urn:schemas-microso</t>
  </si>
  <si>
    <t>Babe, get even more Miles with these quick tips</t>
  </si>
  <si>
    <t>Get 50 Bonus Miles with your next purchase</t>
  </si>
  <si>
    <t>Finish activating the card you recently added to your PayPal
 account</t>
  </si>
  <si>
    <t>"Conquestador.com" &lt;support@conquestador.com&gt;</t>
  </si>
  <si>
    <t>Craog &lt;charliewharlie369@outlook.com&gt;</t>
  </si>
  <si>
    <t xml:space="preserve"> 
Find our offer among the pages!
We don't judge this book by its cover, and let's be honest, this isn't just any book. Tome of Madness is a true artifact with many secrets hidden within its pages.</t>
  </si>
  <si>
    <t>Check out the brand new way to earn Bonus Miles</t>
  </si>
  <si>
    <t>Try Lucky Legends with 44 Spins in Count Cashtacular...</t>
  </si>
  <si>
    <t>Lucky Legends
44 FREE SPINS in COUNT CASHTACULAR!
Win up to $100 - No Deposit Required
YOUR BONUS CODE: CASHTACULAR
PLAY NOW
http://url5004.legendarymails.com/ls/click?upn=IZbiJ7kV2JXtzVhF2NunISPjS</t>
  </si>
  <si>
    <t>"GoDaddy Renewals" &lt;renewals@e.godaddy.com&gt;</t>
  </si>
  <si>
    <t>Complete your order today: Plus a 25% coupon code.</t>
  </si>
  <si>
    <t xml:space="preserve"> 
craig
, you're ready to renew some important things. Don't let them hang out too long in your cart or they may get put back on the shelf. Open this email to continue.  &amp;zwnj; &amp;zw</t>
  </si>
  <si>
    <t>Confirm your debit or credit card</t>
  </si>
  <si>
    <t xml:space="preserve"> 
Don't judge jokers by their jokes!
Why did medieval jokers always carry a sword? In case their jokes were a little too sharp for the king's taste!
You, on the other hand, can mock the royals all</t>
  </si>
  <si>
    <t>"AIR MILES Reward Program" &lt;no-reply@partnernews.airmiles.ca&gt;</t>
  </si>
  <si>
    <t>Your BMO Welcome Bonus is waiting!</t>
  </si>
  <si>
    <t>GoDaddy &lt;donotreply@godaddy.com&gt;</t>
  </si>
  <si>
    <t>Charliewharlie369@outlook.com</t>
  </si>
  <si>
    <t>craig schulz, thank you for your order.</t>
  </si>
  <si>
    <t>&lt;!--SUBJECTLINE--&gt;&lt;!DOCTYPE html PUBLIC "-//W3C//DTD XHTML 1.0 Transitional//EN" "https://www.w3.org/TR/xhtml1/DTD/xhtml1-transitional.dtd"&gt;&lt;html xmlns="https://www.w3.org/1999/xhtml" xmlns:v="urn:sch</t>
  </si>
  <si>
    <t>Apple &lt;noreply@apple.com&gt;</t>
  </si>
  <si>
    <t>Verify your email address</t>
  </si>
  <si>
    <t>Hello,
You recently added charliewharlie369@outlook.com as an additional email address for your Apple ID. To verify that this email address belongs to you, please enter the code below on the email ve</t>
  </si>
  <si>
    <t>Stop everything! Micro stakes is taking over 888poker.
There’s $500,000 up for grabs.
View this email in your browser.
Username: CharlieWarli
You won't believe these buy-ins
Stacey,
Join the micro sta</t>
  </si>
  <si>
    <t>Keep your grocery receipts and get 20 Bonus Miles with AIR MILES Receipts</t>
  </si>
  <si>
    <t>AIR MILES Reward Program &lt;no-reply_at_partnernews_airmiles_ca_tv5r39f1vxf8fe_1cqx2689@icloud.com&gt;</t>
  </si>
  <si>
    <t>Hide My Email &lt;brace_ties06@icloud.com&gt;</t>
  </si>
  <si>
    <t>Norah Jones and Laufey made you something special</t>
  </si>
  <si>
    <t xml:space="preserve">Norah Jones and Laufey https://NorahJones.lnk.to/CWYSFF
Thanks for being a fan
Norah Jones and Laufey have pressed a limited-edition green vinyl of their collaborative holiday 7", &lt;i&gt;Christmas With </t>
  </si>
  <si>
    <t>AIR MILES Reward Program &lt;no-reply_at_programnews_airmiles_ca_tv5r6b40vxf8df_2fqx2689@icloud.com&gt;</t>
  </si>
  <si>
    <t>A better way to play, Craig</t>
  </si>
  <si>
    <t>&lt;!DOCTYPE html&gt;&lt;!--91509a59-926f-4622-b67b-3743e3399e35_v1--&gt;&lt;html&gt;&lt;head&gt;
&lt;meta http-equiv="Content-Type" content="text/html; charset=utf-8"&gt;&lt;!--|MSMS_CSS|--&gt;&lt;style type="text/css"&gt;@media screen and (</t>
  </si>
  <si>
    <t>Merch for you from Keith Urban and more</t>
  </si>
  <si>
    <t xml:space="preserve">
Love the music. Own the merch.
Explore the latest merch from your favorite artists.
https://i.scdn.co/image/ab67616100005174c164f5c7bc7d9e4a5d0fdd6e 
Keith Urban
  | https://cdn.shopify.com/s/fi</t>
  </si>
  <si>
    <t>Save big with Neo Mortgage</t>
  </si>
  <si>
    <t>Apple &lt;appleid@id.apple.com&gt;</t>
  </si>
  <si>
    <t>Your Apple ID information has been updated</t>
  </si>
  <si>
    <t>Dear Cali Boyd,
The following changes to your Apple ID, caliboyd52@gmail.com, were made on November 30, 2023 at 4:08:33 PM EST:
Apple ID
Email address(es)
Email address(es)
If you did not make thes</t>
  </si>
  <si>
    <t>Dear Cali Boyd,
The following changes to your Apple ID, charliewharlie369@outlook.com, were made on November 30, 2023 at 4:10:26 PM EST:
Email address(es)
If you did not make these changes, or if y</t>
  </si>
  <si>
    <t>Apple &lt;noreply@email.apple.com&gt;</t>
  </si>
  <si>
    <t>Your Apple ID was used to sign in to iCloud via a web browser.</t>
  </si>
  <si>
    <t xml:space="preserve">Dear Cali Boyd,
                Your Apple ID (charliewharlie369@outlook.com) was used to sign in to iCloud via a web browser.
    Date and </t>
  </si>
  <si>
    <t>Top up your fill-up with 100 Bonus Miles at Shell!</t>
  </si>
  <si>
    <t>Your Apple ID password has been reset</t>
  </si>
  <si>
    <t>Dear Cali Boyd,
The password for your Apple ID, charliewharlie369@outlook.com, has been successfully reset.
If you did not make this change or you believe an unauthorised person has accessed your a</t>
  </si>
  <si>
    <t>iCloud &lt;noreply@email.apple.com&gt;</t>
  </si>
  <si>
    <t>Hide My Email was used with boocasino.co</t>
  </si>
  <si>
    <t>Dear Cali Boyd,
You created a unique, random email address for boocasino.co on 2 December 2023. 
Messages sent to this address will forward to your inbox. You can turn it off at any time.
[Address:
c</t>
  </si>
  <si>
    <t>Your deposit was credited, Craig</t>
  </si>
  <si>
    <t>Apple &lt;no_reply@email.apple.com&gt;</t>
  </si>
  <si>
    <t>Subscription Confirmation</t>
  </si>
  <si>
    <t>Apple Subscription Confirmation
-----------------------------------------------------------
Dear Dawn,
You've accepted the following offer:
Zigzag Puppy Training App
Subscription: Puppy Training: A</t>
  </si>
  <si>
    <t>Apple Recent Purchase
-----------------------------------------------------------
Your Apple ID, charliewharlie369@outlook.com, was just used to make a purchase in Zigzag Puppy Training App on a comp</t>
  </si>
  <si>
    <t>Dear Craig Schulz,
                Your Apple ID (charliewharlie369@outlook.com) was used to sign in to iCloud via a web browser.
    Date a</t>
  </si>
  <si>
    <t>PLENTIFUL TREASURES
https://click.e.fairgo.com/?qs=a0bd9a4bddaae23165ccb3b661e0191a8ad17ef2ae24d77832891bbfc7dcdab3a2be7f1481c48e4bec66582408131e7ba6d1f00bec34628b 
https://click.e.fairgo.com/?qs=a0b</t>
  </si>
  <si>
    <t>Hide My Email was used with jokercard.ca</t>
  </si>
  <si>
    <t>Dear Craig Schulz,
You created a unique, random email address for jokercard.ca on 8 December 2023. 
Messages sent to this address will forward to your inbox. You can turn it off at any time.
[Address</t>
  </si>
  <si>
    <t>Apple Subscription Confirmation
-----------------------------------------------------------
Dear Dawn,
You've accepted the following offer:
Second Phone Number
Subscription: Second Phone Number
App</t>
  </si>
  <si>
    <t>Hide My Email was used with myneosurf.com</t>
  </si>
  <si>
    <t>Dear Craig Schulz,
You created a unique, random email address for myneosurf.com on 10 December 2023. 
Messages sent to this address will forward to your inbox. You can turn it off at any time.
[Addre</t>
  </si>
  <si>
    <t xml:space="preserve"> 
You've worked hard to make your own way in the world. Your favorite tools and services are still in your cart to support your continued journey. Open this email to roll on to the n</t>
  </si>
  <si>
    <t>Hide My Email was used with bcasino.com</t>
  </si>
  <si>
    <t>Dear Craig Schulz,
You created a unique, random email address for bcasino.com on 10 December 2023. 
Messages sent to this address will forward to your inbox. You can turn it off at any time.
[Address</t>
  </si>
  <si>
    <t>Hide My Email was used with galacticwins.com</t>
  </si>
  <si>
    <t>Dear Craig Schulz,
You created a unique, random email address for galacticwins.com on 10 December 2023. 
Messages sent to this address will forward to your inbox. You can turn it off at any time.
[Ad</t>
  </si>
  <si>
    <t>Hide My Email was used with vegascasinoonline.eu</t>
  </si>
  <si>
    <t xml:space="preserve">Dear Craig Schulz,
You created a unique, random email address for vegascasinoonline.eu on 14 December 2023. 
Messages sent to this address will forward to your inbox. You can turn it off at any time.
</t>
  </si>
  <si>
    <t>Hide My Email was used with onecasino.com</t>
  </si>
  <si>
    <t>Dear Craig Schulz,
You created a unique, random email address for onecasino.com on 15 December 2023. 
Messages sent to this address will forward to your inbox. You can turn it off at any time.
[Addre</t>
  </si>
  <si>
    <t>"Euro Palace" &lt;europalace@email.europalace.com&gt;</t>
  </si>
  <si>
    <t>Welcome to the Euro Palace family, Craig!</t>
  </si>
  <si>
    <t xml:space="preserve">
https://click.flgemails.com/?qs=8d54bc4264e8e3c26d2622dd6f7a1850df17a54d491899546cb949f8aa3e113724fbe6ea9196da236bd0d10367d36b3063ffd0061ec7ef3d36a251914a8e5bd5 
GAMES
https://click.flgemail</t>
  </si>
  <si>
    <t>Goin On NOW! =?UTF-8?B?4oCUICQzLDAwMCBIb2xpZGF5IFRvdXJuZXkhIPCfpbM=?=</t>
  </si>
  <si>
    <t>Gobble on a $5,000 Cash Prize!
( https://www.casinocastle.com/bonuses ) Username: *vroofn* | Forgot password? ( https://www.casinocastle.com/?forgot_password=yes ) | Read Online ( https://www.casinoc</t>
  </si>
  <si>
    <t>So many welcome treats, Craig!</t>
  </si>
  <si>
    <t xml:space="preserve">
https://click.flgemails.com/?qs=233358704ee58537685757ba4f1b6821adecb9ee3e5e3d46f0e01f88079ed217d8b3830d7e4968b21af1adb2873723d29c0b28c233170efcf819d098d69e0def 
GAMES
https://click.flgemail</t>
  </si>
  <si>
    <t>Eminem made you something special</t>
  </si>
  <si>
    <t>Eminem https://open.spotify.com/artist/7dGJo4pcD2V6oG8kP0tJRR?si=J54Pb74ZR3C080tBxdsyFA
A message from Eminem:
&lt;i&gt;"At the crib playing Fortnite with your grandma..."
 Numbered gold vinyl exclusivel</t>
  </si>
  <si>
    <t>"GoDaddy" &lt;offers@e.godaddy.com&gt;</t>
  </si>
  <si>
    <t xml:space="preserve"> 
Your cart is ready to roll. It just needs a final push. Open this email to complete your order today.  &amp;zwnj; &amp;zwnj; &amp;zwnj; &amp;zwnj; &amp;zwnj; &amp;zwnj; 
 &amp;zwnj; &amp;zwnj; &amp;zwnj; &amp;zwnj; &amp;zwnj;</t>
  </si>
  <si>
    <t xml:space="preserve">
https://click.flgemails.com/?qs=25cd65fd7cf27b64636dcea762366335c8621ed830370f910d7fcc3442b5f06978feca98042097f547dc4d63dadaccfcdc0ae9ed38097eb19a610128dd307322 
GAMES
https://click.flgemail</t>
  </si>
  <si>
    <t xml:space="preserve"> 
Your cart is ready to roll. It just needs a final push. Open this email to complete your order today.  &amp;zwnj; &amp;zwnj; &amp;zwnj; &amp;zwnj; &amp;zwnj; &amp;zwnj; 
 &amp;zwnj; &amp;zwnj; &amp;zwnj; &amp;zwnj; &amp;zwnj</t>
  </si>
  <si>
    <t>Enjoy your new membership benefits, Craig!</t>
  </si>
  <si>
    <t xml:space="preserve">
https://click.flgemails.com/?qs=b88f5551fcea8cd419ac9942db627f5bba9fe225f9901cb1cb83b5f4f1d5841a63c4e17241fcf2adc2b4ff93513ed3b44bdae0398ac979d929ac53086261b2c6 
GAMES
https://click.flgemail</t>
  </si>
  <si>
    <t>LAST CHANCE: Win $3,000 Tourney Prize!</t>
  </si>
  <si>
    <t>Cheer Up This Holiday Season With $3,000 Cash!
( https://www.casinocastle.com/bonuses ) Username: *vroofn* | Forgot password? ( https://www.casinocastle.com/?forgot_password=yes ) | Read Online ( htt</t>
  </si>
  <si>
    <t>Hide My Email was used with 5kkh72ia0ik9.live</t>
  </si>
  <si>
    <t>Dear Craig Schulz,
You created a unique, random email address for 5kkh72ia0ik9.live on 23 December 2023. 
Messages sent to this address will forward to your inbox. You can turn it off at any time.
[A</t>
  </si>
  <si>
    <t>Your cart's rolling away. Complete your order today.</t>
  </si>
  <si>
    <t xml:space="preserve"> 
Your cart will be cleared soon, craig
. Open this email to finish shopping.  &amp;zwnj; &amp;zwnj; &amp;zwnj; &amp;zwnj; &amp;zwnj; &amp;zwnj; 
 &amp;zwnj; &amp;zwnj; &amp;zwnj; &amp;zwnj; &amp;zwnj; &amp;zwnj; &amp;zwnj; &amp;zwnj; &amp;</t>
  </si>
  <si>
    <t>Get up to 1000 Miles with this Boxing Day offer</t>
  </si>
  <si>
    <t>&lt;!DOCTYPE html&gt;&lt;!--1b908696-c395-460d-b95b-1fb1b1d4f159_v1--&gt;&lt;html&gt;&lt;head&gt;
&lt;meta http-equiv="Content-Type" content="text/html; charset=utf-8"&gt;&lt;!--|MSMS_CSS|--&gt;&lt;style type="text/css"&gt;@media screen and (</t>
  </si>
  <si>
    <t xml:space="preserve">Dear Craig Schulz,
The following changes to your Apple ID, charliewharlie369@outlook.com, were made on December 29, 2023 at 12:13:37 AM EST:
Email address(es)
If you did not make these changes, or </t>
  </si>
  <si>
    <t>FairGO Casino
https://click.e.fairgo.com/?qs=6f8dce4f76e74830a60014bcb6fe502f59aad676148060293e4c86d86b582f2c771fd65d83d61a348cbe37962781632a5cb72d71ea43017d 
https://click.e.fairgo.com/?qs=6f8dce4f7</t>
  </si>
  <si>
    <t>Apple Subscription Confirmation
-----------------------------------------------------------
Dear Dawn,
You've accepted the following offer:
Burner Subscriptions
Subscription: 1 Line Subscription (M</t>
  </si>
  <si>
    <t>Earn Bonus Miles and More with these Offers!</t>
  </si>
  <si>
    <t xml:space="preserve">
You've lost access to Premium.
*DefaultGirl19* has either changed Premium plans, lost access to or removed you from their Premium Family plan. This means that you’ve switched to Spotify’s free serv</t>
  </si>
  <si>
    <t>PayPal Communications &lt;no_reply@communications.paypal.com&gt;</t>
  </si>
  <si>
    <t>We're making some changes to our PayPal legal agreements</t>
  </si>
  <si>
    <t>Your Subscription Renewal</t>
  </si>
  <si>
    <t>Apple Subscription Renewal
-----------------------------------------------------------
Dear Dawn,
We hope you’re enjoying your subscription, which will renew soon.
Starting on Jan. 7, 2024, your su</t>
  </si>
  <si>
    <t>Apple Subscription Confirmation
-----------------------------------------------------------
Dear Dawn,
You've accepted the following offer:
Cut Paste Photos, Retouch Pics
Subscription: Yearly Unlim</t>
  </si>
  <si>
    <t>Apple Subscription Confirmation
-----------------------------------------------------------
Dear Dawn,
You've accepted the following offer:
PicCollage: Magic Photo Canvas
Subscription: Annual VIP f</t>
  </si>
  <si>
    <t>Your Subscription is Expiring</t>
  </si>
  <si>
    <t xml:space="preserve">Apple Subscription Expiring
-----------------------------------------------------------
Dear Dawn,
The following subscription will expire soon:
Yearly Unlimited &amp; Free Trial (1 year) – $99.99/year </t>
  </si>
  <si>
    <t>PLENTIFUL TREASURES
https://click.e.fairgo.com/?qs=6d2572d488f2bfddca1f9023919a54bc20fe573f15e54beeda7c9b52800ec56e662684cd13bfef6e1283c7606e75563dd84417d0bb18b252 
https://click.e.fairgo.com/?qs=6d2</t>
  </si>
  <si>
    <t>Apple Subscription Confirmation
-----------------------------------------------------------
Dear Dawn,
You've accepted the following offer:
My Family: Find Friends Phone
Subscription: My Family Pre</t>
  </si>
  <si>
    <t>Apple Subscription Confirmation
-----------------------------------------------------------
Dear Dawn,
You've accepted the following offer:
My Family: Find Friends Phone
Subscription: Premium 3 Mon</t>
  </si>
  <si>
    <t>Apple Subscription Renewal
-----------------------------------------------------------
Dear Dawn,
We hope you’re enjoying your subscription, which will renew soon.
Starting on Jan. 17, 2024, your s</t>
  </si>
  <si>
    <t>Apple Subscription Confirmation
-----------------------------------------------------------
Dear Dawn,
You've accepted the following offer:
Hushed: US Second Phone Number
Subscription: 1 Line Subsc</t>
  </si>
  <si>
    <t>Apple Subscription Confirmation
-----------------------------------------------------------
Dear Dawn,
You've accepted the following offer:
Photo Collage Maker Mixgram
Subscription: Collage Maker P</t>
  </si>
  <si>
    <t>AIR MILES Reward Program &lt;no-reply_at_notification_airmiles_ca_pqm9b0h7jd58pc_t4cv9254@icloud.com&gt;</t>
  </si>
  <si>
    <t>Hide My Email &lt;09.rind-billets@icloud.com&gt;</t>
  </si>
  <si>
    <t>AIR MILES Reward Program &lt;no-reply_at_programnews_airmiles_ca_pqm9a3h7j366pc_t9av9254@icloud.com&gt;</t>
  </si>
  <si>
    <t>Welcome! Choose how you want to get rewarded</t>
  </si>
  <si>
    <t>Your profile information has been updated.</t>
  </si>
  <si>
    <t>Apple Subscription Confirmation
-----------------------------------------------------------
Dear Dawn,
You've accepted the following offer:
Star Walk：Find Stars &amp; Planets
Subscription: Star Walk Pl</t>
  </si>
  <si>
    <t>Apple Subscription Confirmation
-----------------------------------------------------------
Dear Dawn,
You've accepted the following offer:
PowerDirector - Video Editor
Subscription: Crop Video, Ad</t>
  </si>
  <si>
    <t>Billing Problem</t>
  </si>
  <si>
    <t xml:space="preserve">Billing Problem
-----------------------------------------------------------
Dear Dawn,
The charge for your subscription was declined by your payment method. To avoid losing access to your service, </t>
  </si>
  <si>
    <t xml:space="preserve">Apple Subscription Confirmation
-----------------------------------------------------------
Dear Dawn,
You've accepted the following offer:
Night Eyes - Night Camera
Subscription: Night Eyes - One </t>
  </si>
  <si>
    <t>Apple Subscription Renewal
-----------------------------------------------------------
Dear Dawn,
We hope you’re enjoying your subscription, which will renew soon.
Starting on Jan. 26, 2024, your s</t>
  </si>
  <si>
    <t>Carousel of Dreams is back! Play for a chance at $100,000.</t>
  </si>
  <si>
    <t>"Courtney via Messenger" &lt;messages@facebookmail.com&gt;</t>
  </si>
  <si>
    <t>Charlie Wh &lt;charliewharlie369@outlook.com&gt;</t>
  </si>
  <si>
    <t>Hi Charlie,
Courtney Clark sent a message in reply to a thread.
Thanks,
The Facebook team
========================================
This message was sent to charliewharlie369@outlook.com. If you d</t>
  </si>
  <si>
    <t>Find My &lt;noreply@email.apple.com&gt;</t>
  </si>
  <si>
    <t>Find My has been disabled on iPhone.</t>
  </si>
  <si>
    <t xml:space="preserve">Find My has been disabled on iPhone.
With Find My disabled, this device can no longer be located,
 placed in Lost Mode, or remotely erased using icloud.com/find : https://www.icloud.com/find or
 the </t>
  </si>
  <si>
    <t>Royal Vegas &lt;royalvegas_at_email_royalvegascasino_com_kx9bc7d9fx33mr_3d8h7215@icloud.com&gt;</t>
  </si>
  <si>
    <t>Hide My Email &lt;fenland.voltaic-0g@icloud.com&gt;</t>
  </si>
  <si>
    <t xml:space="preserve">
https://click.flgemails.com/?qs=543f24dec127b6a509b9f662ff09ee8e4c8ba17b888d448ea464eeb163aabae4d2c3b4f75a657571f07de1869daaacec743c611b0584d8ffd4af5e05e7f81b48 
https://click.flgemails.co</t>
  </si>
  <si>
    <t>Claim Your Last Monday Mystery Gift!</t>
  </si>
  <si>
    <t>Mystery Monday! See What You’ve Got!
( https://www.casinocastle.com/bonuses ) Username: *vroofn* | Forgot password? ( https://www.casinocastle.com/?forgot_password=yes ) | Read Online ( https://www.c</t>
  </si>
  <si>
    <t>Daily Deal gone wild!</t>
  </si>
  <si>
    <t xml:space="preserve">
https://click.flgemails.com/?qs=17d050c3a59cfab5f95083162c0c6ed20e8d6abda99d96e2797aa82a1037ba1b5f212a7b687aedde481b137f758b57b3aaf412aa99885396ac7a455df5b883a4 
https://click.flgemails.co</t>
  </si>
  <si>
    <t>Your AIR MILES Order Confirmation</t>
  </si>
  <si>
    <t>Your AIR MILES eVoucher(s) is here.</t>
  </si>
  <si>
    <t>This deal was made for you!</t>
  </si>
  <si>
    <t xml:space="preserve">
https://click.flgemails.com/?qs=2951ab10020fa41a79a935fb0fbfac1c997f71a2bf57b89f8363e2dcfd4fa9d78b9756d0ef6a340b402361bfed99f92afbdfe2e08f909aca5ad356bdf268687a 
https://click.flgemails.co</t>
  </si>
  <si>
    <t>AIR MILES Reward Program &lt;no-reply_at_notification_airmiles_ca_gsc0kne62caf2f_3dn69254@icloud.com&gt;</t>
  </si>
  <si>
    <t>Hide My Email &lt;elate01amylose@icloud.com&gt;</t>
  </si>
  <si>
    <t>AIR MILES Reward Program &lt;no-reply_at_notification_airmiles_ca_d8k787r4vfh5jc_tams3137@icloud.com&gt;</t>
  </si>
  <si>
    <t>Hide My Email &lt;serums_guises.0e@icloud.com&gt;</t>
  </si>
  <si>
    <t>You have a deal waiting, Stacey</t>
  </si>
  <si>
    <t xml:space="preserve">
https://click.flgemails.com/?qs=2951ab10020fa41a79a935fb0fbfac1c997f71a2bf57b89f88c96375f8b58e65ffbbea45eefea744da712d55b8febbba720e739e79439c102cda4e034c67bc05 
https://click.flgemails.co</t>
  </si>
  <si>
    <t>AIR MILES Reward Program &lt;no-reply_at_e_airmiles_ca_dake8frfv8h4j1_tcms3137@icloud.com&gt;</t>
  </si>
  <si>
    <t>Welcome to Shell Go+</t>
  </si>
  <si>
    <t>AIR MILES Reward Program &lt;no-reply_at_e_airmiles_ca_gsd7kn4d2c042f_aan69254@icloud.com&gt;</t>
  </si>
  <si>
    <t xml:space="preserve">
https://click.flgemails.com/?qs=2951ab10020fa41a79a935fb0fbfac1c997f71a2bf57b89fcbec21d9d2c2e66b9cb0561e9cf15de5682f78cb2367a7b8fc0c34b5cc4f4c3938c36eca55948145 
https://click.flgemails.co</t>
  </si>
  <si>
    <t>AIR MILES Reward Program &lt;no-reply_at_programnews_airmiles_ca_gs34kna22c842f_cfn69254@icloud.com&gt;</t>
  </si>
  <si>
    <t xml:space="preserve">
https://click.flgemails.com/?qs=543f24dec127b6a509b9f662ff09ee8e4c8ba17b888d448e8517f5a3fc082f9d65be5adab902ae4b41e22db92a2c5bb1432cf3e5abef4501c176271fdd76853c 
https://click.flgemails.co</t>
  </si>
  <si>
    <t>Play Carousel of Dreams + Get 10x the Miles at Apple this weekend!</t>
  </si>
  <si>
    <t xml:space="preserve">
https://click.flgemails.com/?qs=145da6074459ab41e73f93487519c2d097a0bbfc5af462c01dcce2572c83df23fa37d349e2441e78c935ab9ce8efabcb2a9a6fc2db92fe1d06ef67ccadc6e4a0 
https://click.flgemails.co</t>
  </si>
  <si>
    <t>no-reply_at_notification_airmiles_ca_pqm9b0h7jd58pc_t4cv9254@icloud.com</t>
  </si>
  <si>
    <t>Unlock you AIR MILES account</t>
  </si>
  <si>
    <t xml:space="preserve">        
                  </t>
  </si>
  <si>
    <t>Coming soon: 8 days of Valentine!</t>
  </si>
  <si>
    <t xml:space="preserve">
https://click.flgemails.com/?qs=582be991818813fbdfafeeb41e8ded4719d7087d34059e7ae7acec8a449a820a4da6b983eb66fbc75a3f323e6a3fa7e763f8737ada01c57aa66c989914941fae 
https://click.flgemails.co</t>
  </si>
  <si>
    <t>Royal Vegas &lt;RoyalVegas_at_RoyalVegas-email_com_kx43c73ffxd1mr_908h7215@icloud.com&gt;</t>
  </si>
  <si>
    <t>Important update regarding your account</t>
  </si>
  <si>
    <t xml:space="preserve">Dear Craig Schulz,
The following changes to your Apple ID, charliewharlie369@outlook.com, were made on February 6, 2024 at 2:40:49 AM EST:
Billing Information
If you did not make these changes, or </t>
  </si>
  <si>
    <t>Apple Subscription Confirmation
-----------------------------------------------------------
Dear Dawn,
You've accepted the following offer:
Instant Heart Rate: HR Monitor
Subscription: Premium
App:</t>
  </si>
  <si>
    <t>Apple Subscription Renewal
-----------------------------------------------------------
Dear Dawn,
We hope you’re enjoying your subscription, which will renew soon.
Starting on Feb. 8, 2024, your su</t>
  </si>
  <si>
    <t>GoDaddy Renewals &lt;renewals@godaddy.com&gt;</t>
  </si>
  <si>
    <t>Renewal alert: Your domain is due for auto renewal.</t>
  </si>
  <si>
    <t>&lt;!-- Dynamic RV Header --&gt;&lt;!DOCTYPE html PUBLIC "-//W3C//DTD XHTML 1.0 Transitional//EN" "https://www.w3.org/TR/xhtml1/DTD/xhtml1-transitional.dtd"&gt;&lt;html xmlns="https://www.w3.org/1999/xhtml" xmlns:v=</t>
  </si>
  <si>
    <t>Happy Valentines Daily Deal Day!</t>
  </si>
  <si>
    <t xml:space="preserve">
https://click.flgemails.com/?qs=543f24dec127b6a509b9f662ff09ee8e4c8ba17b888d448e66ddeecbeeca82b0bd43d8c27f52d246588a48924269997546edd7b462b4169dde43767b80b46ec3 
 - DAILY DEAL - 
https:/</t>
  </si>
  <si>
    <t>Another bonus offer, Bob!</t>
  </si>
  <si>
    <t>"JackpotCity" &lt;jackpotcity@email.jackpotcitycasino.com&gt;</t>
  </si>
  <si>
    <t>Please Complete Your Email Verification</t>
  </si>
  <si>
    <t xml:space="preserve">
 To view this email as a web page, go to the link below,  or copy and paste it into your browser's address window.    https://view.brtpemails.com/?qs=e92af2a0066c91102f36e0e7cfbe59a234013d5527cb78db3</t>
  </si>
  <si>
    <t>PLENTIFUL TREASURES
https://click.e.fairgo.com/?qs=c1495874ab42c257e38f1d07bf4b6bd1c9c2a3a7a6624895701095a214b07d3b2d4f6db896a25af12176b4743541bb242fe2519d7683b21e 
https://click.e.fairgo.com/?qs=c14</t>
  </si>
  <si>
    <t>Your daily dose of gaming affection!</t>
  </si>
  <si>
    <t xml:space="preserve">
https://click.flgemails.com/?qs=145da6074459ab41e73f93487519c2d097a0bbfc5af462c0acccf001a4c64dbfa9a15998599f507cea8a819ed134a438c9a98eae8426cf49896e668a971c9e8c 
https://click.flgemails.co</t>
  </si>
  <si>
    <t>"Avion Rewards" &lt;avionrewards@offers.rbc.com&gt;</t>
  </si>
  <si>
    <t>Avion Rewards Security Code</t>
  </si>
  <si>
    <t xml:space="preserve"> RBC Royal Bank
http://view.website.rbc.com/?qs=277e1f773587080649bbb998d837bea14bb5522e8481eb5512f3fc3581d69fc97710ea821763d29dfced6df36809aaa4f5e09e5363aaefce211948317fcc1f9b51c107a4b7177183b79fb2</t>
  </si>
  <si>
    <t xml:space="preserve"> RBC Royal Bank
http://view.website.rbc.com/?qs=277e1f773587080649bbb998d837bea14bb5522e8481eb5512f3fc3581d69fc97710ea821763d29dfced6df36809aaa4f5e09e5363aaefce0ada4cd31393cfc3bbe7fa499d1d508a5ffab0</t>
  </si>
  <si>
    <t>Love it or not, your Daily Deal is here!</t>
  </si>
  <si>
    <t xml:space="preserve">
https://click.flgemails.com/?qs=543f24dec127b6a509b9f662ff09ee8e4c8ba17b888d448e9581665dd31a072a90a763ca72dc62ea3b6eebae0f0aae58ae9c66eb896da5dffba007b0da11d306 
https://click.flgemails.co</t>
  </si>
  <si>
    <t>Romancing your Daily Deal</t>
  </si>
  <si>
    <t xml:space="preserve">
https://click.flgemails.com/?qs=2951ab10020fa41a79a935fb0fbfac1c997f71a2bf57b89f9abd32d2d9af416697b9a56e8a83542b387b0c67419af1b036c285ae3635a9cfbc3a5ebddeb212fc 
https://click.flgemails.co</t>
  </si>
  <si>
    <t>AIR MILES Reward Program &lt;no-reply_at_programnews_airmiles_ca_d2kc83r8veh9jd_t9ms3137@icloud.com&gt;</t>
  </si>
  <si>
    <t>Hearts? Nah. Your Daily Deal awaits!</t>
  </si>
  <si>
    <t xml:space="preserve">
https://click.flgemails.com/?qs=543f24dec127b6a509b9f662ff09ee8e4c8ba17b888d448e984a621066a63cb50f080bdb593c7f43c6776af866c57a26defb015f5eeb421f080a87d3e994ec3a 
https://click.flgemails.co</t>
  </si>
  <si>
    <t>Hopa &lt;marketing@rp.hopa.email&gt;</t>
  </si>
  <si>
    <t>Test your Skills and Find the Joker, dawn</t>
  </si>
  <si>
    <t>http://click.hopa.email/?xtl=x465f3sfuo1mlr4mevhj8h073gluxo2np7sag4ix2sjr6vqhly0dflwzbxk8xckzel5fwwzwsn43lb2962fe7ba41whkxu9p99lqjs28m36rgrc2xi67a5q327gmtu9g8pzlk94ueey7ytyj7q7cpwi1ypquurjq00wodrwrhhr</t>
  </si>
  <si>
    <t>AIR MILES Reward Program &lt;no-reply_at_notification_airmiles_ca_5kz6mzh4f61098_98123e0a@icloud.com&gt;</t>
  </si>
  <si>
    <t>Hide My Email &lt;spiel-retest.0z@icloud.com&gt;</t>
  </si>
  <si>
    <t>Love the game. Love your Daily Deal.</t>
  </si>
  <si>
    <t xml:space="preserve">
https://click.flgemails.com/?qs=2951ab10020fa41a79a935fb0fbfac1c997f71a2bf57b89fd1890b97f239202adb30562ff33fd41544386216ebfc4527cb80fb7ae52095736f44a2880770aaa8 
https://click.flgemails.co</t>
  </si>
  <si>
    <t>Your Daily Deal. For Your Entertainment!</t>
  </si>
  <si>
    <t xml:space="preserve">
https://click.flgemails.com/?qs=543f24dec127b6a509b9f662ff09ee8e4c8ba17b888d448e033a12fcb0242a98647e12c6919c5d398a1764aabc59b2b0389222d3bb8af2cbe15a66e13486a718 
https://click.flgemails.co</t>
  </si>
  <si>
    <t>AIR MILES Reward Program &lt;no-reply_at_programnews_airmiles_ca_5kz6mzh4f61098_818667ff@icloud.com&gt;</t>
  </si>
  <si>
    <t>Now earn with H&amp;M, Decathlon, &amp; Simons using a linked Mastercard</t>
  </si>
  <si>
    <t>"AIR MILES Reward Program" &lt;no-reply@notification.airmiles.ca&gt;</t>
  </si>
  <si>
    <t>Human Resources at BARK &lt;bark_at_paw_bark_co_9fvtrkrsnq1098_29081c26@icloud.com&gt;</t>
  </si>
  <si>
    <t>Hide My Email &lt;frays_onuses_0n@icloud.com&gt;</t>
  </si>
  <si>
    <t>&lt;!DOCTYPE html&gt;&lt;html xmlns:v="urn:schemas-microsoft-com:vml" xmlns:o="urn:schemas-microsoft-com:office:office" lang="en"&gt;&lt;head&gt;
&lt;meta http-equiv="Content-Type" content="text/html; charset=utf-8"&gt;&lt;titl</t>
  </si>
  <si>
    <t>Reset your password</t>
  </si>
  <si>
    <t xml:space="preserve">
Hello.
No need to worry, you can reset your Spotify password by clicking the link below: 
Reset password ( https://accounts.spotify.com/en-ca/password-reset/complete?flow_id=3cdfea64-2636-46ec</t>
  </si>
  <si>
    <t>Password changed</t>
  </si>
  <si>
    <t xml:space="preserve">
Your password has been changed.
Your password has been changed, as you asked.
If you didn’t ask to change your password, we’re here to help keep your account secure. Visit our support page ( http</t>
  </si>
  <si>
    <t xml:space="preserve">Billing Problem
-----------------------------------------------------------
Dear dawn,
The charge for your subscription was declined by your payment method. To avoid losing access to your service, </t>
  </si>
  <si>
    <t>Get to first base with your Daily Deal!</t>
  </si>
  <si>
    <t xml:space="preserve">
https://click.flgemails.com/?qs=2951ab10020fa41a79a935fb0fbfac1c997f71a2bf57b89fd56da333b9d9bc1733e9de6ad4cdaf8a47c2d84c9c47a912215b8d9d04332e9913c5b50ce6b12b06 
https://click.flgemails.co</t>
  </si>
  <si>
    <t>http://click.hopa.email/?xtl=x465f3shgdiyrcbz0vrhjth6psyd8vgpi4lc1xwxric02yirli8e21onoun06l4vlq3optskoo9ydok4oda2f2zhwx7zd1qtnu7cjgp2geoxnpsm7hr7kmxfnm4erce653757ar76v2528du1uhj0b39x19afhiclaswridmebv</t>
  </si>
  <si>
    <t>Love in your inbox: 10x loyalty points!</t>
  </si>
  <si>
    <t xml:space="preserve">
https://click.flgemails.com/?qs=582be991818813fbdfafeeb41e8ded4719d7087d34059e7a324f2804cd6e31d4573a09bdd0d67c7d6a67f3d02271430babcd18dff7295a5f9929e61d6bd1bf27 
🥰 Happy Valentine’s Day 🥰
</t>
  </si>
  <si>
    <t>Partner offers just for you,  Bob!</t>
  </si>
  <si>
    <t>Get 25 Bonus Miles towards another Cash Reward!</t>
  </si>
  <si>
    <t xml:space="preserve">
https://click.flgemails.com/?qs=2951ab10020fa41a79a935fb0fbfac1c997f71a2bf57b89f07e6e317d8d8783597679fa33a5e7f0a9d151cf600834fff0af5da035d8376550360bc6b9be305ab 
https://click.flgemails.co</t>
  </si>
  <si>
    <t>Next stop? 100 Bonus Miles at Shell!</t>
  </si>
  <si>
    <t>Live it up in Las Vegas | Limited time offers are on now!</t>
  </si>
  <si>
    <t>Welcome to Blue status</t>
  </si>
  <si>
    <t xml:space="preserve">
https://click.flgemails.com/?qs=17d050c3a59cfab5f95083162c0c6ed20e8d6abda99d96e2953eb9074c90d579d641d90ddd632bc0ec7894472924e420e0672379f0d71bb542c1ea06e81d41ed 
https://click.flgemails.co</t>
  </si>
  <si>
    <t>FairGO Casino
https://click.e.fairgo.com/?qs=23b487860ef15dccfb9f555c970e94a208b9c2fa3c295735c2219028ec2ac271ad0314d96816935452f633d0a7be7f957e90379e4cb14f82 
https://click.e.fairgo.com/?qs=23b487860</t>
  </si>
  <si>
    <t>Hit the bullseye with your bonus</t>
  </si>
  <si>
    <t xml:space="preserve">
https://click.flgemails.com/?qs=2951ab10020fa41a79a935fb0fbfac1c997f71a2bf57b89f6d69b9feb65cbfac350be33852baa5307114631992b711d1ad448bed1215f56026d8e3d7b99aa8d0 
https://click.flgemails.co</t>
  </si>
  <si>
    <t xml:space="preserve">
https://click.flgemails.com/?qs=543f24dec127b6a509b9f662ff09ee8e4c8ba17b888d448ec2bfbe03c3979dd6e6c8cf572362eac0a5c52e28aafccaf847433c38eb70a15ee2bce1ee60a28777 
https://click.flgemails.co</t>
  </si>
  <si>
    <t xml:space="preserve">
https://click.flgemails.com/?qs=17d050c3a59cfab5f95083162c0c6ed20e8d6abda99d96e22e39268f65c5ed70fe39c00885f66782249fda55eb033397971a6b4973216bc857a53f7d062381e0 
https://click.flgemails.co</t>
  </si>
  <si>
    <t>"=?utf-8?Q?Houzz?=" &lt;messages_at_houzz_com_bytdfyjs6g_c17e7b42@privaterelay.appleid.com&gt;</t>
  </si>
  <si>
    <t>bytdfyjs6g@privaterelay.appleid.com</t>
  </si>
  <si>
    <t>Discover what’s trending on Houzz
[Alternate text]
Discover Trending Home Bar Photos on Houzz
https://bl.houzz.com/track?uid=ebf953d2-586c-40fd-87b7-8bad08ac1b8c&amp;txnid=92350ea1-06f3-4949-83bc-93069</t>
  </si>
  <si>
    <t xml:space="preserve">
https://click.flgemails.com/?qs=2951ab10020fa41a79a935fb0fbfac1c997f71a2bf57b89f52e0354c444e2d60c0472872292daf3522493a249b7b4bf4e9cae614a713d6ffbb60966af3e0141e 
https://click.flgemails.co</t>
  </si>
  <si>
    <t>AIR MILES Reward Program &lt;no-reply_at_partnernews_airmiles_ca_dak785r6vdhbj6_t3ms3137@icloud.com&gt;</t>
  </si>
  <si>
    <t>Brimming with Daily Deal fun!</t>
  </si>
  <si>
    <t xml:space="preserve">
https://click.flgemails.com/?qs=17d050c3a59cfab5f95083162c0c6ed20e8d6abda99d96e227a368719ac27755cd4b97d06df6ff79083396b7a202fc04ca012391131ff6229bd099cd6dbdd501 
https://click.flgemails.co</t>
  </si>
  <si>
    <t>Another bonus offer, Jeremt!</t>
  </si>
  <si>
    <t>Navigate the roads with extra savings.</t>
  </si>
  <si>
    <t>Your bonus, great characters and more!</t>
  </si>
  <si>
    <t xml:space="preserve">
https://click.flgemails.com/?qs=145da6074459ab41e73f93487519c2d097a0bbfc5af462c0a80cc427768d932fbfad0c3c1a23af53279325ed75f49767f5f7a599243caad25a83cc70d482d624 
https://click.flgemails.co</t>
  </si>
  <si>
    <t>Your iCloud storage is full.</t>
  </si>
  <si>
    <t>Hello Craig Schulz,
Your iCloud storage is full. As a result, you can no longer send or receive messages with your iCloud email address, vroofnn@icloud.com, your documents, contacts, mail, and device</t>
  </si>
  <si>
    <t>Welcome to Family Sharing.</t>
  </si>
  <si>
    <t>Welcome to Family Sharing, Craig!
As a member of your family, you get access to all Family Sharing features that you and your family choose to set up. Just go to Family Sharing in Settings on your iO</t>
  </si>
  <si>
    <t>Unlock your bonus thrills, Stacey!</t>
  </si>
  <si>
    <t xml:space="preserve">
https://click.flgemails.com/?qs=17d050c3a59cfab5f95083162c0c6ed20e8d6abda99d96e29b4646e6cb34dd90325ffce55edce8b68f04faee66fd8b95a57f790fb7bc7e3d72cac010abf487bb 
https://click.flgemails.co</t>
  </si>
  <si>
    <t>AIR MILES Reward Program &lt;no-reply_at_notification_airmiles_ca_hbb7yfc0zt13jn_5c7b7215@icloud.com&gt;</t>
  </si>
  <si>
    <t>Hide My Email &lt;anyone-dittos0g@icloud.com&gt;</t>
  </si>
  <si>
    <t>AIR MILES Reward Program &lt;no-reply_at_notification_airmiles_ca_gbf6mwb5mg0cvq_472b3137@icloud.com&gt;</t>
  </si>
  <si>
    <t>Hide My Email &lt;tombs-scud.0q@icloud.com&gt;</t>
  </si>
  <si>
    <t>AIR MILES Reward Program &lt;no-reply_at_notification_airmiles_ca_k946p64b2q8a22_fcwn1098@icloud.com&gt;</t>
  </si>
  <si>
    <t>Hide My Email &lt;litters-florets0p@icloud.com&gt;</t>
  </si>
  <si>
    <t>AIR MILES Reward Program &lt;no-reply_at_notification_airmiles_ca_tsknc70djm9y74_82cm5176@icloud.com&gt;</t>
  </si>
  <si>
    <t>Hide My Email &lt;rugs-paces.0h@icloud.com&gt;</t>
  </si>
  <si>
    <t>Hide My Email was used with rubyfortune.com</t>
  </si>
  <si>
    <t>Dear Craig Schulz,
You created a unique, random email address for rubyfortune.com on 25 February 2024. 
Messages sent to this address will forward to your inbox. You can turn it off at any time.
[Add</t>
  </si>
  <si>
    <t>Out-of-this-world Daily Deal action.</t>
  </si>
  <si>
    <t xml:space="preserve">
https://click.flgemails.com/?qs=145da6074459ab41e73f93487519c2d097a0bbfc5af462c0dfff37e22ce169d100c4e5b97eb529d230337bda58d613a8774bcfa072ae5882e268da2062817ac8 
https://click.flgemails.co</t>
  </si>
  <si>
    <t>AIR MILES Reward Program &lt;no-reply_at_programnews_airmiles_ca_k919p6ee2q4722_fbwn1098@icloud.com&gt;</t>
  </si>
  <si>
    <t>AIR MILES Reward Program &lt;no-reply_at_programnews_airmiles_ca_hbd1yfd8zt2djn_047b7215@icloud.com&gt;</t>
  </si>
  <si>
    <t>AIR MILES Reward Program &lt;no-reply_at_programnews_airmiles_ca_gbdamw6emg7avq_ec2b3137@icloud.com&gt;</t>
  </si>
  <si>
    <t>Embark on a Daily Deal adventure!</t>
  </si>
  <si>
    <t xml:space="preserve">
https://click.flgemails.com/?qs=17d050c3a59cfab5f95083162c0c6ed20e8d6abda99d96e2f92fc7ed22188d0fa3711a667d887aa80c4a159370c68d40cee7a372d78d6cdfd0c1840bd8223106 
https://click.flgemails.co</t>
  </si>
  <si>
    <t>Chris Primuth &lt;team@acculynx.com&gt;</t>
  </si>
  <si>
    <t>Your demo + gift card</t>
  </si>
  <si>
    <t>If you see a demo of AccuLynx by Thursday, February 29th, 2024, we’ll send you a $50 Visa gift card as a thank you!
Hi Craog,
I wanted to remind you that if you see a demo of AccuLynx by Thursday, F</t>
  </si>
  <si>
    <t>Hi Dale, Welcome to JackpotCity!</t>
  </si>
  <si>
    <t xml:space="preserve">
https://click.brtpemails.com/?qs=6f3f45c18a06e6f81ff650e4f84314ffc6f89af0fab39814021cf8f0df3b7bdc67f6d0cb08ff7b6d6a8fe39b9ded2cabaa7b4bbfd85ceb5319f2519d16df5377 
GAMES
https://click.b</t>
  </si>
  <si>
    <t>Your sweet new bonus!</t>
  </si>
  <si>
    <t xml:space="preserve">
https://click.flgemails.com/?qs=17d050c3a59cfab5f95083162c0c6ed20e8d6abda99d96e2f7f5fab26e1a6093134776dfb7a6473db5025c6f06b5b8f9c33ec81995bb92a3d7da9ae41c775d0f 
https://click.flgemails.co</t>
  </si>
  <si>
    <t xml:space="preserve">
https://click.flgemails.com/?qs=2951ab10020fa41a79a935fb0fbfac1c997f71a2bf57b89f52f13b3d496c48ac26dcbb729acdd9b8c3f7455aa5f00c8d340c54c9794fcd476ccd9b0bd0d10685 
https://click.flgemails.co</t>
  </si>
  <si>
    <t>Presenting your sweet deal!</t>
  </si>
  <si>
    <t xml:space="preserve">
https://click.flgemails.com/?qs=543f24dec127b6a509b9f662ff09ee8e4c8ba17b888d448ee411e16c49a5a3a1bb569f9c904e8580faa04b935219344865363f13397c22b12ab9c9376f9d150e 
https://click.flgemails.co</t>
  </si>
  <si>
    <t>Partner offers just for you,  Jeremt!</t>
  </si>
  <si>
    <t>AIR MILES Reward Program &lt;no-reply_at_programnews_airmiles_ca_tskn0e9ajm9y4d_a6cm5176@icloud.com&gt;</t>
  </si>
  <si>
    <t xml:space="preserve">
https://click.flgemails.com/?qs=543f24dec127b6a509b9f662ff09ee8e4c8ba17b888d448e9e71611744b7e80c35e61942b7fbcb94801c1b4a91368beb38caab7c4efb826ecf361c418078a44b 
https://click.flgemails.co</t>
  </si>
  <si>
    <t xml:space="preserve">
https://click.flgemails.com/?qs=543f24dec127b6a509b9f662ff09ee8e4c8ba17b888d448e3c9a95a41ad94fca8053453a08ac6a41ac47c5d131a379b4c7e3fd5834f96b26129b0c052fe415bb 
https://click.flgemails.co</t>
  </si>
  <si>
    <t>Coming your way? Bonus magic!</t>
  </si>
  <si>
    <t xml:space="preserve">
https://click.flgemails.com/?qs=145da6074459ab41e73f93487519c2d097a0bbfc5af462c0efb7aeb8dddffb1c911241d294d4e6a2bb0460a71dc618c797926a35cd2350d3d231cb561134bed3 
https://click.flgemails.co</t>
  </si>
  <si>
    <t>Another bonus offer, Tm!</t>
  </si>
  <si>
    <t xml:space="preserve">
https://click.flgemails.com/?qs=6767b611656f0f06dcd42630903329bb78c0146a069966f9b31d29e40ccf5afa3523a77d496bb1ee06d9a2dcede5d52890adc0b7dbb82ac4d0a2c847bfdf23b9 
Name Mismatch on your Accou</t>
  </si>
  <si>
    <t>Ruby Fortune &lt;rubyfortune_at_email_rubyfortune_com_v4kw218dfbz80b_1f2j1098@icloud.com&gt;</t>
  </si>
  <si>
    <t>Hide My Email &lt;peels.chillies.0v@icloud.com&gt;</t>
  </si>
  <si>
    <t xml:space="preserve">
https://click.brtpemails.com/?qs=f7bc95f19eaf70f9a395858db6b990afa0419cb9503f98bdb1f1371d24ed12ce6b4a2940cb2678b8d9ceef528a17e09fc0dc26cf0c5f35d1b46887b2705ac7d0 
Reset Your Passwo</t>
  </si>
  <si>
    <t xml:space="preserve">You are no longer participating in FamilySharing.
Your family organizer has removed you from the family group. Any shared movies, TV shows, books, and apps you have previously downloaded from family </t>
  </si>
  <si>
    <t>Dawn, Find Your Mystery Gift! =?UTF-8?B?8J+MiA==?=</t>
  </si>
  <si>
    <t>Rainbows are a reminder that sometimes the best things in life are free just like the 'Mystery Gift' that is waiting for you every Monday this month!
( https://www.casinocastle.com/promos ) Username:</t>
  </si>
  <si>
    <t>Meet your enchanting deal</t>
  </si>
  <si>
    <t xml:space="preserve">
https://click.flgemails.com/?qs=145da6074459ab41e73f93487519c2d097a0bbfc5af462c04a0ac62945f93bffb5d85522f09de67e7e3a1b2b7e556cdc62038356144a33c9f3fcb5459a5d1d8c 
https://click.flgemails.co</t>
  </si>
  <si>
    <t>Reel in your latest deal, Stacey</t>
  </si>
  <si>
    <t xml:space="preserve">
https://click.flgemails.com/?qs=543f24dec127b6a509b9f662ff09ee8e4c8ba17b888d448e028c5eeb079a804c64f1e914cac36c84c887bc42bf095bb861e07b1030d0b3d9be16e067c576951a 
https://click.flgemails.co</t>
  </si>
  <si>
    <t>Your sensational deal awaits!</t>
  </si>
  <si>
    <t xml:space="preserve">
https://click.flgemails.com/?qs=162e6d442b26a9b8c73aca9191e1f2b24884d50c4d189e9cf74c0c47577328ab600217f5f6e6e3726bfda55126c855a0584aeefd0bcf6fcfbbb1a67d29a149b2 
https://click.flgemails.co</t>
  </si>
  <si>
    <t>PLENTIFUL TREASURES
https://click.e.fairgo.com/?qs=b7037bb0f5778f08ad7d76ecc67f8ce3b220086366736b449e6f684d109127c3f8c24e867053c6b47522e4a9f4b81a19165be8d441060f20 
https://click.e.fairgo.com/?qs=b70</t>
  </si>
  <si>
    <t>Enjoy your latest deal!</t>
  </si>
  <si>
    <t xml:space="preserve">
https://click.flgemails.com/?qs=162e6d442b26a9b8c73aca9191e1f2b24884d50c4d189e9cea3082b0fb1d0ceebfd7681fddf0750378ee1e07d47705900d89424ac8521a7a6ee9ebdb8fdf0488 
https://click.flgemails.co</t>
  </si>
  <si>
    <t>"PokerGO" &lt;mail@pokergo.com&gt;</t>
  </si>
  <si>
    <t>Real Poker Action Is Just a Few Clicks Away</t>
  </si>
  <si>
    <t xml:space="preserve">
https://click.flgemails.com/?qs=4a65fa2dbc80c1c21c0c19adf485a6fe27b9bfb230bf1bb616e1a5a26de3bbc0a546fa1eb75898241ac5f94700049f40f01d5aa13209edbbd0fbec38ff7652f3 
https://click.flgemails.co</t>
  </si>
  <si>
    <t>We've Got An Open Seat for You!</t>
  </si>
  <si>
    <t xml:space="preserve">
https://click.flgemails.com/?qs=4a65fa2dbc80c1c21c0c19adf485a6fe27b9bfb230bf1bb6f0d834e26aaff627db3b00409ae256261865d1ba17bf7b9eaa7908e11ffd5b4714cfabf0996e7d99 
https://click.flgemails.co</t>
  </si>
  <si>
    <t>Can't login, Stacey? Help is here!</t>
  </si>
  <si>
    <t xml:space="preserve">
https://click.brtpemails.com/?qs=50175e0fbedae80cf8e81790a63b0223611c7f72237fb4a6d17cdba6ccf45f2f5f6ba431ff78adb323d21e3f9d8afcabb6b48af26f0c5019de610bd407bc6476 
Can’t login?
Try</t>
  </si>
  <si>
    <t>Incredible Daily Deal fun!</t>
  </si>
  <si>
    <t xml:space="preserve">
https://click.flgemails.com/?qs=162e6d442b26a9b8c73aca9191e1f2b24884d50c4d189e9c894bea27fedcc721e59aed0d0731e86fe3944d87939d3cedeb058e9d54272f39aa9de7836ac392b6 
https://click.flgemails.co</t>
  </si>
  <si>
    <t>Congratulations on your AIR MILES Cash reward</t>
  </si>
  <si>
    <t>New Games Hide Your Mystery =?UTF-8?B?R2lmdCHwn46B?=</t>
  </si>
  <si>
    <t xml:space="preserve">
https://click.flgemails.com/?qs=d49ad86add137925fe75fc182d5694121367a91235706eff29fbd4e74179fb61a03e0a3fc74b86f4ca2971f41e08a5ff65540e2a692f0409857b865339f0c6e4 
https://click.flgemails.co</t>
  </si>
  <si>
    <t>Partner offers just for you,  Tm!</t>
  </si>
  <si>
    <t>These domains expired on March-07-24.</t>
  </si>
  <si>
    <t>Fancy your Daily Deal?</t>
  </si>
  <si>
    <t xml:space="preserve">
https://click.flgemails.com/?qs=e53d582d4d516209a4e5b00ecea09b70057b17dfeab5460ce766a8020b0533fdd4e2ce422b2e7919e88e5293c22630a6095ab96af146493bbbfd5577ff609918 
https://click.flgemails.co</t>
  </si>
  <si>
    <t>"AIR MILES Reward Program" &lt;no-reply@e.airmiles.ca&gt;</t>
  </si>
  <si>
    <t>We want to fuel your next adventure with Miles!</t>
  </si>
  <si>
    <t>Fun and games with your bonus</t>
  </si>
  <si>
    <t xml:space="preserve">
https://click.flgemails.com/?qs=e85c42ffa387f59ca527d7bc8a12d84b1f981e41e67edd1345705c9f4750f36a90f2299e9453c2bc4055aabf6bfaa666506943b84f54e074912bea44ccdb092a 
https://click.flgemails.co</t>
  </si>
  <si>
    <t>Earn Miles 10x faster with BMO</t>
  </si>
  <si>
    <t>AIR MILES Reward Program &lt;no-reply_at_partnernews_airmiles_ca_pqmc22h7j6aepc_td0v9254@icloud.com&gt;</t>
  </si>
  <si>
    <t>Your Daily Deal is wild!</t>
  </si>
  <si>
    <t xml:space="preserve">
https://click.flgemails.com/?qs=d49ad86add137925fe75fc182d5694121367a91235706eff5616b8b8fc6ef3996eac16b1dbff288771f3bfa5adaed0d928d822b968e56643f6c1a8af5aacc934 
https://click.flgemails.co</t>
  </si>
  <si>
    <t>The Bitbuy Team &lt;no-reply@bitbuy.ca&gt;</t>
  </si>
  <si>
    <t>Your 25 CAD are Waiting!</t>
  </si>
  <si>
    <t>( https://app.bitbuy.ca/en/?utm_campaign=Activation+Campaign+-+March+2024+-+Segment+1&amp;utm_content=Email+2%3A+Casual&amp;utm_medium=email_action&amp;utm_source=customer.io )Just a quick nudge to remind you abo</t>
  </si>
  <si>
    <t>Your bonus, dressed for success!</t>
  </si>
  <si>
    <t xml:space="preserve">
https://click.flgemails.com/?qs=e85c42ffa387f59ca527d7bc8a12d84b1f981e41e67edd138e7903b0ee1ffdcee055aeed7488f62e003d5469fb265c6a56a5feabb9fbbacb18ae0bb20fa43071 
https://click.flgemails.co</t>
  </si>
  <si>
    <t>"FreshBooks" &lt;marketing_at_emailfb_freshbooks_com_rq9ctdc454_fd7e607a@privaterelay.appleid.com&gt;</t>
  </si>
  <si>
    <t>rq9ctdc454@privaterelay.appleid.com</t>
  </si>
  <si>
    <t>Dear Craig Schulz,
The following changes to your Apple ID, charliewharlie369@outlook.com, were made on 16 March 2024 at 07:01:21 GMT:
Date of birth
If you did not make these changes, or if you beli</t>
  </si>
  <si>
    <t>Take a bow, your Daily Deal!</t>
  </si>
  <si>
    <t xml:space="preserve">
https://click.flgemails.com/?qs=e85c42ffa387f59ca527d7bc8a12d84b1f981e41e67edd13c329caab8adeb6ab2ac36767df76b5e137b19fcf469d9f699b2d12c3131251b2ea1c8c3a9f754612 
https://click.flgemails.co</t>
  </si>
  <si>
    <t>Another bonus offer, Glen!</t>
  </si>
  <si>
    <t>Another bonus offer, Lit!</t>
  </si>
  <si>
    <t>Another bonus offer, D!</t>
  </si>
  <si>
    <t>Another bonus offer, Greg!</t>
  </si>
  <si>
    <t xml:space="preserve">
https://click.flgemails.com/?qs=e53d582d4d516209a4e5b00ecea09b70057b17dfeab5460ca1931451b27f0716ba0d517961ca94c2ca70087535d617ad5ce3db72c4e6ec79301f838fc006b549 
https://click.flgemails.co</t>
  </si>
  <si>
    <t>"Platinum Play" &lt;platinumplay@email.platinumplaycasino.com&gt;</t>
  </si>
  <si>
    <t xml:space="preserve">
https://click.flgemails.com/?qs=b0c429d7bf70b53e430d7e83ce4afcc4d8f5d4d83aca8dd9527f5fa881f5304a10e1a1e691e46133aa8162aae6422a5f93940cc6af6e56b8935fb36a19c54517 
Name Mismatch on your Accou</t>
  </si>
  <si>
    <t xml:space="preserve">
https://click.flgemails.com/?qs=ba5099f3ebb35c4e87cfde2778c1f251a0f8a1c7c6f1df6b9511480943b091b9f241f6fbf3fc082477579453b9c07e3fd605416a50cd472ce448b57f784054c0 
Name Mismatch on your Accou</t>
  </si>
  <si>
    <t>What's At The End Of The Rainbow? =?UTF-8?B?4oCU?= Mystery Gift!</t>
  </si>
  <si>
    <t>Your Daily Deal is waiting!</t>
  </si>
  <si>
    <t xml:space="preserve">
https://click.flgemails.com/?qs=de8a58c1f0f25bd75c649ba09a7e4729b36b9d720bd47fac27a69153fee2c1dbf511e98963569d5a4b5372b7231315e575091270a25b8bbd49db7e97dc7291f6 
https://click.flgemails.co</t>
  </si>
  <si>
    <t>Discover what’s trending on Houzz
[Alternate text]
Discover Trending Living Room Photos on Houzz
https://bl.houzz.com/track?uid=ebf953d2-586c-40fd-87b7-8bad08ac1b8c&amp;txnid=cb5a6768-f767-4050-b823-cf</t>
  </si>
  <si>
    <t>The bonus party starts here</t>
  </si>
  <si>
    <t xml:space="preserve">
https://click.flgemails.com/?qs=e85c42ffa387f59ca527d7bc8a12d84b1f981e41e67edd13c6c889866337a11242c6ceed58aeb9fe3010b53f20e73e1b9634b4a739b7e5d7b80f425c3c3638c3 
https://click.flgemails.co</t>
  </si>
  <si>
    <t xml:space="preserve">
https://click.flgemails.com/?qs=e85c42ffa387f59ca527d7bc8a12d84b1f981e41e67edd136ed95f6590be6f7be0c2359cf117d3b5070686126f025ed70cb753be85edf6a8d1e78810480e7878 
https://click.flgemails.co</t>
  </si>
  <si>
    <t xml:space="preserve">
https://click.flgemails.com/?qs=d49ad86add137925fe75fc182d5694121367a91235706effaa306826d7afe27e4fe7fa17d3829879edeb38b02a8d0174b554a499bd6a7ef1c30a34e4c5997b36 
https://click.flgemails.co</t>
  </si>
  <si>
    <t>$100,000+ In Prizes Awarded So Far</t>
  </si>
  <si>
    <t xml:space="preserve">
https://click.flgemails.com/?qs=d49ad86add137925fe75fc182d5694121367a91235706eff3df98ba620a4d271228bc519e0db4be474b65e5c129bc2f5a5479119d3a4f9947fed1cc41ced1254 
https://click.flgemails.co</t>
  </si>
  <si>
    <t>40x Miles could be yours this long weekend</t>
  </si>
  <si>
    <t>Don't Forget! Sweepstakes Prizes Are Waiting</t>
  </si>
  <si>
    <t xml:space="preserve">
https://click.flgemails.com/?qs=de8a58c1f0f25bd75c649ba09a7e4729b36b9d720bd47fac321c48af2cdcbad2a2e71a13abefb151414d08507038a413a2e86e20f5675520e68093c1b8b632ac 
https://click.flgemails.co</t>
  </si>
  <si>
    <t xml:space="preserve">
https://click.flgemails.com/?qs=de8a58c1f0f25bd75c649ba09a7e4729b36b9d720bd47facb3222806d8c44cf96fad6d0cda38c7e71215447c70b531146f52183ba771ed3911c9a2b8596f1186 
https://click.flgemails.co</t>
  </si>
  <si>
    <t>Partner offers just for you,  Lit!</t>
  </si>
  <si>
    <t>Partner offers just for you,  Greg!</t>
  </si>
  <si>
    <t>Partner offers just for you,  D!</t>
  </si>
  <si>
    <t>Partner offers just for you,  Glen!</t>
  </si>
  <si>
    <t>Only 24Hrs To Enjoy Your Mystery Gift!</t>
  </si>
  <si>
    <t xml:space="preserve">
https://click.flgemails.com/?qs=87baeeb0d90987b2809ee874e38de9d919b5c6ff2e23f021d9dc655341f9fe1cb75e2d1b98ac931a0313c0e323a47897fc0a671cf3975e28b4497866103e7f91 
 This Easter… 
https://</t>
  </si>
  <si>
    <t>AIR MILES Reward Program &lt;no-reply_at_partnernews_airmiles_ca_gsbckn062cb72f_11n69254@icloud.com&gt;</t>
  </si>
  <si>
    <t>Cheers! Earning Miles is now even easier at NSLC</t>
  </si>
  <si>
    <t>Apple Subscription Confirmation
-----------------------------------------------------------
Dear dawn,
You've accepted the following offer:
Apple TV+
Subscription: Apple TV+
Content Provider: Apple</t>
  </si>
  <si>
    <t>Apple Subscription Confirmation
-----------------------------------------------------------
Dear dawn,
You've accepted the following offer:
Apple Music
Subscription: Individual
Content Provider: Ap</t>
  </si>
  <si>
    <t>All that glitters is your deal!</t>
  </si>
  <si>
    <t xml:space="preserve">
https://click.flgemails.com/?qs=e53d582d4d516209a4e5b00ecea09b70057b17dfeab5460ca08060478af4dec79fcb2c1eced30d06355148034a1d40746fb46b631d950255c3a0784cdb8a1964 
https://click.flgemails.co</t>
  </si>
  <si>
    <t>AIR MILES Reward Program &lt;no-reply_at_e_airmiles_ca_5kz6mzh4f61098_94152881@icloud.com&gt;</t>
  </si>
  <si>
    <t xml:space="preserve">
https://click.flgemails.com/?qs=e85c42ffa387f59ca527d7bc8a12d84b1f981e41e67edd13a6e845b89b27dc4a77e246f66b0360eb8e10f1b63431c77a352bee14ba4bf431abc778753b97ce8a 
https://click.flgemails.co</t>
  </si>
  <si>
    <t>Daily Deal: adventure awaits!</t>
  </si>
  <si>
    <t xml:space="preserve">
https://click.flgemails.com/?qs=de8a58c1f0f25bd75c649ba09a7e4729b36b9d720bd47fac673ae7d7c7ccad829888e941362f943c6b02a2be83053e9efc9f7998af7f93d2e923e251f3fede89 
https://click.flgemails.co</t>
  </si>
  <si>
    <t>A product's been removed from your GoDaddy account.</t>
  </si>
  <si>
    <t>Enjoy every Mile</t>
  </si>
  <si>
    <t>Billing Problem
-----------------------------------------------------------
Dear dawn,
To avoid interruption to your service, please update your payment information or add funds to your account.
U</t>
  </si>
  <si>
    <t>Dear Craig Schulz,
The following changes to your Apple ID, charliewharlie369@outlook.com, were made on April 8, 2024 at 11:21:19 PM EDT:
Password
If you did not make these changes, or if you believ</t>
  </si>
  <si>
    <t>no-reply_at_notification_airmiles_ca_d8k787r4vfh5jc_tams3137@icloud.com</t>
  </si>
  <si>
    <t>Hello Craig Schulz,
Your iCloud storage is full. Because you’ve exceeded your storage plan, your documents, contacts, mail, and device data are no longer backing up to iCloud and your photos and vide</t>
  </si>
  <si>
    <t>Dear Craig Schulz,
Your Apple ID (charliewharlie369@outlook.com) was used to sign in to iCloud on aniPhoneXR.
Date and Time: April 10, 2024, 6:01 PM PDT
If the information above looks familiar, yo</t>
  </si>
  <si>
    <t>Your recent download with your Apple ID</t>
  </si>
  <si>
    <t>Apple Recent Download
-----------------------------------------------------------
Your Apple ID, charliewharlie369@outlook.com, was just used to download Gmail - Email by Google on a computer or devi</t>
  </si>
  <si>
    <t>Hide My Email was used with dropbox.com</t>
  </si>
  <si>
    <t>Dear Craig Schulz,
You created a unique, random email address for dropbox.com on 11 April 2024. 
Messages sent to this address will forward to your inbox. You can turn it off at any time.
[Address:
b</t>
  </si>
  <si>
    <t>Apple Subscription Confirmation
-----------------------------------------------------------
Dear dawn,
You've accepted the following offer:
Splice - Video Editor &amp; Maker
Subscription: Splice Bundle</t>
  </si>
  <si>
    <t>Apple Subscription Confirmation
-----------------------------------------------------------
Dear dawn,
You've accepted the following offer:
Apple Fitness
Subscription: Apple Fitness+
Content Provid</t>
  </si>
  <si>
    <t>Your deal on top production tools</t>
  </si>
  <si>
    <t>I wanted to tell you about a special deal we have for new customers—when you sign up for AccuLynx by April 30th, 2024, you won’t pay any user license fees for your first month!
Hi Craog,
I wanted to</t>
  </si>
  <si>
    <t>"=?utf-8?Q?Shop_Houzz?=" &lt;messages@houzz.com&gt;</t>
  </si>
  <si>
    <t>Save up to 70% on gorgeous statement lighting.
[houzz](https://bl.houzz.com/z/0h0dl44t09o204?uid=dd48d907-d943-48c4-8307-2d2a123aaf9a&amp;txnid=ba3e7efe-728c-42fb-87ee-ca75a3659825&amp;mid=4617ef15-622c-42f5</t>
  </si>
  <si>
    <t>Apple Subscription Confirmation
-----------------------------------------------------------
Dear dawn,
You've accepted the following offer:
Night Sky
Subscription: Night Sky+ Monthly
App: Night Sky</t>
  </si>
  <si>
    <t>Your Subscription Confirmation</t>
  </si>
  <si>
    <t>Apple Subscription Confirmation
-----------------------------------------------------------
Dear dawn,
This email confirms your subscription purchase:
Alfred Home Security IP Camera
Alfred Home Sec</t>
  </si>
  <si>
    <t xml:space="preserve">Apple Receipt
-----------------------------------------------------------
APPLE ID
charliewharlie369@outlook.com
BILLED TO
PayPal
dawn  dixon
29 glengarry dr
Saint John,  NB  E2J 2Y4
CAN
ORDER ID: </t>
  </si>
  <si>
    <t>Dear Craig Schulz,
The following changes to your Apple ID, charliewharlie369@outlook.com, were made on April 24, 2024 at 11:33:19 AM EDT:
Billing Information
If you did not make these changes, or i</t>
  </si>
  <si>
    <t>Hide My Email was used with rea-cr.com</t>
  </si>
  <si>
    <t>Dear Craig Schulz,
You created a unique, random email address for rea-cr.com on 25 April 2024. 
Messages sent to this address will forward to your inbox. You can turn it off at any time.
[Address:
pu</t>
  </si>
  <si>
    <t>Apple Recent Purchase
-----------------------------------------------------------
Your Apple ID, charliewharlie369@outlook.com, was just used to purchase Individual on a computer or device that had n</t>
  </si>
  <si>
    <t>Hide My Email was used with bumpboxes.com</t>
  </si>
  <si>
    <t>Dear Craig Schulz,
You created a unique, random email address for bumpboxes.com on 29 April 2024. 
Messages sent to this address will forward to your inbox. You can turn it off at any time.
[Address:</t>
  </si>
  <si>
    <t xml:space="preserve">Apple Subscription Confirmation
-----------------------------------------------------------
Dear dawn,
You've accepted the following offer:
PicsArt
Subscription: Picsart Gold - Annual
App: Picsart </t>
  </si>
  <si>
    <t>CIBC Mobile and Online Banking &lt;mailbox.noreply@cibc.com&gt;</t>
  </si>
  <si>
    <t>&lt;CHARLIEWHARLIE369@OUTLOOK.COM&gt;</t>
  </si>
  <si>
    <t>Next steps to open your new CIBC account</t>
  </si>
  <si>
    <t>&lt;?xml version="1.0" encoding="ISO-8859-1"?&gt;&lt;html lang="en"&gt;&lt;head&gt;
&lt;meta http-equiv="Content-Type" content="text/html; charset=iso-8859-1"&gt;&lt;body&gt;&lt;table style="background-color:#F2F3F2; width:100%;borde</t>
  </si>
  <si>
    <t>Amazon Business &lt;no-reply@business.amazon.ca&gt;</t>
  </si>
  <si>
    <t xml:space="preserve">&lt;!doctype html&gt;&lt;html lang="en-CA" xmlns="http://www.w3.org/1999/xhtml" xmlns:v="urn:schemas-microsoft-com:vml" xmlns:o="urn:schemas-microsoft-com:office:office"&gt;&lt;head&gt;
&lt;meta http-equiv="Content-Type" </t>
  </si>
  <si>
    <t>Would you like to complete your application?</t>
  </si>
  <si>
    <t>Babe, get 2,000 AIR MILES Bonus Miles and up to a $600 cash bonus.</t>
  </si>
  <si>
    <t>Remember to finish opening your CIBC account</t>
  </si>
  <si>
    <t>Hide My Email was used with expensesreceipt.com</t>
  </si>
  <si>
    <t>Dear Craig Schulz,
You created a unique, random email address for expensesreceipt.com on 7 May 2024. 
Messages sent to this address will forward to your inbox. You can turn it off at any time.
[Addre</t>
  </si>
  <si>
    <t>Apple Subscription Confirmation
-----------------------------------------------------------
Dear dawn,
You've accepted the following offer:
Private Photo Vault - Pic Safe
Subscription: Private Phot</t>
  </si>
  <si>
    <t>Apple Subscription Expiring
-----------------------------------------------------------
Dear dawn,
The following subscription will expire soon:
Night Sky+ Monthly (1 month) – $7.99/month expires on</t>
  </si>
  <si>
    <t>Dear Craig Schulz,
The following changes to your Apple ID, charliewharlie369@outlook.com, were made on 9 May 2024 at 14:48:11 GMT:
Billing Information
If you did not make these changes, or if you b</t>
  </si>
  <si>
    <t>Billing Problem
-----------------------------------------------------------
Dear Dawn,
To avoid interruption to your service, please update your payment information or add funds to your account.
U</t>
  </si>
  <si>
    <t>Hello Baby by Babylist &lt;hello@babylist.com&gt;</t>
  </si>
  <si>
    <t>8 Weeks Pregnant: 9 Qs to Ask Your Ob-Gyn @ Your 1st Visit</t>
  </si>
  <si>
    <t>Your baby is 0.63" this week. That's about the size of a bike
spoke bead.%open_tracking%
Unsubscribe ( http://link.babylist.com/ls/click?upn=u001.fdi8QSV04Vr08xy0x9snZGCKrUoRVvPmIvcRqecDIaPO1O8SSG3Hk</t>
  </si>
  <si>
    <t>Apple &lt;appleid@apple.com&gt;</t>
  </si>
  <si>
    <t>REALTOR.ca has revoked your Sign in with Apple account</t>
  </si>
  <si>
    <t>REALTOR.ca has revoked your Sign in with Apple account
Next time you use Sign in with Apple to sign in to your REALTOR.ca account, you will have to share your name and email again. Learn more...
http</t>
  </si>
  <si>
    <t>Apple Subscription Expiring
-----------------------------------------------------------
Dear Dawn,
The following subscription will expire soon:
Alfred Premium (1 month) – $7.99/month expires on May</t>
  </si>
  <si>
    <t>Apple Subscription Expiring
-----------------------------------------------------------
Dear Dawn,
The following subscription will expire soon:
Private Photo Vault Premium (1 year) – $35.99/year ex</t>
  </si>
  <si>
    <t xml:space="preserve">Apple Subscription Confirmation
-----------------------------------------------------------
Dear Dawn,
You've accepted the following offer:
PicsArt
Subscription: Picsart Gold - Annual
App: Picsart </t>
  </si>
  <si>
    <t>You could win a dream vacation to Walt Disney World Resort</t>
  </si>
  <si>
    <t>Crypto Loko &lt;promos@lokomails.com&gt;</t>
  </si>
  <si>
    <t>Dawn, don't miss 2 Jackpots with a New-Game combo!
 =?UTF-8?B?8J+OsA==?=</t>
  </si>
  <si>
    <t>Forgot your password?
Play Now
Play Now
CLAIM NOW
Uhm, Are We in Vegas Right Now?
I couldn't tell because the NEW Wonder Reels feels like a real-life Vegas slot with its 3D graphics, - I almost ordere</t>
  </si>
  <si>
    <t>Take in iconic Washington, DC | Limited time offers on now!</t>
  </si>
  <si>
    <t>Scheduled Service Outage begins May 25th 2024 at 9:00 PM ET</t>
  </si>
  <si>
    <t>Hi there,
Please note, there will be a 12-hour scheduled service outage starting at 9:00 PM ET on Saturday May 25, 2024. During this time, access to the platform along with trading, staking, withd</t>
  </si>
  <si>
    <t>Your next Cash Reward is waiting</t>
  </si>
  <si>
    <t>Get up to 40 Bonus Miles in 2 easy steps!</t>
  </si>
  <si>
    <t>Hit the road to rewards with 100 Bonus Miles at Shell.</t>
  </si>
  <si>
    <t>Get up to 50 Bonus Miles at Irving Oil!</t>
  </si>
  <si>
    <t>DraftKings &lt;draftkings@d.email.draftkings.com&gt;</t>
  </si>
  <si>
    <t>charlie369, the Countdown to the Fantasy Basketball Millionaire
 starts now!</t>
  </si>
  <si>
    <t>Open for details.        ͏ ͏ ͏ ͏ ͏ ͏ ͏ ͏ ͏ ͏ ͏ ͏ ͏ ͏ ͏ ͏ ͏ ͏ ͏ ͏
͏ ͏ ͏ ͏ ͏ ͏ ͏ ͏ ͏ ͏ ͏ ͏ ͏ ͏ ͏ ͏ ͏ ͏ ͏ ͏ ͏ ͏ ͏ ͏ ͏ ͏ ͏ ͏ ͏ ͏ ͏ ͏ ͏
͏ ͏ ͏ ͏ ͏ ͏ ͏ ͏ ͏ ͏ ͏ ͏ ͏ ͏ ͏ ͏ ͏ ͏ ͏ ͏ ͏ ͏ ͏ ͏ ͏ ͏ ͏ ͏ ͏ ͏ ͏ ͏ ͏
͏ ͏</t>
  </si>
  <si>
    <t>Get started with up to 3,000 Welcome Bonus Miles</t>
  </si>
  <si>
    <t>charlie369, day 3 of the Fantasy Basketball Millionaire Countdown is
 here!</t>
  </si>
  <si>
    <t>Shop indoor and outdoor rugs, home decor, and more.
[houzz](https://bl.houzz.com/z/0w09lz6h0czg04?uid=dd48d907-d943-48c4-8307-2d2a123aaf9a&amp;txnid=34045ed1-42ff-4a9f-9c6a-7801c0238f94&amp;mid=1b9f16b9-c706</t>
  </si>
  <si>
    <t>Billing Problem
-----------------------------------------------------------
Dear Dawn,
There is a problem with your payment method that may prevent the renewal of this subscription. To avoid losing</t>
  </si>
  <si>
    <t>Apple Subscription Confirmation
-----------------------------------------------------------
Dear Dawn,
You've accepted the following offer:
PicsArt
Subscription: Picsart Gold - Annual
App: Picsart:</t>
  </si>
  <si>
    <t>Apple Subscription Expiring
-----------------------------------------------------------
Dear Dawn,
The following subscription will expire soon:
Apple TV+ (1 month) – $12.99/month expires on June 25</t>
  </si>
  <si>
    <t>Indoor runners. Outdoor decor. It’s all waiting for you.
[houzz](https://bl.houzz.com/z/0z0rlu6r0ji304?uid=dd48d907-d943-48c4-8307-2d2a123aaf9a&amp;txnid=66971592-e3d1-4d8e-b520-ec641e18a9ac&amp;mid=bf623299</t>
  </si>
  <si>
    <t xml:space="preserve">Apple Subscription Expiring
-----------------------------------------------------------
Dear Dawn,
The following subscription will expire soon:
Picsart Gold - Annual (1 year) – $84.99/year expires </t>
  </si>
  <si>
    <t>Dear Craig Schulz,
The password for your Apple ID, charliewharlie369@outlook.com, has been successfully reset.
If you did not make this change or you believe an unauthorised person has accessed you</t>
  </si>
  <si>
    <t>Apple Subscription Confirmation
-----------------------------------------------------------
Dear Dawn,
You've accepted the following offer:
PicsArt
Subscription: Picsart Pro Annual
App: Picsart: AI</t>
  </si>
  <si>
    <t>Now earn with LG, Turo, and Moroccanoil using a linked Mastercard</t>
  </si>
  <si>
    <t>Shell &lt;Noreply-Shell-App-Communications_at_shell_com_gs18knf02c292f_14n69254@icloud.com&gt;</t>
  </si>
  <si>
    <t>Craig, catch the action! Win a Toronto Blue
 =?UTF-8?B?SmF5c+KEoiBWSVAgZ2V0YXdheSDimr7vuI8=?=</t>
  </si>
  <si>
    <t>Craig, catch the action! Win a Toronto Blue Jays™ VIP getaway ⚾️
******************************
Calling all Shell Go+ members!
******************************
Grab your glove and get ready for a chan</t>
  </si>
  <si>
    <t>"Babylist" &lt;hello@registry.babylist.com&gt;</t>
  </si>
  <si>
    <t>"Craig Schulz" &lt;charliewharlie369@outlook.com&gt;</t>
  </si>
  <si>
    <t>14 Weeks Pregnant: Can Baby Feel Belly Rubs?</t>
  </si>
  <si>
    <t>14 Weeks Pregnant: Can Baby Feel Belly Rubs? Your baby is 3.4" this week. 
That's about the size of a Bagel Bite. 
Unsubscribe 
&lt;https://links.babylist.com/e/eh?_t=8761c0c919454d09b99afb962731a39b&amp;_m</t>
  </si>
  <si>
    <t>Get up to 500 Bonus Miles when you book a trip to Illinois!</t>
  </si>
  <si>
    <t>"Foodland" &lt;foodland@em.foodland.ca&gt;</t>
  </si>
  <si>
    <t xml:space="preserve">
 Foodland
https://click.em.foodland.ca/?qs=f3b980c684aad964c3280aed3cdccefb2d6fe67013868f33643f82991f9b63406ff1ca4daff093b3a63959356f9c64797c142c9f0a901b9345969a2f48539ebd 
Download th</t>
  </si>
  <si>
    <t>Demo top software + 4th of July gift</t>
  </si>
  <si>
    <t>We’re giving out $50 Dick’s Sporting Goods gift cards to new roofing contractors that see a demonstration of AccuLynx before July 4th, 2024!
Hi Craog,
I wanted to let you know about a special deal w</t>
  </si>
  <si>
    <t xml:space="preserve">
 Foodland
&amp;#847;&amp;zwnj; &amp;#847;&amp;zwnj; &amp;#847;&amp;zwnj; &amp;#847;&amp;zwnj; &amp;#847;&amp;zwnj; &amp;#847;&amp;zwnj; &amp;#847;&amp;zwnj; &amp;#847;&amp;zwnj; &amp;#847;&amp;zwnj; &amp;#847;&amp;zwnj; &amp;#847;&amp;zwnj; &amp;#847;&amp;zwnj; &amp;#847;&amp;zwnj; &amp;#84</t>
  </si>
  <si>
    <t>15 Weeks Pregnant: Thin Skinned...</t>
  </si>
  <si>
    <t>15 Weeks Pregnant: Thin Skinned... Your baby is 4” this week. That's about the 
size of a Ring Pop. 
Unsubscribe 
&lt;https://links.babylist.com/e/eh?_t=8761c0c919454d09b99afb962731a39b&amp;_m=40c2761ad5464</t>
  </si>
  <si>
    <t>AIR MILES Reward Program &lt;no-reply_at_partnernews_airmiles_ca_gb0cmwbcmg13vq_5e2b3137@icloud.com&gt;</t>
  </si>
  <si>
    <t>Enter for a chance to WIN 1 of 4 Grand Prizes in our Epic Moments Giveaway</t>
  </si>
  <si>
    <t>Up to 3,000 Bonus Miles? Yes, please!</t>
  </si>
  <si>
    <t>iCash &lt;hello@icash.ca&gt;</t>
  </si>
  <si>
    <t>Welcome to ELITE</t>
  </si>
  <si>
    <t>iCash is happy to welcome you to the Elite member club!
Mobile app
Why use us
How it works
Contact us
Welcome to the
ELITE
Club! Enjoy Exclusive Benefits Now
Learn more
Welcome to the
ELITE
Club! Enjo</t>
  </si>
  <si>
    <t>17 Weeks Pregnant: Don't Forget to Schedule This Appointment</t>
  </si>
  <si>
    <t>17 Weeks Pregnant: Don't Forget to Schedule This Appointment Your baby is 5.1" 
this week. That's about the size of a cassette tape. 
Unsubscribe 
&lt;https://links.babylist.com/e/eh?_t=8761c0c919454d09</t>
  </si>
  <si>
    <t>Keep your account secure with AIR MILES</t>
  </si>
  <si>
    <t>Thank you for submitting your missing miles request</t>
  </si>
  <si>
    <t>AIR MILES Reward Program &lt;no-reply_at_partnernews_airmiles_ca_k964p68a2q0a22_6fwn1098@icloud.com&gt;</t>
  </si>
  <si>
    <t>AIR MILES Reward Program &lt;no-reply_at_partnernews_airmiles_ca_tsknec17jm9y18_b4cm5176@icloud.com&gt;</t>
  </si>
  <si>
    <t>AIR MILES Reward Program &lt;no-reply_at_partnernews_airmiles_ca_5kz6mzh4f61098_50e1defe@icloud.com&gt;</t>
  </si>
  <si>
    <t>"SUBWAY Restaurants" &lt;news@subs.subway.com&gt;</t>
  </si>
  <si>
    <t>&lt;style type="text/css"&gt;
/*Loyalty header css*/
@media only screen and (max-width: 596px) {
.f22 {
    font-size: 22px !important;
    line-height: 1.2 !important;
} 
.h7{height: 7px!important;}
.hAuto</t>
  </si>
  <si>
    <t>Get $4 off the Nashville-Style Hot Chicken Footlong today.</t>
  </si>
  <si>
    <t>"Canada Post " &lt;donotreply-nepasrepondre@notifications.canadapost-postescanada.ca&gt;</t>
  </si>
  <si>
    <t>Welcome to Canada Post</t>
  </si>
  <si>
    <t xml:space="preserve">Sign in and see what you can do! 
View in browserCanada Post  https://t.notifications.canadapost-postescanada.ca/info4/r/?id=tbc8b5d7,a016a71,4513001
Welcome to Canada Post 
Hi  craig, 
</t>
  </si>
  <si>
    <t>Hide My Email was used with icash.ca</t>
  </si>
  <si>
    <t>Dear Craig Schulz,
You created a unique, random email address for icash.ca on 27 July 2024. 
Messages sent to this address will forward to your inbox. You can turn it off at any time.
[Address:
earpl</t>
  </si>
  <si>
    <t>19 Weeks Pregnant: 20 Week Ultrasound - What You'll Learn</t>
  </si>
  <si>
    <t>19 Weeks Pregnant: 20 Week Ultrasound - What You'll Learn Your baby is 6.0" 
this week. That's about the size of a Magic 8-Ball. 
Unsubscribe 
&lt;https://links.babylist.com/e/eh?_t=8761c0c919454d09b99a</t>
  </si>
  <si>
    <t xml:space="preserve">Find My has been disabled on Craig’s iPhone.
With Find My disabled, this device can no longer be located,
 placed in Lost Mode, or remotely erased using icloud.com/find : https://www.icloud.com/find </t>
  </si>
  <si>
    <t>Apple Subscription Renewal
-----------------------------------------------------------
Dear Dawn,
We hope you’re enjoying your subscription, which will renew soon.
Starting on Jul. 31, 2024, your s</t>
  </si>
  <si>
    <t>Apple Subscription Confirmation
-----------------------------------------------------------
Dear Dawn,
You've accepted the following offer:
PicsArt
Subscription: Picsart Plus - Annual
App: Picsart:</t>
  </si>
  <si>
    <t>You hit play on Premium</t>
  </si>
  <si>
    <t xml:space="preserve">
Premium sounds amazing
Spotify Prepaid Premium https://open.spotify.com/
Listen off-grid
Your Premium journey is just getting started. You can now download tracks and play them anywhere – no da</t>
  </si>
  <si>
    <t>Hide My Email was used with casinoextreme.eu</t>
  </si>
  <si>
    <t>Dear Craig Schulz,
You created a unique, random email address for casinoextreme.eu on 29 July 2024. 
Messages sent to this address will forward to your inbox. You can turn it off at any time.
[Addres</t>
  </si>
  <si>
    <t>Buy any Footlong and get a Footlong Dipper for $1!</t>
  </si>
  <si>
    <t>Enjoy audiobooks with your Premium plan</t>
  </si>
  <si>
    <t xml:space="preserve">
Over 250,000 audiobooks at
your fingertips
Get lost in 15 hours of audiobook listening every month.
&gt;From popular genres and authors to thrilling narrators, it’s all available in your Premium p</t>
  </si>
  <si>
    <t xml:space="preserve">
 Foodland
 &amp;#847;&amp;zwnj; &amp;#847;&amp;zwnj; &amp;#847;&amp;zwnj; &amp;#847;&amp;zwnj; &amp;#847;&amp;zwnj; &amp;#847;&amp;zwnj; &amp;#847;&amp;zwnj; &amp;#847;&amp;zwnj; &amp;#847;&amp;zwnj; &amp;#847;&amp;zwnj; &amp;#847;&amp;zwnj; &amp;#847;&amp;zwnj; &amp;#847;&amp;zwnj; &amp;#847</t>
  </si>
  <si>
    <t>Apple Subscription Renewal
-----------------------------------------------------------
Dear Dawn,
We hope you’re enjoying your subscription, which will renew soon.
Starting on Aug. 4, 2024, your su</t>
  </si>
  <si>
    <t>AIR MILES Reward Program &lt;missingmiles_at_airmiles_ca_tskn61fcjm9y82_bdcm5176@icloud.com&gt;</t>
  </si>
  <si>
    <t>Re: Thank you for submitting your missing miles request</t>
  </si>
  <si>
    <t>Hello, 
Thanks for reaching out. 
We’d be happy to guide you in the right direction for help. 
Contact us via Live Chat to speak to one of our ambassadors. 
To access Live Chat at www.airm</t>
  </si>
  <si>
    <t>Hello, 
Thanks for reaching out. 
We’d be happy to guide you in the right direction for help. 
Contact us via Live Chat to speak to one of our ambassadors.
To access Live Chat at www.airm</t>
  </si>
  <si>
    <t>AIR MILES Reward Program &lt;missingmiles_at_airmiles_ca_k961p65e2q7822_fewn1098@icloud.com&gt;</t>
  </si>
  <si>
    <t xml:space="preserve">
Hello Lit,
Thanks for your email regarding collecting AIR MILES® Reward Miles from our partners.
Since it’s our partners that post any Miles you earn from them in your account, your collector</t>
  </si>
  <si>
    <t>AIR MILES Reward Program &lt;missingmiles_at_airmiles_ca_ddkd8er6v1h8j8_tcms3137@icloud.com&gt;</t>
  </si>
  <si>
    <t xml:space="preserve">
Hello Craig, 
Thanks for submitting your missing AIR MILES® Reward Miles inquiry. 
Before we can help you out, we’ll need some supporting documentation, like a copy of your receipt. If your p</t>
  </si>
  <si>
    <t>AIR MILES Reward Program &lt;missingmiles_at_airmiles_ca_gb25mw6dmg19vq_b02b3137@icloud.com&gt;</t>
  </si>
  <si>
    <t xml:space="preserve">
Hello Glen,
Thanks for your email regarding collecting AIR MILES® Reward Miles from our partners.
Since it’s our partners that post any Miles you earn from them in your account, your collecto</t>
  </si>
  <si>
    <t xml:space="preserve">
Hello Lit, 
Thanks for submitting your missing AIR MILES® Reward Miles inquiry. 
Before we can help you out, we’ll need some supporting documentation, like a copy of your receipt. 
Please</t>
  </si>
  <si>
    <t>AIR MILES Reward Program &lt;missingmiles_at_airmiles_ca_5kz6mzh4f61098_57f054b6@icloud.com&gt;</t>
  </si>
  <si>
    <t xml:space="preserve">
Hello TM,
Thanks for your email regarding collecting AIR MILES® Reward Miles from our partners.
Since it’s our partners that post any Miles you earn from them in your account, your collector </t>
  </si>
  <si>
    <t xml:space="preserve">
Hello D,
Thanks for your email regarding collecting AIR MILES® Reward Miles from our partners.
Since it’s our partners that post any Miles you earn from them in your account, your collector c</t>
  </si>
  <si>
    <t>20 Weeks Pregnant: Pregnancy Sex</t>
  </si>
  <si>
    <t>20 Weeks Pregnant: Pregnancy Sex Your baby is 6.5" this week. That's about the 
size of a Troll doll. 
Unsubscribe 
&lt;https://links.babylist.com/e/eh?_t=8761c0c919454d09b99afb962731a39b&amp;_m=a5354ca78cd</t>
  </si>
  <si>
    <t xml:space="preserve">
Hello D D, 
Thanks for submitting your missing AIR MILES® Reward Miles inquiry. 
Regarding this inquiry: 
Amount of Miles Missing: 50
Date of Purchase: 2024-04-15
Name of Partner or airmil</t>
  </si>
  <si>
    <t xml:space="preserve">
Hello Craig,
Thanks for submitting your missing AIR MILES® Reward Miles inquiry.
Before we look into this for you, we’ll need a bit more information. We would just need to know:
- Retailer </t>
  </si>
  <si>
    <t>Hello Craig,
Thanks for submitting your missing AIR MILES® Reward Miles inquiry.
Regarding this inquiry:
Amount of Miles Missing: 250
Date of Purchase: 2023-12-02
Name of Partner or airmiless</t>
  </si>
  <si>
    <t xml:space="preserve">
Hi Tm, 
My name is Samantha and I'm happy to respond to your missing AIR MILES® Reward Miles inquiry for purchase with Kent on Dec. 20/24.
Before we can help you out, we’ll need some supporti</t>
  </si>
  <si>
    <t>Hi Craig, 
My name is Samantha and I'm happy to respond your missing AIR MILES® Reward Miles inquiry for purchase with Shell on Jan. 18/2024.
In checking your account, you have requested 190 Miles</t>
  </si>
  <si>
    <t xml:space="preserve">Hello,
Thanks for submitting your missing AIR MILES® Reward Miles inquiry.
Before we look into this for you, we’ll need a bit more information regarding the 190 Missing Miles. How many liters was </t>
  </si>
  <si>
    <t>You scored BIG during the Redeem BIG Event! Your Miles are here.</t>
  </si>
  <si>
    <t>Hello, 
Thanks for submitting your missing AIR MILES® Reward Miles inquiry. 
Before we can help you out, we’ll need some supporting documentation, like a copy of your receipt. Please reply to this</t>
  </si>
  <si>
    <t xml:space="preserve">
 Foodland
https://click.em.foodland.ca/?qs=582932bf67ca8a91cc603e08a1131db2fb4b6fc69675e216fb114e35fd318e83cc4ff9590cd65e25a32fddbcaf1aa03a91e0f6fbbac2ea362ee9a54c824c2ca5 
Download th</t>
  </si>
  <si>
    <t>Hello Craig, 
Thanks for submitting your missing AIR MILES® Reward Miles inquiry. 
Since every store on AIR MILES Shops has different offers and criteria for earning Reward Miles, we’ll need som</t>
  </si>
  <si>
    <t>Missing Miles</t>
  </si>
  <si>
    <t xml:space="preserve">
Collector Name: CRAIG SCHULZ
Collector Number: 80101119188
Collector Email: serums_guises.0e@icloud.com
Collector Language: ENG
Amount of Miles Missing: 175
Date of Purchase: 2023-11-11 06:00:58
Na</t>
  </si>
  <si>
    <t>[Virus Error] Re: Thank you for submitting your missing miles request</t>
  </si>
  <si>
    <t>Hello Craig,
Thanks for submitting your missing AIR MILES® Reward Miles inquiry.
I’m happy to confirm that 70 Miles have now been posted to your collector account. The transaction will appear in</t>
  </si>
  <si>
    <t>Hello,
Thanks for submitting your missing AIR MILES® Reward Miles inquiry.
Before we look into this for you, we’ll need a bit more information.
- Did you sign in at www.airmiles.ca or www.airm</t>
  </si>
  <si>
    <t>AIR MILES Reward Program &lt;missingmiles@airmiles.ca&gt;</t>
  </si>
  <si>
    <t>Hello,
Thanks for submitting your missing AIR MILES® Reward Miles inquiry.
We are unable to see any standard miles posted to your account from Shell on February 13, 2024.
If there was a bon</t>
  </si>
  <si>
    <t>Hello,
Thanks for submitting your missing AIR MILES® Reward Miles inquiry.
Before we look into this for you, we’ll need a bit more information.
We are unable to see any standard miles posted</t>
  </si>
  <si>
    <t>Hello Lit,
Thanks for submitting your missing AIR MILES® Reward Miles inquiry.
I’m happy to confirm that 25 Miles have now been posted to your collector account for the purchase you made at Irving</t>
  </si>
  <si>
    <t>Hello,
Thanks for your email regarding collecting AIR MILES® Reward Miles from our partners.
Since it’s our partners that post any Miles you earn from them in your account, your collector card m</t>
  </si>
  <si>
    <t>AIR MILES Reward Program &lt;missingmiles_at_airmiles_ca_gs9ekn502ce72f_00n69254@icloud.com&gt;</t>
  </si>
  <si>
    <t>Hello Jeremt,
Thanks for submitting your missing AIR MILES® Reward Miles inquiry.
Before we look into this for you, we’ll need a bit more information.
- Did you sign in at www.airmilesshops.ca</t>
  </si>
  <si>
    <t>21 Weeks Pregnant: Babies Making Babies?</t>
  </si>
  <si>
    <t>21 Weeks Pregnant: Babies Making Babies? Your baby is 10.5" this week. That's 
about the size of a My Little Pony. 
Unsubscribe 
&lt;https://links.babylist.com/e/eh?_t=8761c0c919454d09b99afb962731a39b&amp;_</t>
  </si>
  <si>
    <t>AIR MILES Reward Program &lt;missingmiles_at_airmiles_ca_pqm9c6h7j31cpc_t6av9254@icloud.com&gt;</t>
  </si>
  <si>
    <t xml:space="preserve">
Hello Bob,
Thanks for submitting your missing AIR MILES® Reward Miles inquiry.
Before we look into this for you, we’ll need a bit more information.
Did you sign in at www.airmiles.ca or www.a</t>
  </si>
  <si>
    <t xml:space="preserve">Hello Babe,
Thanks for submitting your missing AIR MILES® Reward Miles inquiry.
Before we look into this for you, we’ll need a bit more information. Please tell us more about the missing miles.
</t>
  </si>
  <si>
    <t>Dear Lu Fuck off,
The following changes to your Apple ID, charliewharlie369@outlook.com, were made on 12 August 2024 at 10:24:30 GMT:
Name — changed from Craig  Schulz to Lu  Fuck off
If you did no</t>
  </si>
  <si>
    <t>Hello CRAIG,
Thanks for submitting your missing AIR MILES® Reward Miles inquiry.
Amount of Miles Missing: 70
Date of Purchase: 2024-04-11 18:21:57
Name of Partner or airmilesshops.ca online stor</t>
  </si>
  <si>
    <t>Dear L C,
The following changes to your Apple ID, charliewharlie369@outlook.com, were made on 13 August 2024 at 01:33:56 GMT:
Name — changed from Lu  Fuck off to L  C
If you did not make these chan</t>
  </si>
  <si>
    <t>Bonus Miles, contests and so much more!</t>
  </si>
  <si>
    <t>Dear L C,
The following changes to your Apple ID, charliewharlie369@outlook.com, were made on 16 August 2024 at 01:20:07 GMT:
Billing Information
If you did not make these changes, or if you believ</t>
  </si>
  <si>
    <t>Klarna &lt;noreply@m.klarna.com&gt;</t>
  </si>
  <si>
    <t>Shop safely with Buyer Protection.</t>
  </si>
  <si>
    <t xml:space="preserve">
&lt;!DOCTYPE html&gt;
&lt;html xmlns="http://www.w3.org/1999/xhtml" lang="en" xmlns:lang="en" xmlns:v="urn:schemas-microsoft-com:vml" xmlns:o="urn:schemas-microsoft-com:office:office"&gt;&lt;head</t>
  </si>
  <si>
    <t>Just 5 days left to get that epic winning feeling</t>
  </si>
  <si>
    <t>"Microsoft 365" &lt;Microsoft365@engage.microsoft.com&gt;</t>
  </si>
  <si>
    <t xml:space="preserve">&lt;!DOCTYPE HTML&gt;&lt;html xmlns="http://www.w3.org/1999/xhtml" xmlns:o="urn:schemas-microsoft-com:office:office" xmlns:v="urn:schemas-microsoft-com:vml" dir="ltr" lang="en-ca"&gt;&lt;head&gt;&lt;!--[if gte mso 9]&gt;
   </t>
  </si>
  <si>
    <t>Dear L C,
The following changes to your Apple ID, charliewharlie369@outlook.com, were made on 23 August 2024 at 04:31:09 GMT:
Billing Information
If you did not make these changes, or if you believ</t>
  </si>
  <si>
    <t>Simplii Financial &lt;noreply@simplii.com&gt;</t>
  </si>
  <si>
    <t>Thanks for your application. Here's what to do next.</t>
  </si>
  <si>
    <t>&lt;?xml version="1.0" encoding="ISO-8859-1"?&gt;&lt;html&gt;&lt;head&gt;
&lt;meta http-equiv="Content-Type" content="text/html; charset=iso-8859-1"&gt;&lt;body&gt;&lt;table style="border-spacing:0;font-family: Tahoma, Verdana, Segoe</t>
  </si>
  <si>
    <t>Simplii Financial Summary of Rates and Fees</t>
  </si>
  <si>
    <t xml:space="preserve">Thanks for your online application to Simplii Financial
TM
.
Hi
                                  </t>
  </si>
  <si>
    <t>"CHARLIEWHARLIE369@OUTLOOK.COM" &lt;CHARLIEWHARLIE369@OUTLOOK.COM&gt;</t>
  </si>
  <si>
    <t>CRAIG SCHULZ , you'll be banking with us soon! Ref#0009826511</t>
  </si>
  <si>
    <t xml:space="preserve">
[https://www.simplii.com/content/dam/simplii-assets/email/logos/simplii-financial-logotype-email-horizontal-pink.png/_jcr_content/renditions/cq5dam.thumbnail.319.319.png]
[https://www.simplii.com/co</t>
  </si>
  <si>
    <t>Jackpot City &lt;JackpotCity@JackpotCity-email.com&gt;</t>
  </si>
  <si>
    <t>Jackpot City welcomes you to Guess That Price!</t>
  </si>
  <si>
    <t>A sound was played on iPhone.</t>
  </si>
  <si>
    <t>A sound was played on iPhone.
             A sound was played on iPhone at 5:10PMADT on August25,2024.
Use the Find My app : https://fmipmail.icloud.com/fmipservice/mail/fmip/CA/fmdlocatio</t>
  </si>
  <si>
    <t>More savings. More Miles. Only with BMO.</t>
  </si>
  <si>
    <t xml:space="preserve">Hello Bob,
Thanks for submitting your missing AIR MILES® Reward Miles inquiry.
Before we look into this for you, we’ll need a bit more information.
[FOR AIR MILES SHOPS]
- Did you sign in at </t>
  </si>
  <si>
    <t>Hello Babe,
Thanks for submitting your missing AIR MILES® Reward Miles inquiry.
Before we look into this for you, we’ll need a bit more information.
[FOR AIR MILES SHOPS]
- Did you sign in at</t>
  </si>
  <si>
    <t xml:space="preserve">Dear L C,
                Your Apple ID (charliewharlie369@outlook.com) was used to sign in to iCloud via a web browser.
    Date and Time: </t>
  </si>
  <si>
    <t>Hello CRAIG,
Thanks for submitting your missing AIR MILES® Reward Miles inquiry. 
Upon reviewing your account I don't see any purchase made with Air Miles Shops as of yet. So before we look in</t>
  </si>
  <si>
    <t>Hello TM,
Thanks for submitting your missing AIR MILES® Reward Miles inquiry.
Before we look into this for you, we’ll need a bit more information.
[FOR AIR MILES SHOPS]
- Did you sign in at w</t>
  </si>
  <si>
    <t>Keeping your details safe =?UTF-8?B?8J+UkC4=?=</t>
  </si>
  <si>
    <t>Uber Eats &lt;uber@uber.com&gt;</t>
  </si>
  <si>
    <t>placed.sj@gmail.com</t>
  </si>
  <si>
    <t>Craig n Emma, get your snacks brought to you</t>
  </si>
  <si>
    <t>&lt;!doctype html&gt;
&lt;html xmlns="http://www.w3.org/1999/xhtml" xmlns:v="urn:schemas-microsoft-com:vml" xmlns:o="urn:schemas-microsoft-com:office:office"&gt;
&lt;head&gt;
&lt;meta http-equiv="Content-Type" content="te</t>
  </si>
  <si>
    <t>"Uber Eats" &lt;uber@uber.com&gt;</t>
  </si>
  <si>
    <t>&lt;placed.sj@gmail.com&gt;</t>
  </si>
  <si>
    <t>Place your next order!</t>
  </si>
  <si>
    <t>&lt;!doctype html&gt;
&lt;html xmlns="http://www.w3.org/1999/xhtml" xmlns:v="urn:schemas-microsoft-com:vml" xmlns:o="urn:schemas-microsoft-com:office:office"&gt;
&lt;head&gt;
&lt;meta http-equiv="Content-Type" content=</t>
  </si>
  <si>
    <t>26 Weeks Pregnant: Booty Problems...</t>
  </si>
  <si>
    <t>26 Weeks Pregnant: Booty Problems... Your baby is 14" this week. That's about 
the size of a VHS tape case. 
Unsubscribe 
&lt;https://links.babylist.com/e/eh?_t=8761c0c919454d09b99afb962731a39b&amp;_m=446ae</t>
  </si>
  <si>
    <t>Craig n Emma, your 50% off expires soon!</t>
  </si>
  <si>
    <t>Quora Digest &lt;english-personalized-digest@quora.com&gt;</t>
  </si>
  <si>
    <t>Top stories for B
-----
Question: What do high-end restaurants do if a credit card is declined at the end of a meal?
Answer from Nikhil Kumar Kapoor
Okay, I worked as a server, in a High end res</t>
  </si>
  <si>
    <t>Uber Eats &lt;ubereats@uber.com&gt;</t>
  </si>
  <si>
    <t>50% off your next 3 orders - just for you =?UTF-8?B?8J+RgA==?=</t>
  </si>
  <si>
    <t>Top stories for B
-----
Question: Are there any health benefits to eating overripe bananas?
Answer from Munyaradzi Chakweva. Jr
We've all been there - staring at those overripe bananas on our ki</t>
  </si>
  <si>
    <t>"Uber Eats" &lt;ubereats@uber.com&gt;</t>
  </si>
  <si>
    <t>50% off is waiting for you at checkout</t>
  </si>
  <si>
    <t>Top stories for B
-----
Question: What does a narcissist do when they know they have lost you and you are not coming back?
Answer from Abdullah
Actually narcissist heavily rely on your forgiving</t>
  </si>
  <si>
    <t>Save on these restaurant dishes.</t>
  </si>
  <si>
    <t>27 Weeks Pregnant: Contractions? 📲Your OB if... Your baby is 14.4" this week. 
That's about the size of Barbie. 
Unsubscribe 
&lt;https://links.babylist.com/e/eh?_t=8761c0c919454d09b99afb962731a39b&amp;_m=5</t>
  </si>
  <si>
    <t>Uber One &lt;uberone@uber.com&gt;</t>
  </si>
  <si>
    <t>Craig n Emma, enjoy Uber Eats for less as a member</t>
  </si>
  <si>
    <t>Top stories for B
-----
Question: What if I eat 4 eggs daily?
Answer from Winnestone K
Eating 4 eggs daily - it's a controversial topic that has divided people for years. Some say it's a healthy</t>
  </si>
  <si>
    <t>"PUMA" &lt;email@email.ca.puma.com&gt;</t>
  </si>
  <si>
    <t>40 % de rabais pour les ami.e.s. et la famille</t>
  </si>
  <si>
    <t>La vente que tu attendais
 ‌ ‌ ‌ ‌ ‌ ‌ ‌ ‌ ‌ ‌ ‌ ‌ ‌  ‌ ‌ ‌ ‌ ‌ ‌ ‌ ‌ ‌ ‌  ‌ ‌ ‌ ‌ ‌ ‌ ‌ ‌ ‌ ‌ ‌ ‌ ‌  ‌ ‌ ‌ ‌ ‌ ‌ ‌ ‌ ‌ ‌ ‌ ‌ ‌  ‌ ‌ ‌ ‌ ‌ ‌ ‌ ‌ ‌ ‌ ‌ ‌ ‌  ‌ ‌ ‌ ‌ ‌ ‌ ‌ ‌ ‌ ‌ ‌ ‌ ‌  ‌ ‌ ‌ ‌ ‌ ‌ ‌ ‌ </t>
  </si>
  <si>
    <t>Quora &lt;curiosity-noreply@quora.com&gt;</t>
  </si>
  <si>
    <t>Stories from your activity
-----
Question: How do I connect an Android phone to a USB cable?
Answer from R. E. Bruce Martin
Android Wired to Other Devices:
1. Legal Disclaimer:
===============</t>
  </si>
  <si>
    <t>Top stories for B
-----
Question: What is the most difficult building to reach on the entire globe?
Asked in Extremely interesting facts, Answer from Alessandro13
The Thridarangar lighthouse , s</t>
  </si>
  <si>
    <t>"Uber" &lt;uber@uber.com&gt;</t>
  </si>
  <si>
    <t>Temu &lt;email@market.temuemail.com&gt;</t>
  </si>
  <si>
    <t>Awfully sorry for the delay</t>
  </si>
  <si>
    <t xml:space="preserve">-----------------------------------------------------------------------
Temu
-----------------------------------------------------------------------
To properly view the full message content, please </t>
  </si>
  <si>
    <t>Explore a world of possibilities with Uber One</t>
  </si>
  <si>
    <t>Please Confirm It ASAP...</t>
  </si>
  <si>
    <t>&lt;!------------- AM HTML EMAIL BOILERPLATE v5.0 // RDELACRUZ -------------&gt;
&lt;!DOCTYPE HTML&gt;
&lt;html xmlns="http://www.w3.org/1999/xhtml"
xmlns:v="urn:schemas-microsoft-com:vml"
xmlns:o="urn:schemas-micro</t>
  </si>
  <si>
    <t>Successfully Accepted =?UTF-8?B?4pyF?=</t>
  </si>
  <si>
    <t>Delicious eats on your budget!</t>
  </si>
  <si>
    <t>Uber &lt;uber@uber.com&gt;</t>
  </si>
  <si>
    <t>"Shed Suite Team" &lt;newsletter@shedsuite.com&gt;</t>
  </si>
  <si>
    <t>Casey Wiggins Joins Shed Suite!</t>
  </si>
  <si>
    <t>Meet our new Biz Dev Lead, Shed Expo photos, and learn effective networking.  ‌ ‌ ‌ ‌ ‌ ‌ ‌ ‌ ‌ ‌ ‌ ‌ ‌ ‌ ‌ ‌ ‌ ‌ ‌ ‌ ‌ ‌ ‌ ‌ ‌ ‌ ‌ ‌ ‌ ‌ ‌ ‌ ‌ ‌ ‌ ‌ ‌ ‌ ‌ ‌ ‌ ‌ ‌ ‌ ‌ ‌ ‌ ‌ ‌ ‌ ‌ ‌ ‌ ‌ ‌ ‌ ‌ ‌ ‌ ‌ ‌ </t>
  </si>
  <si>
    <t xml:space="preserve">
&lt;!------------- AM HTML EMAIL BOILERPLATE v5.0 // RDELACRUZ -------------&gt;
&lt;!DOCTYPE HTML&gt;
&lt;html xmlns="http://www.w3.org/1999/xhtml"
xmlns:v="urn:schemas-microsoft-com:vml"
xmlns:o="urn:schemas-micr</t>
  </si>
  <si>
    <t>"Simplii Financial" &lt;Simplii-Financial@marketing.simplii.com&gt;</t>
  </si>
  <si>
    <t>Hi Craig, ignite no-fee savings with your first deposit</t>
  </si>
  <si>
    <t>The moment has come to fund your new Simplii Financial™ account.
Boom. Let the funds begin    Image.  Image.
Hi Craig,
Move money into your new Simplii Financial savings account —
it's up and ready</t>
  </si>
  <si>
    <t>Did someone say FREE wings? =?UTF-8?B?8J+QlA==?=</t>
  </si>
  <si>
    <t>A Footlong could be your ticket to Paris.</t>
  </si>
  <si>
    <t>Hello Babe.
Thanks for submitting your missing AIR MILES® Reward Miles inquiry.
I’m happy to confirm that 25 Miles have now been posted to your collector account. The transaction will appear in yo</t>
  </si>
  <si>
    <t>"Walmart Canada" &lt;offers@e.walmart.ca&gt;</t>
  </si>
  <si>
    <t xml:space="preserve">Walmart
https://click.e.walmart.ca/u/?qs=215584f82c739612c1501b6153a87d525fed23f0e46d50bba634a6c55dbfcb2b570f6fe555802f19cf8b45ec233e876d5eb43b0f6471693658562a60f7ee43f8 
View web version of </t>
  </si>
  <si>
    <t>These deals? So hot =?UTF-8?B?8J+UpQ==?=</t>
  </si>
  <si>
    <t xml:space="preserve">
Check out our latest deals round-up
      96       * { font-family:
sans-serif !important; }
‌ ‌ ‌ ‌ ‌ ‌ ‌ ‌ ‌ ‌ ‌ ‌ ‌ ‌ ‌ ‌ ‌ ‌ ‌ ‌ ‌ ‌ ‌</t>
  </si>
  <si>
    <t>Here are 100 reasons to play</t>
  </si>
  <si>
    <t xml:space="preserve">
Hello Babe,
Thanks for submitting your missing AIR MILES® Reward Miles inquiry. 
Before we can help you out, we’ll need some supporting documentation, like a copy of your receipt. If your pur</t>
  </si>
  <si>
    <t>Craig n Emma, got room for a =?UTF-8?B?ZGlzY291bnQ/8J+NtA==?=</t>
  </si>
  <si>
    <t>Top stories for B
-----
Question: Why are electric cars hard to resell? Is it mostly just the battery?
Answer from Mr One in a Million.
There is a recent video by an anti-EV newspaper stating th</t>
  </si>
  <si>
    <t xml:space="preserve">Hi Craig, earn a $500 cash bonus   </t>
  </si>
  <si>
    <t>Plus no more monthly banking fees!
Get rolling. Earn a $500‡ cash bonus
Open a Simplii Financial™ No Fee Chequing Account now
-----------------------------------------------------
Hey Craig,
You</t>
  </si>
  <si>
    <t>Indigo &lt;email@indigo.ca&gt;</t>
  </si>
  <si>
    <t>Fan-Fave Reads + Deals of the Week!</t>
  </si>
  <si>
    <t xml:space="preserve">Buy 2, get the 3rd free: select kids' fantasy series from Harper Collins. Plus, 25% off books by Malcolm Gladwell, and more.  ͏ ͏ ͏ ͏ ͏ ͏ ͏ ͏ ͏ ͏ ͏ ͏ ͏ ͏ ͏ ͏ ͏ ͏ ͏ ͏ ͏ ͏ ͏ ͏ ͏ ͏ ͏ ͏ ͏ ͏ ͏ ͏ ͏ ͏ ͏ ͏ ͏ </t>
  </si>
  <si>
    <t>Craig n Emma, add a different payment method</t>
  </si>
  <si>
    <t xml:space="preserve">
&lt;!doctype html&gt;
&lt;html xmlns="http://www.w3.org/1999/xhtml" xmlns:v="urn:schemas-microsoft-com:vml" xmlns:o="urn:schemas-microsoft-com:office:office"&gt;
&lt;head&gt;
&lt;meta http-equiv="Content-Type" content="t</t>
  </si>
  <si>
    <t>Top stories for B
-----
Question: How can we identify a DC and AC motor?
Answer from M A N I .P
The easiest way to identify a DC motor is to look for the presence of brushes and commutator. DC m</t>
  </si>
  <si>
    <t>40% off your next 3 orders - just for you =?UTF-8?B?8J+RgA==?=</t>
  </si>
  <si>
    <t>Ready for ad-free music listening again?</t>
  </si>
  <si>
    <t>REJOIN PREMIUM https://www.spotify.com/premium?utm_source=Spotify_premiumupsell&amp;utm_medium=house_email&amp;utm_campaign=2023q2_premium_productGeneric_lifecycle_offerFullPrice&amp;utm_content=zz_global_global_</t>
  </si>
  <si>
    <t>40% off is waiting for you at checkout</t>
  </si>
  <si>
    <t>Trupanion &lt;info@trupanion.com&gt;</t>
  </si>
  <si>
    <t>October Newsletter
Trupanion’s Tricked Out for Treats Pet-tacular begins!
All furry friends are hereby invited to Trupanion’s Tricked Out for Treats Pet-tacular — a photo contest bubbling with tail-wa</t>
  </si>
  <si>
    <t>Top stories for B
-----
Question: Do smokers lungs heal after quitting?
Answer from Daniel Kaplan
It depends upon how damaged they were before quitting. Some heal to some degree.
I have two fri</t>
  </si>
  <si>
    <t>Get back on track with Premium</t>
  </si>
  <si>
    <t xml:space="preserve">
Rediscover Premium
Spotify Prepaid Premium https://spotify.com/premium?utm_source=spotify_gp&amp;utm_medium=email&amp;utm_campaign=GP_20q4_PrepaidProgram_expiry&amp;utm_content=email3--baseline-expiry
Listen l</t>
  </si>
  <si>
    <t>Ninja AI &lt;communications@ninjatech.ai&gt;</t>
  </si>
  <si>
    <t>K O &lt;placed.sj@gmail.com&gt;</t>
  </si>
  <si>
    <t>Analyze and summarize complex documents in seconds
 =?UTF-8?B?8J+noA==?=</t>
  </si>
  <si>
    <t>Hi K,
With MyNinja Pro &amp; Ultra, working with information just got easier, thanks to our file upload feature.
Simply upload your files and let MyNinja perform a variety of tasks — from summarizing co</t>
  </si>
  <si>
    <t xml:space="preserve">Hi Craig, keep banking with Simplii &amp; start earning cash back </t>
  </si>
  <si>
    <t xml:space="preserve">Earn cash back on everything with our Cash Back Visa* Card.
Apply today!  Image.   Spend away. Earn cash back today.   Spend
away. Earn cash back today.  Image. Image.
Open a Simplii Financial™ Cash </t>
  </si>
  <si>
    <t>Calling all Snackers!</t>
  </si>
  <si>
    <t>20% off Costco $90+. Last chance!</t>
  </si>
  <si>
    <t>Temu &lt;email@ca.temuemail.com&gt;</t>
  </si>
  <si>
    <t>Instacart &lt;no-reply@customers.instacartemail.com&gt;</t>
  </si>
  <si>
    <t>Hey Craig, your $5 off at Shoppers Drug Mart expires soon</t>
  </si>
  <si>
    <t xml:space="preserve">
Instacart      96             body, center, th, td, div,
span, h1, h2, h3, h4, h5, h6, p, ul, ol, li, a {
mso-line-height-rule: exactly; -ms-text-size-adjust: 100</t>
  </si>
  <si>
    <t>Restaurant offers on right now</t>
  </si>
  <si>
    <t>"Babylist" &lt;hello@newsletter.babylist.com&gt;</t>
  </si>
  <si>
    <t>A pelvic floor nighttime routine + hospital rankings</t>
  </si>
  <si>
    <t xml:space="preserve">October Prime Day deals are still live! ‌ ‌ ‌ ‌ ‌ ‌ ‌ ‌ ‌ ‌ ‌ ‌ ‌ ‌ ‌ ‌ ‌ ‌ ‌ ‌ 
‌ ‌ ‌ ‌ ‌ ‌ ‌ ‌ ‌ ‌ ‌ ‌ ‌ ‌ ‌ ‌ ‌ ‌ ‌ ‌ ‌ ‌ ‌ ‌ ‌ ‌ ‌ ‌ ‌ ‌ ‌ ‌ ‌ ‌ ‌ ‌ ‌ ‌ ‌ ‌ 
‌ ‌ ‌ ‌ ‌ ‌ ‌ ‌ ‌ ‌ ‌ ‌ ‌ ‌ ‌ ‌ ‌ ‌ ‌ </t>
  </si>
  <si>
    <t>Save on groceries with 20% off $70+ at Walmart</t>
  </si>
  <si>
    <t>Save on groceries with 50% off $50+ at Walmart</t>
  </si>
  <si>
    <t xml:space="preserve">Walmart
https://click.e.walmart.ca/u/?qs=7c6512e15c0aec8e8f57b4f36a8133fbda866279ee48f44e80954cc42480026f4751c978cb14162f935ae16106731616736321a89eed077b1625de5e9563445b 
View web version of </t>
  </si>
  <si>
    <t>BOGO nuggets from Burger =?UTF-8?B?S2luZ8Ku?=</t>
  </si>
  <si>
    <t>New Season, New Brands</t>
  </si>
  <si>
    <t xml:space="preserve">
&lt;!DOCTYPE html&gt;
&lt;html xmlns="http://www.w3.org/1999/xhtml" lang="en" xmlns:lang="en" xmlns:v="urn:schemas-microsoft-com:vml" xmlns:o="urn:schemas-microsoft-com:office:office"&gt;&lt;head&gt;&lt;meta http-e</t>
  </si>
  <si>
    <t>Your serving of savings, Craig n Emma</t>
  </si>
  <si>
    <t>Up to 50% off on Halloween essentials</t>
  </si>
  <si>
    <t>Chills, thrills, and 1 month of Premium for $1. It's $12.69/mo after.
 Cancel anytime.</t>
  </si>
  <si>
    <t xml:space="preserve">
Dare to come back to Premium with 1 month for $1. It's only $12.69/mo after. Cancel anytime. 
Your musical fate awaits: try ad-free music listening with 1 month of Premium for $1, it's $12.69/mo af</t>
  </si>
  <si>
    <t>"Temu" &lt;email@market.temuemail.com&gt;</t>
  </si>
  <si>
    <t xml:space="preserve">Hi Craig, get the money you need for the things you need </t>
  </si>
  <si>
    <t>It’s easy with a Simplii Financial™ Personal Line of Credit or
mortgage.  Image.  Set your dreams free    Image.  Image.
Borrow the money you need with help from us
---------------------------------</t>
  </si>
  <si>
    <t>Season of savings</t>
  </si>
  <si>
    <t>Top stories for B
-----
Question: I smoke weed nearly every day to deal with life. I need to stop playing the victim and take control how I know I can. Do you have words of empowerment?
Asked in C</t>
  </si>
  <si>
    <t>Hey Craig, your $20 off at Kent Building Supplies expires soon</t>
  </si>
  <si>
    <t>Satisfy cravings with 40% off convenience store orders  CA$25+ (max
 $20 off) =?UTF-8?B?8J+kpA==?=</t>
  </si>
  <si>
    <t xml:space="preserve">See your poll results!  ‌  ‌  ‌  ‌  ‌  ‌  ‌  ‌  ‌  ‌  ‌  ‌  ‌  ‌  ‌  ‌  ‌  ‌  
‌  ‌  ‌  ‌  ‌  ‌  ‌  ‌  ‌  ‌  ‌  ‌  ‌  ‌  ‌  ‌  ‌  ‌  ‌  ‌  ‌  ‌  ‌  ‌  ‌  ‌  
‌  ‌  ‌  ‌  ‌  ‌  ‌  ‌  ‌  ‌  ‌  ‌  ‌  ‌  </t>
  </si>
  <si>
    <t>Get back into your Spotify account</t>
  </si>
  <si>
    <t xml:space="preserve">
Hi Dad,
Welcome back to Spotify. To complete your login, select the button below on your mobile device. This link is valid for 4 hours.
GO TO SPOTIFY ( https://accounts.spotify.com/login/ott/mus</t>
  </si>
  <si>
    <t>Uncover 1 month of Premium for $1, and $12.69/mo after. Cancel
 anytime.</t>
  </si>
  <si>
    <t xml:space="preserve">
Come back to Premium: we're treating you to 1 month of Premium for $1, and $12.69/mo after. Cancel anytime.
Re-discover your musical fate with Premium. Download your favorite tracks to listen whene</t>
  </si>
  <si>
    <t xml:space="preserve">Top stories for B
-----
Question: What would make each MBTI cry?
Answer from Elsa Oganesyan
My personal opinion:
INTJ - They usually take super long until trusting someone and building a close </t>
  </si>
  <si>
    <t xml:space="preserve">Hi Craig, your $500 bonus is waiting   </t>
  </si>
  <si>
    <t>Blast away monthly banking fees with a Simplii™ No Fee Chequing
Account.
Don't forget. You can earn $500(‡) bonus cash.
Open a Simplii Financial No Fee Chequing Account today!
----------------------</t>
  </si>
  <si>
    <t xml:space="preserve">Walmart
https://click.e.walmart.ca/u/?qs=311135a0db9ecfff113479118249c1c72c5437e977f08d9171972f61de3e9e04d4a2dffc0a4ee1f415c5bcf6eb3c47ca86a7efcb20ed92fe5e95dab3e4ce0b1f 
View web version of </t>
  </si>
  <si>
    <t>Make your day with Premium.</t>
  </si>
  <si>
    <t xml:space="preserve">
Premium rituals
Spotify Prepaid Premium https://spotify.com/premium?utm_source=spotify_gp&amp;utm_medium=email&amp;utm_campaign=GP_20q4_PrepaidProgram_expiry&amp;utm_content=email4-baseline-expiry
Crunch abs
</t>
  </si>
  <si>
    <t>Get 30% when you Build Your Own Pizza</t>
  </si>
  <si>
    <t>"Circle K Atlantic Canada" &lt;em@newsletter.circlek.com&gt;</t>
  </si>
  <si>
    <t>A VIP Trip Awaits + Deals In-store</t>
  </si>
  <si>
    <t>A VIP trip to a UFC watch party could be yours  ‌ ‌ ‌ ‌ ‌ ‌ ‌ ‌ ‌ ‌ ‌ ‌ ‌ ‌ ‌ ‌ ‌ ‌ ‌ ‌ ‌ ‌ ‌ ‌ ‌ ‌ ‌ ‌ ‌ ‌ ‌ ‌ ‌ ‌ ‌ ‌ ‌ ‌ ‌ ‌ ‌ ‌ ‌ ‌ ‌ ‌ ‌ ‌ ‌ ‌ ‌ ‌ ‌ ‌ ‌ ‌ ‌ ‌ ‌ ‌ ‌ ‌ ‌ ‌ ‌ ‌ ‌ ‌ ‌ ‌ ‌ ‌ ‌ ‌ ‌ ‌ </t>
  </si>
  <si>
    <t>Top stories for B
-----
Question: I sent someone a friend request on Facebook, and when I checked back later it said I could only message the person, what happened?
Answer from Sheryl Leighann
T</t>
  </si>
  <si>
    <t>Up to 50% off Halloween tricks and treats</t>
  </si>
  <si>
    <t>Unlock exclusive Small Business Month offers with TELUS Business</t>
  </si>
  <si>
    <t>JackpotCity &lt;JackpotCity@JackpotCity-email.com&gt;</t>
  </si>
  <si>
    <t>We don't talk anymore, Dale =?UTF-8?B?8J+Yog==?=</t>
  </si>
  <si>
    <t>Credit Back - sent on 2024-10-25</t>
  </si>
  <si>
    <t>Top stories for B
-----
Question: When will AC get replaced by DC?
Answer from Dean Rubine
For electric power transmission to homes and businesses? Probably never, as Edison found out — it’s too</t>
  </si>
  <si>
    <t>Last chance: don't let 1 month of Premium for $1 vanish. $12.69/mo
 after. Cancel anytime.</t>
  </si>
  <si>
    <t xml:space="preserve">
Last chance: 1 month of Premium for $1, and $12,69/mo after. Cancel anytime. 
The night awaits with ad-free music listening.
See what your musical destiny reveals: uncover 1 month of Premium for $</t>
  </si>
  <si>
    <t>Hey Craig, your $10 off at Michaels Canada expires soon</t>
  </si>
  <si>
    <t xml:space="preserve">
Instacart      96             body, center, th, td, div,
span, h1, h2, h3, h4, h5, h6, p, ul, ol, li, a {
mso-line-height-rule: exactly; -ms-text-size-adjust: 10</t>
  </si>
  <si>
    <t>BOGO Small Popcorn Chicken from KFC</t>
  </si>
  <si>
    <t xml:space="preserve">Your baby is 17.2" this week. That's about the size of a lunch box. ‌ ‌ ‌ ‌ ‌ ‌ 
‌ ‌ ‌ ‌ ‌ ‌ ‌ ‌ ‌ ‌ ‌ ‌ ‌ ‌ ‌ ‌ ‌ ‌ ‌ ‌ ‌ ‌ ‌ ‌ ‌ ‌ ‌ ‌ ‌ ‌ ‌ ‌ ‌ ‌ ‌ ‌ ‌ ‌ ‌ ‌ 
‌ ‌ ‌ ‌ ‌ ‌ ‌ ‌ ‌ ‌ ‌ ‌ ‌ ‌ ‌ ‌ ‌ ‌ ‌ </t>
  </si>
  <si>
    <t>With up to 50% off, Halloween deals =?UTF-8?B?YXJlbuKAmXQ=?= dead
 yet.</t>
  </si>
  <si>
    <t>Hungry for a deal, Craig n Emma?</t>
  </si>
  <si>
    <t>You still have CA$90 in Credits unclaimed</t>
  </si>
  <si>
    <t>Epic $4K Gaming Prize Packs + Save on Fuel with Hometown Rewards</t>
  </si>
  <si>
    <t>Crispers, Cadbury, &amp; SPK Candy, oh my! Grab your favs &amp; enter for an EPIC $4K gaming prize pack!  ‌ ‌ ‌ ‌ ‌ ‌ ‌ ‌ ‌ ‌ ‌ ‌ ‌ ‌ ‌ ‌ ‌ ‌ ‌ ‌ ‌ ‌ ‌ ‌ ‌ ‌ ‌ ‌ ‌ ‌ ‌ ‌ ‌ ‌ ‌ ‌ ‌ ‌ ‌ ‌ ‌ ‌ ‌ ‌ ‌ ‌ ‌ ‌ ‌ ‌ ‌ </t>
  </si>
  <si>
    <t>Save on the tastes you crave</t>
  </si>
  <si>
    <t>Miss easy shopping? Top picks are ready for you.</t>
  </si>
  <si>
    <t>Spring Financial &lt;no-reply@e.springfinancial.ca&gt;</t>
  </si>
  <si>
    <t>Emma Ryan &lt;charliewharlie369@outlook.com&gt;</t>
  </si>
  <si>
    <t>Emma, cover what matters most with a personal loan</t>
  </si>
  <si>
    <t>Check out our competitive rates, loan amounts and convenient repayment options. 
&lt;https://www.springfinancial.ca/apply-now/?utm_source=email&amp;utm_medium=email-campaign&amp;utm_campaign=SF_E_Camp_PL_Spri</t>
  </si>
  <si>
    <t>Tasty offers are waiting</t>
  </si>
  <si>
    <t>Kindly accept: CA$100 off, no min. spend.</t>
  </si>
  <si>
    <t>Hey Craig, use your $15 off at Walmart before it expires</t>
  </si>
  <si>
    <t>Bring on the savings =?UTF-8?B?8J+lsw==?=</t>
  </si>
  <si>
    <t>BOGO 6pc wings from Mary =?UTF-8?B?QnJvd27igJlzIENoaWNrZW4g8J+QlA==?=</t>
  </si>
  <si>
    <t>Top stories for B
-----
Question: What is the purpose of using diodes with transistors in switching circuits? What would happen if diodes were not used in conjunction with transistors?
Answer from</t>
  </si>
  <si>
    <t>30% off is waiting for you at checkout</t>
  </si>
  <si>
    <t>Get these deals while =?UTF-8?B?dGhleeKAmXJl?= hot</t>
  </si>
  <si>
    <t>Top stories for B
-----
Question: If I connect a neutral wire to the ground rod, is there any case where there will be current flowing from the ground rod to the source via the neutral wire?
Answe</t>
  </si>
  <si>
    <t>Emma Ryan &lt;noreply@email.apple.com&gt;</t>
  </si>
  <si>
    <t>Subscribe to Emma Ryan’s “C”?
You are invited to view these shared photos and post your own photos, videos and comments.
Other subscribers will see your email address when you join.
Subscribe - http</t>
  </si>
  <si>
    <t>BOGO deal from =?UTF-8?B?TWNEb25hbGTigJlz?=</t>
  </si>
  <si>
    <t>Rediscover the sound of Premium</t>
  </si>
  <si>
    <t xml:space="preserve">
What you've been missing...
Spotify Prepaid Premium https://spotify.com/premium?utm_source=spotify_gp&amp;utm_medium=email&amp;utm_campaign=GP_20q4_PrepaidProgram_churn&amp;utm_content=email1--baseline-churn
O</t>
  </si>
  <si>
    <t>Top stories for B
-----
Question: Why does Tesla require their cars to be towed and maintenance performed when the 12 volt battery goes dead (the little one)?
Answer from Josh Osborne
They don’t</t>
  </si>
  <si>
    <t>Deals In-Store + Your Tokyo Adventure Awaits</t>
  </si>
  <si>
    <t>Buy a Monster Energy drink &amp; enter for your chance to win a trip to Tokyo!*  ‌ ‌ ‌ ‌ ‌ ‌ ‌ ‌ ‌ ‌ ‌ ‌ ‌ ‌ ‌ ‌ ‌ ‌ ‌ ‌ ‌ ‌ ‌ ‌ ‌ ‌ ‌ ‌ ‌ ‌ ‌ ‌ ‌ ‌ ‌ ‌ ‌ ‌ ‌ ‌ ‌ ‌ ‌ ‌ ‌ ‌ ‌ ‌ ‌ ‌ ‌ ‌ ‌ ‌ ‌ ‌ ‌ ‌ ‌ ‌ ‌ ‌</t>
  </si>
  <si>
    <t>Dishes and discounts catered to your taste</t>
  </si>
  <si>
    <t>How Can Debt Consolidation Help You?</t>
  </si>
  <si>
    <t>Is debt consolidation right for you? 
&lt;https://www.springfinancial.ca/apply-now/?utm_source=email&amp;utm_medium=email-campaign&amp;utm_campaign=SF_E_Camp_PL_DebtConsolidation_2411&amp;utm_content=logo&amp;SID=ema</t>
  </si>
  <si>
    <t>The sweetest deal of the season is here.</t>
  </si>
  <si>
    <t>Play it back with Spotify Premium. Get 3 months for $12.69.
 $12.69/mo. after. Cancel anytime.</t>
  </si>
  <si>
    <t>Spotify Premium https://www.spotify.com/purchase/offer/2024-q4globalcampaign-winback-3m-for-1/?splot=IgrxrkzjSiagbcRQd_yF-gHoliday 
3 months of Spotify Premium for $12.69. $12.69/mo. after. Cancel an</t>
  </si>
  <si>
    <t>🔥 Important dates ahead 🔥 December spending trends 
‌ 
 Is December a big spending month? | Open this email in your browser. 
&lt;https://links.springfinancial.ca/e/evib?_t=2999a1a9774a451dae406c926a6e</t>
  </si>
  <si>
    <t>Uber &lt;noreply@uber.com&gt;</t>
  </si>
  <si>
    <t>Craig n Emma, your Uber account phone number was updated</t>
  </si>
  <si>
    <t>"Circle K Canada" &lt;em@newsletter.circlek.com&gt;</t>
  </si>
  <si>
    <t>Tis the Season for Prizes!</t>
  </si>
  <si>
    <t>Big prizes like $10,000 cash, $2,500 Sunwing travel vouchers, Visa gift cards, and more!  ‌ ‌ ‌ ‌ ‌ ‌ ‌ ‌ ‌ ‌ ‌ ‌ ‌ ‌ ‌ ‌ ‌ ‌ ‌ ‌ ‌ ‌ ‌ ‌ ‌ ‌ ‌ ‌ ‌ ‌ ‌ ‌ ‌ ‌ ‌ ‌ ‌ ‌ ‌ ‌ ‌ ‌ ‌ ‌ ‌ ‌ ‌ ‌ ‌ ‌ ‌ ‌ ‌ ‌ ‌ </t>
  </si>
  <si>
    <t>Craig n Emma, these discounts are calling your name</t>
  </si>
  <si>
    <t>Don't let 3 months of Spotify Premium for $12.69 go. $12.69/month
 after.  Cancel anytime.</t>
  </si>
  <si>
    <t xml:space="preserve">Spotify Premium https://www.spotify.com/purchase/offer/2024-q4globalcampaign-winback-3m-for-1/?splot=KiBzGwwkS3GUDYlZh3NYmAPremium  
Take the party anywhere with Premium. 3 months of Spotify Premium </t>
  </si>
  <si>
    <t>Atlantic Lottery &lt;info@alc.ca&gt;</t>
  </si>
  <si>
    <t>Atlantic Lottery - Your password reset request.</t>
  </si>
  <si>
    <t xml:space="preserve">
&lt;!DOCTYPE html&gt;
&lt;html&gt;
&lt;head&gt;
  &lt;meta name="viewport" content="width=device-width"&gt;
  &lt;meta http-equiv="Content-Type" content="text/html; charset=UTF-8"&gt;
  &lt;title&gt;Atlantic Lottery - Your password re</t>
  </si>
  <si>
    <t>Jingle your way to $10K with 31 Days of Circle K!</t>
  </si>
  <si>
    <t>$3 off a Footlong sub? YEE-HAW!</t>
  </si>
  <si>
    <t>Offers on the flavors you love most</t>
  </si>
  <si>
    <t>See what =?UTF-8?B?d2XigJl2ZQ==?= picked out just for you</t>
  </si>
  <si>
    <t>Congratulations on your alc.ca Promo Reward</t>
  </si>
  <si>
    <t xml:space="preserve">
&lt;!DOCTYPE html&gt;
&lt;html&gt;
&lt;head&gt;
  &lt;meta name="viewport" content="width=device-width"&gt;
  &lt;meta http-equiv="Content-Type" content="text/html; charset=UTF-8"&gt;
  &lt;title&gt;Congratulations on your alc.ca Prom</t>
  </si>
  <si>
    <t>Raquel Chamborro Cerqueira &lt;rchamborro@cupapizarras.com&gt;</t>
  </si>
  <si>
    <t>"office@paulsroofing.pro" &lt;office@paulsroofing.pro&gt;</t>
  </si>
  <si>
    <t xml:space="preserve">Hello, Craig,
I am writing to you from the marketing department of CUPA Pizarras regarding your request for information about our THERMOSLATE thermal-solar panels.
First of all, I would like to thank </t>
  </si>
  <si>
    <t>Tracy Jones &lt;tjones@financeit.io&gt;</t>
  </si>
  <si>
    <t>paul@paulsroofing.pro</t>
  </si>
  <si>
    <t>Paul</t>
  </si>
  <si>
    <t xml:space="preserve">HI Paul i just tried to call,
Quick question the legal business name provided
Kennebecasis Valley Roofing
Your business registration is showing inactive, was this the correct name
to apply under?
</t>
  </si>
  <si>
    <t>Get in on 3 months of Spotify Premium for $12.69 now. $12.69/mo.
 after. Cancel anytime.</t>
  </si>
  <si>
    <t>Spotify Premium https://www.spotify.com/purchase/offer/2024-q4globalcampaign-winback-3m-for-1/?splot=tqzKQ4SSTBu5TcuA0A8BegPremium 
Find your new funk. Try 3 months for $12.69. $12.69/mo. after. Canc</t>
  </si>
  <si>
    <t>Make this Footlong Season a buzzer beater.</t>
  </si>
  <si>
    <t xml:space="preserve">Hello, Craig,
I am writing to you again from the marketing department of CUPA Pizarras regarding your request for information about our THERMOSLATE thermal-solar panels.
First of all, I would like to </t>
  </si>
  <si>
    <t>Holiday Deals + Surprises In-store! =?UTF-8?Q?=F0=9F=8E=81?=</t>
  </si>
  <si>
    <t>Unwrap festive savings on your favourite snacks and drinks  ‌ ‌ ‌ ‌ ‌ ‌ ‌ ‌ ‌ ‌ ‌ ‌ ‌ ‌ ‌ ‌ ‌ ‌ ‌ ‌ ‌ ‌ ‌ ‌ ‌ ‌ ‌ ‌ ‌ ‌ ‌ ‌ ‌ ‌ ‌ ‌ ‌ ‌ ‌ ‌ ‌ ‌ ‌ ‌ ‌ ‌ ‌ ‌ ‌ ‌ ‌ ‌ ‌ ‌ ‌ ‌ ‌ ‌ ‌ ‌ ‌ ‌ ‌ ‌ ‌ ‌ ‌ ‌ ‌ ‌ </t>
  </si>
  <si>
    <t>Deals you =?UTF-8?B?ZG9u4oCZdA==?= wanna miss, Craig n Emma</t>
  </si>
  <si>
    <t>Discord &lt;noreply@discord.com&gt;</t>
  </si>
  <si>
    <t>Verify Email Address for Discord</t>
  </si>
  <si>
    <t xml:space="preserve"> Hey harper1935,
Thanks for registering for an account on Discord! Before we get started, we just need to confirm that this is you. Click below to verify your email address:
Verify Email: https://cl</t>
  </si>
  <si>
    <t xml:space="preserve">Hello, Craig,
I am writing to you one last time from the marketing department of CUPA Pizarras regarding your request for information about our THERMOSLATE thermal-solar panels.
First of all, I would </t>
  </si>
  <si>
    <t xml:space="preserve">
Your cart is ready to roll. It just needs a final push. Open this email to complete your order today.  &amp;zwnj; &amp;zwnj; &amp;zwnj; &amp;zwnj; &amp;zwnj; &amp;zwnj; 
 &amp;zwnj; &amp;zwnj; &amp;zwnj</t>
  </si>
  <si>
    <t>dawncali@hotmail.com</t>
  </si>
  <si>
    <t>Harper</t>
  </si>
  <si>
    <t xml:space="preserve">Hey Dawn
I have to file for emergency custody this morning, unfortunately I’ll be
fighting the same kind of demon you did, a piece of shit with lots of
family money.. only problem here is Im a male, </t>
  </si>
  <si>
    <t>GST/HST Holiday Break on Uber Eats!</t>
  </si>
  <si>
    <t>Re: Paul</t>
  </si>
  <si>
    <t>On Mon, Dec 9, 2024 at 10:21 AM Tracy Jones &lt;tjones@financeit.io&gt; wrote:
&gt; HI Paul i just tried to call,
&gt;
&gt; Quick question the legal business name provided
&gt;
&gt; Kennebecasis Valley Roofing
&gt;
&gt; Your b</t>
  </si>
  <si>
    <t>Take a look at some festive favorites</t>
  </si>
  <si>
    <t>We would never let you miss a BOGO!</t>
  </si>
  <si>
    <t>Your 3 months of Spotify Premium for  $12.69 are waiting. $12.69/mo
 after. Cancel anytime.</t>
  </si>
  <si>
    <t xml:space="preserve">Spotify Premium https://www.spotify.com/purchase/offer/2024-q4globalcampaign-winback-3m-for-1/?splot=mghl7Zi7QWqSXBMWCp3b9Qpremium 
Where to go next? Let your mood decide. 3 months for $12.69 ending </t>
  </si>
  <si>
    <t>Dispatched on 2024-12-20&amp;gt;</t>
  </si>
  <si>
    <t>"Temu" &lt;orders@order.temu.com&gt;</t>
  </si>
  <si>
    <t>Updated Terms of Use</t>
  </si>
  <si>
    <t>Temu &lt;orders@order.temu.com&gt;</t>
  </si>
  <si>
    <t>Last Chance: Enter for Amazing Prizes!</t>
  </si>
  <si>
    <t>$10K cash, Monster for a Year, &amp; a VIP trip to Tokyo to be won!  ‌ ‌ ‌ ‌ ‌ ‌ ‌ ‌ ‌ ‌ ‌ ‌ ‌ ‌ ‌ ‌ ‌ ‌ ‌ ‌ ‌ ‌ ‌ ‌ ‌ ‌ ‌ ‌ ‌ ‌ ‌ ‌ ‌ ‌ ‌ ‌ ‌ ‌ ‌ ‌ ‌ ‌ ‌ ‌ ‌ ‌ ‌ ‌ ‌ ‌ ‌ ‌ ‌ ‌ ‌ ‌ ‌ ‌ ‌ ‌ ‌ ‌ ‌ ‌ ‌ ‌ ‌ ‌</t>
  </si>
  <si>
    <t>A holiday treat for you, MVP!</t>
  </si>
  <si>
    <t>Hi Emma,
I hope you’re doing well. With Harper’s first holiday season approaching,
I’d love for us to create special memories with her. Here’s a flexible
proposal for your consideration:
Holiday S</t>
  </si>
  <si>
    <t>41 Weeks Pregnant: The Truth About Newborn Poop</t>
  </si>
  <si>
    <t>41 Weeks Pregnant: The Truth About Newborn Poop  Your baby is 14.3" this week. 
That's about the size of an iBook. 
Unsubscribe 
&lt;https://links.babylist.com/e/eh?_t=8761c0c919454d09b99afb962731a39b&amp;_</t>
  </si>
  <si>
    <t>Dawn Dixon &lt;dawncali@hotmail.com&gt;</t>
  </si>
  <si>
    <t>Some of the wording reminded me of Sean-condescending prick.  The overall form is ok but can defo choose better words and format.  Don’t tell her to look up anything-as you did with the  Owlet.  Short</t>
  </si>
  <si>
    <t>"invideo AI" &lt;info@updates.invideo.io&gt;</t>
  </si>
  <si>
    <t>Your co-pilot for video creation.       Your video has been
exported.
Step back in and publish it on your preferred platform.
"Harper’s Timeless Moment"
Watch my video ( https://ablink.invideo.io/f</t>
  </si>
  <si>
    <t>That’s weird. That was all added for her to feel more comfortable . Anyway
she dicked me around til 2am then said Im still thinking about a way you
can see her over Christmas. It’s fucking Christmas a</t>
  </si>
  <si>
    <t>She waited til 2am to finally text , no FaceTime. Just said she’s thinking
about a way I can see her over the holidays. Lol then blocked me, she
doesn’t normally block me but I said Emma ive given you</t>
  </si>
  <si>
    <t>Read this one!!!!</t>
  </si>
  <si>
    <t>Good morning Dawn, read this email only, it’s Christmas morning, a white
one too like I prayed for you. Enjoy your day huh, you and Cali earned it
🛑❤️🎄
Read other ones another day, Harper’s safe, I</t>
  </si>
  <si>
    <t>Re: Read this one!!!!</t>
  </si>
  <si>
    <t>Love the pics.  Hope you get to see you girl.  Merry Christmas Craig.
Sent from my iPad
&gt; On Dec 25, 2024, at 4:42 AM, K O &lt;placed.sj@gmail.com&gt; wrote:
&gt; 
&gt; ﻿Good morning Dawn, read this email o</t>
  </si>
  <si>
    <t xml:space="preserve">The “I’m filing for full custody” may get her back up.  She could be very different than me-I’d be like bring it motherfucker, but she knows you have videos etc, might make a difference……..
Like I </t>
  </si>
  <si>
    <t xml:space="preserve">We’ll see what Dawn and Cali have to say she used last night. You treated
them worse than me, yes I did sweetie yes I did. I told her Im too tired
and beaten down to fight ive been fighting for years </t>
  </si>
  <si>
    <t>Uber Eats &lt;noreply@uber.com&gt;</t>
  </si>
  <si>
    <t>Teen-friendly Uber Eats with safety in mind</t>
  </si>
  <si>
    <t>Don't miss 3 months of Spotify Premium for $12.69. $12.69/mo after.
 Cancel anytime.</t>
  </si>
  <si>
    <t>Spotify Premium https://www.spotify.com/purchase/offer/2024-q4globalcampaign-winback-3m-for-1/?splot=h6bWnXZeQzuJaH5BzVIMYQSpotify premium https://www.spotify.com/purchase/offer/2024-q4globalcampaign-</t>
  </si>
  <si>
    <t>See inside to grab your savings</t>
  </si>
  <si>
    <t>Holiday and second proposal</t>
  </si>
  <si>
    <t>Subject: Parenting Plan Proposal (sent last Saturday of 2024)
Hi Emma,
You mentioned wanting a starting point for a parenting plan, so I’ve taken
the time to draft one that prioritizes Harper’s well</t>
  </si>
  <si>
    <t>Re: Holiday and second proposal</t>
  </si>
  <si>
    <t xml:space="preserve">The lying under oath sounds a bit like a threat…..other than that it sounds great..
Sent from my iPad
&gt; On Jan 2, 2025, at 3:02 PM, K O &lt;placed.sj@gmail.com&gt; wrote:
&gt; 
&gt; ﻿
&gt; Subject: Parenting </t>
  </si>
  <si>
    <t>FaceTiming now, she loves to make sure I wait all night lol
Sent with Spark
On Jan 3, 2025 at 1:30 AM -0400, Dawn Dixon &lt;dawncali@hotmail.com&gt;, wrote:
&gt; The lying under oath sounds a bit like a threa</t>
  </si>
  <si>
    <t>Cozy comforts for only $5? YESWAY.</t>
  </si>
  <si>
    <t>Craig, welcome to Avion Rewards</t>
  </si>
  <si>
    <t>&lt;!--   --&gt;&lt;!DOCTYPE html PUBLIC "-//W3C//DTD XHTML 1.0 Transitional//EN" "http://www.w3.org/TR/xhtml1/DTD/xhtml1-transitional.dtd"&gt;&lt;html XMLNS="http://www.w3.org/1999/xhtml"&gt;&lt;head&gt;
&lt;meta http-equiv="</t>
  </si>
  <si>
    <t>Get 25% off any Footlong sub TODAY!</t>
  </si>
  <si>
    <t>Want to get the most out of Avion Rewards?</t>
  </si>
  <si>
    <t xml:space="preserve"> RBC Royal Bank
https://click.website.rbc.com/?qs=e8b7671f6419af73493da82ee6c987f3b3d6c2200e5479c8e77fa98dd35abe9c7fd6706d473ff3eba58a98f8700f38510f91c8311ce65413 
View Online 
https://click</t>
  </si>
  <si>
    <t>Start the day with double the points.</t>
  </si>
  <si>
    <t>DraftKings &lt;draftkings@account.draftkings.com&gt;</t>
  </si>
  <si>
    <t>Update to our Pick6 Terms of Use</t>
  </si>
  <si>
    <t xml:space="preserve">‌ ‌ ‌ ‌ ‌ ‌ ‌ ‌ ‌ ‌ ‌ ‌ ‌ ‌
‌ ‌ ‌ ‌ ‌ ‌ ‌ ‌ ‌ ‌ ‌ ‌ ‌ ‌ ‌ ‌ ‌
‌ ‌ ‌ ‌ ‌ ‌ ‌ ‌ ‌ ‌ ‌ ‌ ‌ ‌ ‌ ‌
‌ ‌ ‌ ‌ ‌ ‌ ‌ ‌ ‌ ‌ ‌ ‌ ‌ ‌ ‌ ‌ ‌
‌ ‌ ‌ ‌ ‌ ‌ ‌ ‌ ‌ ‌ ‌ ‌ ‌ ‌ ‌ ‌
‌ ‌ ‌ ‌ ‌ ‌ ‌ ‌ ‌ ‌ ‌ ‌ ‌ ‌ ‌ ‌ ‌
‌ ‌ ‌ </t>
  </si>
  <si>
    <t>"." &lt;placed.sj@gmail.com&gt;</t>
  </si>
  <si>
    <t>Sorry just best I don’t start with you you don’t deserve what my family just did to me. Both of them. Im handing everything over tomorrow, every device every login info whatever. Puts a bullet in my h</t>
  </si>
  <si>
    <t>"placed.sj@gmail.com" &lt;placed.sj@gmail.com&gt;</t>
  </si>
  <si>
    <t>If you handing info over it’s time for me to block.  I was only there to assist you not interested in dramatics or anyone else being involved.
Best of luck.
Sent from my iPad
On Jan 13, 2025, a</t>
  </si>
  <si>
    <t>I blocked you a few days ago Dawn. Not sure how you think any info has
anything to do with you? Have a good one as I said
On Mon, Jan 13, 2025 at 8:29 PM Dawn Dixon &lt;dawncali@hotmail.com&gt; wrote:
&gt; I</t>
  </si>
  <si>
    <t>"SAMSUNG ELECTRONICS CANADA INC" &lt;no-reply@email1.samsung.ca&gt;</t>
  </si>
  <si>
    <t>Get your $100 e-voucher</t>
  </si>
  <si>
    <t>&lt;!DOCTYPE html&gt;
&lt;html lang="en"&gt;
&lt;head&gt;
  &lt;meta http-equiv="Content-Type" content="text/html charset=UTF-8" /&gt;
  &lt;meta name="viewport" content="width=device-width, initial-scale=1.0"&gt;
  &lt;meta http-</t>
  </si>
  <si>
    <t>Emma Ryan &lt;em.ry@icloud.com&gt;</t>
  </si>
  <si>
    <t>Hello</t>
  </si>
  <si>
    <t>﻿
That’s right choices we make we’ll live with 😊
Sent from my iPhone
On Jan 13, 2025, at 9:31 PM, Emma Ryan &lt;em.ry@icloud.com&gt; wrote:
﻿
You gotta be a dad to be a bad dad Craig. Oh good choice for you</t>
  </si>
  <si>
    <t>Re: Hello</t>
  </si>
  <si>
    <t>Im ready to be killed. To protect Harper, I’ll use the truth.
On Tue, Jan 14, 2025 at 3:06 AM Emma Ryan &lt;em.ry@icloud.com&gt; wrote:
&gt; ﻿That’s right choices we make we’ll live with 😊
&gt; Sent from my iPh</t>
  </si>
  <si>
    <t>I told people who I will wrong with releasing everything , that I’d rather
die then do this. That I’d kill any mother fucker that did what you’re
claiming. And that I was ready to eat tje bullet bexau</t>
  </si>
  <si>
    <t>That affidavit you mentioned. I just realized she’s wearing a necklace for
woman’s abuse ffs . Is that a thing thats gonna be available to me
actually? Not today, but this is getting worse worse she’s</t>
  </si>
  <si>
    <t>Re: Obtaining the things to care for her.</t>
  </si>
  <si>
    <t>Thank you for keeping Harper’s best interest at heart. Have a great day you
guys daddy loves you Harper
On Tue, Jan 14, 2025 at 10:43 AM K O &lt;placed.sj@gmail.com&gt; wrote:
&gt; Good start Emma.
&gt;
&gt; On Tu</t>
  </si>
  <si>
    <t>I am I’m the only one that is you won’t do a drug test so you’re touching our kid when you’re high and your mom took her to use her as a pond which if you watch the video that they asked us to it says</t>
  </si>
  <si>
    <t xml:space="preserve">Yet I received death threats and I’m not welcome there, but I can go there right lol well too bad cause your mom can’t ignore me now. She’s got a fucking communicate with me. Pathetic. She never even </t>
  </si>
  <si>
    <t>I want you to be a part of your life. I want you more in her life, but you’re doing everything you said that you wouldn’t so that’s funny.
Sent from my iPhone
On Jan 14, 2025, at 10:51 AM, Emma Ryan &lt;</t>
  </si>
  <si>
    <t xml:space="preserve">So much for going out west lol. Or moving closer. Lol
Sent from my iPhone
On Jan 14, 2025, at 10:51 AM, Emma Ryan &lt;em.ry@icloud.com&gt; wrote:
﻿
I am I’m the only one that is you won’t do a drug test so </t>
  </si>
  <si>
    <t>Emma, no one has threatened your life. You need to reread what I said. Emma
she answered the judges questions, please stop this. I know you’re upset
the judge offered me more then j asked you for. But</t>
  </si>
  <si>
    <t>Emma I didn’t do anything? The judge did this I didn’t ask for any of this
WTF. I asked for time with Harper outside of your home to you. You decided
that Im an abuser. But I didn’t give anything to t</t>
  </si>
  <si>
    <t>I’d advise you speak to a lawyer or an adult . Dont do anything stupid
here. This is why i tried to do this without them involved, you’ll learn
quick how to act in a court room i think
On Tue, Jan 14</t>
  </si>
  <si>
    <t>I didn’t lie Craig you you haven’t filed a response. Or showed the effort you want to be in her life. I would have gladly had you in it every day. You were the one who took her used her as a pawn and</t>
  </si>
  <si>
    <t>You never paid Paul for the car seat in full. If your mom would like
reimbursed have her contact me. Have a good day
On Tue, Jan 14, 2025 at 11:17 AM K O &lt;placed.sj@gmail.com&gt; wrote:
&gt; I’d advise yo</t>
  </si>
  <si>
    <t>A pawn for sobriety yes
On Tue, Jan 14, 2025 at 11:18 AM Emma Ryan &lt;em.ry@icloud.com&gt; wrote:
&gt; I didn’t lie Craig you you haven’t filed a response. Or showed the effort
&gt; you want to be in her life.</t>
  </si>
  <si>
    <t xml:space="preserve">I did lol. &amp; funny she laughed at you. But if you could actually mean what you say we could do it lol.
Sent from my iPhone
On Jan 14, 2025, at 11:18 AM, Emma Ryan &lt;em.ry@icloud.com&gt; wrote:
﻿
I didn’t </t>
  </si>
  <si>
    <t>Emma I used to fill piss bags for Ali and the boys, you ain’t fooling
nobody .
On Tue, Jan 14, 2025 at 11:18 AM Emma Ryan &lt;em.ry@icloud.com&gt; wrote:
&gt; I didn’t lie Craig you you haven’t filed a respo</t>
  </si>
  <si>
    <t>Sounds good, she already said so sure. But neither did you or your mother lol. Or anything else for her for that matter.
Sent from my iPhone
On Jan 14, 2025, at 11:18 AM, K O &lt;placed.sj@gmail.com&gt; wro</t>
  </si>
  <si>
    <t>Wanna talk about manipulation? I’ll send you the response the court didn’t
want today. If you promise to share with your parents. You’ve kept them
away from this shit show.
On Tue, Jan 14, 2025 at 11</t>
  </si>
  <si>
    <t>Ty our the one that’s not sober lol
Sent from my iPhone
On Jan 14, 2025, at 11:19 AM, K O &lt;placed.sj@gmail.com&gt; wrote:
﻿
A pawn for sobriety yes
On Tue, Jan 14, 2025 at 11:18 AM Emma Ryan &lt;
em.ry@iclo</t>
  </si>
  <si>
    <t>Love ya Harper have a great day
On Tue, Jan 14, 2025 at 11:18 AM Emma Ryan &lt;em.ry@icloud.com&gt; wrote:
&gt; I didn’t lie Craig you you haven’t filed a response. Or showed the effort
&gt; you want to be in h</t>
  </si>
  <si>
    <t xml:space="preserve">Well let the system deal with me now.at least you’ll get something out of
it all, child support projections are fucking juicy for next 18 years. You
actually did something right
On Tue, Jan 14, 2025 </t>
  </si>
  <si>
    <t>The time cor talking about what you want is over. Leave me be
Sent with Spark
On Jan 14, 2025 at 11:21 AM -0400, Emma Ryan &lt;em.ry@icloud.com&gt;, wrote:
&gt; Ty our the one that’s not sober lol
&gt; Sent from</t>
  </si>
  <si>
    <t>Stacey C &lt;campbellstacey98@gmail.com&gt;</t>
  </si>
  <si>
    <t>Fwd: Re: Obtaining the things to care for her.</t>
  </si>
  <si>
    <t xml:space="preserve">
Sent with Spark
---------- Forwarded message ----------
From: Emma Ryan &lt;em.ry@icloud.com&gt;
Date: Jan 14, 2025 at 10:52 AM -0400
To: K O &lt;placed.sj@gmail.com&gt;
Subject: Re: Obtaining the things to care</t>
  </si>
  <si>
    <t>I want you to actually give a fuck about our daughter Craig and be in her life because you fucking want to. What you want not your mom. Lol. You threaten me &amp; so did your mom and lied putting her in d</t>
  </si>
  <si>
    <t>My plans haven’t changed though. Im still moving forward with my life, nothing changed today in my mind except your abuse claims made mom have to be involved. Sorry
Sent with Spark
On Jan 14, 2025 at</t>
  </si>
  <si>
    <t>Shall update you as needed. Please don’t email me anymore . Im going to block you on this as it’s not meant for this crap. Yoo can unblock me somewhere
Sent with Spark
On Jan 14, 2025 at 11:21 AM -04</t>
  </si>
  <si>
    <t>Emma I’d be with you tomorrow. Even after all your lies, I love you so much. I never once said mom, I wasn’t asked either… your time to speak was the truth on the 16th. And you should have agreed to w</t>
  </si>
  <si>
    <t xml:space="preserve">We don’t care what yoo want. The judge said that , I want Harper full time 100000% of the time. But that’s not an option bexause you fucked us all over. So blame yourself. I told you to not fuck with </t>
  </si>
  <si>
    <t>Right and the drug claims made CPS so then you should’ve done a drug test too Craig and you did abuse me are you fucked. I know it doesn’t matter what I want. It never has to you and you can’t agree o</t>
  </si>
  <si>
    <t>You’re the one that fucked that up Craig you took her and blame me for not being sober when I’m the only sober one lol you fucked that up for yourself idiot I don’t care what you want either what I ca</t>
  </si>
  <si>
    <t>Wasn’t sobriety Emma jt was lieing abiut it.
On Tue, Jan 14, 2025 at 11:21 AM Emma Ryan &lt;em.ry@icloud.com&gt; wrote:
&gt; Sounds good, she already said so sure. But neither did you or your mother
&gt; lol. O</t>
  </si>
  <si>
    <t>No, you wouldn’t and I don’t want to be with you Craig. I can’t believe a word that comes out of your mouth let alone rely on you or trust you. You took my daughter from me and said that I couldn’t ge</t>
  </si>
  <si>
    <t>I did agree to it all Craig just over overtime. That’s the funny thing.
Sent from my iPhone
On Jan 14, 2025, at 11:36 AM, K O &lt;placed.sj@gmail.com&gt; wrote:
﻿
Wasn’t sobriety Emma jt was lieing abiut it</t>
  </si>
  <si>
    <t>Even gave you more than you asked actually
Sent from my iPhone
On Jan 14, 2025, at 11:36 AM, K O &lt;placed.sj@gmail.com&gt; wrote:
﻿
Wasn’t sobriety Emma jt was lieing abiut it.
On Tue, Jan 14, 2025 at 11:</t>
  </si>
  <si>
    <t>But I know that if you had decision-making two that you would make me do whatever until you sign off on something and that’s not OK you cannot manipulate my life controlled anymore, man
Sent from my i</t>
  </si>
  <si>
    <t>You couldn’t even come see her lol   Love to know your reason to not move with me then after ask you keave Then do this
Sent from my iPhone
On Jan 14, 2025, at 11:36 AM, Emma Ryan &lt;em.ry@icloud.com&gt; w</t>
  </si>
  <si>
    <t>Do not contact me anymore today. Or I’ll be filing this jn court. This is like living with you, dont get your way and away you ficking go with the swinging.
Sent with Spark
On Jan 14, 2025 at 11:42 A</t>
  </si>
  <si>
    <t>Yet you havnt or proved you want to be in her like and I didnt lie lol. Please then explain what happened because that’s exactly what happened your lying dumb fuck n you should have brought her home t</t>
  </si>
  <si>
    <t>I’m not swinging Greg you are that’s the thing that’s the funniest part. I’m agreeing with it and is it because I’ve done everything for you but whatever man I’ve asked you not to fight with me and I’</t>
  </si>
  <si>
    <t>anything is you’re still not doing the things that you were going to do on that agreement and that’s why I can’t agree Craig like do something you actually say you’re going to for fucking man
Sent fro</t>
  </si>
  <si>
    <t>I don’t want your child support. You’ve never supported us you wouldn’t and you can’t.
Sent from my iPhone
On Jan 14, 2025, at 11:43 AM, Emma Ryan &lt;em.ry@icloud.com&gt; wrote:
﻿
Yet you havnt or proved y</t>
  </si>
  <si>
    <t xml:space="preserve">I didn’t keep them away. I bought them and you were the one that involved them Craig and why don’t you just send it to them because you’ve sent everything else
Sent from my iPhone
On Jan 14, 2025, at </t>
  </si>
  <si>
    <t>Let me know when I can come get my shit end of store or I’ll be there tomorrow at 2 o’clock
Sent from my iPhone
On Jan 14, 2025, at 11:43 AM, Emma Ryan &lt;em.ry@icloud.com&gt; wrote:
﻿
Yet you havnt or pro</t>
  </si>
  <si>
    <t>All the bruises proved the abuse Craig
Sent from my iPhone
On Jan 14, 2025, at 11:43 AM, Emma Ryan &lt;em.ry@icloud.com&gt; wrote:
﻿
Yet you havnt or proved you want to be in her like and I didnt lie lol. P</t>
  </si>
  <si>
    <t xml:space="preserve">Hahahahahajajahahhahaahahah. Im good love , they’re Harper’s things, and,
you have held my shit in there for far too long to start making demands. Go
tend to my dauchter and stop the ficking bullshit </t>
  </si>
  <si>
    <t>She doesn’t want videos so I can post them :)
On Tue, Jan 14, 2025 at 11:52 AM K O &lt;placed.sj@gmail.com&gt; wrote:
&gt; Hahahahahajajahahhahaahahah. Im good love , they’re Harper’s things, and,
&gt; you have</t>
  </si>
  <si>
    <t>Then go get it but only your shit and they’re Harper shit that I bought so I’m coming to get them end of story. You don’t get to fucking use my stuff when you haven’t done anything. I’m pretty fucking</t>
  </si>
  <si>
    <t>Post away, Craig
Sent from my iPhone
On Jan 14, 2025, at 11:52 AM, K O &lt;placed.sj@gmail.com&gt; wrote:
﻿
She doesn’t want videos so I can post them :)
On Tue, Jan 14, 2025 at 11:52 AM K O &lt;
placed.sj@gma</t>
  </si>
  <si>
    <t>Still, you’re only trying to hurt me when this is about her fucking daughter you’re fucked
Sent from my iPhone
On Jan 14, 2025, at 11:53 AM, Emma Ryan &lt;em.ry@icloud.com&gt; wrote:
﻿
Then go get it but on</t>
  </si>
  <si>
    <t>And I would like them because I need them for her thanks that’s why I got them
Sent from my iPhone
On Jan 14, 2025, at 11:53 AM, Emma Ryan &lt;em.ry@icloud.com&gt; wrote:
﻿
Then go get it but only your shit</t>
  </si>
  <si>
    <t>Oh good one Emma. Stop contacting me Now. Firefighter will be contacting your home when thats done and nursery be done shortly. Now stop you’re acting absolutely foolish.
Sent with Spark
On Jan 14, 2</t>
  </si>
  <si>
    <t>This is all fair and I’m not losing my shit Craig. I want you to be a part of our daughter’s life but not the fucking coward way not the easy way out like you always choose and stop contacting other p</t>
  </si>
  <si>
    <t xml:space="preserve">Perfect that’s all I want but I will be there tomorrow to get my things. Thanks like I’ve asked many times and that you’ve literally just stole lol
Sent from my iPhone
On Jan 14, 2025, at 11:54 AM, . </t>
  </si>
  <si>
    <t>So please stop contacting me to fight all the fucking time or with your lies and bullshit. I look forward to seeing the pictures from your mom lol and good thing about getting another car seat too.
Se</t>
  </si>
  <si>
    <t>I will be attending these four hours with her
Sent from my iPhone
On Jan 14, 2025, at 11:56 AM, Emma Ryan &lt;em.ry@icloud.com&gt; wrote:
﻿
This is all fair and I’m not losing my shit Craig. I want you to b</t>
  </si>
  <si>
    <t>But thank you for putting our daughter in danger that you said
Sent from my iPhone
On Jan 14, 2025, at 11:56 AM, Emma Ryan &lt;em.ry@icloud.com&gt; wrote:
﻿
This is all fair and I’m not losing my shit Craig</t>
  </si>
  <si>
    <t>✌🏼
Sent from my iPhone
On Jan 14, 2025, at 11:56 AM, Emma Ryan &lt;em.ry@icloud.com&gt; wrote:
﻿
This is all fair and I’m not losing my shit Craig. I want you to be a part of our daughter’s life but not the</t>
  </si>
  <si>
    <t>Can’t believe what you’ve done and doing to our daughter cause you can’t be civil and co parents and actually consider what’s best for both of us lol or even man up to do the things your should have m</t>
  </si>
  <si>
    <t>I’m not mad about this I’m mad you’re blaming me and you took her saying I was unfit. lol literally no reason and you still can’t do what you were blaming me for 🤮
Sent from my iPhone
On Jan 14, 2025,</t>
  </si>
  <si>
    <t xml:space="preserve">Emma’s I haven’t said a word to the courts. I don’t know what you’re pissed
off abiut. Your lies about abuse made her involve mom. I never wanted it.
Karma is getting you for your purple campaign and </t>
  </si>
  <si>
    <t>Sent from my iPhone
On Jan 14, 2025, at 11:56 AM, Emma Ryan &lt;em.ry@icloud.com&gt; wrote:
﻿
This is all fair and I’m not losing my shit Craig. I want you to be a part of our daughter’s life but not the fu</t>
  </si>
  <si>
    <t xml:space="preserve">Call me back,when you’re ready to and I’ll tell you what I said to her, and
what my plan is.
On Tue, Jan 14, 2025 at 1:08 PM Emma Ryan &lt;em.ry@icloud.com&gt; wrote:
&gt; [image: image0.png]
&gt; Sent from my </t>
  </si>
  <si>
    <t>Dont email, just call me when you’re ready. You’re not alone here. I
promise you, I’ll carry us when I can, this isn’t a way to get you out of
Harper’s life it’s about getting us to be coexisting agai</t>
  </si>
  <si>
    <t>Block me again ajd I’ll end all conversation. Stop ffs
On Tue, Jan 14, 2025 at 1:32 PM K O &lt;placed.sj@gmail.com&gt; wrote:
&gt; Dont email, just call me when you’re ready. You’re not alone here. I
&gt; pro</t>
  </si>
  <si>
    <t xml:space="preserve">If you want mom to stay out of it for a while, absolutely no problem. But
wer  gonna talk on the phone and discuss the options, as coparents
On Tue, Jan 14, 2025 at 1:44 PM K O &lt;placed.sj@gmail.com&gt; </t>
  </si>
  <si>
    <t>Seriously. I’ll stay standing, one more time. For us. But you gotta know I still have your back. I can’t be looking over my shoulder with you while focus on the road ahead with Harper.
Sent with Spar</t>
  </si>
  <si>
    <t>Hope your day is going g a little better Emma. Im gonna file this crap
quickly, get it the fuck oit of our way I think
On Tue, Jan 14, 2025 at 3:03 PM . &lt;placed.sj@gmail.com&gt; wrote:
&gt; Seriously. I’l</t>
  </si>
  <si>
    <t>Hey
Sent with Spark
On Jan 14, 2025 at 1:08 PM -0400, Emma Ryan &lt;em.ry@icloud.com&gt;, wrote:
&gt; &lt;image0.png&gt;
&gt; Sent from my iPhone
&gt;
&gt; &gt; On Jan 14, 2025, at 11:56 AM, Emma Ryan &lt;em.ry@icloud.com&gt; wrote:</t>
  </si>
  <si>
    <t xml:space="preserve">Emma the only thing that’s changed is you get to come see me and gram. Don’t worry please
Sent with Spark
On Jan 14, 2025 at 1:08 PM -0400, Emma Ryan &lt;em.ry@icloud.com&gt;, wrote:
&gt; &lt;image0.png&gt;
&gt; Sent </t>
  </si>
  <si>
    <t>Think we could do 8:00 FaceTimes still?
On Tue, Jan 14, 2025 at 5:38 PM . &lt;placed.sj@gmail.com&gt; wrote:
&gt; Emma the only thing that’s changed is you get to come see me and gram.
&gt; Don’t worry please
&gt;</t>
  </si>
  <si>
    <t>Harper.</t>
  </si>
  <si>
    <t xml:space="preserve">
</t>
  </si>
  <si>
    <t>Dropbox &lt;no-reply@em-s.dropbox.com&gt;</t>
  </si>
  <si>
    <t>Dropbox Passwords is the solution  ‌ ‌ ‌ ‌ ‌ ‌ ‌ ‌ ‌ ‌ ‌ ‌ ‌ ‌ ‌ ‌ ‌ ‌ ‌ ‌ ‌ ‌ 
‌ ‌ ‌ ‌ ‌ ‌ ‌ ‌ ‌ ‌ ‌ ‌ ‌ ‌ ‌ ‌ ‌ ‌ ‌ ‌ ‌ ‌ ‌ ‌ ‌ ‌ ‌ ‌ ‌ ‌ ‌ ‌ ‌ ‌ ‌ ‌ ‌ ‌ ‌ ‌ 
‌ ‌ ‌ ‌ ‌ ‌ ‌ ‌ ‌ ‌ ‌ ‌ ‌ ‌ ‌ ‌ ‌ ‌ ‌ ‌</t>
  </si>
  <si>
    <t>Re: Harper.</t>
  </si>
  <si>
    <t>good morning
When is it?
On Wed, Jan 15, 2025 at 8:48 AM Emma Ryan &lt;em.ry@icloud.com&gt; wrote:
&gt;
&gt; Harper has her immunization coming up, I’m not sure if you would like to
&gt; come or what but just let</t>
  </si>
  <si>
    <t xml:space="preserve"> RBC Royal Bank
https://click.website.rbc.com/?qs=1183d0b97a5055ff9496b5de1ce016650b7515da02a9226f8cba2416a76f5b40e5310cb368adec73d8fd46445ac23eecc5bae9274dda76e4 
View Online 
https://click</t>
  </si>
  <si>
    <t>FOMO on free drink and chips?</t>
  </si>
  <si>
    <t>Sign up for an exclusive $100 e-voucher</t>
  </si>
  <si>
    <t>"No Reply - Mailchimp" &lt;no-reply@mailchimp.com&gt;</t>
  </si>
  <si>
    <t xml:space="preserve">You have 7 days left to take advantage of your free trial.
Estimate for Jan 26 - Feb 25
Your free trial of a paid Marketing plan ends on Jan 25. If you're happy with the plan, you're all set. Here's </t>
  </si>
  <si>
    <t>Instacart &lt;no-reply@instacart.com&gt;</t>
  </si>
  <si>
    <t>An address was added or updated in your Instacart account</t>
  </si>
  <si>
    <t>&lt;!DOCTYPE html&gt;
&lt;html lang="en" xmlns="http://www.w3.org/1999/xhtml" xmlns:v="urn:schemas-microsoft-com:vml" xmlns:o="urn:schemas-microsoft-com:office:office"&gt;
&lt;head&gt;
&lt;meta charset="utf-8"&gt; &lt;!-- utf-</t>
  </si>
  <si>
    <t>As an MVP, we want you to feel like a VIP.</t>
  </si>
  <si>
    <t>We miss you. So dive back into ad-free music listening.</t>
  </si>
  <si>
    <t>Craig, cash back deals are waiting for you</t>
  </si>
  <si>
    <t>RBC Royal Bank
https://view.website.rbc.com/?qs=e03758bdbe4a1b44d0e3538299e306f65132068514f53966f23e0b7a9e38a386aa69723bcf037531ff80aacdf2cc44cb0dc8aaa12373bcdfefb0c29159640d68f5b6cc64a4d7249d4bd20</t>
  </si>
  <si>
    <t>"=?utf-8?Q?Houzz_for_Professionals?=" &lt;updates@houzz.com&gt;</t>
  </si>
  <si>
    <t>Midcentury home updated for multigenerational living. Green, white and wood bathroom with a warm organic look. 10 questions to ask potential contractors.
https://bl.houzz.com/z/071cls1e0pok04?uid=dd4</t>
  </si>
  <si>
    <t>business-to-business-address-verification &lt;business-to-business-address-verification@amazon.ca&gt;</t>
  </si>
  <si>
    <t>Your Amazon Business account cannot be verified</t>
  </si>
  <si>
    <t xml:space="preserve">
Hello, We were not able to verify the information provided in your business account registration. To help us verify your business account, please upload one of the following official documents co</t>
  </si>
  <si>
    <t>Dropbox has features just for you  ‌ ‌ ‌ ‌ ‌ ‌ ‌ ‌ ‌ ‌ ‌ ‌ ‌ ‌ ‌ ‌ ‌ ‌ ‌ ‌ ‌ ‌ 
‌ ‌ ‌ ‌ ‌ ‌ ‌ ‌ ‌ ‌ ‌ ‌ ‌ ‌ ‌ ‌ ‌ ‌ ‌ ‌ ‌ ‌ ‌ ‌ ‌ ‌ ‌ ‌ ‌ ‌ ‌ ‌ ‌ ‌ ‌ ‌ ‌ ‌ ‌ ‌ 
‌ ‌ ‌ ‌ ‌ ‌ ‌ ‌ ‌ ‌ ‌ ‌ ‌ ‌ ‌ ‌ ‌ ‌ ‌ ‌</t>
  </si>
  <si>
    <t>Luna Piper &lt;lunacraigcep@gmail.com&gt;</t>
  </si>
  <si>
    <t>Guardianship</t>
  </si>
  <si>
    <t>Acknowledgment of Guardianship
Date: January 22, 2025
To Whom It May Concern,
I, Craig Schulz, acknowledge that Harper Ryan Schulz’s mother, Emma Ryan,
currently has physical custody of our daug</t>
  </si>
  <si>
    <t xml:space="preserve"> RBC Royal Bank
https://click.website.rbc.com/?qs=7d6849b81d492cbe2bc7ef0123f78630c9fc65f53910338aa26617874e91ba2a156bcf0afbc722dc87fd0617fb19633558914c55e85e645b 
View Online 
https://click</t>
  </si>
  <si>
    <t xml:space="preserve">You have 3 days left to take advantage of your free trial.
Estimate for Jan 26 - Feb 25
Your free trial of a paid Marketing plan ends on Jan 25. If you're happy with the plan, you're all set. Here's </t>
  </si>
  <si>
    <t>How about a $5 Snackwich Bundle!</t>
  </si>
  <si>
    <t>" Microsoft" &lt;Microsoft@engage.microsoft.com&gt;</t>
  </si>
  <si>
    <t>Unlock Microsoft offers and updates!</t>
  </si>
  <si>
    <t>You have 1 day left to take advantage of your free trial.
Estimate for Jan 26 - Feb 25
Your free trial of a paid Marketing plan ends on Jan 25. If you're happy with the plan, you're all set. Here's a</t>
  </si>
  <si>
    <t>Don't forget! Game Day Deals from all your favs await!</t>
  </si>
  <si>
    <t>Last chance to get 25% off any Footlong!</t>
  </si>
  <si>
    <t>"Uber Eats" &lt;noreply@uber.com&gt;</t>
  </si>
  <si>
    <t>"Doiron, Monia (JPS/JSP)" &lt;Monia.Doiron@gnb.ca&gt;</t>
  </si>
  <si>
    <t>"charliewharlie369@outlook.com" &lt;charliewharlie369@outlook.com&gt;</t>
  </si>
  <si>
    <t>FDSJ-739-2024</t>
  </si>
  <si>
    <t xml:space="preserve">Good afternoon,
Attached is a copy of your order and a Case Conference Notice for March 24th, 2025 at 9:00 am.
Regards
Monia Doiron
ASL 4
Court of King's Bench of New Brunswick/Cour du banc du Roi </t>
  </si>
  <si>
    <t>New earning opportunities available to you</t>
  </si>
  <si>
    <t>Vercel &lt;ship@info.vercel.com&gt;</t>
  </si>
  <si>
    <t>Welcome to Vercel</t>
  </si>
  <si>
    <t>&lt;span id="inflection-email-preheader" style="display:none; visibility:hidden; opacity:0; height:0; width:0;"&gt;Resources to kickstart your project‌ ‌ ‌&lt;/span&gt;&lt;!DOCTYPE html&gt;
&lt;html xmlns="http://www.w3.</t>
  </si>
  <si>
    <t>Love is in the air.</t>
  </si>
  <si>
    <t>Return to Premium and get 1 month for $1. $12.69/mo. after.  Cancel
 anytime.</t>
  </si>
  <si>
    <t xml:space="preserve">
1 month of Premium for $1. $12.69/mo after.  Cancel anytime.
Your Spotify listening is about to get sweeter.
With Premium, listen to the music you love, ad-free - anywhere, anytime. Rejoin today </t>
  </si>
  <si>
    <t>50% off your next  order - just for you =?UTF-8?B?8J+RgA==?=</t>
  </si>
  <si>
    <t>RBC Royal Bank
https://view.website.rbc.com/?qs=55e86031431fa8c7f503c0bdd809da2addc77a6b835911f66f294796c18a56aa8ebf94e9a36bdb2bce971fb252ae9f01d7c72c5bc0fb6dd5d84bcd216e01bec18f37e9bcc39e9f4514703</t>
  </si>
  <si>
    <t>Restaurants everyone is loving</t>
  </si>
  <si>
    <t>"campbellstacey98@gmail.com" &lt;campbellstacey98@gmail.com&gt;</t>
  </si>
  <si>
    <t>Fw: FDSJ-739-2024</t>
  </si>
  <si>
    <t xml:space="preserve">From:
Doiron, Monia (JPS/JSP) &lt;Monia.Doiron@gnb.ca&gt;
Sent:
January 31, 2025 5:25 PM
To:
charliewharlie369@outlook.com &lt;charliewharlie369@outlook.com&gt;
Subject:
FDSJ-739-2024
Good afternoon,
Attached is </t>
  </si>
  <si>
    <t>Iterate with confidence</t>
  </si>
  <si>
    <t>&lt;span id="inflection-email-preheader" style="display:none; visibility:hidden; opacity:0; height:0; width:0;"&gt;Preview Deployments | Comments | Draft Mode‌ ‌ ‌&lt;/span&gt;&lt;!DOCTYPE html&gt;
&lt;html xmlns="http:/</t>
  </si>
  <si>
    <t>Win Big with Circle K: $5,000 Cash Up for Grabs!</t>
  </si>
  <si>
    <t>Subscribe, take a survey, and join CK Coupons for your chance to win big!  ‌ ‌ ‌ ‌ ‌ ‌ ‌ ‌ ‌ ‌ ‌ ‌ ‌ ‌ ‌ ‌ ‌ ‌ ‌ ‌ ‌ ‌ ‌ ‌ ‌ ‌ ‌ ‌ ‌ ‌ ‌ ‌ ‌ ‌ ‌ ‌ ‌ ‌ ‌ ‌ ‌ ‌ ‌ ‌ ‌ ‌ ‌ ‌ ‌ ‌ ‌ ‌ ‌ ‌ ‌ ‌ ‌ ‌ ‌ ‌ ‌ ‌ ‌</t>
  </si>
  <si>
    <t>Limited time offer: $1 for 1 month of Premium. $12.69/mo. after.
 Cancel anytime.</t>
  </si>
  <si>
    <t xml:space="preserve">
Don't miss out: 1 month of Premium for $1. $12.69/mo after.  
Cancel anytime.
It's time to reunite with ad-free music listening.
With Premium, you can listen to your favorite albums ad-free, org</t>
  </si>
  <si>
    <t>Shopify Research &lt;research@email.shopify.com&gt;</t>
  </si>
  <si>
    <t>&lt;!DOCTYPE html&gt;&lt;html lang="en" dir="ltr" xmlns="http://www.w3.org/1999/xhtml" xmlns:v="urn:schemas-microsoft-com:vml" xmlns:o="urn:schemas-microsoft-com:office:office"&gt;&lt;head&gt;
    &lt;!-- Yahoo will strip</t>
  </si>
  <si>
    <t>martine.paquet@nbasw-attsnb.ca</t>
  </si>
  <si>
    <t>*To:* Martine Paquet, Registrar
*Email:* martine.paquet@nbasw-attsnb.ca
*Subject:* Formal Complaint Against Jacqueline Gallant – Conflict of
Interest &amp; Professional Misconduct
------------------------</t>
  </si>
  <si>
    <t>Martine Paquet &lt;martine.paquet@nbasw-attsnb.ca&gt;</t>
  </si>
  <si>
    <t>Good morning Craig,
This email is to acknowledge receipt of your complaint. Your email refers to two attachments:
Attachments:
•Screenshots of text messages with Jacqueline confirming pre-determine</t>
  </si>
  <si>
    <t>Subject: Submission of Relevant Documentation and Correspondence Details
Dear Martine Paquet,
I am writing to provide additional documentation and details pertaining to
my ongoing case, as reference</t>
  </si>
  <si>
    <t xml:space="preserve">Hi Craig,
Thank you for the additional information and explanation.
I will be able to send you an official acknowledgement letter and the process summary by the end of today or tomorrow morning.
</t>
  </si>
  <si>
    <t xml:space="preserve">---------- Forwarded message ---------
From: Martine Paquet &lt;martine.paquet@nbasw-attsnb.ca&gt;
Date: Mon, Feb 10, 2025 at 10:16 AM
Subject: RE: Formal Complaint Against Jacqueline Gallant – Conflict of
</t>
  </si>
  <si>
    <t>FINANCIAL DISCLOSURE - FORM 72J INFORMATION</t>
  </si>
  <si>
    <t xml:space="preserve">February 12th, 2025
Re: Financial Disclosure - Form 72J Information
FDSJ-739-24
Craig Schulz DEFENDENT
74 Stock Farm Rd
Quispamsis NB  E2G2 A4
(506) 650-2122
Emma Ryan APPLICANT
1547 NB 820
</t>
  </si>
  <si>
    <t>Vet bill Luna custody</t>
  </si>
  <si>
    <t>Answer for a chance at $5,000!</t>
  </si>
  <si>
    <t>Get 1 month for $1 when you rejoin Premium. $12.69/mo. after. Cancel
 anytime.</t>
  </si>
  <si>
    <t xml:space="preserve">
Don't miss out: 1 month of Premium for $1. $12.69/mo. after.
Cancel anytime. We've been thinking—it's time to get back together. Rejoin Premium and enjoy all of the perks you know and love—music do</t>
  </si>
  <si>
    <t>Update for Avion Select members</t>
  </si>
  <si>
    <t>RBC Royal Bank 
https://view.website.rbc.com/?qs=3f5e4bdaaeb30593902345b6fd31acad1aa04dca665d2bb7b8defa6e2c229a3dc0f03433f2289f6525bbbdd3c221cd3345d294f4ce44e0651e726f8144afd9982b9ce474d7ebbb</t>
  </si>
  <si>
    <t>TalkingParents &lt;noreply@talkingparents.com&gt;</t>
  </si>
  <si>
    <t>You Have a New Message</t>
  </si>
  <si>
    <t>You Have a New Message.
You can view the new message by accessing your TalkingParents Account https://app.talkingparents.com/login.
Remember, our Complete Records include not only when each new mess</t>
  </si>
  <si>
    <t>Re: NBASW</t>
  </si>
  <si>
    <t xml:space="preserve">Dear Martine,
I am writing to formally request the full disclosure of Harper’s case files
to ensure I am fully informed of all aspects and developments. This will
enable me to comply with all legal </t>
  </si>
  <si>
    <t>RE: NBASW</t>
  </si>
  <si>
    <t>Good morning Craig,
If you wish to request a copy of Harper`s case files, you must request it directly to the Department of Social Development.
Thank you,
Martine
[cid:image001.png@01DB7D2A.E2</t>
  </si>
  <si>
    <t>Fwd: Interac e-Transfer: You've received $240.00 from Paul Carey and it has been automatically deposited.</t>
  </si>
  <si>
    <t>Sent from my iPhone
Begin forwarded message:
From:
Paul Carey &lt;notify@payments.interac.ca&gt;
Date:
November 5, 2024 at 9:53:19 PM AST
To:
Emma Ryan &lt;em.ry@icloud.com&gt;
Subject:
Interac e-Transfer: You've</t>
  </si>
  <si>
    <t>Fwd: Interac e-Transfer: You've received $150.00 from Paul Carey and it has been automatically deposited.</t>
  </si>
  <si>
    <t>Sent from my iPhone
Begin forwarded message:
From:
Paul Carey &lt;notify@payments.interac.ca&gt;
Date:
October 27, 2024 at 5:39:28 PM ADT
To:
EMMA RYAN &lt;em.ry@icloud.com&gt;
Subject:
Interac e-Transfer: You've</t>
  </si>
  <si>
    <t>Fwd: INTERAC e-Transfer: A money transfer from Paul Carey has been automatically deposited.</t>
  </si>
  <si>
    <t>Sent from my iPhone
Begin forwarded message:
From:
Paul Carey &lt;notify@payments.interac.ca&gt;
Date:
October 18, 2024 at 6:59:37 PM ADT
To:
EMMA RYAN &lt;em.ry@icloud.com&gt;
Subject:
INTERAC e-Transfer: A mone</t>
  </si>
  <si>
    <t>Sent from my iPhone
Begin forwarded message:
From:
Paul Carey &lt;notify@payments.interac.ca&gt;
Date:
October 11, 2024 at 8:51:23 PM ADT
To:
EMMA RYAN &lt;em.ry@icloud.com&gt;
Subject:
INTERAC e-Transfer: A mone</t>
  </si>
  <si>
    <t>Sent from my iPhone
Begin forwarded message:
From:
Paul Carey &lt;notify@payments.interac.ca&gt;
Date:
August 15, 2024 at 2:06:02 PM ADT
To:
EMMA RYAN &lt;em.ry@icloud.com&gt;
Subject:
INTERAC e-Transfer: A money</t>
  </si>
  <si>
    <t>Fwd: Interac e-Transfer: You've received $20.00 from Paul Carey and it has been automatically deposited.</t>
  </si>
  <si>
    <t>Sent from my iPhone
Begin forwarded message:
From:
Paul Carey &lt;notify@payments.interac.ca&gt;
Date:
December 8, 2024 at 5:17:32 PM AST
To:
EMMA ELIZABETH RYAN &lt;em.ry@icloud.com&gt;
Subject:
Interac e-Transf</t>
  </si>
  <si>
    <t>Sent from my iPhone
Begin forwarded message:
From:
Paul Carey &lt;notify@payments.interac.ca&gt;
Date:
November 3, 2024 at 6:41:58 PM AST
To:
EMMA RYAN &lt;em.ry@icloud.com&gt;
Subject:
Interac e-Transfer: You've</t>
  </si>
  <si>
    <t>Hey Craig, =?UTF-8?B?eW914oCZdmU=?= got 2 offers to enjoy</t>
  </si>
  <si>
    <t xml:space="preserve">
Instacart      96             body, center, th, td, div,
span, h1, h2, h3, h4, h5, h6, p, ul, ol, li, a {
mso-line-height-rule: exactly; -ms-text-size-adjust: 100%; }</t>
  </si>
  <si>
    <t>Hey</t>
  </si>
  <si>
    <t xml:space="preserve">Got a min? Harper needs ya I think. Her dads filling out too many forms and
has too big of balls to walk through any door and sit on hold for 8 hours
haha jk but ring a ding ding if ya can cheers
</t>
  </si>
  <si>
    <t>"halsu@reg2.health.nb.ca" &lt;halsu@reg2.health.nb.ca&gt;</t>
  </si>
  <si>
    <t>URGENT REQUEST FOR HARPER RYANS RECORDS</t>
  </si>
  <si>
    <t>*Dear Ms. Haley-Lajoie,*
I hope this message finds you well. I am writing to inform you that I will
be personally handing in a formal request for all records pertaining to my
daughter,* (Harper Ryan:</t>
  </si>
  <si>
    <t>Put these spots on your radar</t>
  </si>
  <si>
    <t>Try Vercel Pro for free</t>
  </si>
  <si>
    <t>&lt;span id="inflection-email-preheader" style="display:none; visibility:hidden; opacity:0; height:0; width:0;"&gt;Explore additional ways to collaborate, monitor, and secure your app‌ ‌ ‌&lt;/span&gt;&lt;!DOCTYPE h</t>
  </si>
  <si>
    <t>Vercel January Product Update</t>
  </si>
  <si>
    <t>&lt;!DOCTYPE html&gt;
&lt;html xmlns="http://www.w3.org/1999/xhtml" xmlns:o="urn:schemas-microsoft-com:office:office" xmlns:v="urn:schemas-microsoft-com:vml"&gt;
&lt;head&gt;&lt;title&gt;Vercel January Product Update&lt;/title&gt;</t>
  </si>
  <si>
    <t>81c</t>
  </si>
  <si>
    <t>Here is the *final text* in a normal format:
------------------------------
*COURT OF KING’S BENCH OF NEW BRUNSWICK*
*COURT FILE NUMBER: FDSJ-739-24*
*FAMILY DIVISION*
*JUDICIAL DISTRICT OF SAINT JOH</t>
  </si>
  <si>
    <t>*COURT OF KING’S BENCH OF NEW BRUNSWICK*
*COURT FILE NUMBER: FDSJ-739-24*
FAMILY DIVISION
JUDICIAL DISTRICT OF SAINT JOHN
BETWEEN:
*EMMA RYAN* (Applicant)
1547 Route 820
Barnesville NB, E5N 4B1
(50</t>
  </si>
  <si>
    <t>Last days: 1 month of Premium for $1. $12.69/mo. after. Cancel
 anytime.</t>
  </si>
  <si>
    <t xml:space="preserve">
Last chance to secure 1 month of Premium for $1. $12.69/mo. after.
Cancel anytime. Come back to Premium and create your dream music mix with ad-free music listening—anytime, anywhere. 
Better hu</t>
  </si>
  <si>
    <t>Take the guesswork out of ordering</t>
  </si>
  <si>
    <t>Google Gemini &lt;google-gemini-noreply@google.com&gt;</t>
  </si>
  <si>
    <t xml:space="preserve">
Get the most out of Gemini on web
Welcome to Gemini, an AI assistant from Google that can help you  
supercharge your creativity and productivity. With Gemini web app, you can  
get help writ</t>
  </si>
  <si>
    <t>DALE CAMPBELL &lt;dale.campbell@rogers.com&gt;</t>
  </si>
  <si>
    <t>Emma's affidavit</t>
  </si>
  <si>
    <t xml:space="preserve">
did you not think that an explanation between the different writing styles in the affidavit may have been because she was high during this part? </t>
  </si>
  <si>
    <t>Re: Emma's affidavit</t>
  </si>
  <si>
    <t>She’s always high. Shes smoked the sfuff for years. I looked it up with
borderline personality disorder and it says it makes sense. It’s a
different person who that was that day and a different person</t>
  </si>
  <si>
    <t xml:space="preserve">You’ve researched the wrong drug. I’ll find the info on it for you. It’s
not meth, anyway chat later love ya thank ya
On Mon, Feb 17, 2025 at 8:29 PM K O &lt;placed.sj@gmail.com&gt; wrote:
&gt; She’s always </t>
  </si>
  <si>
    <t>Fuck youre missing the fight
On Mon, Feb 17, 2025 at 8:00 PM DALE CAMPBELL &lt;dale.campbell@rogers.com&gt;
wrote:
&gt;
&gt;
&gt; did you not think that an explanation between the different writing styles
&gt; in the</t>
  </si>
  <si>
    <t>Your 9-Week-Old Baby: Senses Working Overtime</t>
  </si>
  <si>
    <t>Your 9-Week-Old Baby: Senses Working Overtime  Plus what to know about bedtime 
routines, breast pumps and birth control 
Unsubscribe 
&lt;https://links.babylist.com/s/eh/T3vLTBjJbfUufC0tXOmI7jl0wbe</t>
  </si>
  <si>
    <t>CRAIG S &lt;placed.sj@gmail.com&gt;</t>
  </si>
  <si>
    <t>lunacraigcep@gmail.com, emma.ryan1995@outlook.com, 
	Emma Ryan &lt;em.ry@icloud.com&gt;</t>
  </si>
  <si>
    <t>Enable Fluid for your projects</t>
  </si>
  <si>
    <t>&lt;!DOCTYPE html&gt;
&lt;html xmlns="http://www.w3.org/1999/xhtml" xmlns:o="urn:schemas-microsoft-com:office:office" xmlns:v="urn:schemas-microsoft-com:vml"&gt;
&lt;head&gt;&lt;title&gt;Enable Fluid for your projects&lt;/title</t>
  </si>
  <si>
    <t>Crowd-favorite restaurants around you</t>
  </si>
  <si>
    <t>Chicken or Steak?</t>
  </si>
  <si>
    <t>"Gaming Club" &lt;gamingclub@email.gamingclub.com&gt;</t>
  </si>
  <si>
    <t>Meet your Mega match!</t>
  </si>
  <si>
    <t xml:space="preserve">
https://click.brtpemails.com/?qs=ed238ff02889b2448ca225455513d4390550e250c82986166e95d18a3b7bb3931f442c236b472dd0ce522d8dfed7d3c2e710a663ea945b13bdb807ec69d94b5d 
https://click.brtpemai</t>
  </si>
  <si>
    <t>Hey Craig, your $20 off expires soon</t>
  </si>
  <si>
    <t>Richard at OpenPhone &lt;richard.huffaker@openphone.com&gt;</t>
  </si>
  <si>
    <t>After Hours: How to grow your business with OpenPhone</t>
  </si>
  <si>
    <t>**********
Issue No.1
**********
**********************
Welcome to After Hours
**********************
How you (and we) can build better relationships with customers
Richard Huffaker
I’m Richard, t</t>
  </si>
  <si>
    <t>A bonus that's all yours!</t>
  </si>
  <si>
    <t xml:space="preserve">
https://click.flgemails.com/?qs=ed238ff02889b24472df6bb791cc4e69c348a130ca581ed3d8cf722d4236904058f2da5f6e146205c4533ad0940119496be4f968d63c4858a6c49d2e7903785f 
https://click.flgemails.com/?</t>
  </si>
  <si>
    <t>Where have you gone, Tony?</t>
  </si>
  <si>
    <t xml:space="preserve">
https://click.brtpemails.com/?qs=ed238ff02889b2448ca225455513d4390550e250c8298616efa9173dec27cc3d6ab15ae02386fcd9f904f4069cfc75bcdda6ba179f25e69674c46040b2ed40bf 
https://click.brtpemai</t>
  </si>
  <si>
    <t>Rent a car and reimagine weekends</t>
  </si>
  <si>
    <t>You're in for some Mega fun, Tony</t>
  </si>
  <si>
    <t xml:space="preserve">
https://click.brtpemails.com/?qs=46439008efc344219d22a8bedb746131cf1043d4cbfb4d744e02b28acb8c7bb2a2c6e5e84e0ab1355a82a6dfea0810e58665f02cbe923d295de7a8aee53e126d 
https://click.brtpemai</t>
  </si>
  <si>
    <t>Seal your deal, Alison!</t>
  </si>
  <si>
    <t xml:space="preserve">
https://click.flgemails.com/?qs=1eb91e53c139b9aa4e3bf1579fd097b5c235abde664474d11d622aa98ef00ecc2aed082235c106ffaf1a50c419c41533a821b422560e3e66a9c357a650413435 
https://click.flgemails.com/?</t>
  </si>
  <si>
    <t>Get your day off to a Mega start!</t>
  </si>
  <si>
    <t xml:space="preserve">
https://click.brtpemails.com/?qs=46439008efc344219d22a8bedb746131cf1043d4cbfb4d7485530c98566f85e6a8adfef17ef92e6c9712c1749ffa11483a9df5e2f7fd86f489a7014f4bafc6fb 
https://click.brtpemai</t>
  </si>
  <si>
    <t>Intuit &lt;do_not_reply@intuit.com&gt;</t>
  </si>
  <si>
    <t>Your Intuit Account</t>
  </si>
  <si>
    <t>&lt;!DOCTYPE html&gt;
&lt;html&gt;
&lt;head&gt;
    &lt;title&gt;&lt;/title&gt;
    &lt;link rel="stylesheet" type="text/css" href="css/app.css"&gt;
    &lt;meta name="viewport" content="width=device-width, initial-scale=1.0, maximum-sca</t>
  </si>
  <si>
    <t>Jimdo &lt;no-reply@jimdo.com&gt;</t>
  </si>
  <si>
    <t>[https://assets.jimstatic.com/mato-assets/images/Jimdo_2021_Navy.png]
Great news!
We've added your email address to our newsletter mailing list. From now on
you'll receive updates on deals, discount</t>
  </si>
  <si>
    <t>One bonus, so many possibilities!</t>
  </si>
  <si>
    <t xml:space="preserve">
https://click.brtpemails.com/?qs=e19e704b036026b139d6917526ade7c04fb69fdf29e36a8bf09e00006ee7558aeaf79f5267c27ee5269566aee979bbf67f80d5f985c4809850b952e35fa059d3 
https://click.brtpemai</t>
  </si>
  <si>
    <t>"Heroku" &lt;no-reply@heroku.com&gt;</t>
  </si>
  <si>
    <t>Your Insights Needed: Help Improve Heroku's UX!</t>
  </si>
  <si>
    <t>Your Insights Needed: Help Improve Heroku's UX!
View in Browser https://hello.heroku.com/webmail/36622/1285797037/011dcd3c219818adac4698c9c4de89e9bf7ea17658c742c47f5ebc4b684e4d46
Dear Heroku Custome</t>
  </si>
  <si>
    <t>Restaurants loved by locals</t>
  </si>
  <si>
    <t>The mail you've waited for!</t>
  </si>
  <si>
    <t xml:space="preserve">
https://click.brtpemails.com/?qs=46439008efc344219d22a8bedb746131cf1043d4cbfb4d74274f6976a4f96303b1281334e4b6889441c82a02dcdfc78d43d396f24b7a7a553bb576454548ffde 
https://click.brtpemai</t>
  </si>
  <si>
    <t>Presenting your latest bonus!</t>
  </si>
  <si>
    <t xml:space="preserve">
https://click.flgemails.com/?qs=e19e704b036026b1c631f8a4cb7798fb9b787d49bc2061b348b9e564bc96f1863cd4dd7c9bcf27af04a9b2df4b99842d17c530f3df384b5499d49dc05beaf8ed 
https://click.flgemails.com/?</t>
  </si>
  <si>
    <t>Everyone's talking about it, Tony</t>
  </si>
  <si>
    <t xml:space="preserve">
https://click.brtpemails.com/?qs=46439008efc344219d22a8bedb746131cf1043d4cbfb4d74225488e2e852463e3bc6b684849ba38cfe1a1c51e1acbec09d0be3c90da87b488c19e29126a30db5 
https://click.brtpemai</t>
  </si>
  <si>
    <t>Link &lt;notifications@link.com&gt;</t>
  </si>
  <si>
    <t>Delete your Link account</t>
  </si>
  <si>
    <t xml:space="preserve">Delete your Link account
Click the button below to delete your personal information saved to your Link account, including:
- Card number
- Billing address
- Shipping address
- Phone number
This </t>
  </si>
  <si>
    <t xml:space="preserve">
https://click.brtpemails.com/?qs=5aa443799d0d79271995679306556b45215378dcd33219624666122052ecbe3d8ed844851458605cafed31c523ae72b8c877534e0863a1c6e12d319f2b00e801 
25% Match Bonus
 PLUS </t>
  </si>
  <si>
    <t>Something extra! You in?</t>
  </si>
  <si>
    <t xml:space="preserve">
https://click.flgemails.com/?qs=e19e704b036026b1c631f8a4cb7798fb9b787d49bc2061b34740d130c1c3a1fb835adb860924dd91ae6996e2b2d79cf2a7bffb9813d7ff41f62991e380b78392 
https://click.flgemails.com/?</t>
  </si>
  <si>
    <t>There are deals in here</t>
  </si>
  <si>
    <t xml:space="preserve">
https://click.flgemails.com/?qs=1eb91e53c139b9aa4e3bf1579fd097b5c235abde664474d1237384e74181fbbbe13cecc76016b4ff7ae34ce9f738f2519df1d0b4fe4867fc442ee913f67c6ed2 
https://click.flgemails.com/?</t>
  </si>
  <si>
    <t>It's been a while, Tony!</t>
  </si>
  <si>
    <t xml:space="preserve">
https://click.brtpemails.com/?qs=46439008efc344219d22a8bedb746131cf1043d4cbfb4d74a21917f91cdb5bfb1e8c5ee97cd9b315ad17c88bbc92799b857a0eb96a995d1ade6348267cd9e3b3 
https://click.brtpemai</t>
  </si>
  <si>
    <t>Railway &lt;hello@notify.railway.app&gt;</t>
  </si>
  <si>
    <t>Updates to our Privacy Policy and Subprocessors</t>
  </si>
  <si>
    <t>Railway Logo
Hello,
We’ve updated the Railway Privacy Policy ( https://railway.app/legal/privacy ), data processing addendum and our list of subprocessors effective February 28th, 2025.
These updat</t>
  </si>
  <si>
    <t>Go Mojo Mode.</t>
  </si>
  <si>
    <t>Come and experience the fun, Tony</t>
  </si>
  <si>
    <t xml:space="preserve">
https://click.brtpemails.com/?qs=ed238ff02889b2448ca225455513d4390550e250c8298616e241a5fe20690a54856dfa821e83211accae0e88061c848f95050b1530214a37ed497233b7a066ac 
https://click.brtpemai</t>
  </si>
  <si>
    <t>Get up to 60% off at thousands of new restaurants</t>
  </si>
  <si>
    <t>Your new Daily Deal alert!</t>
  </si>
  <si>
    <t xml:space="preserve">
https://click.flgemails.com/?qs=ed238ff02889b24472df6bb791cc4e69c348a130ca581ed335d74d3280622d2cbb4fe02f4cce62409ebbbe37e17483f830b3df58230cf50a7a8a00845d337edb 
https://click.flgemails.com/?</t>
  </si>
  <si>
    <t xml:space="preserve">
https://click.brtpemails.com/?qs=d9c741edea5e1e1e8c9a8f7cbb83a43700b4686d80428e75ab11e0b54be12653cdb410dbe4dd0af12ab30258d22397f52adb9254336f68dbdba3791055e34f09 
https://click.brtpemails.co</t>
  </si>
  <si>
    <t xml:space="preserve">
https://click.flgemails.com/?qs=e88567014be0db92a90bf5749df96ee29a448362a0672d9f183467b36f6ded9639dea6283b52a5344d3eaa4cdbe017eccab43853e1911b58a70458fd77bcc7ad 
https://click.flgemails.co</t>
  </si>
  <si>
    <t>Craig, 3X cash back is back!</t>
  </si>
  <si>
    <t xml:space="preserve">  
RBC Royal Bank
https://view.website.rbc.com/?qs=e903af20fba40f8eab856d2215f4d29875fd6162db2b29251081d1734567a166ab9697da8d953f58ce7884a89f80ab6d1e4deb9dc63a1b1fd43ac0f4e3865758b71d5f85d509c6c</t>
  </si>
  <si>
    <t>Mailchimp &lt;hello@e.mailchimp.com&gt;</t>
  </si>
  <si>
    <t>SMS: The missing piece of your marketing strategy</t>
  </si>
  <si>
    <t>""                  &lt;https://app.e.mailchimp.com/e/er?utm_medium=email&amp;utm_source=Eloqua&amp;utm_campaign=706&amp;s=3533916&amp;lid=1318&amp;elqTrackId=eba5deac3a724c858779eda374d0d9ca&amp;elq=f999a888ffb9446794994421cdf</t>
  </si>
  <si>
    <t>Craving something new?</t>
  </si>
  <si>
    <t>Your next step? Bonus!</t>
  </si>
  <si>
    <t xml:space="preserve">
https://click.brtpemails.com/?qs=d0fad23f3b23577c4d56a8341abc317c12a6d6685511222f5f71354fa0f72ca0b89ea32ec3c5426b3ee9d0963b303a65023cdf7fcec155caa61ae423325a5e1a 
https://click.brtpemails.co</t>
  </si>
  <si>
    <t xml:space="preserve">
https://click.flgemails.com/?qs=ccd8a4f72dd324b8f8a29b265816b4ec5d99394e19f111efd8b0e2ee825f8de2cc292c31fb0aee7e62946110d3b7b164baa5e597560e0b8ecafb52bd9f945d03 
https://click.flgemails.co</t>
  </si>
  <si>
    <t xml:space="preserve">
https://click.brtpemails.com/?qs=d9c741edea5e1e1e8c9a8f7cbb83a43700b4686d80428e75e933b427c19f4b5e92480bd0e89db244cc023360ce63a8b3a38f2f76c350f01016be2c34aa888ed4 
https://click.brtpemails.co</t>
  </si>
  <si>
    <t xml:space="preserve">&lt;!DOCTYPE html&gt;
&lt;html&gt;
&lt;head&gt;
  &lt;meta name="viewport" content="width=device-width, initial-scale=1.0" /&gt;
  &lt;meta http-equiv="Content-Type" content="text/html; charset=utf-8" /&gt;
  &lt;!--[if gte mso 9]&gt;
 </t>
  </si>
  <si>
    <t xml:space="preserve">
https://click.flgemails.com/?qs=ccd8a4f72dd324b8f8a29b265816b4ec5d99394e19f111efaa48862c979fc15f5d9b16c02b3725f057c54d34cd025310c94b63a7d379eb6b466b2215196ff93e 
https://click.flgemails.co</t>
  </si>
  <si>
    <t xml:space="preserve">
https://click.brtpemails.com/?qs=d9c741edea5e1e1e8c9a8f7cbb83a43700b4686d80428e7538c6cfae411f3dff6422fbc0494ef30e21c4968cad94c8039930656d4a859beadc1dc5f76b7a719a 
https://click.brtpemails.co</t>
  </si>
  <si>
    <t>Vercel Monthly Product Update</t>
  </si>
  <si>
    <t>&lt;!DOCTYPE html&gt;
&lt;html xmlns="http://www.w3.org/1999/xhtml" xmlns:o="urn:schemas-microsoft-com:office:office" xmlns:v="urn:schemas-microsoft-com:vml"&gt;
&lt;head&gt;&lt;title&gt;Vercel Monthly Product Update&lt;/title&gt;</t>
  </si>
  <si>
    <t xml:space="preserve">
https://click.flgemails.com/?qs=e88567014be0db92a90bf5749df96ee29a448362a0672d9f903b754f1c6c8cdc14cc5b33e09bacee16503cc096d326fafad2c7243007196d7a603dc9e7d7bf34 
https://click.flgemails.co</t>
  </si>
  <si>
    <t>This way for your bonus!</t>
  </si>
  <si>
    <t xml:space="preserve">
https://click.brtpemails.com/?qs=c9e151ab5a96eb2cb6e06e4d38db03d7a8515f03cd1ec171d6a082a5988ccf910f61d431ddb04372ace1dc456cd10e424ed4807cdcadb79e255b37e863654aac 
https://click.brtpemails.co</t>
  </si>
  <si>
    <t>What are you in the mood for?</t>
  </si>
  <si>
    <t xml:space="preserve">
https://click.flgemails.com/?qs=ccd8a4f72dd324b8f8a29b265816b4ec5d99394e19f111ef7b39031587f2cdb792ced6abb0cf9d73933f5e440cf0474c168427d8d8c0339d79fdca02854a91ce 
https://click.flgemails.co</t>
  </si>
  <si>
    <t xml:space="preserve">
https://click.brtpemails.com/?qs=d9c741edea5e1e1e8c9a8f7cbb83a43700b4686d80428e75f9fa9e796ac0f7e862bebd5cf619555e9db411d80da375e09297a074e2f07c2affece91d30b6269a 
https://click.brtpemails.co</t>
  </si>
  <si>
    <t>Give your bottom line a boost with SMS Marketing</t>
  </si>
  <si>
    <t xml:space="preserve">
‌ ‌ ‌ ‌ ‌ ‌ ‌ ‌ ‌ ‌ ‌ ‌ ‌ ‌ ‌ ‌ ‌ ‌ ‌ ‌ ‌ ‌ ‌ ‌ ‌ ‌ ‌ ‌ ‌ ‌ ‌ ‌ ‌ ‌ ‌ ‌ ‌ ‌ ‌ ‌ ‌ ‌ ‌ ‌ ‌ ‌ ‌ ‌ ‌ ‌ ‌ ‌ ‌ ‌ ‌ ‌ ‌ ‌ ‌ ‌ ‌ ‌ ‌ ‌ ‌ ‌ ‌ ‌ ‌ ‌ ‌ ‌ ‌ ‌ ‌ ‌ ‌ ‌ ‌ ‌ ‌ ‌ ‌ ‌ ‌ ‌ ‌ ‌ ‌ ‌ ‌ ‌ ‌ ‌ ‌ ‌ ‌ ‌ </t>
  </si>
  <si>
    <t>Your bonus to remember!</t>
  </si>
  <si>
    <t xml:space="preserve">
https://click.brtpemails.com/?qs=d9c741edea5e1e1e8c9a8f7cbb83a43700b4686d80428e7578446774fdf565ff240e60c79ca14a3872535e4e8cbb27432b8a4505b9fe38279c10557ca6818c3b 
https://click.brtpemails.co</t>
  </si>
  <si>
    <t xml:space="preserve">
https://click.flgemails.com/?qs=c10f8f6d536251ce988304928f303091b8edbac2d0e28d44587d9d2658c55dce140d37a2c1ad446098036c39cc1756245143b3bc30921452988958d937232882 
https://click.flgemails.co</t>
  </si>
  <si>
    <t>At $9.99, this Footlong deal is looking FINE.</t>
  </si>
  <si>
    <t>Your game session booster!</t>
  </si>
  <si>
    <t xml:space="preserve">
https://click.brtpemails.com/?qs=d0fad23f3b23577c4d56a8341abc317c12a6d6685511222fde95a8603f05c09f485051314638ce7091ecdb921431dd605286e24a6982718f17b44ccaa1d385fe 
https://click.brtpemails.co</t>
  </si>
  <si>
    <t xml:space="preserve">
https://click.flgemails.com/?qs=c10f8f6d536251ce988304928f303091b8edbac2d0e28d44c178e59dcfb9261063a69c97e94c9abfbbaa78ce04a1a25657506a1897241d7d9e98465157b5f56d 
https://click.flgemails.co</t>
  </si>
  <si>
    <t>Place an order with the Uber Eats app again</t>
  </si>
  <si>
    <t>Your deal awaits, Tony!</t>
  </si>
  <si>
    <t xml:space="preserve">
https://click.brtpemails.com/?qs=6c4f493f2f367456422bb1fa81f595216709ded574e6f1088121239a0a85653f51213c7b79b74b3b2daf4eccbe64b13ddf89efd3818d616aeefdce8c8e59b120 
https://click.brtpemails.co</t>
  </si>
  <si>
    <t xml:space="preserve">
https://click.flgemails.com/?qs=e88567014be0db92a90bf5749df96ee29a448362a0672d9f665ba543c7161702982915136549b558f9af57fe3c752a3aadfb3b999bba3a594041c8d9329bbd7b 
https://click.flgemails.co</t>
  </si>
  <si>
    <t>Bring back uninterrupted music with 1 free month of Premium. $12.69
 CAD/mo. after. Cancel anytime.</t>
  </si>
  <si>
    <t xml:space="preserve">
Pick up where you left off with 1 month of Premium for $0. $12.69 CAD/mo. after. Cancel anytime.
Rejoin Premium and enjoy ad-free music listening—so your soundtrack plays without interruptions.
</t>
  </si>
  <si>
    <t xml:space="preserve">
https://click.flgemails.com/?qs=a89e777902b845db650ed961e1ef59cf52bbfaf7a07c5069b0abde5d32ac951349d63b0ff392bc75c389c3148371d119857217ad23fbff955f9994824a69d9f9 
https://click.flgemails.co</t>
  </si>
  <si>
    <t>Buy any 2 Footlongs, get another for free.</t>
  </si>
  <si>
    <t>Last call for 50% off  your next 2 orders !</t>
  </si>
  <si>
    <t>What's next? Your bonus!</t>
  </si>
  <si>
    <t xml:space="preserve">
https://click.brtpemails.com/?qs=c57a7b8f927b0261eb443cf449d349f7aea1893b3b16f4f4a5bac0e8f93cbda2f4a5b29474bce38e03965acede37603af95cddbbdf8b507723e077ddf4d8974e 
https://click.brtpemails.co</t>
  </si>
  <si>
    <t>Super-size your bonus?</t>
  </si>
  <si>
    <t xml:space="preserve">
https://click.flgemails.com/?qs=c10f8f6d536251ce988304928f303091b8edbac2d0e28d449095658f4b8364cbf490720a368ecb572b979066ebd3d5c2949034fc157731db0654468d744ffa19 
https://click.flgemails.co</t>
  </si>
  <si>
    <t>A bonus to perk you up!</t>
  </si>
  <si>
    <t xml:space="preserve">
https://click.brtpemails.com/?qs=9e49207c6a08b3506cca0aff9dbd4cc6e9e3b876eeda70c6a4c305ef5e8ca5dacc1dd5a36fb254c8306426a27d0dce1795598672fd4c3be7e7c6e91c6bc94edd 
https://click.brtpemails.co</t>
  </si>
  <si>
    <t xml:space="preserve">
https://click.flgemails.com/?qs=36252585c34afb9d618fadc5d355ffc39ab8c1bae36e1ac82430d941aac9896115feb651112618e0114f70932b29078ad166657ef5ac23f61a6d17dc6a63be92 
https://click.flgemails.com/</t>
  </si>
  <si>
    <t xml:space="preserve">
https://click.brtpemails.com/?qs=36252585c34afb9d919f323058d62cc7590cbb0b13d2fe6bfbf3626d65a6ea55cded035dbc4ee01df00253819bc86078d9d52f96aba21c61f01430da6613ad28 
https://click.brtpemails.co</t>
  </si>
  <si>
    <t>Order in-demand items on demand, Craig n Emma</t>
  </si>
  <si>
    <t>Get up to 50% off at thousands of new restaurants</t>
  </si>
  <si>
    <t>Your mega-tastic deal, Alison!</t>
  </si>
  <si>
    <t xml:space="preserve">
https://click.flgemails.com/?qs=c10f8f6d536251ce988304928f303091b8edbac2d0e28d4467fa3b0006ab4c11dc9b13d8c9c3f09554f30a9aa5aad6990b3b8255c36a667e4b0d2ad7bf894e0b 
https://click.flgemails.co</t>
  </si>
  <si>
    <t xml:space="preserve">
https://click.brtpemails.com/?qs=6865f54d78cb67954891e7342f95f167144a5fb6eef70b861e59795a5f77824109431eeb47304c5ab550879effb052deb4ada47386c902339a676cc4d55f88ec 
https://click.brtpemails.co</t>
  </si>
  <si>
    <t>Let's reconnect over a meal</t>
  </si>
  <si>
    <t>K, sign up for a $100 e-voucher and enter for a chance to win!</t>
  </si>
  <si>
    <t>Put a ring (and a drink) on your sub for free</t>
  </si>
  <si>
    <t xml:space="preserve">
https://click.brtpemails.com/?qs=15e9877b39c1afbf0d1532d9ed411f6eb36d1dda871ed11ec9c3cae1ecc5047e3af463a18a7713cbf0e158fd1fa046c39c6634fecb14a6ba38d5686c0716a116 
https://click.brtpemai</t>
  </si>
  <si>
    <t>Your 13-Week-Old Baby: Best High Chairs for Messy Eaters</t>
  </si>
  <si>
    <t>Your 13-Week-Old Baby: Best High Chairs for Messy Eaters  The 411 on croup and 
finding hands and feet 
Unsubscribe 
&lt;https://links.babylist.com/s/eh/JmWUkVEeZR3EKVqFb0edTqe0B0pYdWb7hUCYAiDkBETlO</t>
  </si>
  <si>
    <t>Craig, spring into savings with Avion Rewards</t>
  </si>
  <si>
    <t xml:space="preserve">  
RBC Royal Bank
https://view.website.rbc.com/?qs=f8a11cee28a52189c96d47ea74a248cd6f186a7bb1cf4e91424fa4b853911ca8604140ff116eb5f98f0d37379800b459a084b5a8459adc3f98feb35b7f22c64ce9d7f5da86b7b</t>
  </si>
  <si>
    <t xml:space="preserve">
https://click.brtpemails.com/?qs=a42ab870886c256b65124fa9ecec6a02048461a2e0d312024a09e2b8aad2533dc5c114e07fd0e827f0175a5a96417855f0e6997bd17804bf1315ecc3239cb67d 
https://click.brtpemai</t>
  </si>
  <si>
    <t>1 month of Premium for =?UTF-8?B?ZnJlZeKAlHJlYWR5?= to press play
 again? $12.69 CAD/mo. after. Cancel anytime.</t>
  </si>
  <si>
    <t xml:space="preserve">
Organize your queue your way with 1 month of Premium for free. $12.69 CAD/mo. after. Cancel anytime.
Step back into Premium and enjoy 1 free month of offline and ad-free music listening. $12.69 CAD</t>
  </si>
  <si>
    <t>"Webador" &lt;support@webador.com&gt;</t>
  </si>
  <si>
    <t>Will you be our next success story?</t>
  </si>
  <si>
    <t>&lt;!DOCTYPE html&gt;
&lt;html xmlns:v="urn:schemas-microsoft-com:vml" xmlns:o="urn:schemas-microsoft-com:office:office" lang="en"&gt;
&lt;head&gt;
	&lt;title&gt;&lt;/title&gt;
	&lt;meta http-equiv="Content-Type" content="text/</t>
  </si>
  <si>
    <t>Join us March 20: Beyond the basics online event</t>
  </si>
  <si>
    <t>&lt;!DOCTYPE html&gt;
&lt;html xmlns="http://www.w3.org/1999/xhtml" xmlns:o="urn:schemas-microsoft-com:office:office" xmlns:v="urn:schemas-microsoft-com:vml"&gt;
&lt;head&gt;&lt;title&gt;Join us March 20: Beyond the basics o</t>
  </si>
  <si>
    <t>Wakey wakey, breakfast savings</t>
  </si>
  <si>
    <t>The stage is set for your comeback, Tony!</t>
  </si>
  <si>
    <t xml:space="preserve">
https://click.brtpemails.com/?qs=df692d901978fbdee39317552f73878fa9914038559231b6ebfd007cb910cb36f9bceae3145b8f5791468aa9cc98ac17be68bbe1b77161868d1056ce6d05ac9c 
https://click.brtpemai</t>
  </si>
  <si>
    <t>K, your exclusive $100 e-voucher is waiting!</t>
  </si>
  <si>
    <t xml:space="preserve">
https://click.brtpemails.com/?qs=15e9877b39c1afbf0d1532d9ed411f6eb36d1dda871ed11e4ea64e1f0513d0cc6826ca7cc984cac77eaceaf10f28936711b80b7685eabf44a2b856f39b57a285 
https://click.brtpemai</t>
  </si>
  <si>
    <t>&lt;!DOCTYPE html PUBLIC "-//W3C//DTD XHTML 1.0 Transitional//EN" "http://www.w3.org/TR/xhtml1/DTD/xhtml1-transitional.dtd"&gt;
&lt;html&gt;
 &lt;head&gt;
  &lt;meta name="viewport" content="width=device-width, initial-sc</t>
  </si>
  <si>
    <t xml:space="preserve">
https://click.brtpemails.com/?qs=df692d901978fbdee39317552f73878fa9914038559231b6498f1f0f3cad9ea806cf02f97ed0178d5355645c3cef229df60dcbaf177c84e545f38ab9e77ffd7c 
https://click.brtpemai</t>
  </si>
  <si>
    <t>"Indeed" &lt;no-reply@indeed.com&gt;</t>
  </si>
  <si>
    <t>We've updated our Terms of Service and Privacy Policy</t>
  </si>
  <si>
    <t>&lt;!DOCTYPE html PUBLIC "-//W3C//DTD XHTML 1.0 Transitional//EN" "http://www.w3.org/TR/xhtml1/DTD/xhtml1-transitional.dtd"&gt;
&lt;html
    xmlns="http://www.w3.org/1999/xhtml"
    xmlns:v="urn:schemas-micros</t>
  </si>
  <si>
    <t xml:space="preserve">
https://click.brtpemails.com/?qs=a42ab870886c256b65124fa9ecec6a02048461a2e0d31202d25ae3555148d055462723506f6b8224bb942af7f43d6d889171846dc84e55718203386c71ce5f79 
https://click.brtpemai</t>
  </si>
  <si>
    <t xml:space="preserve">
https://click.brtpemails.com/?qs=a42ab870886c256b65124fa9ecec6a02048461a2e0d31202cb77aa8c5872c29da97e32cbb3ff826a599f4a313a004a1d0a9928d3f00735b7d4ad794352225091 
https://click.brtpemai</t>
  </si>
  <si>
    <t>Great games and even better rewards, Tony</t>
  </si>
  <si>
    <t xml:space="preserve">
https://click.brtpemails.com/?qs=c2d8c8f13ddc24470be8b874af599f9454290ff3536366e7f1bb44fd4b3a80b062ad36e2c6ee5339ba38b4ab201d65574ae68e1683d56eb5ae91e3c0e1e447e2 
https://click.brtpemai</t>
  </si>
  <si>
    <t>Get 1 month of Spotify Premium for $0 now, $12.69 CAD/mo. after.
 Cancel anytime.</t>
  </si>
  <si>
    <t xml:space="preserve">
Tunes, vibes, repeat. 
Get 1 month of Premium for $0 now, $12.69 CAD/mo. after. 
Cancel anytime. Set the tone with uninterrupted music listening. Listen to your faves and explore new libraries in t</t>
  </si>
  <si>
    <t>NinjaTech AI &lt;communications@ninjatech.ai&gt;</t>
  </si>
  <si>
    <t>Introducing Deep Research 2.0: Your AI Research Assistant
 =?UTF-8?B?8J+Tmu+4jw==?=</t>
  </si>
  <si>
    <t>( https://engage.ninjatech.ai/r?p=abtpy4u3yxuy2ylw5ycbaz7cx3zq6izmcqtweyilaenlg2hiufoehj2xjjcblnicsy4ucqdx465xix3m7a3ghjczr6hpcstzrgkgql57ztdevptohxl3ffqzt7a5svjv )
*NOW AVAILABLE*
*****************</t>
  </si>
  <si>
    <t>Your 14-Week-Old Baby</t>
  </si>
  <si>
    <t>Your 14-Week-Old Baby  Belly laughs, bottle racks and why your hair isn’t in 
shampoo-commercial shape anymore 
Unsubscribe 
&lt;https://links.babylist.com/s/eh/Wdt9Hs5GflyXrHYnrWxnvEl3aCzILzZzqkr1Q</t>
  </si>
  <si>
    <t>"Babylist Partner" &lt;hello@newsletter.babylist.com&gt;</t>
  </si>
  <si>
    <t>Take the guesswork out of playtime.  ‌  ‌  ‌  ‌  ‌  ‌  ‌  ‌  ‌  ‌  ‌  ‌  ‌  ‌  
‌  ‌  ‌  ‌  ‌  ‌  ‌  ‌  ‌  ‌  ‌  ‌  ‌  ‌  ‌  ‌  ‌  ‌  ‌  ‌  ‌  ‌  ‌  ‌  ‌  ‌  
‌  ‌  ‌  ‌  ‌  ‌  ‌  ‌  ‌  ‌  ‌  ‌  ‌  ‌ </t>
  </si>
  <si>
    <t>It's been a while, see what's new on Uber Eats</t>
  </si>
  <si>
    <t xml:space="preserve">
https://click.brtpemails.com/?qs=c2d8c8f13ddc24470be8b874af599f9454290ff3536366e77bc09740b473050045e9b995e4e801cd596f8f9311bff296604bbfa1fcd164815c6b3350001ec9fa 
https://click.brtpemai</t>
  </si>
  <si>
    <t xml:space="preserve">
https://click.brtpemails.com/?qs=df692d901978fbdee39317552f73878fa9914038559231b65ce42df940d9cbb3a3ad3ccd747ddc9057b4c6e81cfe9f05f131d35579158b5aedfc5005b5a1601c 
https://click.brtpemai</t>
  </si>
  <si>
    <t>Take your Footlong even further for $1.99</t>
  </si>
  <si>
    <t>Get in on world-class action, Tony</t>
  </si>
  <si>
    <t xml:space="preserve">
https://click.brtpemails.com/?qs=a42ab870886c256b65124fa9ecec6a02048461a2e0d3120269a7e1ce0d2035fcfcfa78f8a20c1db96dcc24e0ab59f3ce23278277389585294fd65f2eafa9c521 
https://click.brtpemai</t>
  </si>
  <si>
    <t>Shake up your shopping game with deals</t>
  </si>
  <si>
    <t>Ripe and ready to reward you!</t>
  </si>
  <si>
    <t xml:space="preserve">
https://click.brtpemails.com/?qs=15e9877b39c1afbf0d1532d9ed411f6eb36d1dda871ed11e3ced0bdaed9dc2ac2497c9ae659de06f7c7ee1e854b63fad0816092a0735086b63d4f135b826450b 
https://click.brtpemai</t>
  </si>
  <si>
    <t xml:space="preserve">
https://click.brtpemails.com/?qs=c2d8c8f13ddc24470be8b874af599f9454290ff3536366e7d371297e7ba36858f2ab200be757587a1fe4b5fa5df7b4de8eff46e297f282d0e3ffc346ffcbb42f 
https://click.brtpemai</t>
  </si>
  <si>
    <t>Make your day a little brighter, Tony</t>
  </si>
  <si>
    <t xml:space="preserve">
https://click.brtpemails.com/?qs=c2d8c8f13ddc24470be8b874af599f9454290ff3536366e788eda106db6e11351465203e24f9f41f7c59b71e7e074e1fe1637fbcbc011b1db53e88227a799599 
https://click.brtpemai</t>
  </si>
  <si>
    <t>We've been missing you around here!</t>
  </si>
  <si>
    <t xml:space="preserve">
https://click.brtpemails.com/?qs=87efae6476a1960bd0107776772ea1b7ff217fc44680a5e52698d5999321230afcf89d499c497311b2ce78603b26d3ae9fe1017b55e9ebfd4efa4c707e1e44b0 
https://click.brtpemails.co</t>
  </si>
  <si>
    <t>Craig, cash back deals are blooming</t>
  </si>
  <si>
    <t xml:space="preserve">  
RBC Royal Bank
https://view.website.rbc.com/?qs=aff627fb5c27b6a8152a3c2605e794f1d6ac22ef92c29fa174e76db9157ea103f10bedd64d0daf15e8009dc15c4f38ce2c70866322e3831cd5008ebf63c122b9793f3d823da9d</t>
  </si>
  <si>
    <t>Quora Digest &lt;english-quora-digest@quora.com&gt;</t>
  </si>
  <si>
    <t>Top stories for B
-----
Question: Will a smoker’s lungs clean themselves if they quit smoking and how long does it take?
Answer from Karen Cohen
I quit smoking in 1985 and I’d smoked for 19 year</t>
  </si>
  <si>
    <t>Do you miss tasty takeout deliveries? =?UTF-8?B?8J+klA==?=</t>
  </si>
  <si>
    <t xml:space="preserve">
https://click.brtpemails.com/?qs=a42ab870886c256b65124fa9ecec6a02048461a2e0d312026785e8d118a851c214475a5ace7f303b54593c54f807baafa9b52e4f8e5ea73dddc0a6b014e590be 
https://click.brtpemai</t>
  </si>
  <si>
    <t>Your welcome back deal awaits, Tony</t>
  </si>
  <si>
    <t xml:space="preserve">
https://click.brtpemails.com/?qs=15e9877b39c1afbf0d1532d9ed411f6eb36d1dda871ed11e8b3346d6eb27c11da7a7d5340f80d5edd99ef2d3cecbaf64d7ab2f6162d1b057c8c449d27b2f6d54 
https://click.brtpemai</t>
  </si>
  <si>
    <t xml:space="preserve">
https://click.brtpemails.com/?qs=c2d8c8f13ddc24470be8b874af599f9454290ff3536366e70a4a2bdd3df7ae6dd2c45940b5cecf5216a0c12a963e6ebbd67bf5dbe234d6c50c3762edb3b396fe 
https://click.brtpemai</t>
  </si>
  <si>
    <t>No fees. No lines. Try Pickup on Uber Eats</t>
  </si>
  <si>
    <t xml:space="preserve">
https://click.brtpemails.com/?qs=a42ab870886c256b65124fa9ecec6a02048461a2e0d31202cd0872dc4631f384428658de9e50253898e1f06eb35b5fd2ea2015c54721210429e259294579832d 
https://click.brtpemai</t>
  </si>
  <si>
    <t>Craig n Emma, see the deals you missed</t>
  </si>
  <si>
    <t>Don't miss out on an excellent eating experience</t>
  </si>
  <si>
    <t xml:space="preserve">
https://click.brtpemails.com/?qs=c2d8c8f13ddc24470be8b874af599f9454290ff3536366e735edb0a64b7e46319e25a7d99935787daf1e4f6289069141b6f826354a4ac3cda1480546aaeb591a 
https://click.brtpemai</t>
  </si>
  <si>
    <t>"Deb at Zapier" &lt;blog@send.zapier.com&gt;</t>
  </si>
  <si>
    <t>Vibe code</t>
  </si>
  <si>
    <t>Vibe coding won't yield the most sophisticated results, but it's an efficient 
way to get a working draft. Here's how it works.
 &lt;https://zapier.com/blog/?utm_content=logo-header&gt;
Log in &lt;https:</t>
  </si>
  <si>
    <t>Top stories for B
-----
Question: Can I call the police for a ride to court?
Answer from Adam Dassow
My brother once called the police because he was too drunk to drive and he didn’t know how to</t>
  </si>
  <si>
    <t xml:space="preserve">
https://click.brtpemails.com/?qs=df692d901978fbdee39317552f73878fa9914038559231b6309019efb5ff29d58efd7838249c6a0cfaa6af7c2a9dfc6e7ffae248260649ae41ebab75654aab01 
https://click.brtpemai</t>
  </si>
  <si>
    <t xml:space="preserve">
https://click.brtpemails.com/?qs=df692d901978fbdee39317552f73878fa9914038559231b63070aacee21649532f0f01611abe422fe729bed2a622b734dec2bdb34dee6d1d9efa56c7f56ca70b 
https://click.brtpemai</t>
  </si>
  <si>
    <t>Delicious meal on your mind? Let us help.</t>
  </si>
  <si>
    <t xml:space="preserve">
https://click.brtpemails.com/?qs=3563de0034d1f2573e558b4b7705a1bab58e3c487f3ab67e3ec05d31f57342e21bc7e5ad3790666b3b46b47906d120104d137569b7c8f9b23e48e2b9c6385eee 
https://click.brtpemails.co</t>
  </si>
  <si>
    <t xml:space="preserve">
https://click.brtpemails.com/?qs=c2d8c8f13ddc24470be8b874af599f9454290ff3536366e770c3f32200e57af6fe0aa9632fd9eb463eb20796a9e2ecf4ee716b51092687847c5fdbb7527fbced 
https://click.brtpemai</t>
  </si>
  <si>
    <t>K, last chance to upgrade your TV and save</t>
  </si>
  <si>
    <t xml:space="preserve">
https://click.brtpemails.com/?qs=15e9877b39c1afbf0d1532d9ed411f6eb36d1dda871ed11efc1a8700adc76c95d8617285f399d013caba368a1d5678c6dcd4c6878348302ff24ccc13cadfcdc1 
https://click.brtpemai</t>
  </si>
  <si>
    <t>Score 25% off pain relief</t>
  </si>
  <si>
    <t xml:space="preserve">
https://click.brtpemails.com/?qs=15e9877b39c1afbf0d1532d9ed411f6eb36d1dda871ed11ea0bb0ed312f0baabec0c571c2909ecba22226b13cec277f17a42c6ab3949fe8a8bd3991de93eb4a9 
https://click.brtpemai</t>
  </si>
  <si>
    <t xml:space="preserve">
https://click.brtpemails.com/?qs=c2d8c8f13ddc24470be8b874af599f9454290ff3536366e71284602bd93bf27552663bca4f2a1e8ad6adfacfd9ad701deb0376ebbc8d0c6e08bfae86efdbb904 
https://click.brtpemai</t>
  </si>
  <si>
    <t>An order of Easter goodies is just a few taps away</t>
  </si>
  <si>
    <t>Don't miss out! See what your neighbors love.</t>
  </si>
  <si>
    <t xml:space="preserve">
https://click.brtpemails.com/?qs=df692d901978fbdee39317552f73878fa9914038559231b67265be4f75773ddb383513e689a0c3b55676b0b301f219e4e6392124355a99a972a2d7a4c5286267 
https://click.brtpemai</t>
  </si>
  <si>
    <t>Coming soon: Something eggciting!</t>
  </si>
  <si>
    <t xml:space="preserve">
https://click.brtpemails.com/?qs=fdd9fcbbc4e46c82ca6f1aea818a46f587e1fdb0327b276ce758de7e93c7bd4b71fe1ae3b1f6631e4e52053affa92b88c1c5712383382aed081a7ed5d95e1da8 
https://click.brtpemails.co</t>
  </si>
  <si>
    <t>Vercel Product Update</t>
  </si>
  <si>
    <t xml:space="preserve">&lt;!DOCTYPE html&gt;
&lt;html xmlns="http://www.w3.org/1999/xhtml" xmlns:o="urn:schemas-microsoft-com:office:office" xmlns:v="urn:schemas-microsoft-com:vml"&gt;
&lt;head&gt;&lt;title&gt;Vercel Product Update&lt;/title&gt;&lt;!--[if </t>
  </si>
  <si>
    <t>Your Daily Deal just got boosted!</t>
  </si>
  <si>
    <t xml:space="preserve">
https://click.brtpemails.com/?qs=a42ab870886c256b65124fa9ecec6a02048461a2e0d31202cad8d63fff2b5288bfa21daea89f6438452a1e35409a421cb228f09d2c377dbe09f1cc9fe9c2fb59 
https://click.brtpemai</t>
  </si>
  <si>
    <t>You've been gone a while. See what's new to you!</t>
  </si>
  <si>
    <t xml:space="preserve">
https://click.brtpemails.com/?qs=a42ab870886c256b65124fa9ecec6a02048461a2e0d31202a2946e26b14ff29d47fb11c5d6955924ee0a3d5ed58d2a3397202476bcc10365a4772bf7f1c39f83 
https://click.brtpemai</t>
  </si>
  <si>
    <t>Your one-stop Easter shop =?UTF-8?B?8J+QsA==?=</t>
  </si>
  <si>
    <t>Starting: Your Ultimate Easter Hunt!</t>
  </si>
  <si>
    <t xml:space="preserve">
https://click.brtpemails.com/?qs=fefc0e076b592222cb57fda5630fa5fd041522988866017a93c8ec8658619eaf167a9976a517b865911d3a50c02dc5d361aa42eac017eba5a9eb45b860ecbf16 
https://click.brtpemails.co</t>
  </si>
  <si>
    <t xml:space="preserve">
https://click.brtpemails.com/?qs=a42ab870886c256b65124fa9ecec6a02048461a2e0d3120243eba50389a212b9e3c2b7561f186591faf93e13e8289506e306add0cf8c54a5cb0b01137c003b7b 
https://click.brtpemai</t>
  </si>
  <si>
    <t xml:space="preserve">
https://click.brtpemails.com/?qs=c2d8c8f13ddc24470be8b874af599f9454290ff3536366e75f1aeb2735ff27960b5da4ed89474277798dc26804afefc9af042cead49973fc07fcb2355cd4a61b 
https://click.brtpemai</t>
  </si>
  <si>
    <t xml:space="preserve">
https://click.brtpemails.com/?qs=25d22d85f3a71005f0b5150c332a046b3f70aeccf244c9613397a9952d1bd1862f1dcfe5dba3b57c5219d70420e7e1f07c5b10d6f01b49767da9522d59671f47 
https://click.brtpemails.co</t>
  </si>
  <si>
    <t>Keep the Easter party going with a delivery</t>
  </si>
  <si>
    <t xml:space="preserve">
https://click.brtpemails.com/?qs=e51b7156d87fa19e7ba6308fd9de0042aee9cd222cd0c8d6184ab172b953dd5459728221a0507a5a7b4e75de8737c94beedc61ec7a44a82bb0135225cff09216 
https://click.brtpemails.co</t>
  </si>
  <si>
    <t xml:space="preserve">
https://click.brtpemails.com/?qs=e51b7156d87fa19e7ba6308fd9de0042aee9cd222cd0c8d614f88420fef656d6afc63b122d70530cd8df44b1bd43fb4a466451300d2faa6937ddbe221a66aec1 
https://click.brtpemails.co</t>
  </si>
  <si>
    <t>The perfect excuse to make a comeback!</t>
  </si>
  <si>
    <t xml:space="preserve">
https://click.brtpemails.com/?qs=036a8d39652841daf3e727e8160212e555b99580c0bac9ff36d9136ccc333bd3496822a1495f0dd27c4a8fb6c4ad45a40af192732acc096c745e7fdd81fb22a1 
https://click.brtpemails.co</t>
  </si>
  <si>
    <t>&lt;!DOCTYPE html&gt;
&lt;html xmlns="http://www.w3.org/1999/xhtml" xmlns:o="urn:schemas-microsoft-com:office:office" xmlns:v="urn:schemas-microsoft-com:vml"&gt;
&lt;head&gt;&lt;title&gt;You’re invited: Vercel Ship 2025&lt;/tit</t>
  </si>
  <si>
    <t>Why not order in today?</t>
  </si>
  <si>
    <t xml:space="preserve">
https://click.brtpemails.com/?qs=036a8d39652841daf3e727e8160212e555b99580c0bac9ffec6a858a40bd1e76d535b3e42d019662321a494540723ca3f1b0801977815256351b03ce08a4877c 
https://click.brtpemails.co</t>
  </si>
  <si>
    <t xml:space="preserve">
https://click.brtpemails.com/?qs=4a68b9568488fb41e168cfc977877b584937c61491825c076a84376c6488a99f7420a59a808a29f9916499d2c120f31e6b600dac73ca5d8255e04746f1be5ba4 
https://click.brtpemails.co</t>
  </si>
  <si>
    <t>Last call for 60% off  your next 2 orders !</t>
  </si>
  <si>
    <t>K, trade in to save $400 on Vision AI TVs</t>
  </si>
  <si>
    <t>&lt;!DOCTYPE html&gt;
&lt;html lang="en"&gt;
&lt;!-- =========== START HEAD ============ --&gt;
  &lt;head&gt;
    &lt;meta name="viewport" content="width=device-width, initial-scale=1.0" /&gt;
    &lt;meta http-equiv="Content-</t>
  </si>
  <si>
    <t xml:space="preserve">
https://click.brtpemails.com/?qs=036a8d39652841daf3e727e8160212e555b99580c0bac9ff763b804cc46e75f6b609557839f8d2c322a3395a0538d7742ffb194da623cc4281fb33bd5f8a4af1 
https://click.brtpemails.co</t>
  </si>
  <si>
    <t xml:space="preserve">
https://click.brtpemails.com/?qs=e51b7156d87fa19e7ba6308fd9de0042aee9cd222cd0c8d6cb6ed9699da94d7145582cd36c9282b4e2dd6c467a48311e659450009bc845572aa6b0a08efea90b 
https://click.brtpemails.co</t>
  </si>
  <si>
    <t xml:space="preserve">
https://click.brtpemails.com/?qs=4a68b9568488fb41e168cfc977877b584937c61491825c07cfaad796c81f46a98705e68ebe8a4d858a2a63bb33ba750639be506e6d352f248c76aadd6e8a42d5 
https://click.brtpemails.co</t>
  </si>
  <si>
    <t xml:space="preserve">
https://click.brtpemails.com/?qs=4a68b9568488fb41e168cfc977877b584937c61491825c0702e921630057046679d8af29fadc6f6bb3a6478f3c64ec42b8574f9af22b53ef731fde4fce0a77a9 
https://click.brtpemails.co</t>
  </si>
  <si>
    <t>no-reply@qr-code-generator.com</t>
  </si>
  <si>
    <t xml:space="preserve">       Activate your account to create your QR Code       It’ll only take
a min                         
          =  Let's get "make QR Code" off your to-do list  =
      It’ll only take a minute. 
</t>
  </si>
  <si>
    <t>Automate Excel</t>
  </si>
  <si>
    <t xml:space="preserve">Building an automated system with Excel as your central source of truth lets 
you streamline data transfer between your business-critical tools and keep 
everyone in your organization up to date.
</t>
  </si>
  <si>
    <t>Look sharp: New games ahead!</t>
  </si>
  <si>
    <t xml:space="preserve">
https://click.brtpemails.com/?qs=e88522eb73ef3c909f587409b67a358360bc3b8803739d548dce1bbdfe822ecb1e1fadb82609bdcd5ce1630dc4e6b7b5db8144ca71981e9c46c56c9bd530f480 
https://click.brtpemails.co</t>
  </si>
  <si>
    <t>Get ready: Hourly Wins incoming!</t>
  </si>
  <si>
    <t xml:space="preserve">
https://click.brtpemails.com/?qs=5d77f5ca185324a35896a06344dbd1b37231ef353af0186b2fcb8e8a3c05522a9511c8b47debb03183b3d87450b20f60ed7890076c6e3644c0ad8b99689e7495 
https://click.brtpemails.co</t>
  </si>
  <si>
    <t>K, save up to $300 on Samsung appliances</t>
  </si>
  <si>
    <t>&lt;!DOCTYPE html&gt;
&lt;html lang="en"&gt;&lt;head&gt;
  &lt;meta http-equiv="Content-Type" content="text/html charset=UTF-8" /&gt;
  &lt;meta name="viewport" content="width=device-width, initial-scale=1.0"&gt;
  &lt;meta http-e</t>
  </si>
  <si>
    <t xml:space="preserve">
https://click.brtpemails.com/?qs=8277ce3a7ebba6700eb7f090da0a5d86017a2e4ca18cc1b0522296102ef861c0501004a43a709996c5a15fbeadb59ed984637ab2c77853b9831ff3abf48629cc 
https://click.brtpemails.co</t>
  </si>
  <si>
    <t>K, save up to $1,500 on 2025 OLED TVs</t>
  </si>
  <si>
    <t>Have you seen our latest promotions?</t>
  </si>
  <si>
    <t xml:space="preserve">
https://click.brtpemails.com/?qs=e51b7156d87fa19e7ba6308fd9de0042aee9cd222cd0c8d6b9843b76daca994471ff022dd8435d67c75ff71bd87cc0f0f87fd2c0c88dc62a278661079abdc1de 
https://click.brtpemails.co</t>
  </si>
  <si>
    <t>The latest and greatest in casino entertainment</t>
  </si>
  <si>
    <t xml:space="preserve">
https://click.brtpemails.com/?qs=4a68b9568488fb41e168cfc977877b584937c61491825c07dbb6f5922e8f163fef2c65804839ceb4f2416fcddc3ea2f91e76170c78ad73272846ca4b9a11b444 
https://click.brtpemails.co</t>
  </si>
  <si>
    <t>Casino mysteries unveiled: come discover!</t>
  </si>
  <si>
    <t xml:space="preserve">
https://click.brtpemails.com/?qs=47b37f0e81835e3d27692288130b8c86aaa6450a2675e7bbd24160720f113524f898de22a2a8e38176779547e372e4f3caefcce7dcff3473a3dfc8a32962f394 
https://click.brtpemails.co</t>
  </si>
  <si>
    <t>Dear paul carey,
The following changes to your Apple Account, paul@paulsroofing.pro, were made on 12 May 2025 at 23:54:10 GMT:
Billing Information
If you did not make these changes, or if you belie</t>
  </si>
  <si>
    <t>Dear paul carey,
Your Apple Account (paul@paulsroofing.pro) was used to sign in to iCloud on an iPhone 8.
Date and Time: 12 May 2025, 5:05 pm PDT
If the information above looks familiar, you can i</t>
  </si>
  <si>
    <t>You have used over 50% of your iCloud storage</t>
  </si>
  <si>
    <t xml:space="preserve">Hello paul carey,
​
You are using iCloud Photos to keep your photos and videos safely stored in iCloud. 
To keep all the apps on your iPhone automatically backed up each night, we recommend that you </t>
  </si>
  <si>
    <t xml:space="preserve">
https://click.brtpemails.com/?qs=c067d7ce3833d5aeb5563eabb3027b35b26d97461e8a0f8a6eec384ceabb0234c3008bf3659f67dd98ebc59cd40a8bcbfefbc455e83149ddcd7570d7c8721402 
https://click.brtpemails.co</t>
  </si>
  <si>
    <t>Let the games begin!</t>
  </si>
  <si>
    <t xml:space="preserve">
https://click.brtpemails.com/?qs=4a68b9568488fb41e168cfc977877b584937c61491825c072ddebcbfbe1b9882e09bc67bf112a89b615dd888c09ee6f6fa63c843cc6470c885236a46a066d2d3 
https://click.brtpemails.co</t>
  </si>
  <si>
    <t>"monday insights" &lt;team@learn.mail.monday.com&gt;</t>
  </si>
  <si>
    <t>Being a high-impact leader</t>
  </si>
  <si>
    <t>Gig work • Gen Z attendance • OpenAI backtracks plans -
( https://clicks.mail.monday.com/f/a/IaCwIhW-Y-o3FhoSPzD8PA~~/AAQRxRA~/oNE58pU25kNRd_0vTRdmKwG0oMXIrhx1MXc1MTM8Hy-icln3mZIbVjQS-atYRBHknQYl0vxT</t>
  </si>
  <si>
    <t>K, get the slimmest Galaxy S Series yet. Save up to $1,320.</t>
  </si>
  <si>
    <t>App Store &lt;appstore@insideapple.apple.com&gt;</t>
  </si>
  <si>
    <t>Welcome to the App Store</t>
  </si>
  <si>
    <t>Congratulations on your brand-new Apple Account. Use it to get the best apps and games around. 
App Store
Find it on App Store
Welcome to the App Store https://c.apple.com/r?v=2&amp;a=o2CKfLM8dAL7lynfnyn7</t>
  </si>
  <si>
    <t>iCloud &lt;iCloud@insideapple.apple.com&gt;</t>
  </si>
  <si>
    <t>iCloud
https://apple.box.com/s/vuf2694xmoynxeep7ahtvy5cscg3cmya
-----------------------------
Welcome to iCloud.
Your Apple Account is paul@paulsroofing.pro.
iCloud securely stores your photo</t>
  </si>
  <si>
    <t>It's been too long since your last order</t>
  </si>
  <si>
    <t>We've been busy! Come see what's up!</t>
  </si>
  <si>
    <t xml:space="preserve">
https://click.brtpemails.com/?qs=036a8d39652841daf3e727e8160212e555b99580c0bac9ffd021a73eff0e66b3be30e4c824ed85e9ff1ca635cb2de04afd809172ae5573a113ecc15513287857 
https://click.brtpemails.co</t>
  </si>
  <si>
    <t>K, the Premiere 5 Touch Interaction Projector is here</t>
  </si>
  <si>
    <t xml:space="preserve">
https://click.brtpemails.com/?qs=983379d7b6fdfd9531571c2b6d1776351d1a55710e73e71af311134ae180def04607c187718538b14f1993b61c9c87be8612a2d6442758419e1bfaa4899a67d7 
https://click.brtpemails.co</t>
  </si>
  <si>
    <t>Surprise! Save $300 more on the Galaxy S25 Edge.</t>
  </si>
  <si>
    <t>Uber One &lt;noreply@uber.com&gt;</t>
  </si>
  <si>
    <t>harpers mom and dad &lt;harpershomebase@gmail.com&gt;</t>
  </si>
  <si>
    <t>test</t>
  </si>
  <si>
    <t xml:space="preserve">test\
</t>
  </si>
  <si>
    <t>Re: test</t>
  </si>
  <si>
    <t>Welcome to Team Harper
Written by Craig. Lived by all three of us.
Hey, Em—
This Chromebook isn’t fancy.
It’s not wrapped in diamonds or flowers.
It’s just clean, simple, and ready for somethi</t>
  </si>
  <si>
    <t>Your 3 month free Uber One trial unlocks big deals 5.16</t>
  </si>
  <si>
    <t xml:space="preserve">
https://click.brtpemails.com/?qs=47b37f0e81835e3d27692288130b8c86aaa6450a2675e7bb1f47df2ec6c794fe1c8798a8583a4b448e82c73113d742e8e3ab20d0cb59573185a8bb5dc2320029 
https://click.brtpemails.co</t>
  </si>
  <si>
    <t>Todoist &lt;no-reply@todoist.com&gt;</t>
  </si>
  <si>
    <t>Updates to our Terms of Service and Privacy Policy</t>
  </si>
  <si>
    <t>Updates to our Terms of Service and Privacy Policy
Effective as of May 25, 2025
 ‌ ‍‎‏﻿ ‌ ‍‎‏﻿ ‌ ‍‎‏﻿ ‌ ‍‎‏﻿ ‌ ‍‎‏﻿ ‌ ‍‎‏﻿ ‌ ‍‎‏﻿ ‌ ‍‎‏﻿ ‌ ‍‎‏﻿ ‌ ‍‎‏﻿ ‌ ‍‎‏﻿ ‌
‍‎‏﻿ ‌ ‍‎‏﻿ ‌ ‍‎‏﻿ ‌ ‍‎‏﻿ ‌ ‍‎‏﻿ ‌ ‍‎‏﻿ </t>
  </si>
  <si>
    <t xml:space="preserve">
https://click.brtpemails.com/?qs=8255168d87a4774630bc019da15534004b470367cff5e309330ac8887ab0bc2467fd5dd5f7f5c95fdc4a5e7a07c6e29c71b32989b1436c6381222a7ac154d1ae 
https://click.brtpemails.co</t>
  </si>
  <si>
    <t xml:space="preserve">Top stories for B
-----
WHEN A MAN GENUINELY LOVES YOU:
These are some of the strongest signs a man is in love with you. When a man begins to take serious interest in you, you’ll likely begin to </t>
  </si>
  <si>
    <t>Discover our latest hits</t>
  </si>
  <si>
    <t xml:space="preserve">
https://click.brtpemails.com/?qs=47b37f0e81835e3d27692288130b8c86aaa6450a2675e7bb66d83c05cb7eb3b8355b2992e09b0869b3f461486405e4b7c54d1ee20fbc14cf5f56d06136497dcb 
https://click.brtpemails.co</t>
  </si>
  <si>
    <t>Make your next no-cook-night easier</t>
  </si>
  <si>
    <t xml:space="preserve">        Oh no! Your Dynamic QR Codes will expire in 3 days        but they
don’t have to!                        
         =  Where did the time go?!  =
      You’ve only got 3 days before your free </t>
  </si>
  <si>
    <t>Simon from Digital E &lt;digital-entrepreneur@mail.beehiiv.com&gt;</t>
  </si>
  <si>
    <t>View image: (https://media.beehiiv.com/cdn-cgi/image/fit=scale-down,format=auto,onerror=redirect,quality=80/uploads/asset/file/61fac822-237f-41a4-822c-6adff7d03815/Option_2.jpg?t=1747355608) [Featured</t>
  </si>
  <si>
    <t xml:space="preserve">
https://click.brtpemails.com/?qs=036a8d39652841daf3e727e8160212e555b99580c0bac9ff3f7f623850721f0f6319c69f6f472cecbd05a62ea6a320f7546578034ed5fc10087db960cd21b2d2 
https://click.brtpemails.co</t>
  </si>
  <si>
    <t>Personalizing employee growth</t>
  </si>
  <si>
    <t>Spain’s reduced workweek • High school tradesmans • Digital
labor -                                 
( https://clicks.mail.monday.com/f/a/uirVU9qUQZwJkVRXIVF99w~~/AAQRxRA~/d9-50sC1avvqcJW6UDPkH94jw2L_</t>
  </si>
  <si>
    <t>Apple Recent Download
-----------------------------------------------------------
Your Apple Account, paul@paulsroofing.pro, was just used to download McDonald's Canada on a computer or device that h</t>
  </si>
  <si>
    <t>&lt;paul@paulsroofing.pro&gt;</t>
  </si>
  <si>
    <t>Store, share and protect your photos and videos with iCloud.</t>
  </si>
  <si>
    <t>iCloud
-----------------------------
Your memories, safe in the cloud.
Whether it’s a video of your pet taken yesterday or a photo of friends from years ago, iCloud securely stores your entire p</t>
  </si>
  <si>
    <t xml:space="preserve">
https://click.brtpemails.com/?qs=f3a7261b351ecdd719df01f2437716ec6bda84b586abce844bcf764fa0d399d49faab50366edc966a398fad1b57d14bd5797b8c4b4cd91b9e45efe718915f94f 
https://click.brtpemails.co</t>
  </si>
  <si>
    <t>K, last chance to save up to $300 on Samsung appliances</t>
  </si>
  <si>
    <t>Time to reunite with your favourite games!</t>
  </si>
  <si>
    <t xml:space="preserve">
https://click.brtpemails.com/?qs=e51b7156d87fa19e7ba6308fd9de0042aee9cd222cd0c8d66b17728a4402344a22b9ee1317dcbffe65d8760a1745c95468f1d99e4d6185c123bf7d64e3ea9291 
https://click.brtpemails.co</t>
  </si>
  <si>
    <t>Come back for =?UTF-8?B?ZGVhbHPigJRmcm9t?= products to supplies</t>
  </si>
  <si>
    <t xml:space="preserve">        Your QR Code Generator trial ended today        Reactivate your
Codes now                        
         =  How to Reactivate Your QR Codes  =
  Because your 14-day free trial of QR Code Ge</t>
  </si>
  <si>
    <t>"Uber One" &lt;uberone@uber.com&gt;</t>
  </si>
  <si>
    <t xml:space="preserve">
https://click.brtpemails.com/?qs=637c0c9c520c8a16d246a64cfe0f50dd35bf522b8ec42dffe06a23d06b22f0a390b66a0bb2f91783b89c56cb416ab3db183a48f0bf7bf85c9124d5cfef5ba1d3 
https://click.brtpemails.co</t>
  </si>
  <si>
    <t>Vercel Monthy Product Update</t>
  </si>
  <si>
    <t>&lt;!DOCTYPE html&gt;
&lt;html xmlns="http://www.w3.org/1999/xhtml" xmlns:o="urn:schemas-microsoft-com:office:office" xmlns:v="urn:schemas-microsoft-com:vml"&gt;
&lt;head&gt;&lt;title&gt;Vercel Monthy Product Update&lt;/title&gt;&lt;</t>
  </si>
  <si>
    <t>It's your bonus turn!</t>
  </si>
  <si>
    <t xml:space="preserve">
https://click.brtpemails.com/?qs=62b3cef8cca03261dec46c30ed3eb0d1904d70d819cde79ce5041ecb34f0d9eb98949d97d2a4995dacda3ef0150eb301ee5a34f752e1816e71f52bad32adffe3 
https://click.brtpemails.co</t>
  </si>
  <si>
    <t>Re:</t>
  </si>
  <si>
    <t xml:space="preserve">Dales going to have to pick up Harper alone tomorrow…
On Sat, May 24, 2025 at 3:40 PM CRAIG S &lt;placed.sj@gmail.com&gt; wrote:
&gt; It would be great if you did. I’ll continue to give you formula it makes
</t>
  </si>
  <si>
    <t>Sad you choose to do that instead. Diaper I told you it doesn’t matter what kind. She’s in size 3.
I do not feel comfortable with Dale picking Harper up alone especially with no mirror.
Bottles and fo</t>
  </si>
  <si>
    <t>Fuck off emma it’s fuckjng 20 to 9. Of course you don’t feel comfortable
with Dale you woukd thibk of any excuse imaginable. So guess what, Im
filing tonight fuck you. Eat shit and Rot in hell, at lea</t>
  </si>
  <si>
    <t>You’ll regret yiur actions tje last couple weeks flr the rest of your life.
I am filing absolutely everything your fuckjng nasty ass has done. Giddy up
cunt
On Sat, May 24, 2025 at 8:41 PM CRAIG S &lt;p</t>
  </si>
  <si>
    <t>Dale can’t even look after himself, Craig. And you were the one that left it till now and I’m sorry I’m not being called names or being treated poorly. There’s no reason for it.
Emma Ryan
On May 24, 2</t>
  </si>
  <si>
    <t>Youre a fuckjng piece of shit withholding mu dauchter from me bexause you
wanna label me an abuser. Piper ajd Harper are both ficking miserable wuth
you. No more fuckubg emails or anything.I never wan</t>
  </si>
  <si>
    <t>I’m not withholding her from you, Craig. I even offered to pack a diaper bag so stop with your bullshit. I’m done you obviously don’t want to see her tomorrow so that’s fine. Have a good night.
Emma R</t>
  </si>
  <si>
    <t>That’s fine like I’ve said before. Do whatever you have to do, but I’ll be making sure that we have another court date before October so you have supervised visits as well or I can just call Jacquelin</t>
  </si>
  <si>
    <t>And what are you doing right now? You’re literally verbally abusing me so have a good night for the 5th hundredth time.
Emma Ryan
On May 24, 2025, at 8:56 PM, Emma Ryan &lt;em.ry@icloud.com&gt; wrote:
﻿
I’m</t>
  </si>
  <si>
    <t>No more emails means you don’t have a way to communicate other than calling me so that’s fine. Sounds good. I would prefer that like I’ve tried to do multiple times.
Emma Ryan
On May 24, 2025, at 8:56</t>
  </si>
  <si>
    <t>lol after this email tonight we will be in court on Monday you fuckjng
retard. Do you not know how bad you fucked yp smoking meth around my kid
On Sat, May 24, 2025 at 8:56 PM Emma Ryan &lt;em.ry@icloud</t>
  </si>
  <si>
    <t xml:space="preserve">My phone hasn’t rang once you fuckng. Idiot
On Sat, May 24, 2025 at 9:00 PM Emma Ryan &lt;em.ry@icloud.com&gt; wrote:
&gt; No more emails means you don’t have a way to communicate other than
&gt; calling me so </t>
  </si>
  <si>
    <t>Answer yiur ficking phone Emma fucking idiot j called 50 times in two days
fuck you
On Sat, May 24, 2025 at 9:00 PM CRAIG S &lt;placed.sj@gmail.com&gt; wrote:
&gt; My phone hasn’t rang once you fuckng. Idiot</t>
  </si>
  <si>
    <t>Bexause youre not letting me see my daughte fuck face. Get it through your
fuckjng head. Ohhhhhhhhhh boy I can’t wait for this to end up on Facebook
somehow too. What a great picture. Bahahahahahahaha</t>
  </si>
  <si>
    <t>Oh reallt? Mu court papers say I don’t yoj fuck face
On Sat, May 24, 2025 at 9:08 PM CRAIG S &lt;placed.sj@gmail.com&gt; wrote:
&gt; Bexause youre not letting me see my daughte fuck face. Get it through your</t>
  </si>
  <si>
    <t>This is abiut Harper’s best interest. And it’s not YOU
On Sat, May 24, 2025 at 9:09 PM CRAIG S &lt;placed.sj@gmail.com&gt; wrote:
&gt; Oh reallt? Mu court papers say I don’t yoj fuck face
&gt;
&gt; On Sat, May 24,</t>
  </si>
  <si>
    <t>Ask AI whats going to happen. Get some sleep kid your whole world is about
to fucking shake
On Sat, May 24, 2025 at 9:09 PM CRAIG S &lt;placed.sj@gmail.com&gt; wrote:
&gt; This is abiut Harper’s best interes</t>
  </si>
  <si>
    <t xml:space="preserve">You can all read the truth together cause everyone of you gets served.
Gonna be awkward when ya realize youre all lieing to each other. Anyway
fuck off fuck you, thats to all of your personalities by </t>
  </si>
  <si>
    <t>Your delusional. I offered to pack her a diaper bag… you can’t even come get your kid with Dale? Stop Craig. I don’t care do what you g
Have too. I’m done this childish bullshit. You refecting isn’t h</t>
  </si>
  <si>
    <t>Neither has my phone eh. Talk about control here. I’m not doing it. GOODBYE. These are stupid games childish it’s our fucking daughter we’re talking about and remember I’m the one that did EVERYTHING</t>
  </si>
  <si>
    <t>Gram cant be left alone yoh fucking stupid fuckjng prick selfish fuckjng
idiot
On Sat, May 24, 2025 at 10:49 PM Emma Ryan &lt;em.ry@icloud.com&gt; wrote:
&gt; Neither has my phone eh. Talk about control here</t>
  </si>
  <si>
    <t xml:space="preserve">Only thing you quit …was on your family cunt
On Sat, May 24, 2025 at 10:50 PM CRAIG S &lt;placed.sj@gmail.com&gt; wrote:
&gt; Gram cant be left alone yoh fucking stupid fuckjng prick selfish fuckjng
&gt; idiot
</t>
  </si>
  <si>
    <t xml:space="preserve">Whats done is done. We shall live with the consequences of our actions.
Just deciding whether to take custody of her or let yoh just have strict
supervision to get you fucking sober finally. Fuck you </t>
  </si>
  <si>
    <t>Try offering up a fuckjng drive for once yoh fuckjng useless fucks.
6’montjs of this bullshit. Poor fuckjng kid born into a family like yours.
Pathetic excuse for humans
On Sat, May 24, 2025 at 10:53</t>
  </si>
  <si>
    <t xml:space="preserve">Weird thing js, why is your dad so pissed off? Is it only he who is allowed
to smack around woman jn his family?
On Sat, May 24, 2025 at 10:55 PM CRAIG S &lt;placed.sj@gmail.com&gt; wrote:
&gt; Try offering </t>
  </si>
  <si>
    <t>Im posting these right on Facebook, make sure your make belief bullshit
world disappears
On Sat, May 24, 2025 at 10:56 PM CRAIG S &lt;placed.sj@gmail.com&gt; wrote:
&gt; Weird thing js, why is your dad so pi</t>
  </si>
  <si>
    <t>Thanks Emma! Maybe I’ll just carry geam into the car at 7AM to go get her
with us huh? Hahahahahaha .. Shane’s jn the hospital, I mean but who
fucking cares it’s the emma show, let’s see how many thin</t>
  </si>
  <si>
    <t>Paul, your 30% off expires soon!</t>
  </si>
  <si>
    <t xml:space="preserve">
https://click.brtpemails.com/?qs=e51b7156d87fa19e7ba6308fd9de0042aee9cd222cd0c8d64ff60c40c2ccd0a2cd37d25e52346da2f02d5aa150375e7280e620158615dde53b5c5de64d7ea224 
https://click.brtpemails.co</t>
  </si>
  <si>
    <t>How do you expect me to contact you exactly? Nothing that you are doing
right now is OK in any shape or form. I want to see and know how my
daughter is, this isnt about you. Call me or I call the RCMP</t>
  </si>
  <si>
    <t>You wanna give me a call before 10? Probably  should…
On Sun, May 25, 2025 at 1:28 PM CRAIG S &lt;placed.sj@gmail.com&gt; wrote:
&gt; How do you expect me to contact you exactly? Nothing that you are doing
&gt;</t>
  </si>
  <si>
    <t>Emma Ryan &lt;em.ry@icloud.com&gt;, Emma Ryan &lt;emma.ryan1995@outlook.com&gt;</t>
  </si>
  <si>
    <t>Everything will be served and shared with anyone who is in Harpers day to
day life FYI. In that house and mine.
Until recently, Emma and I were spending nearly every day together with
Harper. We wer</t>
  </si>
  <si>
    <t xml:space="preserve">
https://click.brtpemails.com/?qs=4a68b9568488fb41e168cfc977877b584937c61491825c073a070d9a8c30b8c85f83a30686101c03235d1eaad591b9b6d8a051128084b4b694f8c33ebe51d34a 
https://click.brtpemails.co</t>
  </si>
  <si>
    <t>Successfully managing distributed employees</t>
  </si>
  <si>
    <t>India's comedy industry • Neurodivergent workforce • AI -
( https://clicks.mail.monday.com/f/a/_PzjuDrv6QGdlYr3kUVB6g~~/AAQRxRA~/ZQQWh-QmDaaePUOpywO6tzwZ0vEBpK90K3KZRcB7cK9z3UdTAncnEM8ylh0aJUNsLkuu2t</t>
  </si>
  <si>
    <t>Grab up to 50% off on your pantry staples</t>
  </si>
  <si>
    <t>Stephen from Fing &lt;newsletter@fing.com&gt;</t>
  </si>
  <si>
    <t>Data-Stealing Browser Extensions, Million Credentials Stolen, Best Digital Wallets</t>
  </si>
  <si>
    <t>2025-05-28
[View in Browser](https://r.news.fing.com/mk/mr/sh/28xHBT2OOm5aQptdXSKhEiyfFIMXCKGYwW/fhqCHHXspgI0)
Hey there, I'm Stephen, and welcome back to the Fing Home Tech Distillery!
This Week'</t>
  </si>
  <si>
    <t>Take a peek in the app to see new restaurants</t>
  </si>
  <si>
    <t xml:space="preserve">
https://click.brtpemails.com/?qs=47b37f0e81835e3d27692288130b8c86aaa6450a2675e7bba38e196c012ff93d99cb0bdbbc5fe2c399fd5fbb8c05511760dd89aaf42c0663f1a0156a54481533 
https://click.brtpemails.co</t>
  </si>
  <si>
    <t>harpers mom and dad &lt;harpershomebase@gmail.com&gt;, =?UTF-8?B?THVuYSDigKI=?= &lt;lunacraigcep@gmail.com&gt;</t>
  </si>
  <si>
    <t>On Sat, May 17, 2025 at 1:37 AM CRAIG S &lt;placed.sj@gmail.com&gt; wrote:
&gt; Welcome to Team Harper
&gt;
&gt;
&gt; Written by Craig. Lived by all three of us.
&gt;
&gt;
&gt; Hey, Em—
&gt;
&gt;
&gt; This Chromebook isn’t fancy.
&gt;
&gt; I</t>
  </si>
  <si>
    <t>Power Hour Is Wild. Mega Drop Is WILDER.</t>
  </si>
  <si>
    <t xml:space="preserve">
https://click.brtpemails.com/?qs=fe6099be2f187141be8c9a82a454ae00604c38744522a104a803c1e7f692a382baafc1e13f7e1bb02932193c4b8b00b71df441affee61b98ddaf18ebcb2de3f1 
https://click.brtpemails.co</t>
  </si>
  <si>
    <t xml:space="preserve">
https://click.brtpemails.com/?qs=e51b7156d87fa19e7ba6308fd9de0042aee9cd222cd0c8d69d7fb4e9aaa0b22bc28dd104b39137618446ec78acb13e87dde50049dae86704ac6cbcf7c2e1fcbe 
https://click.brtpemails.co</t>
  </si>
  <si>
    <t>Shed Suite Team &lt;newsletter@shedsuite.com&gt;</t>
  </si>
  <si>
    <t>Better Photos. Smarter Marketing. Sharper Strategy.View in Browser https://shedsuite88468.acemlnc.com/lt.php?x=3DZy~GDJU3DM654q-NQ9VOic26FSkN~yj~tjjqbLVqSe6KJA-ky.yuZv5XIkmNA~lus3
https://shedsuite.c</t>
  </si>
  <si>
    <t>Almost sold out: Vercel Ship 2025 in NYC</t>
  </si>
  <si>
    <t xml:space="preserve">&lt;!DOCTYPE html&gt;
&lt;html xmlns="http://www.w3.org/1999/xhtml" xmlns:o="urn:schemas-microsoft-com:office:office" xmlns:v="urn:schemas-microsoft-com:vml"&gt;
&lt;head&gt;&lt;title&gt;Almost sold out: Vercel Ship 2025 in </t>
  </si>
  <si>
    <t>Orders open! Upgrade to the new Galaxy S25 Edge.</t>
  </si>
  <si>
    <t>Sync, back up and save space on your device with iCloud.</t>
  </si>
  <si>
    <t>iCloud
-----------------------------
All the ways iCloud keeps you covered.
Never worry about losing your favourite photos or important documents again. With iCloud, they’re always protected, up</t>
  </si>
  <si>
    <t>Don't miss out! 50% off groceries &amp; essentials</t>
  </si>
  <si>
    <t xml:space="preserve">
https://click.brtpemails.com/?qs=e51b7156d87fa19e7ba6308fd9de0042aee9cd222cd0c8d6ad176d6bf2be21c85e5e6e46ade7ad0b66ac05aad53515f0c869cb018f69061b70613213be5786df 
https://click.brtpemails.co</t>
  </si>
  <si>
    <t>Save up to 50% on your household essentials</t>
  </si>
  <si>
    <t>Your jackpots just got an upgrade!</t>
  </si>
  <si>
    <t xml:space="preserve">
https://click.brtpemails.com/?qs=3fa23203e1d4dd1006f3c08ffdd784ffd06db9dbb82467f194f378e845f3e67937f575bf627fb007595c8eaf1e87a4878a3506f64bfcfd8bff4d05d79e5a8c36 
https://click.brtpemails.co</t>
  </si>
  <si>
    <t xml:space="preserve">
https://click.brtpemails.com/?qs=e51b7156d87fa19e7ba6308fd9de0042aee9cd222cd0c8d67633a0694916aa8001ba2682adb77f2c9b8aed023d9c958610d25e42c87677e54ba9af885248df10 
https://click.brtpemails.co</t>
  </si>
  <si>
    <t>Google  &lt;families-noreply@google.com&gt;</t>
  </si>
  <si>
    <t>Join craig's family group?</t>
  </si>
  <si>
    <t>Family group invitation
craig wants you to join his family group
placed.sj@gmail.com &lt;#&gt;
Hi CRAIG,
You can join craig's (craiglunaharper@gmail.com &lt;#&gt;) family group to  
connect with your f</t>
  </si>
  <si>
    <t>Welcome to your family group</t>
  </si>
  <si>
    <t>Family group welcome email
You've joined craig's family group
placed.sj@gmail.com &lt;#&gt;
Hi CRAIG,
Now that you're a member of craig's (craiglunaharper@gmail.com &lt;#&gt;) family  
group, you can a</t>
  </si>
  <si>
    <t xml:space="preserve">
https://click.brtpemails.com/?qs=036a8d39652841daf3e727e8160212e555b99580c0bac9ffd71b2361b9308d824dfadb52aaf7cc5da9731b6ab8f7120c7e379b348e380adec661ea98297aa094 
https://click.brtpemails.co</t>
  </si>
  <si>
    <t>EU hedge funds • AI eavesdropping doctors • AI room readers -
( https://clicks.mail.monday.com/f/a/J9SD2h3gUIw4SCuQAVkLbA~~/AAQRxRA~/Fue7B66piN8Lj3IHuRA6Md22hQg8HnPW-ETody-QIALiH04adhLeRXBjQfpo8c6E5V</t>
  </si>
  <si>
    <t>Up to 50% off on your next shop =?UTF-8?B?8J+Tsg==?=</t>
  </si>
  <si>
    <t>Your bonus is waiting</t>
  </si>
  <si>
    <t xml:space="preserve">
https://click.brtpemails.com/?qs=62b3cef8cca03261dec46c30ed3eb0d1904d70d819cde79cf9942bfbf53b9da6f48222e6762e7bbdd71875503e9892f2b90c909527acabbfebd6934a4ee52ccf 
https://click.brtpemails.co</t>
  </si>
  <si>
    <t>Emma Ryan &lt;emma.ryan1995@outlook.com&gt;, Emma Ryan &lt;em.ry@icloud.com&gt;</t>
  </si>
  <si>
    <t>Emma,
I am writing to urgently request daily updates regarding Harper's health,
development, and daily care. As Harper's father, it is essential that I
have access to this information to ensure her we</t>
  </si>
  <si>
    <t xml:space="preserve">
https://click.brtpemails.com/?qs=aa397656b548cd2ebe5b29b280bb1965a8f1b2bef7d955aabb04e8ef4ec26535904e9843dc4d307d9592ea10094192595981a3068e4df2170eb73fd4c1e19aaf 
Let’s Play Again! 
https://</t>
  </si>
  <si>
    <t>---------- Forwarded message ---------
From: *craig* &lt;craiglunaharper@gmail.com&gt;
Date: Fri, Jun 6, 2025 at 2:26 PM
Subject: Chasing you around again
To: Emma Ryan &lt;em.ry@icloud.com&gt;, BLOCKED &lt;emma.rya</t>
  </si>
  <si>
    <t>Take up to 50% off your first 3 orders.</t>
  </si>
  <si>
    <t>Yes, it’s so weird that you don’t get anything that I said how ironic and I’m not going on Google meet I asked you to download Skype or Zoom
Emma Ryan
On Jun 6, 2025, at 2:42 PM, CRAIG S &lt;placed.sj@gm</t>
  </si>
  <si>
    <t>That’s fine if you don’t get them I have all the proof that they’re sent so yet again more of your bullshit. I’ve unblocked you to send me the things that you need for her tomorrow if I don’t receive</t>
  </si>
  <si>
    <t>Why exactly?
On Sat, Jun 7, 2025 at 8:25 AM Emma Ryan &lt;em.ry@icloud.com&gt; wrote:
&gt; Yes, it’s so weird that you don’t get anything that I said how ironic and
&gt; I’m not going on Google meet I asked you</t>
  </si>
  <si>
    <t>By 1:00? Lol did your buddy tell yoh abojt tje video she watched yet
On Sat, Jun 7, 2025 at 10:36 AM CRAIG S &lt;placed.sj@gmail.com&gt; wrote:
&gt; Why exactly?
&gt;
&gt; On Sat, Jun 7, 2025 at 8:25 AM Emma Ryan &lt;</t>
  </si>
  <si>
    <t>Why Skype or zoom? Why??????????
On Sat, Jun 7, 2025 at 10:37 AM CRAIG S &lt;placed.sj@gmail.com&gt; wrote:
&gt; By 1:00? Lol did your buddy tell yoh abojt tje video she watched yet
&gt;
&gt; On Sat, Jun 7, 2025 at</t>
  </si>
  <si>
    <t>You can’t be trusted to hold onto your things. To remember where you leave
sfuff, how to log into your banking or securely store passwords. I am not
contacting you on ANOTHER platform so you can share</t>
  </si>
  <si>
    <t>See the difference between your 5 days and mine? Stop the games man I’ll
gladly be charged for sharing all the videos of you smoking meth Itll be
worth every second
On Sat, Jun 7, 2025 at 10:46 AM CR</t>
  </si>
  <si>
    <t>On Sat, Jun 7, 2025 at 10:53 AM CRAIG S &lt;placed.sj@gmail.com&gt; wrote:
&gt; See the difference between your 5 days and mine? Stop the games man I’ll
&gt; gladly be charged for sharing all the videos of you s</t>
  </si>
  <si>
    <t>That’s fine. An adult is taking over. I don’t care about your bullshit. Send it to the courts . You’re right enough is enough. Send the pictures or don’t. &amp; because  that’s what I asked. Craig you can</t>
  </si>
  <si>
    <t>And again those are lies because I didn’t start until I met you and I didn’t wreck the place you did and you beat me with my nightstand and whipped it at me. I was the one that got sober. Not you grow</t>
  </si>
  <si>
    <t>Weird. Enjoy
On Sat, Jun 7, 2025 at 11:45 AM Emma Ryan &lt;em.ry@icloud.com&gt; wrote:
&gt; And again those are lies because I didn’t start until I met you and I
&gt; didn’t wreck the place you did and you beat</t>
  </si>
  <si>
    <t xml:space="preserve">No one knows the steps i need to take in order to see Harper thats the
fuckjng issue woman. Stop referring to her as “your kid” I know Shes a
burden on you but have a little decency. I secured a full </t>
  </si>
  <si>
    <t>Didnt start til you met me huh? Bahaha you change phone numbers like it’s
your meth dealer, but I still have two years worth of text lolololol in
fact it was Ali that said I was the only one who got y</t>
  </si>
  <si>
    <t>Youre on welfare dads on unemployment ffs dont worry about me I promise
I’ll be just fine when I drop your $300 a week sucking on things bill
On Sat, Jun 7, 2025 at 12:32 PM CRAIG S &lt;placed.sj@gmail.</t>
  </si>
  <si>
    <t>On Sat, Jun 7, 2025 at 12:34 PM CRAIG S &lt;placed.sj@gmail.com&gt; wrote:
&gt; Youre on welfare dads on unemployment ffs dont worry about me I promise
&gt; I’ll be just fine when I drop your $300 a week sucking</t>
  </si>
  <si>
    <t>Fill your cart with these popular picks</t>
  </si>
  <si>
    <t>Save up to =?UTF-8?B?NTAl4oCUZ2V0?= your shopping delivered</t>
  </si>
  <si>
    <t>K, get dad the gift of ultimate entertainment</t>
  </si>
  <si>
    <t>Paul, add a different payment method</t>
  </si>
  <si>
    <t>Remember to claim your up to 50% off on your first 3 orders.</t>
  </si>
  <si>
    <t>Google Calendar &lt;calendar-notification@google.com&gt;</t>
  </si>
  <si>
    <t>Notification: Harp and her whatever I am to her mother daily check-in
 t... @ Mon Jun 9, 2025 8:30am - 9am (ADT) (CRAIG S)</t>
  </si>
  <si>
    <t>You have an upcoming event
Harp and her whatever I am to her mother daily check-in that wont happen
Monday Jun 9, 2025 ⋅ 8:30am – 9am
Atlantic Time - Halifax
Join with Google Meet
https://mee</t>
  </si>
  <si>
    <t>Re: Updated invitation: Harp and her whatever I am to her mother daily check-in t... @ Daily from 8:30am to 9am (ADT) (em.ry@icloud.com)</t>
  </si>
  <si>
    <t>No idk how to use that nor will I. I asked you to download Skype or zoom. Like you still don’t get it everything has to be your way or the highway you can’t even download an app I’ve asked for almost</t>
  </si>
  <si>
    <t>Notification: Harp and her whatever I am to her mother daily check-in
 t... @ Tue Jun 10, 2025 8:30am - 9am (ADT) (CRAIG S)</t>
  </si>
  <si>
    <t>You have an upcoming event
Harp and her whatever I am to her mother daily check-in that wont happen
Tuesday Jun 10, 2025 ⋅ 8:30am – 9am
Atlantic Time - Halifax
Join with Google Meet
https://m</t>
  </si>
  <si>
    <t xml:space="preserve">I downloaded the app for you cause idk how to zoom or Skype anymore I guess so feel free to call whenever
Emma Ryan
On Jun 9, 2025, at 7:39 PM, Emma Ryan &lt;em.ry@icloud.com&gt; wrote:
﻿
No idk how to use </t>
  </si>
  <si>
    <t>We missed you! Enjoy an easy meal in a few taps.</t>
  </si>
  <si>
    <t xml:space="preserve">I’m waiting for you to let me join
Emma Ryan
On Jun 9, 2025, at 7:39 PM, Emma Ryan &lt;em.ry@icloud.com&gt; wrote:
﻿
No idk how to use that nor will I. I asked you to download Skype or zoom. Like you still </t>
  </si>
  <si>
    <t>Re: Updated invitation: Harp and her whatever I am to her mother
 daily check-in t... @ Daily from 8:30am to 9am (ADT) (em.ry@icloud.com)</t>
  </si>
  <si>
    <t>youll have to communicate with a phone call or text only. or through courts
its up to you but this way of communicating doesnt work whatsoever. please
send me exact requirements and instructions on wh</t>
  </si>
  <si>
    <t>sorry for the hostility i miss her so god damn much
On Tue, Jun 10, 2025 at 2:36 PM CRAIG S &lt;placed.sj@gmail.com&gt; wrote:
&gt; youll have to communicate with a phone call or text only. or through
&gt; cour</t>
  </si>
  <si>
    <t>30% off your next  order - just for you =?UTF-8?B?8J+RgA==?=</t>
  </si>
  <si>
    <t>Notification: harper n dad @ Wed Jun 11, 2025 8:30am - 9am (ADT)
 (CRAIG S)</t>
  </si>
  <si>
    <t>You have an upcoming event
harper n dad
Wednesday Jun 11, 2025 ⋅ 8:30am – 9am
Atlantic Time - Halifax
Join with Google Meet
https://meet.google.com/cpn-qipu-bjn?hs=224
i know 75 ways</t>
  </si>
  <si>
    <t>LOL lie some more Craig. Whatever helps you sleep at night.
Emma Ryan
On Jun 7, 2025, at 12:32 PM, CRAIG S &lt;placed.sj@gmail.com&gt; wrote:
﻿
Didnt start til you met me huh? Bahaha you change phone number</t>
  </si>
  <si>
    <t>And it would be great if you could stop sending a naked video of me around people. It’s my naked body and you have no right to videotape it let alone just send it to people. Why don’t you send it to t</t>
  </si>
  <si>
    <t>Stop contacting me unless it’s about your kid since you can’t follow through with anything still even for her.
I sent you a list to your number as you requested.
Emma Ryan
On Jun 11, 2025, at 9:19 AM,</t>
  </si>
  <si>
    <t>Emma Ryan &lt;emma.ryan1995@outlook.com&gt;</t>
  </si>
  <si>
    <t>Declined: harper n dad</t>
  </si>
  <si>
    <t>"Emma Ryan (Google Calendar)" &lt;calendar-notification@google.com&gt;</t>
  </si>
  <si>
    <t>Declined: harper n dad @ Daily from 8:30am to 9am (ADT) (placed.sj@gmail.com)</t>
  </si>
  <si>
    <t xml:space="preserve">Emma Ryan has declined this invitation.
harper n dad
Daily from 8:30am to 9am
Atlantic Time - Halifax
Join with Google Meet
https://meet.google.com/cpn-qipu-bjn?hs=224
i know 75 ways to contact </t>
  </si>
  <si>
    <t xml:space="preserve">I can imagine and I’m not keeping her from you, Craig
Emma Ryan
On Jun 10, 2025, at 2:43 PM, CRAIG S &lt;placed.sj@gmail.com&gt; wrote:
﻿
sorry for the hostility i miss her so god damn much
On Tue, Jun 10, </t>
  </si>
  <si>
    <t>There is no game Craig you should know what your seven month old daughter needs to take care of her but I sent you the list and I think that it’s pretty straightforward of what is the main necessities</t>
  </si>
  <si>
    <t>Notification: harper n dad @ Thu Jun 12, 2025 8:30am - 9am (ADT)
 (CRAIG S)</t>
  </si>
  <si>
    <t xml:space="preserve">You have an upcoming event
harper n dad
Thursday Jun 12, 2025 ⋅ 8:30am – 9am
Atlantic Time - Halifax
Join with Google Meet
https://meet.google.com/cpn-qipu-bjn?hs=224
i know 75 ways </t>
  </si>
  <si>
    <t>Re: Call.</t>
  </si>
  <si>
    <t xml:space="preserve">Okay then. Yes because you can’t be respectful or kind at all lol. &amp; doesn’t mean you can’t call Harper. But sounds good.
Emma Ryan
On Jun 12, 2025, at 8:36 AM, CRAIG S &lt;placed.sj@gmail.com&gt; wrote:
﻿
</t>
  </si>
  <si>
    <t>They actually don’t have you blocked so
Emma Ryan
On Jun 12, 2025, at 8:50 AM, Emma Ryan &lt;em.ry@icloud.com&gt; wrote:
﻿
Okay then. Yes because you can’t be respectful or kind at all lol. &amp; doesn’t mean y</t>
  </si>
  <si>
    <t>Flavour savings with up to 50% off on your first 3 orders.</t>
  </si>
  <si>
    <t>Google Meet &lt;meetings-noreply@google.com&gt;</t>
  </si>
  <si>
    <t>Meeting records from
“harper n dad”
The meeting records from your meeting have been uploaded to Drive.
Meeting records Video Recording
Google LLC, 1600 Ampitheatre Parkway, Mountain View</t>
  </si>
  <si>
    <t>Gmail Team &lt;forwarding-noreply@google.com&gt;</t>
  </si>
  <si>
    <t>(Gmail Forwarding Confirmation - Receive Mail from craiglunaharper@gmail.com</t>
  </si>
  <si>
    <t>craiglunaharper@gmail.com has requested to automatically forward mail
to your email
address placed.sj@gmail.com.
To allow craiglunaharper@gmail.com to automatically forward mail to
your address,
plea</t>
  </si>
  <si>
    <t>what is a good time for you folks this morning?
On Wed, Jun 11, 2025 at 2:55 PM Emma Ryan &lt;em.ry@icloud.com&gt; wrote:
&gt; There is no game Craig you should know what your seven month old daughter
&gt; need</t>
  </si>
  <si>
    <t>Notification: harper n dad @ Sat Jun 14, 2025 8:30am - 9am (ADT)
 (CRAIG S)</t>
  </si>
  <si>
    <t>You have an upcoming event
harper n dad
Saturday Jun 14, 2025 ⋅ 8:30am – 9am
Atlantic Time - Halifax
Join with Google Meet
https://meet.google.com/cpn-qipu-bjn?hs=224
Organizer
CRAI</t>
  </si>
  <si>
    <t xml:space="preserve">
https://click.brtpemails.com/?qs=cb374850dba02d3e1aefd1e6a552229ef2e4b3922c7d62c9d3371641fff288befaf086d33e26004edc737e7bb24e000bca5d4a86e7f556f9498e68df7f430ec4 
Spin Back into Action
https</t>
  </si>
  <si>
    <t>&lt;!DOCTYPE html&gt;
&lt;html&gt;
    &lt;head&gt;
        &lt;title&gt;🔥 Deal alert! Huge savings on Samsung.&lt;/title&gt;
        &lt;meta name="robots" content="noindex, nofollow"&gt;
        &lt;meta http-equiv="Content-Type" content</t>
  </si>
  <si>
    <t>Paul Carey &lt;paulcarey802@gmail.com&gt;, DALE CAMPBELL &lt;dale.campbell@rogers.com&gt;, 
	Stacey C &lt;campbellstacey98@gmail.com&gt;</t>
  </si>
  <si>
    <t>eferrandnfondout</t>
  </si>
  <si>
    <t xml:space="preserve">not bad for a fookin house plant. i wanna have another custody child now
that its built and popping off forms lol - just kidding for the record your
honor
Harps Dad
</t>
  </si>
  <si>
    <t>youre not telling em what i have to do to pick up my god damn daughter, you
cant committ to one video call a day... you literally sit there and do
absolutely nothing to better your life, i cant fathom</t>
  </si>
  <si>
    <t>thanks again emma, youre ona  fucking roll, christmas, new years, my
birthday, and now fathers day. its personal now you aint seen a pissed off
craig before, only in your fairytale affidavits haha gid</t>
  </si>
  <si>
    <t>worse part is you cant even tell me what else i have to do to be in her
life, its mind boggling that anyone thought you were fit to have a kid for
fuck sake. theres a train coming emma, and its not th</t>
  </si>
  <si>
    <t>guess all i can say is that ij am truly sorry that i somehow hurt you
enough that you could hurt me this god damn bad, and how much of a sick
individual you must be to have sex with me one week and th</t>
  </si>
  <si>
    <t>The rules haven’t changed. Always been the same and been telling you for two and a half weeks. Sounds good Craig do whatever ya gotta truth will come out. I don’t do drugs craig you were the only pers</t>
  </si>
  <si>
    <t>You literally have done this all to yourself.
IM DONE because you continued to treat me the way you have and to do so INFRONT of our daughter when she’s sleeping. Because why? I’m tierd of hearing you</t>
  </si>
  <si>
    <t>Accepted: harper n dad</t>
  </si>
  <si>
    <t>hey idiot, what are the rules to the fucking game!!????? why cant i pick up
my daughter, i dont care about your bullshit stories youre writing, cause
the second your finger hits the phone its a lie, i</t>
  </si>
  <si>
    <t xml:space="preserve">what the fuck are you talking about? i have a job, a car, a banka ccount, a
savings account for harper, im thriving, thanks for asking how im doing
though, you fucking moron, you have nevr asked that </t>
  </si>
  <si>
    <t>Re: Accepted: harper n dad</t>
  </si>
  <si>
    <t xml:space="preserve">just making stuff up now? lol i can't wait to see the shit you come up with
On Sun, Jun 15, 2025 at 6:00 AM Emma Ryan &lt;emma.ryan1995@outlook.com&gt; wrote:
&gt;
</t>
  </si>
  <si>
    <t>maybe our updated court orders ? idunno wtf you want man fuck off
On Sun, Jun 15, 2025 at 7:35 AM CRAIG S &lt;placed.sj@gmail.com&gt; wrote:
&gt; i have no idea what photos hyou want me to send to matt emma,</t>
  </si>
  <si>
    <t>New login to Spotify</t>
  </si>
  <si>
    <t xml:space="preserve">
New login to Spotify
We noticed a new login to your account. Here are the details:
*Location/City/Country:* Canada
*Time:* June 15, 2025, 7:13:15 a.m. EDT
If you logged in to your account rec</t>
  </si>
  <si>
    <t>Notification: harper n dad @ Sun Jun 15, 2025 8:30am - 9am (ADT)
 (CRAIG S)</t>
  </si>
  <si>
    <t xml:space="preserve">You have an upcoming event
harper n dad
Sunday Jun 15, 2025 ⋅ 8:30am – 9am
Atlantic Time - Halifax
Join with Google Meet
https://meet.google.com/cpn-qipu-bjn?hs=224
Organizer
CRAIG </t>
  </si>
  <si>
    <t>Hungry for tasty savings? Here's 50% off.</t>
  </si>
  <si>
    <t>It’s not a fucking game. Still going I see Craig. I’ve literally told you over and over if you honestly don’t get then your a loss cause. Get the stuff to care for her when she’s there the car seat ba</t>
  </si>
  <si>
    <t>Go ahead man don’t care only hurting yourself and her.
Then do the fucking Barr minimum lol like fuck pretty sad you can’t do that at 7 months. I sent you a list 10 times like your the one fucked in t</t>
  </si>
  <si>
    <t>You’d rather send hateful nasty messages to me every day multiple times a day and try and blackmail me to be in your kids. Life then do the bare minimum.
Emma Ryan
On Jun 15, 2025, at 9:03 AM, Emma Ry</t>
  </si>
  <si>
    <t>That doesn’t mean the other one doesn’t matter you still have to have the things to care for her Craig lol and I didn’t take shit from your house so your sister can stop running her mouth since you’re</t>
  </si>
  <si>
    <t>I brought stuff there that you’ve kept and even giving you stuff like you’re hilarious. This is the saddest thing ever.
Emma Ryan
On Jun 15, 2025, at 9:03 AM, Emma Ryan &lt;em.ry@icloud.com&gt; wrote:
﻿
It’</t>
  </si>
  <si>
    <t>You’d have to be a parent to coparent and you’ve been a useless fuck since I met you. STOP MESSAGING ME STOP CONTACTING ME IM SICK OF YOUR FUCKING SHIT MAN. Go ahead do whatever hurt yourself more and</t>
  </si>
  <si>
    <t>So much for misplacing a laptop or having a flip phone lmfao. More lies on lies.
Emma Ryan
On Jun 15, 2025, at 9:03 AM, Emma Ryan &lt;em.ry@icloud.com&gt; wrote:
﻿
It’s not a fucking game. Still going I see</t>
  </si>
  <si>
    <t>yeah for the first tieme maybe, im on my way. go ahead and refuse, we will
see how that goes in court in the morning. tirred of your games no i dont
want a fucking video emma i am tired of you keeping</t>
  </si>
  <si>
    <t>emma i know numbers arent your thing, but your welfare doesnt even cover
the 4 things you smoke for fuck sake, let alone anything for the baby fuck
off
On Sun, Jun 15, 2025 at 9:26 AM CRAIG S &lt;placed</t>
  </si>
  <si>
    <t>Pretty sad you already sent them last night lol you’re literally the biggest pathetic thing ever you stay out of my life stay out of my life not that hard since you couldn’t get off them for our daugh</t>
  </si>
  <si>
    <t>Really that’s funny cause I was supporting your ass and your dog while keeping the roof over. I had to be a family you dumb fuck leave me alone stop messaging me you’re gross.
Emma Ryan
On Jun 15, 202</t>
  </si>
  <si>
    <t>Perfect cause I do refuse and I will call the cops to come remove you and maybe they’ll get my wallet too. You’re fucking sick in the head Man.
Emma Ryan
On Jun 15, 2025, at 9:50 AM, Emma Ryan &lt;em.ry@</t>
  </si>
  <si>
    <t>You come here and I’m calling the cops. You’re not welcome here and you can’t even do the bare minimum to get your kid.
Emma Ryan
On Jun 15, 2025, at 9:50 AM, Emma Ryan &lt;em.ry@icloud.com&gt; wrote:
﻿
Pre</t>
  </si>
  <si>
    <t>I’m not keeping her from you. That’s the funniest part Craig and yet here you are continuing to go on and on and on and on and on instead of doing what 510 things get fucked go fuck go away you’re bei</t>
  </si>
  <si>
    <t>What four things are you accusing me of smoking something else like you did when I was 5 1/2 months pregnant like cooking and smoking crack you’re fucked. I had to buy everything for you not to mentio</t>
  </si>
  <si>
    <t>Or you’ll have another charge and a no contact order this is so fucked up. You kept her from me for five days without telling me anything and I’m literally trying to help you still giving you the bene</t>
  </si>
  <si>
    <t>I bought everything for our baby Craig everything you did fuck all
Emma Ryan
On Jun 15, 2025, at 9:50 AM, Emma Ryan &lt;em.ry@icloud.com&gt; wrote:
﻿
Pretty sad you already sent them last night lol you’re l</t>
  </si>
  <si>
    <t>Trust me, buddy you just wait. I have lots of you.
Emma Ryan
On Jun 15, 2025, at 9:50 AM, Emma Ryan &lt;em.ry@icloud.com&gt; wrote:
﻿
Pretty sad you already sent them last night lol you’re literally the big</t>
  </si>
  <si>
    <t>Lol OK I wish you would’ve said that a year ago and I’ve been begging you to get the fuck out of my life you lying fuck
Emma Ryan
On Jun 15, 2025, at 9:50 AM, Emma Ryan &lt;em.ry@icloud.com&gt; wrote:
﻿
Pre</t>
  </si>
  <si>
    <t>Not sure why it would be in the morning but it’s definitely sooner than October.
Emma Ryan
On Jun 15, 2025, at 9:50 AM, Emma Ryan &lt;em.ry@icloud.com&gt; wrote:
﻿
Pretty sad you already sent them last nigh</t>
  </si>
  <si>
    <t>Can’t even leave my wallet eh lol. I’ll let the rcmp know that too
Emma Ryan
On Jun 15, 2025, at 9:50 AM, Emma Ryan &lt;em.ry@icloud.com&gt; wrote:
﻿
Pretty sad you already sent them last night lol you’re l</t>
  </si>
  <si>
    <t>Craig n Emma, =?UTF-8?B?ZG9u4oCZdA==?= miss these popular
 =?UTF-8?B?ZmluZHPigJRzaG9wIG5vdyDwn5uS?=</t>
  </si>
  <si>
    <t>Get up to 50% off the essentials you need =?UTF-8?B?8J+bkg==?=</t>
  </si>
  <si>
    <t>Notification: harper n dad @ Mon Jun 16, 2025 8:30am - 9am (ADT)
 (CRAIG S)</t>
  </si>
  <si>
    <t xml:space="preserve">You have an upcoming event
harper n dad
Monday Jun 16, 2025 ⋅ 8:30am – 9am
Atlantic Time - Halifax
Join with Google Meet
https://meet.google.com/cpn-qipu-bjn?hs=224
Organizer
CRAIG </t>
  </si>
  <si>
    <t>harper's 6 month needles</t>
  </si>
  <si>
    <t>Hi Emma,
I am writing regarding Harper's 6-month appointment this afternoon for her
needles.
As Harper's father, I wish to be present to support her during this
important appointment, on Thursday yo</t>
  </si>
  <si>
    <t>CRAIG S &lt;lunacraigcep@gmail.com&gt;</t>
  </si>
  <si>
    <t>im going to just start posting stuff on my wall on facebook so that i
 know someone reads it, if it was abiout harper you wouldnt block me
 everywhere, thats about control and not about our daughter</t>
  </si>
  <si>
    <t xml:space="preserve">if you want to drive together, we can figure that out i just like the time
with harper as you know..
</t>
  </si>
  <si>
    <t>Notification: harper n dad @ Tue Jun 17, 2025 8:30am - 9am (ADT)
 (CRAIG S)</t>
  </si>
  <si>
    <t>You have an upcoming event
harper n dad
Tuesday Jun 17, 2025 ⋅ 8:30am – 9am
Atlantic Time - Halifax
Join with Google Meet
https://meet.google.com/cpn-qipu-bjn?hs=224
Organizer
CRAIG</t>
  </si>
  <si>
    <t>Supporting inclusion for LGBTQ+ team members</t>
  </si>
  <si>
    <t>Women's career advancement • Keeping talent • “Please” AI -
( https://clicks.mail.monday.com/f/a/FVO0elQ3SURxSihtd1neqA~~/AAQRxRA~/1xidPXL1qx8zekKzBdlx3brEy5Uc7fNxB4vMRMiPnd4s8sGCDVeDksAUbi68F8j5qYL8</t>
  </si>
  <si>
    <t>Lumin &lt;notifications@info.luminpdf.com&gt;</t>
  </si>
  <si>
    <t>Complete your purchase and start your PDF editings!</t>
  </si>
  <si>
    <t>Finish what you started – Lumin makes editing effortless!
**************************************************
🚀 Finish What You Started – Your PDFs Are Waiting!
***************************************</t>
  </si>
  <si>
    <t>Harpers Dad vs Emma 'Lion King' Ryan</t>
  </si>
  <si>
    <t xml:space="preserve">sharing this legally for "advice, as my trusted circle i am allowed to,
until i sign it ;)
https://g.co/gemini/share/6c9f11403fcb
</t>
  </si>
  <si>
    <t>Bubble &lt;newsletter@mail.bubble.io&gt;</t>
  </si>
  <si>
    <t>New challenge: Go mobile with Bubble and win $5K</t>
  </si>
  <si>
    <t>Build and deploy your app, post on social, and submit your app to our form to 
win
Hi CRAIG,
We’ve got big news for Bubble builders ready to go mobile: We’re launching the 
Bubble Summer Mob</t>
  </si>
  <si>
    <t>Fire Risk for 1M Power Banks, ChatGPT Now Saves Deleted Chats, Best TV Audio Setup</t>
  </si>
  <si>
    <t>2025-06-18
[View in Browser](https://r.news.fing.com/mk/mr/sh/28xHBT2OOm5aQptdXSKhEiyfFIMXCKGYwW/5Zq7T5F7BZjj)
Hey there, I'm Stephen, and welcome back to the Fing Home Tech Distillery!
This Week'</t>
  </si>
  <si>
    <t>Notification: harper n dad @ Wed Jun 18, 2025 8:30am - 9am (ADT)
 (CRAIG S)</t>
  </si>
  <si>
    <t>You have an upcoming event
harper n dad
Wednesday Jun 18, 2025 ⋅ 8:30am – 9am
Atlantic Time - Halifax
Join with Google Meet
https://meet.google.com/cpn-qipu-bjn?hs=224
Organizer
CRA</t>
  </si>
  <si>
    <t>Harper's well being</t>
  </si>
  <si>
    <t>Hello,
It's been 5 days since I saw my daughter alive and well. 2 weeks since I
have seen her in person. i have been waiting for you to send the RCMP to
come and see me but it seems as though that is</t>
  </si>
  <si>
    <t>janet ellis stockford &lt;janet.ellisstockford@gnb.ca&gt;, 
	"Doiron, Monia (JPS/JSP)" &lt;Monia.Doiron@gnb.ca&gt;</t>
  </si>
  <si>
    <t>FDSJ 739-24</t>
  </si>
  <si>
    <t>HARPER JUNE
It's been 3 weeks since I last seen my daughter, and they have disconnected
their home phone.
I am just printing off everything to file it in the courts, I want to see
the court master r</t>
  </si>
  <si>
    <t>"Doiron, Monia (JPS/JSP)" &lt;Monia.Doiron@gnb.ca&gt;, 
	janet ellis stockford &lt;janet.ellisstockford@gnb.ca&gt;</t>
  </si>
  <si>
    <t>*Hey*I am fully prepared, this is just the copy and paste version, the
affidavits are seperate, I just dont have the time to cross my ts anymore i
am genuinely worried for the safety of her at this po</t>
  </si>
  <si>
    <t>CRAIG S &lt;placed.sj@gmail.com&gt;, "Ellis Stockford, Janet (JPS/JSP)"
	&lt;Janet.EllisStockford@gnb.ca&gt;</t>
  </si>
  <si>
    <t>RE: FDSJ 739-24</t>
  </si>
  <si>
    <t>Good morning, Craig,
As per our telephone conversation this morning, please print the answer package with your financial statement and bring to us at Family law.
To request a Case Conference, pl</t>
  </si>
  <si>
    <t>Re: FDSJ 739-24</t>
  </si>
  <si>
    <t>I don't need to see a lawyer, all forms will be filled out as NB family law
requires. I am just printing the exhibits for my affidavit and then I will
be in to file.
Thank You
On Wed, Jun 18, 2025 a</t>
  </si>
  <si>
    <t xml:space="preserve">   1.
   *Sole Custody and Sole Decision-Making Responsibility:* That the
   Respondent, CRAIG SCHULZ, be granted *sole custody and sole
   decision-making responsibility* for HARPER RYAN. This is ne</t>
  </si>
  <si>
    <t>Re: Harper's well being</t>
  </si>
  <si>
    <t>Lol that’s good when you have no idea how to even take care of her or haven’t for more than a few hours. I called RCMP yesterday and I called them again today so one should be there to see you soon. Y</t>
  </si>
  <si>
    <t>I told you I’ll piss every day if I have to lol do you not remember that CPS didn’t investigation on me not you anyway read my last message over and over again if you have to, but that’s what this has</t>
  </si>
  <si>
    <t>And again, thank you for another charge for using my personal information but you don’t have my wallet right Craig lol you are actually hilarious. Why don’t you send that to Craig or something? I’m tr</t>
  </si>
  <si>
    <t>I really love the negative commentary because the only person that’s been negative has been you the only person that brought drugs into our life. Was you the only person that brought abuse into our li</t>
  </si>
  <si>
    <t>You’ve already committed fraud and used my information for your gambling sites so it’s not that hard to show evidence and it just also proves that you lie through your teeth so thank you again
Emma Ry</t>
  </si>
  <si>
    <t>emma you wont let me be a dad. you are a literal retard, wont let me pick
her up or video with her and then say i dont want to be a dad lol lol lol
lol lol iq of a squirrel
On Wed, Jun 18, 2025 at 10</t>
  </si>
  <si>
    <t>Don’t worry, the courts will deal in which household is best for her and which is the safest because none of you should be even living in that house please do not message me. Do not contact me. I will</t>
  </si>
  <si>
    <t>and it wont be pissing in a cup my love, promise
On Wed, Jun 18, 2025 at 10:55 AM CRAIG S &lt;placed.sj@gmail.com&gt; wrote:
&gt; emma you wont let me be a dad. you are a literal retard, wont let me pick
&gt; h</t>
  </si>
  <si>
    <t>please pay your drug debt i am tired of my phone ringing over it
On Wed, Jun 18, 2025 at 10:53 AM Emma Ryan &lt;em.ry@icloud.com&gt; wrote:
&gt; I told you I’ll piss every day if I have to lol do you not rem</t>
  </si>
  <si>
    <t>stop talking to me i dont care about you. you denied facetime againt his
morning so my contact with you is done until you waste my time again
tomorrow. and speak to the rcmp again tomorrow. enjoy your</t>
  </si>
  <si>
    <t>weird cause you texted me that your dad beat the shit out of you after he
scolded harper a year ago. weird man you gotta stop texting all this stuff
its gonna hurt in court. i told you, bring me harpe</t>
  </si>
  <si>
    <t xml:space="preserve">ahaha there it is, which house hold. yeah cause you know in a you vs me
scenario the judge will laugh at you cause youre not fit to raise a house
plant let alone my daughter
&gt;
</t>
  </si>
  <si>
    <t>the ryans cant spell sobriety let alone attempt it. drinking and driving?
theres a year derby for that in your backyard ffs, leave me alone emma
please i dont give a fuck about you whatsoever, try not</t>
  </si>
  <si>
    <t>i record every morning of me sitting there waiting for you to answer, then
ignoring my phone calls. we have joint custody emma, please stop using ali
as council and consult with a fucking adult. you a</t>
  </si>
  <si>
    <t>i want to know the god damn hoops i have to jump through to see my
daughter! right fucking now
On Wed, Jun 18, 2025 at 11:31 AM CRAIG S &lt;placed.sj@gmail.com&gt; wrote:
&gt; i record every morning of me si</t>
  </si>
  <si>
    <t>That you’ve been sent five different times on three different things and I thought you got them Craig I thought you sent me the pictures supposedly two weeks ago thank you for proving again that you l</t>
  </si>
  <si>
    <t>You did this not me I’m the one that’s clean. I’m the one that’s better in my life. Where are you? 10 steps back I’m sick of it.
Emma Ryan
On Jun 18, 2025, at 11:33 AM, CRAIG S &lt;placed.sj@gmail.com&gt; w</t>
  </si>
  <si>
    <t xml:space="preserve">Lol imagine I made sure that you had a chance to be her dad and you still couldn’t step up give it up. I don’t give a fuck about anything Craig send it to court. They’ll decide enough is enough.
Emma </t>
  </si>
  <si>
    <t>Not to mention your drug dealer messaging me saying that you’re getting drugs and I’m paying for them OK and you’re withholding my wallet so I can’t buy our daughter things when you contribute. Nothin</t>
  </si>
  <si>
    <t>list of demands</t>
  </si>
  <si>
    <t>I WANT EVERY THING LISTED, AND ONLY YOUR DEMANDS LISTED, IN THIS EMAIL
CHAIN, NOTHING ELSE. TELL ME WHAT WHEN HOW WHERE WHY I HAVE TO DO TO PICK
UP HARPER ON SUNDAY MORNING. IN DETAIL BECAUSE YOUR GAM</t>
  </si>
  <si>
    <t>Re: list of demands</t>
  </si>
  <si>
    <t>I sent you a list Craig multiple times on multiple different places but let me guess you didn’t get them. You had 2 1/2 weeks let alone a year and you sure as fuck should’ve got them when you took her</t>
  </si>
  <si>
    <t>I’m not the one that’s played games. I not once had played games because this is our daughter’s life and you’d rather fuck around and fuck the dog then do the bare minimum that they even gave you good</t>
  </si>
  <si>
    <t>Not to mention again, I thought you sent them two weeks ago, which was yet another lie. I’m done with your bullshit. I’m done with your childish games and I’m done dealing with your everything. This i</t>
  </si>
  <si>
    <t>so no list?
On Wed, Jun 18, 2025 at 12:11 PM Emma Ryan &lt;em.ry@icloud.com&gt; wrote:
&gt; I sent you a list Craig multiple times on multiple different places but
&gt; let me guess you didn’t get them. You had</t>
  </si>
  <si>
    <t>you make the demands i need to know the demands
On Wed, Jun 18, 2025 at 12:17 PM Emma Ryan &lt;em.ry@icloud.com&gt; wrote:
&gt; Not to mention again, I thought you sent them two weeks ago, which was yet
&gt; an</t>
  </si>
  <si>
    <t>over and over and over with your same bullshit but no list of demands huh
On Wed, Jun 18, 2025 at 11:57 AM Emma Ryan &lt;em.ry@icloud.com&gt; wrote:
&gt; You did this not me I’m the one that’s clean. I’m the</t>
  </si>
  <si>
    <t xml:space="preserve">last chance, are you sending me a listr of things to take pictures of? its
not a listr of things to buy fuck face you know i alreqdy have everfything
to care for her its a matter of what the fuck you </t>
  </si>
  <si>
    <t>SEND ME A FUCKING LIST
On Wed, Jun 18, 2025 at 12:11 PM Emma Ryan &lt;em.ry@icloud.com&gt; wrote:
&gt; I’m not the one that’s played games. I not once had played games because
&gt; this is our daughter’s life a</t>
  </si>
  <si>
    <t>You have a promo to use on your first 3 orders.</t>
  </si>
  <si>
    <t>Notification: harper n dad @ Thu Jun 19, 2025 8:30am - 9am (ADT)
 (CRAIG S)</t>
  </si>
  <si>
    <t>You have an upcoming event
harper n dad
Thursday Jun 19, 2025 ⋅ 8:30am – 9am
Atlantic Time - Halifax
Join with Google Meet
https://meet.google.com/cpn-qipu-bjn?hs=224
Organizer
CRAI</t>
  </si>
  <si>
    <t>Hows harper?</t>
  </si>
  <si>
    <t>Hows harper? I have been waiting in the video room like always, all good
though. RCMP can be my eyes, thanks again Emma great co parenting as
always, thanks for the list too, the one youve sent 10000x</t>
  </si>
  <si>
    <t>A little something just for you, Tony</t>
  </si>
  <si>
    <t xml:space="preserve">
https://click.brtpemails.com/?qs=5857572e888c55dc266ea7205e068899fc31d9b740bc1169cab16464505912744edee3d19f4c3ad3b37dfa8e79424280c70f3f5458b2c0690dbcfd4384fd25fb 
Your Bonus is Standing By
h</t>
  </si>
  <si>
    <t>Get up to 50% off your shop</t>
  </si>
  <si>
    <t>attempt to reach Harper</t>
  </si>
  <si>
    <t>checking in on her well being, we have joint custody in case you didn't
know. it is send an e-mail or talk to the rcmp, your call. thanks emma
appreciate your timely response as to why you are withhol</t>
  </si>
  <si>
    <t>Re: attempt to reach Harper</t>
  </si>
  <si>
    <t>She’s doing great. 
Emma Ryan
&gt; On Jun 19, 2025, at 5:14 PM, CRAIG S &lt;placed.sj@gmail.com&gt; wrote:
&gt; 
&gt; ﻿
&gt; checking in on her well being, we have joint custody in case you didn't know. it is se</t>
  </si>
  <si>
    <t xml:space="preserve">thats not an update emma. thats the response i have received every time i
have asked you or your family since december though, rcmp it is. maybe you
can give him the list of hoops to jump through for </t>
  </si>
  <si>
    <t>Funny when you steal from your kid eh STOP CONTACTING ME
On Jun 19, 2025, at 6:26 PM, CRAIG S &lt;placed.sj@gmail.com&gt; wrote:
﻿
thats not an update emma. thats YOUVE DONE A FINE JOB GETTING the re</t>
  </si>
  <si>
    <t>I don’t know a drug dealer anything again more bullshit and lies. He’s telling you meanwhile don’t know why he’s even fucking talking about me and I don’t know why you’re fucking messaging me. Leave m</t>
  </si>
  <si>
    <t>GET OFF MY SHIT ATOP CHANGING PASSWORDS JUST STOP YOUR ONLY HURTING YOURSELF AND HARPER . You sneaking fuck leave me alone stay out of my life. Not joking. I’ve already called my bank and rcmp about t</t>
  </si>
  <si>
    <t xml:space="preserve">emma, i swear i havent tried to access any of your stuff, i am only
replying so that you look elsewhere and not only at me.. you wont believe
me, i really dont care about you one bit, what you do who </t>
  </si>
  <si>
    <t>You only have 25% of your iCloud storage left</t>
  </si>
  <si>
    <t>Hello paul carey,
​
Thank you for using iCloud to keep the most important information on your iPhone safely stored. You have less than 25% of your free 5 GB of iCloud storage left.
For $1.29 p</t>
  </si>
  <si>
    <t>Get 60% off 1 year of Uber One =?UTF-8?B?8J+kqQ==?=</t>
  </si>
  <si>
    <t>Notification: harper n dad @ Fri Jun 20, 2025 8:30am - 9am (ADT)
 (CRAIG S)</t>
  </si>
  <si>
    <t xml:space="preserve">You have an upcoming event
harper n dad
Friday Jun 20, 2025 ⋅ 8:30am – 9am
Atlantic Time - Halifax
Join with Google Meet
https://meet.google.com/cpn-qipu-bjn?hs=224
Organizer
CRAIG </t>
  </si>
  <si>
    <t>Craig you took our baby away from its mother when she should have been in my belly you did this. You continue to harass me then get the bare minimum day in and day out the stuff you’ve done to my and</t>
  </si>
  <si>
    <t>No one’s standing in your way but you. I promise you will have consequences for your actions as well since you can’t comprehend anything. PLEASE LEAVE ME ALONE
Emma Ryan
On Jun 19, 2025, at 10:35 </t>
  </si>
  <si>
    <t>You have done all of this, including trying to steal money out of your daughter’s mouth. The courts will decide and that’s what we live with. Have a good day.
Emma Ryan
On Jun 19, 2025, at 10:35 P</t>
  </si>
  <si>
    <t>Hi Monia,
This is all becoming unbelievably impossible to manage, but I am nearing
completion. I really want to file something with you today, but my reply
won't be ready as I am printing off the tex</t>
  </si>
  <si>
    <t>"Ellis Stockford, Janet (JPS/JSP)" &lt;Janet.EllisStockford@gnb.ca&gt;</t>
  </si>
  <si>
    <t xml:space="preserve">Good afternoon Craig
Unfortunately, you are not able to file documents with the court electronically nor are we permitted to print documents from an outside source due to the risk of viruses, etc.
</t>
  </si>
  <si>
    <t>Thank You for your reply, what about commissioner of oathes can that be
done there?
Thanks so much
On Fri, Jun 20, 2025 at 1:04 PM Ellis Stockford, Janet (JPS/JSP) &lt;
Janet.EllisStockford@gnb.ca&gt; wro</t>
  </si>
  <si>
    <t>Yes but you need to bring photo ID with you
Janet M. Ellis Stockford
Department of Justice and Public Safety / Ministère de la Justice et Sécurité publique
Court of King’s Bench/Cour du Banc du</t>
  </si>
  <si>
    <t>Notification: harper n dad @ Sat Jun 21, 2025 8:30am - 9am (ADT)
 (CRAIG S)</t>
  </si>
  <si>
    <t>You have an upcoming event
harper n dad
Saturday Jun 21, 2025 ⋅ 8:30am – 9am
Atlantic Time - Halifax
Join with Google Meet
https://meet.google.com/cpn-qipu-bjn?hs=224
Organizer
CRAI</t>
  </si>
  <si>
    <t>Your deliveries just got even better</t>
  </si>
  <si>
    <t>Access editing and signing tools now – your setup is waiting
( https://l.info.luminpdf.com/ls/click?upn=u001.4MqHGZ0E8KtLwZu0IvFvYv9pyhKdmgS85UR77nd1Oq-2FQjIMnRepsKmvg559ZRuGyQl9ZQELPPB1JN-2FlywjAwmO</t>
  </si>
  <si>
    <t>miss u harper. wonder if you will remember me, i dont think so
On Fri, Jun 20, 2025 at 8:46 AM Emma Ryan &lt;emma.ryan1995@outlook.com&gt; wrote:
&gt; You have done all of this, including trying to steal mon</t>
  </si>
  <si>
    <t>Craig Schulz &lt;placed.sj@gmail.com&gt;</t>
  </si>
  <si>
    <t>Fwd: Subject: Important Medical Information for Harper Ryan (DOB:
 November 12, 2024) - Prenatal and Postnatal Exposure History</t>
  </si>
  <si>
    <t xml:space="preserve">Forwarded Conversation
Subject: Re: Subject: Important Medical Information for Harper Ryan (DOB:
November 12, 2024) - Prenatal and Postnatal Exposure History
------------------------
From: Emma Ryan </t>
  </si>
  <si>
    <t>medical records emails june 15th week</t>
  </si>
  <si>
    <t>June 17, 2025
Medical Records Department Saint John Regional Hospital 400 University
Avenue Saint John, NB E2L 4L2 Canada
Dear Medical Records Department,
I am writing as the father of Harper Ryan,</t>
  </si>
  <si>
    <t>Notification: harper n dad @ Mon Jun 23, 2025 8:30am - 9am (ADT)
 (CRAIG S)</t>
  </si>
  <si>
    <t xml:space="preserve">You have an upcoming event
harper n dad
Monday Jun 23, 2025 ⋅ 8:30am – 9am
Atlantic Time - Halifax
Join with Google Meet
https://meet.google.com/cpn-qipu-bjn?hs=224
Organizer
CRAIG </t>
  </si>
  <si>
    <t>See =?UTF-8?B?d2hhdOKAmXM=?= trending today</t>
  </si>
  <si>
    <t>Last call! Get 1 year of Uber One for 60% off. =?UTF-8?B?8J+aqA==?=</t>
  </si>
  <si>
    <t>Notification: harper n dad @ Tue Jun 24, 2025 8:30am - 9am (ADT)
 (CRAIG S)</t>
  </si>
  <si>
    <t>You have an upcoming event
harper n dad
Tuesday Jun 24, 2025 ⋅ 8:30am – 9am
Atlantic Time - Halifax
Join with Google Meet
https://meet.google.com/cpn-qipu-bjn?hs=224
Organizer
CRAIG</t>
  </si>
  <si>
    <t>Re: heya</t>
  </si>
  <si>
    <t xml:space="preserve">about what the path is to being in my daughter's life, if the only way is
to get a judge to force you, then fine. But if I file against you when I am
mad and disrespected and hurt and grieving like I </t>
  </si>
  <si>
    <t>I’ll take a look at this later. When she goes down! I would like my wallet back please. ASAP however that may be..
Emma Ryan
On Jun 24, 2025, at 9:29 AM, CRAIG S &lt;placed.sj@gmail.com&gt; wrote:
﻿
about w</t>
  </si>
  <si>
    <t>i told you, that i would have a look around and see if any of your things
were here when you let me see my daughter.  not sure how that's an unfair
request, it is a very clear straight forward request</t>
  </si>
  <si>
    <t>is there a good time to see the baby and give you whatever is in the bag of
your stuff to you
On Tue, Jun 24, 2025 at 1:23 PM Emma Ryan &lt;em.ry@icloud.com&gt; wrote:
&gt; I’ll take a look at this later. Wh</t>
  </si>
  <si>
    <t>She’s not a pawn Craig. 
You stole my wallet, I have an email saying you have it. You’ve gone through it using my personal information. Accessed my bank. Just stop. 
I’ll replace it all. Sad you’re th</t>
  </si>
  <si>
    <t>I’ve never sent you that info and yep you did. Please stop lying I just asked for it back and you’d rather use it as leverage. I’m sure once the useless fucks actually call me back the police can come</t>
  </si>
  <si>
    <t>"CRAIG S (via Google Docs)" &lt;placed.sj@gmail.com&gt;</t>
  </si>
  <si>
    <t>proposed parenting plan harsh</t>
  </si>
  <si>
    <t>Attached: proposed parenting plan harsh.pdf
Sent using Google Docs https://docs.google.com/
This is a courtesy copy of an email for your record only. It's not the same  
email your collaborators rece</t>
  </si>
  <si>
    <t>Yes I’m sure we can arrange a time if you’re going to be respectful. She’s not gonna your using your daughter as a pawn n my things you stole as leverage it’s so wrong. I’ve sent the list idk how many</t>
  </si>
  <si>
    <t xml:space="preserve">if you have sent me the list why dont you send it to me so i can see it? i
am not reading anything else, youre right she isnt a pawn, its almost been
a month emma.. ive been so sick pondering what to </t>
  </si>
  <si>
    <t>File the truth it will come out. You’re literally only throwing everything I hated in my face but that’s fine. I know I can’t continue this. Sounds good Craig. Police will be there and you will be cha</t>
  </si>
  <si>
    <t xml:space="preserve">I’ve held myself accountable and I’ve been transparent and I’m sober. I’m working to a better life. So idk what you’re getting at. Do what you have to or should have I’ve told you idk how many times.
</t>
  </si>
  <si>
    <t>how long have you been sober?  once i file theyre going to charge you. but
you decided to keep my daughter from me and not tell the truth about your
substance use so here we are. bring me my daughter,</t>
  </si>
  <si>
    <t>Get ready for a sleek peek! See what Galaxy Unpacked will unfold.</t>
  </si>
  <si>
    <t>Notification: harper n dad @ Wed Jun 25, 2025 8:30am - 9am (ADT)
 (CRAIG S)</t>
  </si>
  <si>
    <t>You have an upcoming event
harper n dad
Wednesday Jun 25, 2025 ⋅ 8:30am – 9am
Atlantic Time - Halifax
Join with Google Meet
https://meet.google.com/cpn-qipu-bjn?hs=224
Organizer
CRA</t>
  </si>
  <si>
    <t>i dont know how i am supposed to navigate this, still the same question i
asked your brother in december. its hurt you with honesty or walk away,
thats literally my only two choices. id like to see ha</t>
  </si>
  <si>
    <t>one last shot in the dark</t>
  </si>
  <si>
    <t xml:space="preserve">Never been so good at going at it alone,. as you know, also have never been
too good at keeping my mouth shut, there in lies the pickle i have found
myself in. i need someone to tell me to do this or </t>
  </si>
  <si>
    <t xml:space="preserve">&gt;
&gt; i am going to attach a parenting agreement, do not expect you to accept it
&gt; (i havent filed anything yet as they told me to change direction given the
&gt; current cirucmstances) i promised you you </t>
  </si>
  <si>
    <t>it truly is remarkable that you think any of this is ok..... you have me
handcuffed because of my financials going into your account, but i hope to
heck you have representation on this, because withho</t>
  </si>
  <si>
    <t>custody</t>
  </si>
  <si>
    <t xml:space="preserve">[image: image.png]
</t>
  </si>
  <si>
    <t>Good morning</t>
  </si>
  <si>
    <t>Hi Emma,
Hope you're having a good morning.
Just wanted to send some love to Harper. Please tell her I said good
morning and I'm thinking of her. I'm looking forward to our next time
together.
Hope</t>
  </si>
  <si>
    <t>Re: Good morning</t>
  </si>
  <si>
    <t>lol. Okay. Stop. You’re right it’s hard to believe anyone could take a child away from a parent. Which I’m not but. Yah you have a great day too. Loved how you just have to throw in nasty comments. Ag</t>
  </si>
  <si>
    <t>Notification: harper n dad @ Thu Jun 26, 2025 8:30am - 9am (ADT)
 (CRAIG S)</t>
  </si>
  <si>
    <t>You have an upcoming event
harper n dad
Thursday Jun 26, 2025 ⋅ 8:30am – 9am
Atlantic Time - Halifax
Join with Google Meet
https://meet.google.com/cpn-qipu-bjn?hs=224
Organizer
CRAI</t>
  </si>
  <si>
    <t>if you think that's nasty you better buckle up.
On Thu, Jun 26, 2025 at 8:13 AM Emma Ryan &lt;em.ry@icloud.com&gt; wrote:
&gt; lol. Okay. Stop. You’re right it’s hard to believe anyone could take a
&gt; child a</t>
  </si>
  <si>
    <t xml:space="preserve">i was talking to harper, mind your business would ya, this isn't about you
anymore please just stop making her suffer for your own insecurities and
image. fuck man times up emma time to be an adult i </t>
  </si>
  <si>
    <t xml:space="preserve">LOL shows what your priorities are. Please stop messaging me.
Emma Ryan
On Jun 26, 2025, at 8:49 AM, CRAIG S &lt;placed.sj@gmail.com&gt; wrote:
﻿
if you think that's nasty you better buckle up.
On Thu, Jun </t>
  </si>
  <si>
    <t>let me talk to my daughter emma youre delusional what do ypou thjink will
happen
On Thu, Jun 26, 2025 at 8:51 AM Emma Ryan &lt;em.ry@icloud.com&gt; wrote:
&gt; LOL shows what your priorities are. Please stop</t>
  </si>
  <si>
    <t>Man, right it’s not about me and it hasn’t been and yet again I have no idea what you’re going on about goodbye Craig again any message I received from you you don’t mean and it’s just your way of get</t>
  </si>
  <si>
    <t>All right that was part of your plan in the beginning that’s why you didn’t like me breast-feeding that’s why you couldn’t do it because she was getting the attention. You blow my mind but nothing sur</t>
  </si>
  <si>
    <t>✌️
Emma Ryan
On Jun 26, 2025, at 9:04 AM, Emma Ryan &lt;em.ry@icloud.com&gt; wrote:
﻿
Man, right it’s not about me and it hasn’t been and yet again I have no idea what you’re going on about goodbye Craig ag</t>
  </si>
  <si>
    <t xml:space="preserve">emma, i want to see my baby how the hell can you think its ok? i want zero
contact with you yes, but unfortunatley you have ym fucking daughter bud ,
fuck, you know youy have harper right? ahhh makes </t>
  </si>
  <si>
    <t>this is the last place i had to block you. dont bother pretending you tried
to let me see my daughter aftrer 9:41AM on Thursdayh June 26th, 2025.
Remember this day Emma, and please start putting harpe</t>
  </si>
  <si>
    <t xml:space="preserve">
https://click.brtpemails.com/?qs=9f957e6a4f8c71e25563d1d2fa8f122a1ed05a84ad14286f97c0ff6a43f4d3cf801676c1bb072eb25659544ab8b00ce12de9e4fa2834966ad7567132389c97f7 
A Super Deal Just for You
h</t>
  </si>
  <si>
    <t>I have every day unlike you thanks. Do you even listen to yourself sometimes? lol. Enjoy the police showing up for my wallet. Again we can see where your priorities are.
Thank you.
I’m the only parent</t>
  </si>
  <si>
    <t>emma you are a fucking retard. you know that i can provide for my daughter,
your welfare doesnt even cover the things you fucking smoke everyday let
alone caring for her, fuck off somewhere you are tr</t>
  </si>
  <si>
    <t>Leslie Langille &lt;leslie.langille@gmail.com&gt;</t>
  </si>
  <si>
    <t>Re: 2020 NOA</t>
  </si>
  <si>
    <t>Hey!
Craig Schulz here, I am in the worst pickle of all time, and I waso told by
my little ai lawyer buddy to contact a tax professional and I only know
one, lol can you give me a ring at your earlie</t>
  </si>
  <si>
    <t xml:space="preserve">yesterday gram said she doesn't think youre gonna let me have the
baby again before she dies. What are we doing this for? not for harper that
is for fuck sure, cause harper deserves better. if it was </t>
  </si>
  <si>
    <t>Mail Delivery Subsystem &lt;mailer-daemon@googlemail.com&gt;</t>
  </si>
  <si>
    <t>Delivery Status Notification (Failure)</t>
  </si>
  <si>
    <t>sunday court ordered parenting time</t>
  </si>
  <si>
    <t xml:space="preserve">i will be there on sunday to pick her up, and i will bring with me all of
the things that one needs to care for his daughter since you like to
pretend you send pictures dont receive pictures or texts </t>
  </si>
  <si>
    <t>i literally want to spend every second of everyday nwith my daughter, and
you want to go out and get the brains fucked out of you, but instead you
just punish me and harper because she was getting too</t>
  </si>
  <si>
    <t>Notification: harper n dad @ Fri Jun 27, 2025 8:30am - 9am (ADT)
 (CRAIG S)</t>
  </si>
  <si>
    <t xml:space="preserve">You have an upcoming event
harper n dad
Friday Jun 27, 2025 ⋅ 8:30am – 9am
Atlantic Time - Halifax
Join with Google Meet
https://meet.google.com/cpn-qipu-bjn?hs=224
Organizer
CRAIG </t>
  </si>
  <si>
    <t>URGENT: Craig Schulz - File FDSJ 739-24 - COMPLETE BLOCKED ACCESS TO
 HARPER &amp; Refusal of Court-Ordered Access</t>
  </si>
  <si>
    <t>Dear Janet and Monica,
This is an urgent update regarding my file FDSJ 739-24, concerning Harper.
Since our last appearance before the Court Master on March 22nd, 2025, Emma
has completely blocked a</t>
  </si>
  <si>
    <t>CRAIG S &lt;placed.sj@gmail.com&gt;, "Doiron, Monia (JPS/JSP)"
	&lt;Monia.Doiron@gnb.ca&gt;</t>
  </si>
  <si>
    <t>RE: URGENT: Craig Schulz - File FDSJ 739-24 - COMPLETE BLOCKED ACCESS
 TO HARPER &amp; Refusal of Court-Ordered Access</t>
  </si>
  <si>
    <t>We will be able to review your documents when you come in on the 30th.
Without seeing them it’s difficult to know if you will need anything else
Janet M. Ellis Stockford
Department of Justice</t>
  </si>
  <si>
    <t>Find great deals on top products</t>
  </si>
  <si>
    <t>Notification: harper n dad @ Sat Jun 28, 2025 8:30am - 9am (ADT)
 (CRAIG S)</t>
  </si>
  <si>
    <t>You have an upcoming event
harper n dad
Saturday Jun 28, 2025 ⋅ 8:30am – 9am
Atlantic Time - Halifax
Join with Google Meet
https://meet.google.com/cpn-qipu-bjn?hs=224
Organizer
CRAI</t>
  </si>
  <si>
    <t>Take $40 off your first order for a limited time</t>
  </si>
  <si>
    <t>Subject: Confirmation of Court-Ordered Parenting Time - Harper -
 Sunday, June 29, 2025</t>
  </si>
  <si>
    <t>Emma,
This email is to confirm arrangements for my court-ordered parenting time
with Harper tomorrow, Sunday, June 29, 2025, from 8:00 AM to 4:00 PM.
As per the existing order, I will be at the usua</t>
  </si>
  <si>
    <t>Notification: harper n dad @ Mon Jun 30, 2025 8:30am - 9am (ADT)
 (CRAIG S)</t>
  </si>
  <si>
    <t xml:space="preserve">You have an upcoming event
harper n dad
Monday Jun 30, 2025 ⋅ 8:30am – 9am
Atlantic Time - Halifax
Join with Google Meet
https://meet.google.com/cpn-qipu-bjn?hs=224
Organizer
CRAIG </t>
  </si>
  <si>
    <t>harper</t>
  </si>
  <si>
    <t>just checking in to see how our daughter is doing, updates on her , on her
everything. you boggle my mind, wonder what your reason is or how you think
any of this is ok. this is your final warning, yo</t>
  </si>
  <si>
    <t>harpers care</t>
  </si>
  <si>
    <t xml:space="preserve">[image: image.png]
really wish i could share with you what i built, based on your ideas and
input.
hope she is doing ok
get ahold of me before the judge gets ahold of us
please emma
</t>
  </si>
  <si>
    <t>Notification: harper n dad @ Tue Jul 1, 2025 8:30am - 9am (ADT)
 (CRAIG S)</t>
  </si>
  <si>
    <t>You have an upcoming event
harper n dad
Tuesday Jul 1, 2025 ⋅ 8:30am – 9am
Atlantic Time - Halifax
Join with Google Meet
https://meet.google.com/cpn-qipu-bjn?hs=224
Attachments
harp</t>
  </si>
  <si>
    <t>Trending favourites, delivered to you</t>
  </si>
  <si>
    <t>Notification: harper n dad @ Wed Jul 2, 2025 8:30am - 9am (ADT)
 (CRAIG S)</t>
  </si>
  <si>
    <t>You have an upcoming event
harper n dad
Wednesday Jul 2, 2025 ⋅ 8:30am – 9am
Atlantic Time - Halifax
Join with Google Meet
https://meet.google.com/cpn-qipu-bjn?hs=224
Organizer
CRAI</t>
  </si>
  <si>
    <t>$40 off your first order won't last</t>
  </si>
  <si>
    <t>Notification: harper n dad @ Thu Jul 3, 2025 8:30am - 9am (ADT)
 (CRAIG S)</t>
  </si>
  <si>
    <t>You have an upcoming event
harper n dad
Thursday Jul 3, 2025 ⋅ 8:30am – 9am
Atlantic Time - Halifax
Join with Google Meet
https://meet.google.com/cpn-qipu-bjn?hs=224
Organizer
CRAIG</t>
  </si>
  <si>
    <t>Re: Update.</t>
  </si>
  <si>
    <t xml:space="preserve">I’m sorry I told you pretty bluntly. It’s not disconnected you’ve been leaving me voicemails and nothing wrong with my email so give it up.
I’m not sure what you mean Craig literally all you have/had </t>
  </si>
  <si>
    <t>again you are deflecting. you know i have the things to care for her, what
i dont know is her routine or what she is eating or anything this is
literally your first contact in weeks. your phone was cu</t>
  </si>
  <si>
    <t>i have sent you endless emails. i cannot wait for you to read my filing.
all i want is to see my daughter, literally once a week like a dead beat dad
[image: image.png]
just like your bullshit clai</t>
  </si>
  <si>
    <t>Where was that joint decision making on the 9th. Like still with the smart ass comments instead of doing what you have to lol. Wow man. 
I was respecting your wishes and leaving you the fuck alone li</t>
  </si>
  <si>
    <t>Wait, and you can see all this bullshit when I don’t know that because we haven’t done anything for her and you still haven’t done it and she’s eight months old. I’m not doing this correct stop goodby</t>
  </si>
  <si>
    <t xml:space="preserve">Whatever helps you sleep at night, but I pay my phone on time like I do every month not my mom and think whatever you want. Whatever helps you sleep at night. Don’t care, but I’m not doing this.
Emma </t>
  </si>
  <si>
    <t>No, once have I ever called you a dead beat dad but you sure call yourself a lot. Leave me alone you got an update you know and have knows goodbye blocked again because you can not be an adult
Emma Ry</t>
  </si>
  <si>
    <t>i hate everything about you. i shouldnt have to communicate with you to see
my daughter. and soon i wont have to, shame you chose this way. good bye
On Fri, Jul 4, 2025 at 2:40 PM Emma Ryan &lt;em.ry@ic</t>
  </si>
  <si>
    <t>im glad harper has a friend for the first 10 years of her life before she
starts to outgrow your maturity level
On Fri, Jul 4, 2025 at 2:37 PM Emma Ryan &lt;emma.ryan1995@outlook.com&gt; wrote:
&gt; Where wa</t>
  </si>
  <si>
    <t>all i want to do is see my daughter emma. so now youre goiung to make me go
the absolute worse path possible , and thats the absolute truth nothing
held back. i know that instantly puts your parents a</t>
  </si>
  <si>
    <t>lol. Thanks. Literally still have no idea what you’re going on about. Just like everybody else stop messaging me stop contacting me. The rules haven’t changed and you haven’t done shit for our daughte</t>
  </si>
  <si>
    <t xml:space="preserve">Also just to make it super clear. It is NOT ABOUT YOU OR ME.
Emma Ryan
On Jul 4, 2025, at 2:50 PM, Emma Ryan &lt;em.ry@icloud.com&gt; wrote:
﻿
lol. Thanks. Literally still have no idea what you’re going on </t>
  </si>
  <si>
    <t>ill share it with you shortly, youre gonna wanna show this one to some
friends and family i bet, monia gets it i already sent it to her. its just
been a technicaliy while i straighten out my taxes sin</t>
  </si>
  <si>
    <t>sorry for the late email, just wanted to show you what i have been working
on. i hope you'll try it out and give me some feedback one day, i don't
expect you to n im sorry if you used the other one, i</t>
  </si>
  <si>
    <t>Notification: harper n dad @ Sat Jul 5, 2025 8:30am - 9am (ADT)
 (CRAIG S)</t>
  </si>
  <si>
    <t>You have an upcoming event
harper n dad
Saturday Jul 5, 2025 ⋅ 8:30am – 9am
Atlantic Time - Halifax
Join with Google Meet
https://meet.google.com/cpn-qipu-bjn?hs=224
Organizer
CRAIG</t>
  </si>
  <si>
    <t>this email is the biggeest lying crock of shitj i have ever read in my
life. i just want that to be in the record for my filing on monday, it has
as many lies as your god damn affidavit does. what the</t>
  </si>
  <si>
    <t>i am sorry that your emotional wellbeing has taken a beating from being
"harassed" while you play gatekeeper with my daughter and cut her out of my
life completely.
jesus woman must be difficult to d</t>
  </si>
  <si>
    <t>Check out these popular picks</t>
  </si>
  <si>
    <t>paul@paulsroofing.pro, Paul Carey &lt;paulcarey802@gmail.com&gt;, 
	Luna Piper &lt;lunacraigcep@gmail.com&gt;</t>
  </si>
  <si>
    <t>statement re harper's well-being - obituary some might say</t>
  </si>
  <si>
    <t xml:space="preserve">love ya dad, click the link
[image: image.png]
https://g.co/gemini/share/f33b918a6947
</t>
  </si>
  <si>
    <t>how its going</t>
  </si>
  <si>
    <t>i have really struggled as to whether defending myself was in harper's best
interest or not, but i have decided that is imperative that her medical
history at least tell the truth, i often think of ca</t>
  </si>
  <si>
    <t xml:space="preserve">hello
can i see her?
</t>
  </si>
  <si>
    <t>Notification: harper n dad @ Mon Jul 7, 2025 8:30am - 9am (ADT)
 (CRAIG S)</t>
  </si>
  <si>
    <t>You have an upcoming event
harper n dad
Monday Jul 7, 2025 ⋅ 8:30am – 9am
Atlantic Time - Halifax
Join with Google Meet
https://meet.google.com/cpn-qipu-bjn?hs=224
Organizer
CRAIG S</t>
  </si>
  <si>
    <t>Notification: harper n dad @ Tue Jul 8, 2025 8:30am - 9am (ADT)
 (CRAIG S)</t>
  </si>
  <si>
    <t xml:space="preserve">You have an upcoming event
harper n dad
Tuesday Jul 8, 2025 ⋅ 8:30am – 9am
Atlantic Time - Halifax
Join with Google Meet
https://meet.google.com/cpn-qipu-bjn?hs=224
Organizer
CRAIG </t>
  </si>
  <si>
    <t>Building a strong team culture</t>
  </si>
  <si>
    <t>&gt;From Bhutan’s Bitcoin reserves to the happiest city in America
and scaling team culture -
( https://clicks.mail.monday.com/f/a/_TzGnNjLkE3Sfh4SrZ6WuA~~/AAQRxRA~/neMXRYx-GdaR2DgPdQRsjx_09MbcTJlYtr8zI</t>
  </si>
  <si>
    <t>Notification: harper n dad @ Wed Jul 9, 2025 8:30am - 9am (ADT)
 (CRAIG S)</t>
  </si>
  <si>
    <t>You have an upcoming event
harper n dad
Wednesday Jul 9, 2025 ⋅ 8:30am – 9am
Atlantic Time - Halifax
Join with Google Meet
https://meet.google.com/cpn-qipu-bjn?hs=224
Organizer
CRAI</t>
  </si>
  <si>
    <t>csv</t>
  </si>
  <si>
    <t>"Date", "Category", "Summary Description", "Key People/Entities Involved",
"Supporting Detail/Exhibit (if applicable)"
"2024-10-XX (Approx.)", "Relationship/Conflict", "Emma admits hitting Craig
and a</t>
  </si>
  <si>
    <t>81b</t>
  </si>
  <si>
    <t>NEW BRUNSWICK COURT OF KING'S BENCH
TRIAL DIVISION (FAMILY)
JUDICIAL DISTRICT OF SAINT JOHN
BETWEEN:
EMMA RYAN
Applicant
AND -
CRAIG SCHULZ
Respondent
FILE NO.: FDSJ-739-24
AFFIDAVIT IN SUPP</t>
  </si>
  <si>
    <t>K, make the switch and save up to $1,280.</t>
  </si>
  <si>
    <t>72j</t>
  </si>
  <si>
    <t xml:space="preserve">https://g.co/gemini/share/7a3e15de3642
you cannot file without a completed financial information form, which lists
2021-present notice of assessments. hopefully this will do, it helps i have
a fraud </t>
  </si>
  <si>
    <t>notetoself</t>
  </si>
  <si>
    <t>&lt;!DOCTYPE html&gt;
&lt;html lang="en"&gt;
&lt;head&gt;
    &lt;meta charset="UTF-8"&gt;
    &lt;meta name="viewport" content="width=device-width, initial-scale=1.0"&gt;
    &lt;title&gt;Plumbing Leaks: Don't Let Your Home Get All Wet</t>
  </si>
  <si>
    <t>placed.life/roofing/all</t>
  </si>
  <si>
    <t>placed.life again ? lol combine this and the last email id say
&lt;!DOCTYPE html&gt;
&lt;html lang="en" class="scroll-smooth"&gt;
&lt;head&gt;
    &lt;meta charset="UTF-8"&gt;
    &lt;meta name="viewport" content="width=device</t>
  </si>
  <si>
    <t>Aneta at Moz &lt;help@moz.com&gt;</t>
  </si>
  <si>
    <t>Hi CRAIG,
I’m Aneta from the Customer Experience Team, and I’m thrilled to have you on board with Moz Pro!
I’ll be your go-to person during your 7-day free trial. If you have any questions—whether i</t>
  </si>
  <si>
    <t>&lt;html dir="ltr" lang="en"&gt;
  &lt;head&gt;
    &lt;meta http-equiv="Content-Type" content="text/html; charset=utf-8" /&gt;
    &lt;meta name="viewport" content="initial-scale=1.0,minimum-scale=1.0,maximum-scale=1.0,</t>
  </si>
  <si>
    <t>Your Super Deal is standing by!</t>
  </si>
  <si>
    <t xml:space="preserve">
https://click.brtpemails.com/?qs=f4ee93d388dac16b1056db6693551a128af024f8d148f6861103935f28bd54f27c52b8399a84a476405afc4779c0c09fd2448eea2141c97b04d797357a217e5c 
Your Bonus is here. Game On!</t>
  </si>
  <si>
    <t>URGENT: Denial of Court-Ordered Pickup for Harper - Sunday, July 13, 2025</t>
  </si>
  <si>
    <t>Emma,
This email serves as formal documentation that you are denying my
court-ordered parenting time with Harper for the sixth consecutive Sunday,
scheduled for tomorrow, July 13, 2025.
To be unequi</t>
  </si>
  <si>
    <t>Re: URGENT: Denial of Court-Ordered Pickup for Harper - Sunday, July 13, 2025</t>
  </si>
  <si>
    <t>As well as court order stating you need to send pictures of the things she need to take care of her when she’s there now that I’ve stoped going. Including the new car seat where you threw the one my m</t>
  </si>
  <si>
    <t>Re: URGENT: Denial of Court-Ordered Pickup for Harper - Sunday, July
 13, 2025</t>
  </si>
  <si>
    <t xml:space="preserve">the court order is attached emma, i dont want to conversate about whatever
it is you are saying in this email, i have asked numerous times for a list
even though nothing was added to your make belief </t>
  </si>
  <si>
    <t>Fwd: URGENT: Denial of Court-Ordered Pickup for Harper - Sunday, July
 13, 2025</t>
  </si>
  <si>
    <t>just putting this email in the format it was intended for in the first
place. please reply to my original email with a yes or no, and a list of
demands to go with it if you so desire. for shits and gi</t>
  </si>
  <si>
    <t>Joint custody</t>
  </si>
  <si>
    <t>When is Harper's next scheduled doctors appointment?
Any updates at all for me regarding her, or just she's great is what I'll
mark down as per usual? Any concerns yet regarding her development based</t>
  </si>
  <si>
    <t>Ready to order? Check out these must-haves today</t>
  </si>
  <si>
    <t>72j affidavit 0714 needs ai and combed through.</t>
  </si>
  <si>
    <t>72J JULY 14TH AFFIDAVIT, SHOULD BE GOOD TO ATTACH WITH THIS STRUCTURE
TO DO
HAVE AI BLEND IT TOGETHER AS WE JUST ADDED TO IT
FORMAT OF THE HEADER
FORMAT OF EACH POINT
FONT AND SIZE AND INDENTS ET</t>
  </si>
  <si>
    <t>FILINGJUSTINCASE</t>
  </si>
  <si>
    <t>Attached: FILINGJUSTINCASE.docx
Sent using Google Docs https://docs.google.com/
THIS HAS AI SUMMARY A 72J THAT SHOULD BE GARBAGE, EXHIBIT LIST IS KEY AND  
THE TRUTH LETER
This is a courtesy copy of</t>
  </si>
  <si>
    <t>FOR HARPER: A FOUNDATION OF HONESTY</t>
  </si>
  <si>
    <t xml:space="preserve">Attached: FOR HARPER: A FOUNDATION OF HONESTY.pdf
Sent using Google Docs https://docs.google.com/
PARENTING PLAN, AND OTHER IMMPORTANT DOCS
</t>
  </si>
  <si>
    <t>Re: Joint custody</t>
  </si>
  <si>
    <t>You need to be a parent before you can coparent you haven’t bought shit for her daughter, so don’t give me that please. Her health is great developmental wise. I’m not worried she’s hitting all the ma</t>
  </si>
  <si>
    <t>You fucked up that relationship Craig when you decided to take our four week old daughter away from me after I asked you not to and you knew what would fucking happen file your paperwork to the court.</t>
  </si>
  <si>
    <t xml:space="preserve">My lines of communication are open and have been open and yet you still find another platform to message me on like I’m good thanks I told you if you want task questions we can email.
Emma Ryan
&gt; On </t>
  </si>
  <si>
    <t xml:space="preserve">emma, i wish you the best.
</t>
  </si>
  <si>
    <t xml:space="preserve">please try not to kill my daughter while we go through this process. ffs.
bye
&gt;
</t>
  </si>
  <si>
    <t>"Disclosure SJ (JAG/JPG)" &lt;DisclosureSJ@GNB.CA&gt;</t>
  </si>
  <si>
    <t>Criag Schulz - Disclosure</t>
  </si>
  <si>
    <t>Good Afternoon,
With respect to the above matter, please be advised that your disclosure is ready for pick up at the Crown Prosecutor's Office.
Thank you,
Legal Administrative Assistant
Public Pros</t>
  </si>
  <si>
    <t>"Disclosure SJ (JAG/JPG)" &lt;DisclosureSJ@gnb.ca&gt;</t>
  </si>
  <si>
    <t>Re: Criag Schulz - Disclosure</t>
  </si>
  <si>
    <t>Thank you for your prompt response, I'll see you guys in the morning.
Cheers
Craig
On Mon, Jul 14, 2025 at 3:44 PM Disclosure SJ (JAG/JPG) &lt;DisclosureSJ@gnb.ca&gt;
wrote:
&gt; Good Afternoon,
&gt;
&gt;
&gt;
&gt; Wit</t>
  </si>
  <si>
    <t>Bundle up and save up to $2,686.49.</t>
  </si>
  <si>
    <t>Strengthening judgment when stakes are high</t>
  </si>
  <si>
    <t>The next generation of SEO • The rise of one-time CEOs • The
fall of job perks -
( https://clicks.mail.monday.com/f/a/nDyb3JVN0erzmGbkQ1dXAQ~~/AAQRxRA~/0iRGtaOI-i_Vh_kcifcDVvhG_e3y87u1wDr1-gU_nYRINAP</t>
  </si>
  <si>
    <t xml:space="preserve">
New login to Spotify
We noticed a new login to your account. Here are the details:
*Location/City/Country:* Canada
*Time:* July 15, 2025, 2:01:54 PM EDT
If you logged in to your account recen</t>
  </si>
  <si>
    <t>Save with Uber One</t>
  </si>
  <si>
    <t>Harper's Care</t>
  </si>
  <si>
    <t>they wondered what you held over my head.dale mentioned it a few times and
said she's got something on you why won't you file...  i think you knew
that i couldn't say that harper should be in this hou</t>
  </si>
  <si>
    <t>Back in the game? Your deal is ready!</t>
  </si>
  <si>
    <t xml:space="preserve">
https://click.brtpemails.com/?qs=7a5900cbcddb64294349383f35841319a8190a32d03d73b29779e397d580f61f8324f0824612715fdf50659db02240029bd3eab4e079582a2ac774c287ca2b39 
Your Bonus is Waiting
https</t>
  </si>
  <si>
    <t>Evernote&lt;noreply@comms.evernote.com&gt;</t>
  </si>
  <si>
    <t>2025 is far from over, but we’re excited to share what’s already changed in your
Evernote—in just six months...
Evernote Logo
[https://t2.mail-svc.evernote.com/f/a/RqI7nzeZH-NLAVYTlxOviw~~/AADd_xA~/h</t>
  </si>
  <si>
    <t>Sandra from Chatbase &lt;sandra@mail.chatbase.co&gt;</t>
  </si>
  <si>
    <t>Big updates you’ll love.
͏   ­͏   ­͏   ­͏   ­͏   ­͏   ­͏   ­͏   ­͏   ­͏   ­͏   ­͏   ­͏   ­͏   ­͏   ­͏   ­͏   ­͏   ­͏   ­͏   ­͏   ­͏   ­͏   ­͏   ­͏   ­͏
  ­͏   ­͏   ­͏   ­͏   ­͏   ­͏   ­͏   ­͏   ­͏   </t>
  </si>
  <si>
    <t>Last call for 60% off  your next 3 orders !</t>
  </si>
  <si>
    <t>harpers check-in. can you please start sending me updates about my daughter
man this is insane that i have to always ask for this basic shit.  please
stop doing the things youre doing, idont need to h</t>
  </si>
  <si>
    <t>Use your 50% off promo before =?UTF-8?B?aXTigJlz?= gone!</t>
  </si>
  <si>
    <t>Last chance to get 3 months free when you return to Uber One.</t>
  </si>
  <si>
    <t>These top picks will catch your eye =?UTF-8?B?8J+RgA==?=</t>
  </si>
  <si>
    <t>&lt;!DOCTYPE html&gt;
&lt;html lang="en"&gt;
&lt;!-- ======== START HEAD ======== --&gt;
  &lt;head&gt;
    &lt;meta name="viewport" content="width=device-width, initial-scale=1.0" /&gt;
    &lt;meta http-equiv="Content-Type" c</t>
  </si>
  <si>
    <t>K, save up to $1,200 on select QLED and Neo QLED TVs</t>
  </si>
  <si>
    <t>&lt;!DOCTYPE html&gt;
&lt;html lang="en"&gt;
 &lt;!-- ======== START HEAD ======== --&gt;
 &lt;head&gt;
  &lt;meta name="viewport" content="width=device-width, initial-scale=1.0" /&gt;
  &lt;meta http-equiv="Content-Type" content="</t>
  </si>
  <si>
    <t>Final weeks: Submit your mobile app and win $5K</t>
  </si>
  <si>
    <t>Don't wait: Enter your app today
Hi CRAIG,
Quick reminder: There are less than four weeks left in the Bubble Summer 
Mobile App Challenge &lt;https://bubble.io/c/mobile-summer-hackathon&gt; — don'</t>
  </si>
  <si>
    <t>Stacey Campbell &lt;campbellstacey98@gmail.com&gt;</t>
  </si>
  <si>
    <t>Re: Document shared with you: "COURT FILING"</t>
  </si>
  <si>
    <t xml:space="preserve">That was a long read!
Sent from my iPhone
On Jul 24, 2025, at 12:11 PM, CRAIG S (via Google Docs) &lt;drive-shares-dm-noreply@google.com&gt; wrote:
﻿
CRAIG S shared a document
CRAIG S (
placed.sj@gmail.com
</t>
  </si>
  <si>
    <t>i hate you</t>
  </si>
  <si>
    <t>wanted to wish you the worse weekend imaginable, you have earned it.
thought i'd share what something that knows the whole entire truth thinks
of the situation upcoming. fuck you emma i truly hope you</t>
  </si>
  <si>
    <t>Re: i hate you</t>
  </si>
  <si>
    <t>Honestly have no idea how you can live with yourself. It’s disgusting and pathetic. 
Emma Ryan
&gt; On Jul 26, 2025, at 7:30 AM, CRAIG S &lt;placed.sj@gmail.com&gt; wrote:
&gt; 
&gt; ﻿
&gt; wanted to wish you the wors</t>
  </si>
  <si>
    <t>curious as to what youve done since december that is in harpers best
interest?
On Sat, Jul 26, 2025 at 5:53 PM CRAIG S &lt;placed.sj@gmail.com&gt; wrote:
&gt; i know its how you see sobriety, you'll mature e</t>
  </si>
  <si>
    <t>54 days, to protect your lies.</t>
  </si>
  <si>
    <t>*Emma,*
*Let's be clear. This is to acknowledge your eighth consecutive, baseless
refusal to facilitate Harper's court-ordered pick-up. Your predictable
pattern of obstruction, devoid of any legitima</t>
  </si>
  <si>
    <t xml:space="preserve">
https://click.brtpemails.com/?qs=a020d82bb30621d73c19288a0f8c2905cd431ae96a4d70e88102abddce8bd4a369f91bf59c40c19019a51bb818d91e233cad5d1e57dd83ad05acd87f85277c06 
You’ve Been Spotted &amp; We’re</t>
  </si>
  <si>
    <t>"Eric at Bolt.new" &lt;ericsimons@stackblitz.com&gt;</t>
  </si>
  <si>
    <t>Bolt for Teams just landed</t>
  </si>
  <si>
    <t>Get ready for a lot of exciting updates this week!
Bolt for Teams (https://d5llC804.na1.hubspotlinks.com/Ctc/DQ+113/d5llC804/VVV-0T8CZkZsW4QKsbJ17XTyTW24t7JB5zypNdM9V8k03lcq-W69sMD-6lZ3mgV_-fPj6YsQ2h</t>
  </si>
  <si>
    <t>Normalizing Vulnerable Leadership</t>
  </si>
  <si>
    <t>EU tech independence, AI layoffs, personalized airline fares -
( https://clicks.mail.monday.com/f/a/YPJYwKlsqF_rIEDahCu6iA~~/AAQRxRA~/X9FY7KLJUDdnNE6NVEsemHtgafswoDrJwlNY241Rh7LImuav2wYUcC8kOjBysZ0ym</t>
  </si>
  <si>
    <t>Emma,
I am writing to get an update on Harper and to arrange a FaceTime call. As
her father, I need to know she is safe and well. Please provide an update
on her well-being and let me know when you a</t>
  </si>
  <si>
    <t>Katelyn from B12 &lt;hello@b12.io&gt;</t>
  </si>
  <si>
    <t>Make your site look like it was built by a pro.
Placed
Fresh features, faster updates
Hi Craig,
We just rolled out our biggest set of design upgrades ever, and they’re all about making your websit</t>
  </si>
  <si>
    <t>Plus standing out with your Google Business ProfileView in Browser https://shedsuite88468.acemlnc.com/lt.php?x=3DZy~GDJU3DM654q-NQ9VOic26FSkN~yj~tjjqbLVqSe6KJA-ky.z.Zx5XImmNA~juUvZ2
https://shedsuite</t>
  </si>
  <si>
    <t>Follow up on our conversation</t>
  </si>
  <si>
    <t xml:space="preserve">  Following up on our conversation tonight, I'm writing to confirm that I
am still waiting on your replies. Per our discussion, I am expecting the
emails you mentioned you would be resending. Please f</t>
  </si>
  <si>
    <t>Re: Follow up on our conversation</t>
  </si>
  <si>
    <t xml:space="preserve">
Emma Ryan
&gt; On Aug 1, 2025, at 10:32 PM, CRAIG S &lt;placed.sj@gmail.com&gt; wrote:
&gt; 
&gt; ﻿
&gt;   Following up on our conversation tonight, I'm writing to confirm that I am still waiting on your replies. Per</t>
  </si>
  <si>
    <t>I appreciate you replying to my email at 1:56AM Emma, although I am
extremely disappointed in the execution of the plan, it's hard to do when
you're stoned out of your tree caring for two infants. Tha</t>
  </si>
  <si>
    <t>And to answer your question, no I do not want you to be anywhere near water
with my daughter unless you are sober. So no. Just smoke the stuff outside,
but leave Harper in the house at all times until</t>
  </si>
  <si>
    <t>HARPER</t>
  </si>
  <si>
    <t>It's shameful I have to ask this in the first place, worse I even have to
ask for the 198th time, what do I need to pick up for Harper. What sizes is
she in? Want me to guess? Food wise, how about how</t>
  </si>
  <si>
    <t>Re: HARPER</t>
  </si>
  <si>
    <t>I have no problem coparenting Craig. But Harper is almost 9 months old. I’ve updated you every time you asked. 
That’s great bring them they will tell you the same that you need the things to care for</t>
  </si>
  <si>
    <t>But you are not picking her up tomorrow you need a car seat along with everything else. It will be the same thing. Then we can go back to court early hopefully. I’m the only one being an adult and bei</t>
  </si>
  <si>
    <t xml:space="preserve">lol sweetheart i am sent the messages when you ask for it. i have the
things to care for her, you dont update me, and i shouldnt have to call
your house phone 100 times to get anupdate on my daughter </t>
  </si>
  <si>
    <t xml:space="preserve">stop smoking meth in the basement, your moms been sick since december
because of the ventilation ffs smoke it under the deck moron
On Sat, Aug 2, 2025 at 3:21 PM Emma Ryan &lt;em.ry@icloud.com&gt; wrote:
</t>
  </si>
  <si>
    <t>I don’t smoke meth and I sure as hell wouldn’t in the house. My moms been sick since way before maybe when you were living there smoking it eating all there food while we l went to work.
Give it up. G</t>
  </si>
  <si>
    <t>So you do get my emails then? Lol. Thank you. 
This is rediculous I can not believe you’ve done all this and continue to Craig. Proves what kind of person, human you are. Idk how you can ever look you</t>
  </si>
  <si>
    <t xml:space="preserve">the bare minimum huh? lol good one. try sending over your demands fucking
moron. you dont know what size clothes harper is in, you cant tell me what
to pick up, ill call every half hour, fuck you and </t>
  </si>
  <si>
    <t>i eamiled you friday morning fuck head. my hands are tied cunt, not getting
involved anymore. good luck
On Sat, Aug 2, 2025 at 10:44 PM CRAIG S &lt;placed.sj@gmail.com&gt; wrote:
&gt; the bare minimum huh? l</t>
  </si>
  <si>
    <t xml:space="preserve">i guess we will just call every hour until you can tell the truth
&gt;
</t>
  </si>
  <si>
    <t>i was giving you until the end of the month to try one more time to get
your shit together. but im tired of it, you will suffer the pain you caused
harper, me and my family. youll feel it for years, i</t>
  </si>
  <si>
    <t>We will not be at the house if you show up there. My main focus is protecting our daughter &amp; if that means you can’t respect us and coparent like a normal human then I’m going to protect her at all co</t>
  </si>
  <si>
    <t>You’re the only one doing or damaging anything lol. Our life has gotten so much better since the first of June
Emma Ryan
&gt; On Aug 3, 2025, at 7:33 AM, Emma Ryan &lt;em.ry@icloud.com&gt; wrote:
&gt; 
&gt; ﻿We wil</t>
  </si>
  <si>
    <t>You’re only harming yourself and your daughter. I’ve straighten up, I did the work, I put in the time effort. At least I can say that’s the truth. 
Enjoy your Sunday. You can email me when you have r</t>
  </si>
  <si>
    <t xml:space="preserve">
https://click.brtpemails.com/?qs=7434f0ca6b298aebf64df356031e1dcec7f7204db2437c706196d3f076e797d034e7e975cf697d0299a51f72ddfda2ff261a4364702a563866e1244f5d51f386 
…and Gets a Super Deal Bonu</t>
  </si>
  <si>
    <t>What are my priorities supposed to be Emma? What are the steps that I have
to take to see my daughter? Because you're still in the same environment,
around the same people, smoking the exact same stuf</t>
  </si>
  <si>
    <t>how does one coparent in your world? you are such an idiot Emma, I'll be
sure to add your intoxicated care of Wyatt to my filing.
On Sun, Aug 3, 2025 at 7:37 AM Emma Ryan &lt;em.ry@icloud.com&gt; wrote:
&gt;</t>
  </si>
  <si>
    <t>child services has been notified. good luck faking the hair follicle tests
incoming fuck face
On Sun, Aug 3, 2025 at 11:25 AM CRAIG S &lt;placed.sj@gmail.com&gt; wrote:
&gt; how does one coparent in your wor</t>
  </si>
  <si>
    <t>cant wait to see what safety conerns you have with me. lol lol lol lol
On Sun, Aug 3, 2025 at 2:27 PM CRAIG S &lt;placed.sj@gmail.com&gt; wrote:
&gt; child services has been notified. good luck faking the ha</t>
  </si>
  <si>
    <t>Building a flexible strategy</t>
  </si>
  <si>
    <t>New laws on mental health training, AI trust gaps, and how to
pivot strategy fast
August 5, 2025
monday.com 
( https://clicks.mail.monday.com/f/a/cBSPECVkGSrWy6u_YFobHw~~/AAQRxRA~/hhRX-4NJBRPG-WPfSCK</t>
  </si>
  <si>
    <t>lunacraigcep@gmail.com</t>
  </si>
  <si>
    <t>New laws on mental health training, AI trust gaps, and how to
pivot strategy fast
August 5, 2025
monday.com 
( https://clicks.mail.monday.com/f/a/uybJ8MUDr16laOQReGu09A~~/AAQRxRA~/N9XLfo-jFwzhi1Uh7B9</t>
  </si>
  <si>
    <t>"Enfamil A+ My Family Beginnings" &lt;email@e.enewsletter.enfamil.ca&gt;</t>
  </si>
  <si>
    <t>&lt;lunacraigcep@gmail.com&gt;</t>
  </si>
  <si>
    <t>Craig, A $100 gift card could be yours to win* with your best baby meme!</t>
  </si>
  <si>
    <t xml:space="preserve">
https://click.e.enewsletter.enfamil.ca/?qs=6d91c49e5840d444ddb9668ce6e74cd4d91e0927fb2bdc50e581fea811820e0d6a1ee2b5c04d8e694f31b5f6ea425870738242bb3baedea3 
https://click.e.enewsletter.enfamil.c</t>
  </si>
  <si>
    <t>Harper's Best Interest</t>
  </si>
  <si>
    <t>Emma,
This email serves as a final notice. As per our court-ordered parenting
schedule, I will be at your home on Sunday at 8:00 AM to pick up Harper. I
expect you to be there to facilitate this exch</t>
  </si>
  <si>
    <t xml:space="preserve">
https://click.brtpemails.com/?qs=6d66bb4e0275eb31275425fed3a2b5b36921ba542abae13bffeb4640bc3ffa188087eb8960c3dc788d8f3d4245f9daddaf52527898f89e5d7e1b467908130bf7 
https://click.brtpemails.co</t>
  </si>
  <si>
    <t>Here's your app deploy guide.
Hi CRAIG,
Ready to get your mobile app live? With less than two weeks left in the Bubble 
Summer Mobile App Challenge &lt;https://bubble.io/c/mobile-summer-hackath</t>
  </si>
  <si>
    <t>harper's best interest</t>
  </si>
  <si>
    <t>so i left my dieing grandmother, and luna, to better my life for harper. i
attend recovery meetings every week, and twice this week in one day i made
more then "my meal ticket" pays you.  yet i get no</t>
  </si>
  <si>
    <t xml:space="preserve">
https://click.brtpemails.com/?qs=dd41630ad5fcc48710a0ff947072d3938f71ccee1c4c0c2e4c051db65adfb0108d6b33d1faf6d7518a8bc5793176de5c1c24cdb753b663f806f15f31f9445702 
It’s Ok, We’re Here 24/7!
</t>
  </si>
  <si>
    <t>Shell &lt;Noreply-Shell-App-Communications@shell.com&gt;</t>
  </si>
  <si>
    <t>Craig S, You could win a VIP escape for 2 to =?UTF-8?B?QkPigJlz?=
 wine country with Shell Go+ =?UTF-8?B?8J+Nhw==?=</t>
  </si>
  <si>
    <t>Craig S, You could win a VIP escape for 2 to BC’s wine country with Shell Go+ 🍇
Snag 1 of 3 grand prizes valued at $12,500!
************************************************************************
En</t>
  </si>
  <si>
    <t>court ordered time</t>
  </si>
  <si>
    <t>you're something special, what are your list of demands? ive bought all
this stuff 50 times already, grow up man and send me a list. or reply to
the one i sent you maybe. you decide what emails you pr</t>
  </si>
  <si>
    <t>Emi, please for the love of god come up with actual list of things for me
to do to see my fucking baby. i have done absolutely everything anyone
could ever ask me to the last 6 months. literally.  ple</t>
  </si>
  <si>
    <t>harper's wellness</t>
  </si>
  <si>
    <t xml:space="preserve">well it's been 11 days since i forced an update out of you on harper by
getting your family involved. thanks emma i really appreciate all you do
</t>
  </si>
  <si>
    <t>Fwd: Harper's Best Interest</t>
  </si>
  <si>
    <t>if you are going to make the rules and then ignore my asks over and over
and over you are really showing the courts what I need to show them as to
why you can't be the caretaker of our girl. i have se</t>
  </si>
  <si>
    <t>Re: Harper's Best Interest</t>
  </si>
  <si>
    <t xml:space="preserve">Craig, you can have an update everyday. But it’s never good enough &amp; you always bounce back with hate or ignorance.
You have not had the things to care for her while she’s there. I have sent the list </t>
  </si>
  <si>
    <t>GitHub &lt;no-reply@github.com&gt;</t>
  </si>
  <si>
    <t>More models to use, Copilot coding agent, and more.</t>
  </si>
  <si>
    <t>The latest launches from GitHub. See what’s new and how to get started.
‌ ‌ ‌ ‌ ‌ ‌ ‌ ‌ ‌ ‌ ‌ ‌ ‌ ‌ ‌ ‌ ‌ ‌
( https://github.com?utm_source=github&amp;utm_medium=email&amp;utm_campaign=mpu_august2025 )
****</t>
  </si>
  <si>
    <t>Up to 7,000 Bonus Miles ENDS SOON</t>
  </si>
  <si>
    <t xml:space="preserve">what time would you like me to facetime her? lol
On Tue, Aug 12, 2025 at 8:19 AM Emma Ryan &lt;em.ry@icloud.com&gt; wrote:
&gt; Craig, you can have an update everyday. But it’s never good enough &amp; you
&gt; </t>
  </si>
  <si>
    <t>you replied to my email a week later, how on earth is this updating me on
my daughter everyday? this is just like youve been telling me for months
for 6 months last year but cant tell me what youre ta</t>
  </si>
  <si>
    <t>and fyi, i ask you everytime i talk to you if you need anything, and i sent
you more then one tub of formula, but this shit is completely irrelevant,
notice the eye rolls youre getting from the people</t>
  </si>
  <si>
    <t>"Uber One" &lt;noreply@uber.com&gt;</t>
  </si>
  <si>
    <t xml:space="preserve">
&lt;!doctype html&gt;
&lt;html xmlns="http://www.w3.org/1999/xhtml" xmlns:v="urn:schemas-microsoft-com:vml" xmlns:o="urn:schemas-microsoft-com:office:office"&gt;
&lt;head&gt;
&lt;meta http-equiv="Content-Type" conten</t>
  </si>
  <si>
    <t>Re: please</t>
  </si>
  <si>
    <t>i just went to try to turn notifications on for you on the laptop and found
a few emails unread buried somewhere. some pretty important ones you sent,
im sure theres more in other emails, ah well. tha</t>
  </si>
  <si>
    <t xml:space="preserve">https://g.co/gemini/share/040623aad155
little read for harper. im sorry for emailing so much, the heat of the last
3 days, the conversation last night at church and just the stress of all of
this is </t>
  </si>
  <si>
    <t>shutting it down for a while. please just text me or call me or just
facetime austin if i can facetime her its inhumane what we are doing to my
body, mind and soul while taking every step imaginable f</t>
  </si>
  <si>
    <t>Get 100 Bonus Miles with KENT Bonus Builder!</t>
  </si>
  <si>
    <t xml:space="preserve">
&lt;!------------- AM HTML EMAIL BOILERPLATE v5.0 // RDELACRUZ -------------&gt;
&lt;!DOCTYPE HTML&gt;
&lt;html xmlns="http://www.w3.org/1999/xhtml"
xmlns:v="urn:schemas-microsoft-com:vml"
xmlns:o="urn:schemas-mic</t>
  </si>
  <si>
    <t>"Descript" &lt;newsletter@marketing.descript.com&gt;</t>
  </si>
  <si>
    <t>New: Generate original, bespoke video with AI</t>
  </si>
  <si>
    <t>3 free minutes of generated video for paid users 3 free minutes
of generated video for paid users
Descript 
( https://clicks.descript.com/f/a/CZaPmiSgDJkn4UXWM75CQA~~/AAQRxRA~/wxm0Kz1hqtyzq4Dj3Lf-QY9-</t>
  </si>
  <si>
    <t>5 days</t>
  </si>
  <si>
    <t>It's been 5 days since you last told me anything about Harper other than
she is sleeping. 5 actual days of no updates. Tomorrow you get paid so you
should have 24 hours in your day again at least. The</t>
  </si>
  <si>
    <t>Re: 5 days</t>
  </si>
  <si>
    <t>Told you last night she’s been teething. What else do you want to know? She’s still in same size clothing she still eats great she’s putting herself up on things and just wants to stand and walk. I’m</t>
  </si>
  <si>
    <t>co parenting is letting me talk and see my daughter emma. or at least
explaining the impossible hoops involved. thanks for doing this to gram
harpers best interest
On Tue, Aug 19, 2025 at 12:36 PM E</t>
  </si>
  <si>
    <t>[image: image.png][image: image.png]
not sharing the screenshot where we talk about you faking a call log for
him. I sent them to duguay though, because that's in my court filing you
ain't reading sh</t>
  </si>
  <si>
    <t xml:space="preserve">
https://click.e.enewsletter.enfamil.ca/?qs=650944c933a0331365cb16131dab37c0258cc881ded3cfa678407fddd7030cfafe9286c2f48442c762c93c8f59e38dad45b36fd954a383d6 
https://click.e.enewsletter.enfamil.c</t>
  </si>
  <si>
    <t>HAPPY BIRTHDAY</t>
  </si>
  <si>
    <t>Happy Birthday, Dawn.
I've been thinking about you a lot today. I wish you could see the man you
helped me become, the man you always dreamed I could be. I know it's too
late for us, but I want you t</t>
  </si>
  <si>
    <t>Atta girl. keep up the great work. keep running your mouth too, like i
said, the people who matter... do not care about your bullshit, funny thing
is, austin threatened you, and my baby so i'll be dea</t>
  </si>
  <si>
    <t>Get 1,000 Bonus Miles with Factor Meals</t>
  </si>
  <si>
    <t>Ready. Set. Back to routine.</t>
  </si>
  <si>
    <t>"Gallant, Jacqueline (SD-DS)" &lt;Jacqueline.Gallant@gnb.ca&gt;</t>
  </si>
  <si>
    <t>HARPER RYAN</t>
  </si>
  <si>
    <t>Look, I am tired of it being the Ryan's stonewalling me at every turn. Your
job is to protect my daughter and not the Ryan's. She is still smoking meth
in that house that my daughter lives in, it's ti</t>
  </si>
  <si>
    <t>Emma Ryan &lt;em.ry@icloud.com&gt;, 
	"Gallant, Jacqueline (SD-DS)" &lt;Jacqueline.Gallant@gnb.ca&gt;</t>
  </si>
  <si>
    <t>HARPERS BEST INTERESTE</t>
  </si>
  <si>
    <t>Emma,
I will no longer allow myself to be drawn into endless back‑and‑forths,
tactics, and allegations that only delay and distract from the real issue —
Harper’s best interests.
Your repeated denia</t>
  </si>
  <si>
    <t>Last Chance! Get 100 Bonus Miles on your summer projects at KENT</t>
  </si>
  <si>
    <t>Follow up from my previous email- HARPER RYAN</t>
  </si>
  <si>
    <t>I wanted to follow up on the email I sent yesterday. I know my words were
strong, and they came from a place of deep concern for Harper. My priority
is always her wellbeing, safety, and best interests</t>
  </si>
  <si>
    <t>Perplexity &lt;team@mail.perplexity.ai&gt;</t>
  </si>
  <si>
    <t>Use Perplexity Spaces.
͏   ­͏   ­͏   ­͏   ­͏   ­͏   ­͏   ­͏   ­͏   ­͏   ­͏   ­͏   ­͏   ­͏   ­͏   ­͏   ­͏   ­͏   ­͏   ­͏   ­͏   ­͏   ­͏   ­͏   ­͏   ­͏
  ­͏   ­͏   ­͏   ­͏   ­͏   ­͏   ­͏   ­͏   ­͏   ­͏</t>
  </si>
  <si>
    <t>Notice regarding devices, SIMs, and records</t>
  </si>
  <si>
    <t>Emma,
&gt;From the missing phones to the stolen SIM cards and the timing of the phone
shattering, I’m putting this on the record: any access to my devices, SIMs,
accounts, or backups (including iCloud/A</t>
  </si>
  <si>
    <t>Your Spin-atas are waiting, Tony!</t>
  </si>
  <si>
    <t xml:space="preserve">
https://click.brtpemails.com/?qs=411b03622f30628311953b4efcbf1a226fbbf3c97029a20fed8aef55840acb49c7b9fb26608796fe1c6ec87f05d7ac70303b9e8832c14dbf91e82aa07be7ad2f 
https://click.brtpemails.co</t>
  </si>
  <si>
    <t>*Subject:* URGENT ACTION REQUIRED: Immediate Child Safety Risk and
Procedural Guidance for FDSJ-739-24
*To:* monia.doiron@gnb.ca, janet.ellisstockford@gnb.ca
*Date:* August 22, 2025
Dear Ms. Doiron</t>
  </si>
  <si>
    <t>Formal Notification: Failure to Act in Protection File Re: Harper
 Ryan (File No. FDSJ-739-24)</t>
  </si>
  <si>
    <t>*To:* jacqueline.gallant@gnb.ca
*Date:* August 22, 2025
Dear Ms. Gallant,
I am writing to you again, with great disappointment. I am sorry to have to
include you in this, but you are not the only p</t>
  </si>
  <si>
    <t>I am out of the office until November 3, 2025.  Emails will not be monitored during this time.
Please direct all emails to FLIC-SaintJohn-CIDF@gnb.ca
-------------------------------------------------</t>
  </si>
  <si>
    <t>FLIC-SaintJohn-CIDF@gnb.ca</t>
  </si>
  <si>
    <t>URGENT ACTION REQUIRED: Immediate Child Safety Risk and Procedural
 Guidance for FDSJ-739-24</t>
  </si>
  <si>
    <t>*Subject*: Urgent Request for Guidance on Family Law Case – Protecting
Harper Ryan’s Safety (Receipt Confirmation Requested)
Dear Family Law Information Centre,
I am a self-represented father seekin</t>
  </si>
  <si>
    <t>"FLIC-SaintJohn-CIDF (JPS/JSP)" &lt;FLIC-SaintJohn-CIDF@gnb.ca&gt;</t>
  </si>
  <si>
    <t>CRAIG S &lt;placed.sj@gmail.com&gt;, "Saint John Family Division (JAG/JPG)"
	&lt;FD-SaintJohn-DF@gnb.ca&gt;</t>
  </si>
  <si>
    <t>RE: URGENT ACTION REQUIRED: Immediate Child Safety Risk and
 Procedural Guidance for FDSJ-739-24</t>
  </si>
  <si>
    <t>Good morning,
Sorry, both ladies are out of office, so use the Flic email, if you want a reply. We shouldn't be emailing personal emails as others cannot reply. You can also use this one fd-saintjohn</t>
  </si>
  <si>
    <t>RE: Formal Notification: Failure to Act in Protection File Re: Harper
 Ryan (File No. FDSJ-739-24)</t>
  </si>
  <si>
    <t>Hi Craig,
As per the closure letter regarding the investigation dated 2024-12-14, the initial concerns reported were investigated and determined to be unsubstantiated. If circumstances have changed a</t>
  </si>
  <si>
    <t>Re: Formal Notification: Failure to Act in Protection File Re: Harper
 Ryan (File No. FDSJ-739-24)</t>
  </si>
  <si>
    <t>Hi Jacqueline and Kate
Thank you for your email.
I understand that the initial investigation has been closed. Please be
advised that I have already contacted the Child Protection Intake line to
repo</t>
  </si>
  <si>
    <t>Regarding your filing - FDSJ 739-24</t>
  </si>
  <si>
    <t>Hi Emma,
I made you a promise back in December that I would inform you before I
filed my reply to your affidavit. I have kept that promise.
I am writing to let you know that I will be filing my affi</t>
  </si>
  <si>
    <t>hey</t>
  </si>
  <si>
    <t xml:space="preserve">the pattern has become pretty clear, the motive, the plan i guess.. just
answer me this emma, did you pick me to do this to... or was i just the one
who was unfortunate enough to be the target of the </t>
  </si>
  <si>
    <t>why not</t>
  </si>
  <si>
    <t>why not send stuff like this as i come across it eh? lol cute, anyway,
protect that little girl Emma, protect that sweet sweet angel. the damage
you guys have done to me, that can't be undone, but I w</t>
  </si>
  <si>
    <t>Emma Ryan &lt;em.ry@icloud.com&gt;, Emma Ryan &lt;emma.ryan1995@outlook.com&gt;, 
	Luna Piper &lt;lunacraigcep@gmail.com&gt;</t>
  </si>
  <si>
    <t>don't waste this opportunity Emma, please get sober for her... we were so
lucky she survived that absolute shitshow she was born from and into. do
not waste the luck we had and just because i get shut</t>
  </si>
  <si>
    <t>delaying the inevitable</t>
  </si>
  <si>
    <t>no matter how unhinged these emails make me look, imagine the pain i feel
the last 80days, somy way of communicating with you certainly is not a
worry of mine. I just came across some pictures, remini</t>
  </si>
  <si>
    <t>Communication</t>
  </si>
  <si>
    <t>Emma,
Effective immediately, all communications regarding Harper (scheduling,
health, supplies, appointments, and video calls) must be sent to a single
address: placed.sj@gmail.com as I have made cle</t>
  </si>
  <si>
    <t>SUNDAY DENIAL OF PARENTING TIME</t>
  </si>
  <si>
    <t>Emma,
This is to confirm arrangements for tomorrow’s court‑ordered Sunday
parenting time (8:00 a.m. to 4:00 p.m.) as set out in the March 22, 2025
Interim Order.
Please confirm by 7:00 p.m. today wh</t>
  </si>
  <si>
    <t>AND</t>
  </si>
  <si>
    <t>And Emma, nobody has read my court filing love, my affidavit, watched
anything, as I said, these people hate your guts and are lying to you, so
just please stop the bullshit you are going to get every</t>
  </si>
  <si>
    <t>Think inside the box, Tony</t>
  </si>
  <si>
    <t xml:space="preserve">
https://click.brtpemails.com/?qs=ec3ec405048792a059948dae0b3b3116115c43916593e790eb41acc5d735027a0c0d67575abe54a0739b996343b93ff3ab7ad0dbda40fa86f1c9a6127862a7f4 
Because it’s Fun in Here!
</t>
  </si>
  <si>
    <t>Flavour savings with up to 75% off on your first 3 orders.</t>
  </si>
  <si>
    <t>"Instagram" &lt;no-reply@mail.instagram.com&gt;</t>
  </si>
  <si>
    <t>lunacraigcep, see __dailymomtivity, jasminehanlon5 and more in your feed</t>
  </si>
  <si>
    <t>&lt;!DOCTYPE HTML PUBLIC "-//W3C//DTD HTML 4.01 Transitional //EN"&gt;&lt;html&gt;&lt;head&gt;&lt;title&gt;Facebook&lt;/title&gt;&lt;meta http-equiv="Content-Type" content="text/html; charset=utf-8" /&gt;&lt;style nonce="dZBJcqac"&gt;@media a</t>
  </si>
  <si>
    <t>Paul Carey &lt;paulcarey802@gmail.com&gt;, paul@paulsroofing.pro</t>
  </si>
  <si>
    <t>Date: August 24, 2025
To: Julien Welsh &amp; Ben Miller – Brunswick Insulation &amp; Roofing
Subject: Formal Demand – Outstanding Wages, Unauthorized Use of Materials,
and Defamatory Statements
Dear Mr. We</t>
  </si>
  <si>
    <t>Ben@brunswicksprayfoam.com</t>
  </si>
  <si>
    <t>August 24, 2025
To: Julien Welsh &amp; Ben Miller – Brunswick Insulation &amp; RoofingDear Mr.
Welsh and Mr. Miller,
This email serves as my formal demand regarding several unresolved matters:
   1.
   Ou</t>
  </si>
  <si>
    <t>iafflocal771@gmail.com</t>
  </si>
  <si>
    <t>Your iCloud storage is almost full.</t>
  </si>
  <si>
    <t>Hello L C,
Your iCloud storage is almost full. You have 429.4 MB remaining of 5 GB total storage.
Upgrade to iCloud+ with 50 GB for $1.29 per month: https://setup.icloud.com/email/prefs/stora</t>
  </si>
  <si>
    <t>I Love You Two</t>
  </si>
  <si>
    <t>I wrote this 5 or 6 weeks ago, found it in my drafts...
                        To Emma and Harper, my last two best friends
Sitting here, thinking about things, and you two are always front and
cen</t>
  </si>
  <si>
    <t>"Jenny @ Perplexity" &lt;team@mail.perplexity.ai&gt;</t>
  </si>
  <si>
    <t>Comet, Gmail and GCal connectors, scheduling tasks, video generation, and more.
͏   ­͏   ­͏   ­͏   ­͏   ­͏   ­͏   ­͏   ­͏   ­͏   ­͏   ­͏   ­͏   ­͏   ­͏   ­͏   ­͏   ­͏   ­͏   ­͏   ­͏   ­͏   ­͏   ­͏   </t>
  </si>
  <si>
    <t>Delivery Status Notification (Delay)</t>
  </si>
  <si>
    <t>Re: disgusting</t>
  </si>
  <si>
    <t>nobody has deleted anything off your phone emma, thats called
hallucination, when you are trying to find evidence of stuff that doesnt
exist. jacqueline almost had me thinking that people didnt care a</t>
  </si>
  <si>
    <t>Next time you order in, give Uber Eats a go</t>
  </si>
  <si>
    <t>I got the evidence bud.
I’m not the meth head buddy. I’m sober. Like I told you and showed you.
Have a great day 😊
Hope they’re paying well.
________________________________
From: CRAIG S &lt;placed</t>
  </si>
  <si>
    <t xml:space="preserve">how have you showed me you are sober? wasnt with your drug tests lol.
anyway you ignored the rothesay police phone calls but good luck ignoring
the other departments that are coming for you. and keep </t>
  </si>
  <si>
    <t>I talked to the kvpd thanks. &amp; your joking right lol. How have you Craig? My tests prove it. Especially my first one. LEAVE ME ALONE THANKS. unless it’s about Harper GOODBYE
_________________________</t>
  </si>
  <si>
    <t>your first one that shows a negative dilute?
hahahahahahahahahahahahahahahahahahahaha
 the saint john police were shocked to see the videos. theres a file number
youll be served shortly, along with s</t>
  </si>
  <si>
    <t>Same 😊 how about a template I asked for? Cause nothing ever good enough. Right cause you don’t care. She’s doing great 6 teeth now, crawling pulling herself up. Always wants to be standing or walking.</t>
  </si>
  <si>
    <t xml:space="preserve">how about the template on the STEPS TO SEE MY FUCKING GOD DAMN DAUGHTER
MORON. you know what, i am done communicating with you, you have charges
incoming, the rcmp might not care about harper but the </t>
  </si>
  <si>
    <t xml:space="preserve">you fucking idiot, the next charge will be everyone in your family for
knowingly allowing you to smoke meth around those two babies. those
charges, they fucking hurt, and nanny and grampy arent going </t>
  </si>
  <si>
    <t>your updates are irrelevant because you are a lieing fucking cunt. one
thing that doesnt lie, is the polices reaction to what they just watched.
but ill let you feel that first hand i wont ruin the su</t>
  </si>
  <si>
    <t>Thanks for proving it again! You did all this Craig not me buddy. You wanna play that route then bare minimum to be in her life that’s on you. You already basically missed the whole first year of her</t>
  </si>
  <si>
    <t>Or use the damm email you say lol
Emma Ryan
On Aug 27, 2025, at 12:55 PM, CRAIG S &lt;placed.sj@gmail.com&gt; wrote:
﻿
your updates are irrelevant because you are a lieing fucking cunt. one thing th</t>
  </si>
  <si>
    <t>✌️
Emma Ryan
On Aug 27, 2025, at 12:55 PM, CRAIG S &lt;placed.sj@gmail.com&gt; wrote:
﻿
your updates are irrelevant because you are a lieing fucking cunt. one thing that doesnt lie, is the polices r</t>
  </si>
  <si>
    <t>You literally hurt me and everybody else to try and weasel your way into her life. That’s the saddest thing I’ve ever heard. It’s literally a new all-time low for you. Enjoy your day.
Emma Ryan
On</t>
  </si>
  <si>
    <t>I WANT TO SEEE MY FUCKING DAUGHTER EMMA ON COURT ORDERED FUCKING TIME YOU
FUCKING MORON. I AM SO SICK AND TIRED OF TRYING TO COPARENT WITH A
METHHEAD WITH THE IQ OF A FUCKING COW
On Wed, Aug 27, 2025</t>
  </si>
  <si>
    <t>I’m clean and feel amazing. Do the same your not looking great.
Emma Ryan
On Aug 27, 2025, at 12:55 PM, CRAIG S &lt;placed.sj@gmail.com&gt; wrote:
﻿
your updates are irrelevant because you are a lie</t>
  </si>
  <si>
    <t>thats great emma, we will compare notes when you have been withoiut your
daughter for 90 days. you fucking moron
On Wed, Aug 27, 2025 at 1:01 PM Emma Ryan &lt;emma.ryan1995@outlook.com&gt; wrote:
&gt; I’m cl</t>
  </si>
  <si>
    <t>Okay! Try doing what the court order says lol. Boom done wow
Emma Ryan
On Aug 27, 2025, at 1:02 PM, CRAIG S &lt;placed.sj@gmail.com&gt; wrote:
﻿
thats great emma, we will compare notes when you have</t>
  </si>
  <si>
    <t>whats that exactly? ive sent you pictures of everything you fucvking
disgusting smoke shop
On Wed, Aug 27, 2025 at 1:03 PM Emma Ryan &lt;emma.ryan1995@outlook.com&gt; wrote:
&gt; Okay! Try doing what the cou</t>
  </si>
  <si>
    <t>oh how the tides have turned, good luck keeping harper from me when you are
charged with assault lol fucking idiot
On Wed, Aug 27, 2025 at 1:05 PM CRAIG S &lt;placed.sj@gmail.com&gt; wrote:
&gt; whats that e</t>
  </si>
  <si>
    <t xml:space="preserve">Okay Craig. I don’t blame you I’d feel like shit too that’s why I don’t understand why you can’t just be respectful. You have not.
Like I’m not trying to fight man.
Emma Ryan
On Aug 27, 2025, at </t>
  </si>
  <si>
    <t xml:space="preserve">Harper is my only focus.
Emma Ryan
On Aug 27, 2025, at 1:06 PM, CRAIG S &lt;placed.sj@gmail.com&gt; wrote:
﻿
oh how the tides have turned, good luck keeping harper from me when you are charged with </t>
  </si>
  <si>
    <t>a childs best interest is having a relationship with both parents emma.
your best interest is your lies continuing not harper's. you stopped me
being in my daughters life for one reason, and that's be</t>
  </si>
  <si>
    <t>ive asked you 100000 times what i have to do to see my daughter. instead,
ill just keep filing charges against you and everyone else in my way.
On Wed, Aug 27, 2025 at 2:10 PM CRAIG S &lt;placed.sj@gmai</t>
  </si>
  <si>
    <t>No it’s not. It is having both parents. I’m just done coving for you and protecting you &amp; enabling this behaviour. It’s so unsafe. It’s dangerous. Anyone in there right mind would not behave in this m</t>
  </si>
  <si>
    <t>lol your actually dulutional. You brought those people into our lives lol. Haven’t talked or seen em em since it’s great. Life a lot better like I said
Emma Ryan
On Aug 27, 2025, at 2:12 PM, CRAIG</t>
  </si>
  <si>
    <t>I am sober Craig you sober up then you might have a chance you literally blowing up and destroying our daughters life before she’s old enough to enjoy it because this petty childish behaviour. Do the</t>
  </si>
  <si>
    <t>what people are you referring to? and i only talk about harper not sure
what youre referring to or who anymore. you cant answer the question i ask
over and over and thats how do i see my daughter? ive</t>
  </si>
  <si>
    <t xml:space="preserve">we both know youre not sober, but its irrelevant because i dont give a fuck
about you, all you are to me is a person who is destroying harpers life,
just like you did when you chose to smoke it while </t>
  </si>
  <si>
    <t xml:space="preserve">the boys tell me when you meet with them, the boys who aren't in my life
anymore. because they play you like a fiddle. you pay twice as much as
anyone else does, they literally play you emma. you are </t>
  </si>
  <si>
    <t>Save 75% on local top picks</t>
  </si>
  <si>
    <t>For you: 2 months of Spotify Premium for $6.29, then $12.69/mo after.
 Cancel anytime.</t>
  </si>
  <si>
    <t>Spotify Premium https://www.spotify.com/purchase/offer/2025-q3-globalcampaign-winback/?marketing-campaign-id=2025-q3&amp;utm_source=spotify&amp;utm_medium=email&amp;utm_campaign=q3&amp;splot=CwUwtiOcRpqQhLTXP4EkvgSpo</t>
  </si>
  <si>
    <t>CRAIG, create illustrated stories and more</t>
  </si>
  <si>
    <t xml:space="preserve">
Fresh features, endless possibilities
Gemini is constantly evolving. Check out our latest batch of updates.
Chat with  
Gemini&lt;https://c.gle/ANiao5rgbxkRA9YknNrGgaJLmmz8oboh4Hh-Ks_CU1tE59lQ3zBcQ5</t>
  </si>
  <si>
    <t>We are just throwing it out there</t>
  </si>
  <si>
    <t xml:space="preserve">
https://click.brtpemails.com/?qs=1a82e0129c0e93931808ed9749622280af2f0c0490a5bbd14bd065b15f9fcebed953fdce82d727fc5098cdfbc19917e54b8c98f1ef5901149ea4d26c7757271b 
In Case You Want to Play Cat</t>
  </si>
  <si>
    <t>blk@bellaliant.net</t>
  </si>
  <si>
    <t>hey cuzzz</t>
  </si>
  <si>
    <t>So my phone walked away a few days ago, so i can't get onto facebook
because it has 2factor thingy blah blah.
I need your help, I am struggling with my head during sobriety, mostly
because of TBI fro</t>
  </si>
  <si>
    <t>Katherine.hutka@iwk.nshealth.ca</t>
  </si>
  <si>
    <t>Dear Ms. Hutka,
My name is Craig Schulz, writing from Quispamsis, New Brunswick. I’m
requesting a no‑cost access code for the “Car Seat, Booster Seat, and Seat
Belt Basics” online workshop that Child</t>
  </si>
  <si>
    <t>Your iCloud storage is full</t>
  </si>
  <si>
    <t>Hello paul carey,
Your iCloud storage is full. You have exceeded your storage plan. This means that your documents, contacts and device data are no longer being backed up to iCloud and your photos an</t>
  </si>
  <si>
    <t xml:space="preserve">ignore that first email if you want. look em, i just want to see harper,
need to see harper. doesn't have to be for 8 hours, it can be anything you
want, i just need to know what you want. if sundays </t>
  </si>
  <si>
    <t>Re: harper</t>
  </si>
  <si>
    <t>All I’ve done is work with you and acommodate you nothing was enough even offered a diaper bag the first weekend you were suppose to. You know what you need to do. I need to know she’s safe Craig. Tha</t>
  </si>
  <si>
    <t>You’ve been the only one fighting
Emma Ryan
&gt; On Aug 30, 2025, at 10:10 AM, Emma Ryan &lt;em.ry@icloud.com&gt; wrote:
&gt; 
&gt; ﻿All I’ve done is work with you and acommodate you nothing was enough even offered</t>
  </si>
  <si>
    <t>she has never been unsafe in my care before emma, ill see you in the
morning like i said, i need details, feeding details sleeping details, its
been 3 months since you provided any of this. you can ha</t>
  </si>
  <si>
    <t xml:space="preserve">&gt;
&gt;
&gt;&gt; emma can you please provide some updates on her sleeping and feeding
&gt;&gt; schedule, as well as maybe a list to make her routine seamless. lets do
&gt;&gt; this one day for old times sake. please, this </t>
  </si>
  <si>
    <t>The Clio Team &lt;info@reply.clio.com&gt;</t>
  </si>
  <si>
    <t>Time to take Clio for a test drive</t>
  </si>
  <si>
    <t>And unlike a new car, Clio only gets more valuable over time.‌ ‌ ‌ ‌ ‌ ‌ ‌ ‌ ‌ ‌ ‌ ‌ ‌  ‌ ‌ ‌ ‌ ‌ ‌ ‌ ‌ ‌ ‌ ‌ ‌ ‌  ‌ ‌ ‌ ‌ ‌ ‌ ‌ ‌ ‌ ‌ ‌ ‌ ‌  ‌ ‌ ‌ ‌ ‌ ‌ ‌ ‌ ‌ ‌ ‌ ‌ ‌  ‌ ‌ ‌ ‌ ‌ ‌ ‌ ‌ ‌ ‌ ‌ ‌ ‌
Hi C</t>
  </si>
  <si>
    <t>102gmailconvemmacraig08302025</t>
  </si>
  <si>
    <t>2/2 emmacraig102emails08302025</t>
  </si>
  <si>
    <t>Re: god is great</t>
  </si>
  <si>
    <t>and wait a second, i rang the doorbell, asked to see harper, was told she
wasnt home said ill wait here if thats ok and your mom said go ahead. if
you feel unsafe in your home after what i have done t</t>
  </si>
  <si>
    <t>I’ve been telling you asked you to do up a template it’s never good enough. I used the ai everyday and you didn’t even check it. Since I’ve provided that information? No it has not. No one fighting he</t>
  </si>
  <si>
    <t>There is no war Craig. There are no games when it comes to our child’s life. 
Emma Ryan
&gt; On Aug 30, 2025, at 10:10 AM, Emma Ryan &lt;em.ry@icloud.com&gt; wrote:
&gt; 
&gt; ﻿All I’ve done is work with you and ac</t>
  </si>
  <si>
    <t xml:space="preserve">ill see you at 8am. you do not get to play this game for a 13th saturday in
a row. harper's care was just perfect with me until june 4th, we both know
what happened june 4th Emma. I didn't ask you to </t>
  </si>
  <si>
    <t>i am so disappointed, i am speechless. you are destroying your daughters
current stability with her father, and her future with her mother. anyway i
can't do this with you anymore please stop contacti</t>
  </si>
  <si>
    <t xml:space="preserve">
https://click.e.enewsletter.enfamil.ca/?qs=5bbf2528564593409c6b32e9e00eae7a194fd75b1f2a6f37d144d2ebdbe7b634be607e3cda682c931c5b45918ec043f37456b66753c40baf 
https://click.e.enewsletter.enfamil.c</t>
  </si>
  <si>
    <t>lol idk how you can look at yourself in the mirror everyone can’t believe half the shit let alone what you still put us threw
Emma Ryan
On Aug 30, 2025, at 4:14 PM, CRAIG S &lt;placed.sj@gmail.com&gt; wrote</t>
  </si>
  <si>
    <t>You show up here I’ll come take a look but you’re not taking her. I need proof pictures. You lie through your teeth. And it’s Sundays not Saturdays
Emma Ryan
On Aug 30, 2025, at 7:36 PM, CRAIG S &lt;plac</t>
  </si>
  <si>
    <t>082825 same ol song and dance update</t>
  </si>
  <si>
    <t xml:space="preserve">we had the ole normal saturday playbook. acted like i might get her
tomorrow then at 8pm she said do not come here you are not taking her blah
blah. i said do not ever contact me again emma. and then </t>
  </si>
  <si>
    <t>You were asked to not come on our property. You made my mom uncomfortable, you joke about my brother life. Like you really are a treat. By far the most ignorant disrespectful dishonest disgusting huma</t>
  </si>
  <si>
    <t>Maybe the cop in your driveway the other day but give ya some pointers.
Emma Ryan
On Aug 30, 2025, at 8:30 PM, Emma Ryan &lt;em.ry@icloud.com&gt; wrote:
﻿
You show up here I’ll come take a look but you’re n</t>
  </si>
  <si>
    <t>harpers prayer</t>
  </si>
  <si>
    <t>rothesay cop said today, hold on it is going to get much worse before it
gets better man. so time to start sharing lots
------------------------------
*Harper's Prayer*
*To the Courts of New Brunswi</t>
  </si>
  <si>
    <t>Brenda Kotsabasakis &lt;blk@bellaliant.net&gt;</t>
  </si>
  <si>
    <t>harper's prayer</t>
  </si>
  <si>
    <t>Cpl Moore from Rothesay said today, it's going to get a lot worse before it
gets better but keep doing what you're doing you're doing it for her best
interest stay strong (paraphrasing)  I fucking hop</t>
  </si>
  <si>
    <t>real life complex decision making like cards lol</t>
  </si>
  <si>
    <t>this is interesting, tough one to decide on. her informant bullshit and now
rape and everything else is not good out there, her being charged with
assault isnt enough to save my ass in the community s</t>
  </si>
  <si>
    <t>Fwd: real life complex decision making like cards lol</t>
  </si>
  <si>
    <t>then there's this.
---------- Forwarded message ---------
From: CRAIG S &lt;placed.sj@gmail.com&gt;
Date: Sun, Aug 31, 2025 at 12:19 AM
Subject: real life complex decision making like cards lol
To: DALE CA</t>
  </si>
  <si>
    <t>Stacey C &lt;campbellstacey98@gmail.com&gt;, DALE CAMPBELL &lt;dale.campbell@rogers.com&gt;, 
	Brenda Kotsabasakis &lt;blk@bellaliant.net&gt;, amymcampbell@hotmail.com</t>
  </si>
  <si>
    <t>sorry for the doc dump tonight clearing er all out for final countdown</t>
  </si>
  <si>
    <t>For my friends, family, and everyone in my community who has been on this
journey with me, I want to share a little bit about what the last several
months have been like. This isn't about airing griev</t>
  </si>
  <si>
    <t>everyone is you emma. i am done fighting with you. how the hell do you
expect someone to have joint custody with you and not come on your property
is beyond me. but again, not doing this, i am not a d</t>
  </si>
  <si>
    <t xml:space="preserve">yeah you're welcome for having a conversation in my driveway with a cop for
our daughter Emma. you can even somehow try to spin that around eh you are
the absolute worse human being to ever walk this </t>
  </si>
  <si>
    <t>WHAT VIDEOS? I love how you sneak stupid stuff like this into an email
without any context or proof whatsoever. lol. show me one instance I
neglected our daughter please for fuck sake share ONE instan</t>
  </si>
  <si>
    <t>amymcampbell@hotmail.com, Brenda Kotsabasakis &lt;blk@bellaliant.net&gt;, 
	Stacey C &lt;campbellstacey98@gmail.com&gt;, DALE CAMPBELL &lt;dale.campbell@rogers.com&gt;</t>
  </si>
  <si>
    <t>Fwd: harper</t>
  </si>
  <si>
    <t xml:space="preserve">This was the least pull my fucking hair out exchange the last 13 weeks
denied parenting time. Please share with anyone else who thinks that I
don't want to see my daughter or that there is any reason </t>
  </si>
  <si>
    <t>Fwd: god is great</t>
  </si>
  <si>
    <t>her dad said on the 28th for reference; "you are welcome here anytime just
not in the house, but you should see your daughter i think this is
bullshit. " if you'd like to unsubscribe from my emails ju</t>
  </si>
  <si>
    <t>"dale.campbell@kw.com" &lt;dale.campbell@kw.com&gt;</t>
  </si>
  <si>
    <t>story</t>
  </si>
  <si>
    <t xml:space="preserve">THE COMPLETE STORY: FROM DAILY TRIPS TO SYSTEMATIC DENIAL
*The real timeline of what happened to Harper's father*
------------------------------
Before June 4th: The Daily Journey
Fifty kilometers. </t>
  </si>
  <si>
    <t>Today’s the one who didn’t sleep the whole week I was in the hospital and buckled our new born child into the car seat wrong to leave the hospital. Please just stop.
I am raising her exactly how I sai</t>
  </si>
  <si>
    <t xml:space="preserve">you told me i can't have harper at 8am for court ordered pick up last night
emma, our full email threads get shared with people who are neutral and
it'll be relayed to the proper people in the proper </t>
  </si>
  <si>
    <t>benjamin.cannon@saintjohn.ca</t>
  </si>
  <si>
    <t>Follow-up on File 25-2390069 Domestic Incident -</t>
  </si>
  <si>
    <t>*Dear Constable Cannon,*
My name is Craig Schulz. I am writing to follow up on a sworn statement and
evidence I provided to you on August 27th, regarding an assault that
occurred on December 9th. The</t>
  </si>
  <si>
    <t>Fwd: Follow-up on File 25-2390069 Domestic Incident -</t>
  </si>
  <si>
    <t>---------- Forwarded message ---------
From: CRAIG S &lt;placed.sj@gmail.com&gt;
Date: Sun, Aug 31, 2025 at 7:33 PM
Subject: Follow-up on File 25-2390069 Domestic Incident -
To: &lt;benjamin.cannon@saintjohn.c</t>
  </si>
  <si>
    <t>amymcampbell@hotmail.com, Brenda Kotsabasakis &lt;blk@bellaliant.net&gt;</t>
  </si>
  <si>
    <t>protecting myself</t>
  </si>
  <si>
    <t xml:space="preserve">just for in case. there is one move left by harper's mother, and it's going
to be the biggest horse shit of all i am guessing. saint john police are
pursuing charges for assault, but emma is doubling </t>
  </si>
  <si>
    <t>I’ve tried Craig. You blow my phone up &amp; hack it like a fucking child because you’re that much of a peice of shit. You don’t care about Harper you only care about hurting my image and protecting your</t>
  </si>
  <si>
    <t xml:space="preserve">Get off my stuff before it gets any worse for you. At least do yourself that.
Emma Ryan
On Sep 1, 2025, at 8:40 AM, Emma Ryan &lt;em.ry@icloud.com&gt; wrote:
﻿
I’ve tried Craig. You blow my phone up &amp; hack </t>
  </si>
  <si>
    <t>you filed the papers emma. do not contact me please
This message, including any attachments, is intended for the sole use of
the designated recipient(s) and may contain confidential and privileged
in</t>
  </si>
  <si>
    <t>emma i dont go on my own stuff let alone yours. see a doctor
This message, including any attachments, is intended for the sole use of
the designated recipient(s) and may contain confidential and priv</t>
  </si>
  <si>
    <t>can i facetime today? thats not what your dad said but again irrelevant
This message, including any attachments, is intended for the sole use of
the designated recipient(s) and may contain confidenti</t>
  </si>
  <si>
    <t>also, I have ONE question, that I would love to ask you personally instead
of asking it in court. not sure if I'll believe the answer you give me
anyway, but if you want to hear it, let me know. it wo</t>
  </si>
  <si>
    <t>You are.
Also my heads great, I have the proof. What? Why can’t you email? That’s ridiculous.
Not sure what my dad has to do with anything here lol.
Emma Ryan
On Sep 1, 2025, at 11:28 AM, CRAIG S &lt;pla</t>
  </si>
  <si>
    <t>Luna &lt;lunacraigcep@gmail.com&gt;</t>
  </si>
  <si>
    <t>You did abandon us. I told you this. 
I’m just receiving since you had my email all fucjed
Emma Ryan
&gt; On Feb 7, 2025, at 8:06 PM, Luna • &lt;lunacraigcep@gmail.com&gt; wrote:
&gt; 
&gt; ﻿ I reallt hope yo</t>
  </si>
  <si>
    <t>nice reply to email that makes no sense whatsoever. i wish i picked an
adult to have a child with. picked the wrong last name for that though
clearly. an adult can speak on the phone, i suppose they c</t>
  </si>
  <si>
    <t>STOP CONTACTING ME
On Mon, Sep 1, 2025 at 12:36 PM Emma Ryan &lt;emma.ryan1995@outlook.com&gt; wrote:
&gt; You did abandon us. I told you this.
&gt; I’m just receiving since you had my email all fucjed
&gt; Emma R</t>
  </si>
  <si>
    <t>lol. Whatever helps you sleep at night &amp; no problem. Don’t expect a reply after you lie and lie and lie. You want me to leave you alone then you can leave me alone. Yah drove you back because you ran</t>
  </si>
  <si>
    <t>see you in court really soon.
[image: image.png]
[image: image.png]
[image: image.png]
[image: image.png]
[image: image.png]
[image: image.png]
I can't wait until you guys have to put your hand on a</t>
  </si>
  <si>
    <t>The days of you destroying Harper are over. You are the most selfish person
I have ever met. This all started on March 6th 2024 and continues today.
Lying and stealing - people hate those people the m</t>
  </si>
  <si>
    <t>I don’t want to talk to you. If it not about Harper I don’t care. Whatever helps you sleep at night Craig. GOODBYE. Only child here is you and that’s OBVIOUS
Emma Ryan
On Sep 1, 2025, at 2:29 PM, CRAI</t>
  </si>
  <si>
    <t>And I don’t care lol. Fuck off then
Emma Ryan
On Sep 1, 2025, at 2:44 PM, Emma Ryan &lt;em.ry@icloud.com&gt; wrote:
﻿
I don’t want to talk to you. If it not about Harper I don’t care. Whatever helps you sle</t>
  </si>
  <si>
    <t>Yes we will. Funny me and your mom talked about that bum rash all week and you didn’t send me a picture until almost midnight on the day that you took her so you waited that long to change your butt g</t>
  </si>
  <si>
    <t>Only one destroying Harper is you. Literally it’s while.
Why are you still messaging me? Like stop.
Emma Ryan
On Sep 1, 2025, at 2:45 PM, Emma Ryan &lt;em.ry@icloud.com&gt; wrote:
﻿
And I don’t care lol. Fu</t>
  </si>
  <si>
    <t>You do remember that you locked her four week old daughter in a room that was full of garbage that used to smoke meth because you couldn’t feed her
Emma Ryan
On Sep 1, 2025, at 2:47 PM, Emma Ryan &lt;em.</t>
  </si>
  <si>
    <t>Your being blocked so done with thais shit
Emma Ryan
On Sep 1, 2025, at 2:47 PM, Emma Ryan &lt;em.ry@icloud.com&gt; wrote:
﻿
Only one destroying Harper is you. Literally it’s while.
Why are you still messag</t>
  </si>
  <si>
    <t>"Gallant, Jacqueline (SD-DS)" &lt;Jacqueline.Gallant@gnb.ca&gt;, Brenda Kotsabasakis &lt;blk@bellaliant.net&gt;, 
	amymcampbell@hotmail.com, "dale.campbell@kw.com" &lt;dale.campbell@kw.com&gt;, 
	benjamin.cannon@saintjohn.ca, christoper.mcleod@nbpolice.ca, 
	ladaphillips@rogers.com, Christashannon@hotmail.com</t>
  </si>
  <si>
    <t>truth</t>
  </si>
  <si>
    <t>Emma's lies are putting a target on my back/ head. I have been extremely
careful not to share anything relating to Harper and our custody stuff but
enough is enough. These 10 photos of 10,000 refute e</t>
  </si>
  <si>
    <t>I stopped drugs and being around them when you l finally decided exactly and you stopped feeding them to me
Emma Ryan
On Sep 1, 2025, at 2:55 PM, Emma Ryan &lt;em.ry@icloud.com&gt; wrote:
﻿
Your being block</t>
  </si>
  <si>
    <t>christopher.mcleod@nbpolice.ca</t>
  </si>
  <si>
    <t>Fwd: truth</t>
  </si>
  <si>
    <t xml:space="preserve">This message, including any attachments, is intended for the sole use of
the designated recipient(s) and may contain confidential and privileged
information. Any unauthorized review, use, disclosure, </t>
  </si>
  <si>
    <t>Acampbell2994@gmail.com</t>
  </si>
  <si>
    <t>do not share, for my trusted custody circle and government employees</t>
  </si>
  <si>
    <t>"mary.henderson@nbpolice.ca" &lt;mary.henderson@nbpolice.ca&gt;</t>
  </si>
  <si>
    <t>Mary,
I understand this is certainly not the proper way to contact you, or anyone
for that matter.  But I lived next door to one of your friends last summer
and I know that, in my dealings with you o</t>
  </si>
  <si>
    <t>Christashannon@hotmail.com, Stacey C &lt;campbellstacey98@gmail.com&gt;</t>
  </si>
  <si>
    <t>Trust me if I could go back I would. Not because I’m not blessed with Harper but because after being helpless of you just walking back in and doing whatever you wanted. But to never believe any of you</t>
  </si>
  <si>
    <t>this is not a debate for me and you emma, this is about the safety of
harper. leave me the fuck alone
This message, including any attachments, is intended for the sole use of
the designated recipient</t>
  </si>
  <si>
    <t>Who the fuck is them? lol the voices in your head?
Emma Ryan
On Sep 1, 2025, at 5:04 PM, CRAIG S &lt;placed.sj@gmail.com&gt; wrote:
﻿
this is not a debate for me and you emma, this is about the safety of ha</t>
  </si>
  <si>
    <t>we have been waiting for you to use the monster words. but i will be very
clear, there is only one thing left on that list for a psycho to do and if
you harm my fucking daughter I swear to god that th</t>
  </si>
  <si>
    <t>you'll know very soon who them are that I am referring to. now good bye
This message, including any attachments, is intended for the sole use of
the designated recipient(s) and may contain confidenti</t>
  </si>
  <si>
    <t>lol you’ll know soon Craig.
Taking our daughter outside at 5 days old causing her episodes, buckling her in the seat wrong, abusing me with her in your arms, locking her in a room. Your time is over j</t>
  </si>
  <si>
    <t>Nah I’m good lol. Definitely voices in your head or buddy that lived in our attics
Emma Ryan
On Sep 1, 2025, at 5:21 PM, Emma Ryan &lt;em.ry@icloud.com&gt; wrote:
﻿
lol you’ll know soon Craig.
Taking our da</t>
  </si>
  <si>
    <t>All this shows your priorities. Thanks.
Emma Ryan
On Sep 1, 2025, at 5:22 PM, Emma Ryan &lt;em.ry@icloud.com&gt; wrote:
﻿
Nah I’m good lol. Definitely voices in your head or buddy that lived in our attics
E</t>
  </si>
  <si>
    <t>emma please stop, you have harper so i used to contact you for that reason.
you contacting me is just harassment i will add more charges to the file
This message, including any attachments, is intend</t>
  </si>
  <si>
    <t>LOL you’re a joke. I’ve been begging you to leave me the fuck alone for months now you monitor everything I do you sick fuck. Go loose some more weight. I have Harper for a reason. The day you and you</t>
  </si>
  <si>
    <t>This proves you push and push and push. I’m fucking done with your sorry ass. I thought maybe you’d realize but nah. lol you’ll never change
Emma Ryan
On Sep 1, 2025, at 5:39 PM, Emma Ryan &lt;em.ry@iclo</t>
  </si>
  <si>
    <t>amymcampbell@hotmail.com, Christashannon@hotmail.com, 
	Brenda Kotsabasakis &lt;blk@bellaliant.net&gt;, Stacey C &lt;campbellstacey98@gmail.com&gt;, 
	"dale.campbell@kw.com" &lt;dale.campbell@kw.com&gt;, Acampbell2994@gmail.com</t>
  </si>
  <si>
    <t>cont'd</t>
  </si>
  <si>
    <t>i am emailing my family and police, but it feels like she is receiving them
based on her escalation. i emailed deputy chief henderson at rothesay
police should be a busy day tomorrow. scroll to the bo</t>
  </si>
  <si>
    <t>Re: cont'd</t>
  </si>
  <si>
    <t>Michelle.angela@hotmail.com</t>
  </si>
  <si>
    <t>just sharing the real story, I am so sorry for your loss Michelle. Just
letting people know in each part of Harper's family and support whether now
or down the road, the fight I have been enduring and</t>
  </si>
  <si>
    <t>﻿
LOL you’re a joke. I’ve been begging you to leave me the fuck alone for months now you monitor everything I do you sick fuck. Go loose some more weight. I have Harper for a reason. The day you and y</t>
  </si>
  <si>
    <t>i am not sure who you are replying to emma, just please take this
conversation to that person. i dont talk to your family, but i sure would
love for them to send me an email so we could have a nice ho</t>
  </si>
  <si>
    <t>Mike Bell &lt;mbell@menandfamilies.org&gt;</t>
  </si>
  <si>
    <t>Re: CCMF Follow-up</t>
  </si>
  <si>
    <t>Hi Mike
Thanks for reaching out, I am really stuck. I don't know what to do or
where to turn or who to call. I've been lied to manipulated and just beat
down for a year, I just want my little girl to</t>
  </si>
  <si>
    <t>Helping your team avoid task masking</t>
  </si>
  <si>
    <t>Ghost vacations, return-to-office shifts, task masking solutions
-                                             September 2, 2025
monday.com 
( https://clicks.mail.monday.com/f/a/RwX5NgCATkJK_7gQNOsVZ</t>
  </si>
  <si>
    <t>Ghost vacations, return-to-office shifts, task masking solutions
-                                             September 2, 2025
monday.com 
( https://clicks.mail.monday.com/f/a/gVITJV6G4jh1wMOyYV3cP</t>
  </si>
  <si>
    <t>Today get 30% off groceries!</t>
  </si>
  <si>
    <t>Your 2 months of Spotify Premium for $6.29 are waiting, $12.69/mo
 after. Cancel anytime.</t>
  </si>
  <si>
    <t>Spotify Premium https://www.spotify.com/purchase/offer/2025-q3-globalcampaign-winback/?marketing-campaign-id=2025-q3&amp;utm_source=spotify&amp;utm_medium=email&amp;utm_campaign=q3&amp;splot=u39nl7xITsylQEWpJGJUrwSpo</t>
  </si>
  <si>
    <t xml:space="preserve">
https://click.e.enewsletter.enfamil.ca/?qs=875d3953dd01a052196ea00edad8a3e5f511921ed90d9e22285e59c9f2da45e8f126c71e38ccb5500b561d6a4451d3e3f8d3f9860845a9e3 
https://click.e.enewsletter.enfamil.c</t>
  </si>
  <si>
    <t>"Saint John Documents (NBLASC/CSAJNB)" &lt;SaintJohnDocuments@GNB.CA&gt;</t>
  </si>
  <si>
    <t>Craig Schulz - Variation</t>
  </si>
  <si>
    <t xml:space="preserve">
[header]
15 Market Square, 8th Floor/tage,
Saint John, New Brunswick/Nouveau-Brunswick E2L 1E8
Tel : (506) 633-6030 / Fax : (506) 633-8994
Aggressive or violent behaviour towards our staff will not</t>
  </si>
  <si>
    <t>Criminal Application - Craig Schulz</t>
  </si>
  <si>
    <t>[header]
15 Market Square, 8th Floor/tage,
Saint John, New Brunswick/Nouveau-Brunswick  E2L 1E8
Tel : (506) 633-6030 / Fax : (506) 633-8994
Aggressive or violent behaviour towards our staff will not</t>
  </si>
  <si>
    <t>"Saint John Documents (NBLASC/CSAJNB)" &lt;SaintJohnDocuments@gnb.ca&gt;</t>
  </si>
  <si>
    <t>Re: Craig Schulz - Variation</t>
  </si>
  <si>
    <t xml:space="preserve">Dear Intake Officer,
Thank you for your email. This matter is urgent due to ongoing denial of
court‑ordered parenting time for approximately 13 consecutive weeks and
documented safety concerns. I am </t>
  </si>
  <si>
    <t>Re: Criminal Application - Craig Schulz</t>
  </si>
  <si>
    <t>Dear Intake Officer,
&lt;https://www.legalaid-aidejuridique-nb.ca/criminal-law-services/criminal-trial-services/&gt;
Please find enclosed my criminal legal aid intake documents for the pending
fraud matte</t>
  </si>
  <si>
    <t>Stacey C &lt;campbellstacey98@gmail.com&gt;, Christashannon@hotmail.com</t>
  </si>
  <si>
    <t>Fwd: Craig Schulz - Variation</t>
  </si>
  <si>
    <t>emails and contact the past week</t>
  </si>
  <si>
    <t>Get set to redeem with up to 15% Miles back on rewards!</t>
  </si>
  <si>
    <t>Karissa Monachese &lt;karissa.monachese@clio.com&gt;</t>
  </si>
  <si>
    <t>Your Availability</t>
  </si>
  <si>
    <t>Hi Craig,
I noticed that you signed up for a free trial of Clio. Great choice!
Do you have 10 minutes for a quick call? I would love to understand your
firm’s needs and show you some ways you can us</t>
  </si>
  <si>
    <t>Get good eats with up to 75% off on your first 3 orders.</t>
  </si>
  <si>
    <t>Thank You</t>
  </si>
  <si>
    <t>Thanks Em, she getting so big :) .. so much has happened in my life, I
always just want to tell you every single detail, that hasn't changed
that's for sure. I get excited for Harper's future when thi</t>
  </si>
  <si>
    <t>Re: Thank You</t>
  </si>
  <si>
    <t>None of this is about our relationship. It is all about Harper &amp; her best interest. Like I’ve been telling you all along.
I sacrificed everything. I mean everything. For me to get clean for months fo</t>
  </si>
  <si>
    <t>Thanks for the FaceTime earlier. Agreed—updates will focus on Harper’s
feeding, sleep, diapers, and health. I’ll send a daily log by 6:00 pm on my
parenting days and after exchanges. If anything urgen</t>
  </si>
  <si>
    <t>I am sorry that todays (visit I assume?) is so upsetting and feels like a
personal attack.  I am going to need a reply from you tonight, you cannot
send emails that have bullet in my head or threats o</t>
  </si>
  <si>
    <t>lol. No craig. It’s not a threat &amp; I’m fine if you could stay the guck out of my life. You don’t give a fuck about anyone but yourself &amp; no it’s not the “visit” lol that’s what you should have been do</t>
  </si>
  <si>
    <t>You got mail btw just has my name on it 👀 god only knows what your doing with my wallet 🤮
Emma Ryan
On Sep 4, 2025, at 6:41 PM, CRAIG S &lt;placed.sj@gmail.com&gt; wrote:
﻿
I am sorry that todays (v</t>
  </si>
  <si>
    <t>&amp; stop saying your sorry cause your fucking not you’d do it again and again. Because that’s what kind of human you are. From here on out. It’s only trying to coparent with someone who hasn’t even been</t>
  </si>
  <si>
    <t xml:space="preserve">Every email is about her, but you dont reply to my words you just start
rambling on about nonsense as per usual. Have a good night Emma please stop
blaming me for doing whatever it is you are talking </t>
  </si>
  <si>
    <t xml:space="preserve">Oh stop trying to fabricate something that isn't there. Just stop the games
for fuck sake Emma, you did this, you did it countless times, you did it
with Cole in June 2024 until December 2024 and you </t>
  </si>
  <si>
    <t xml:space="preserve">You won't let me see her, lol stop stop stop stop stop please stop emailing
me and focus on her. I have done more in the last 90 days then anyone could
accomplish in 10 years, you'll be served what I </t>
  </si>
  <si>
    <t>Hello L C,
Your iCloud storage is almost full. You have 428.8 MB remaining of 5 GB total storage.
Upgrade to iCloud+ with 50 GB for $1.29 per month: https://setup.icloud.com/email/prefs/stora</t>
  </si>
  <si>
    <t>Yes you could without all the hate or harassment. But yah whatever helps ya sleep at night. I do answer everything it’s just not what you want lol. No blame just truth. Have a fantastic day 👌🏼
Emma R</t>
  </si>
  <si>
    <t>LOL I’m not letting you not see her your doing that yourself Craig wow.
Emma Ryan
On Sep 4, 2025, at 10:20 PM, CRAIG S &lt;placed.sj@gmail.com&gt; wrote:
﻿
You won't let me see her, lol stop stop st</t>
  </si>
  <si>
    <t>LOL YOUR FUCKED. You can stop pretending. Blocked bye. You really can’t fuck off about anything that you fucking did. You were the reason for everything you dumb fuck. LEAVE ME THE FUCK ALONE AND DO W</t>
  </si>
  <si>
    <t>Oh hunni I’m not worried
Emma Ryan
On Sep 4, 2025, at 10:20 PM, CRAIG S &lt;placed.sj@gmail.com&gt; wrote:
﻿
You won't let me see her, lol stop stop stop stop stop please stop emailing me and focu</t>
  </si>
  <si>
    <t>Honey, I am worried. Genuinely worried about the safety of my daughter
being around someone like you. Now stop emailing me about your
hallucinations and made up bullshit with your phone. Seriously sto</t>
  </si>
  <si>
    <t>Same lol. ✌🏼 imagine you ever had to worry I’d be worried with her in your care the neglect you gave her. You’ve never had to worry about her. So stop with your bullshit just like I took care of you a</t>
  </si>
  <si>
    <t xml:space="preserve">{Schulz, Craig}{Matter No.[J-2025-02884]} </t>
  </si>
  <si>
    <t>Good morning Craig,
We have processed your application for Legal Aid for the Criminal Matter.
This has been approved. Please find your letter of disposition attached.
You will also find a client ag</t>
  </si>
  <si>
    <t>Cole was the only calm in my life yup after beggin you no what your not worth my breath believe what ya want. Whatever helps ya sleep at night. We’ll see. lol
Emma Ryan
On Sep 5, 2025, at 8:25 AM,</t>
  </si>
  <si>
    <t>STOP CONTACTING ME, LUNA HAD TWO EAR INFECTIONS AND LHYMES DISEASE,GREAT
JOB CARING FOR HER HAHA
This message, including any attachments, is intended for the sole use of
the designated recipient(s) a</t>
  </si>
  <si>
    <t>YEAH THE PAROLEE YOU DID DRUGS WITH LOLOLOL NICE CONSTANT IN YOUR LIFE
PROUD OF YOU
This message, including any attachments, is intended for the sole use of
the designated recipient(s) and may contai</t>
  </si>
  <si>
    <t>ENJOY YOUR DAY EMMA, NOT MANY OF THESE LEFT I RECKON BAHAHAHAHA
This message, including any attachments, is intended for the sole use of
the designated recipient(s) and may contain confidential and p</t>
  </si>
  <si>
    <t>BLOCKED BY THE WAY, ILL TALK TO YOU TOMORROW AT 1PM
This message, including any attachments, is intended for the sole use of
the designated recipient(s) and may contain confidential and privileged
in</t>
  </si>
  <si>
    <t>Re: {Schulz, Craig}{Matter No.[J-2025-02884]}</t>
  </si>
  <si>
    <t xml:space="preserve">Thanks so much! I'll get those signed and off to you right away.
This message, including any attachments, is intended for the sole use of
the designated recipient(s) and may contain confidential and </t>
  </si>
  <si>
    <t>Go smoke your pipe only thing you did was sit on your ass hauling on that thing while I cried and begged to not be around it.
Emma Ryan
On Sep 5, 2025, at 8:25 AM, Emma Ryan &lt;emma.ryan1995@outlook</t>
  </si>
  <si>
    <t>LOL we didn’t do drugs you did in our apartment after asked not to many times of course I needed out of that.
How many time did I tell you she had to go to the vet she’s your dog Craig you wouldn’t c</t>
  </si>
  <si>
    <t xml:space="preserve">its a shame Emma because the only time I ever saw tears come down your face
was on June 4th. I am sad for you, extremely sad for you, sucks to have to
reply to your bullshit with the truth, but stop. </t>
  </si>
  <si>
    <t>No you won’t I asked the pictured to be set by one and look still lol. You’re way right. Your disgusting keep me blocked faggot
Emma Ryan
On Sep 5, 2025, at 8:40 AM, Emma Ryan &lt;emma.ryan1995@outlo</t>
  </si>
  <si>
    <t>Yeah you go live your life, bud. Just either do it honestly and sober or do
it WITHOUT MY FUCKING DAUGHTER around you.
This message, including any attachments, is intended for the sole use of
the des</t>
  </si>
  <si>
    <t>its only friday darling.i know days of the week are hard when youre up for
3 sleep for 1 but soon enough Harper will be old enough to remind you .
This message, including any attachments, is intended</t>
  </si>
  <si>
    <t>No shit I have been since you left my life. SHES BOT YOUR DAUGHTER WHERE WERE YOU THE FIRST YEAR OF HER LIFE ? Whole abusing me while she was in my belly to spiting on me choking me out and taking her</t>
  </si>
  <si>
    <t>Harper can FaceTime at 9 if your available before nap. She’s pretty tired this morning. 
Emma Ryan</t>
  </si>
  <si>
    <t>If it would help you at all I will always come out and spend an hour or 5
minutes or 5 hours with her outside to give you a break or give you time
for whatever you need to do. I know it's hard but you</t>
  </si>
  <si>
    <t>RE: Craig Schulz - Variation</t>
  </si>
  <si>
    <t xml:space="preserve">Hi Craig,
To process your application, we require proof of income/no income. We need 3 months bank statements to prove you are not working.
We also require a copy of the current court order.
</t>
  </si>
  <si>
    <t>I don’t fucking need you I needed you a year ago and you abandoned us. More important manipulated, blackmailed stole. I gave this option many many months ago you decided to walk back in tear me down a</t>
  </si>
  <si>
    <t>Hi Amanda
I don't have a bank account currently I am in the proccess of renewing
everything.I haven't worked since last week of May though, I am going to
stop in with forms from criminal family aid I</t>
  </si>
  <si>
    <t>lol you are absolutely pathetic. grow up Emma you did this to yourself with
your fucking drug problem and your anger issues.
message, including any attachments, is intended for the sole use of the
des</t>
  </si>
  <si>
    <t>co parenting isnt pretending to reconcile with me sleep with me and other
guys at the same time while you lie to everyone in your household. fuck off
man fuck you i am absolutely done with your shit o</t>
  </si>
  <si>
    <t>lol.
Emma Ryan
On Sep 5, 2025, at 11:55 AM, CRAIG S &lt;placed.sj@gmail.com&gt; wrote:
﻿
co parenting isnt pretending to reconcile with me sleep with me and other guys at the same time while you lie</t>
  </si>
  <si>
    <t>You wouldn’t leave Craig. I couldn’t continue everyday like that. You would have killed Harper. I never slept with anyone when I was with you lol. Whatever helps ya sleep. LEAVE ME ALONE. You did this</t>
  </si>
  <si>
    <t>If you could actually put your feelings aside and be respectful coparenting would be no problem but instead you continue this bullshit.
Emma Ryan
On Sep 5, 2025, at 2:27 PM, Emma Ryan &lt;emma.ryan19</t>
  </si>
  <si>
    <t>CHANGE MY BANKING BACK NOW
Emma Ryan
On Sep 5, 2025, at 2:33 PM, Emma Ryan &lt;emma.ryan1995@outlook.com&gt; wrote:
﻿ If you could actually put your feelings aside and be respectful coparenting would</t>
  </si>
  <si>
    <t>you are fucked man. you have a condition that makes it so you
can't comprehend numbers, making passwords impossible for you, it is not me
emma. Please stop emailing me, every email is shared with a la</t>
  </si>
  <si>
    <t>Kk boss man. It will all come out. Dont worry my lawyers seen them all too. Just sad. I can comprehend numbers I’m not fucking stupid. We’ll see. Times ticking
Emma Ryan
On Sep 5, 2025, at 3:59 PM</t>
  </si>
  <si>
    <t>I hope your lawyers are quick to act, preparing a case with you would be
some infuriating when they see that you have done nothing but lie since
March 6th 2024 HAHAHAHAHAHA
This message, including an</t>
  </si>
  <si>
    <t>Unlock AI and lock in savings of up to $354</t>
  </si>
  <si>
    <t xml:space="preserve">&lt;!DOCTYPE html&gt;
&lt;html lang="en-CA"&gt;
&lt;!-- ^ Sets the document language to Canadian English for accessibility tools and language-specific rendering. --&gt;
&lt;!-- =========== START HEAD ============ --&gt;
 </t>
  </si>
  <si>
    <t>Unlock AI and lock in savings of up to $619</t>
  </si>
  <si>
    <t>Imagine don’t understand even what I’m lying about Craig? lol. But whatever not worth it. Have a good day.
Emma Ryan
On Sep 5, 2025, at 7:11 PM, CRAIG S &lt;placed.sj@gmail.com&gt; wrote:
﻿
I hope y</t>
  </si>
  <si>
    <t>Like but I never before that? Lol I’ve been honest. I got off the dpe for our daughter like I begged you to. I have done nothing but better my life since I left you.
Emma Ryan
On Sep 6, 2025, at 7</t>
  </si>
  <si>
    <t>Cause the best part is if I actually had drugs and gave them to you like you asked none of this would have happened lol. You wouldn’t go for a walk and fought with me for two fucking hours me begging</t>
  </si>
  <si>
    <t>Hopefully you went to court
Emma Ryan
On Sep 6, 2025, at 7:56 AM, Emma Ryan &lt;emma.ryan1995@outlook.com&gt; wrote:
﻿ Cause the best part is if I actually had drugs and gave them to you like you ask</t>
  </si>
  <si>
    <t xml:space="preserve">And that is awesome Emma. I am so excited for Harper's future with two
healthy happy parents. Once she's allowed to have two parents in her life.
Because you don't ask anything of me, you just create </t>
  </si>
  <si>
    <t xml:space="preserve">you can let your mom know, this is all her fault, and what's done is done
with you, her, and the rest of you. But Harper isn't living with the
consequences of Nanny's actions, and yes, we do all know </t>
  </si>
  <si>
    <t>I want you to see Harper Craig that’s the fucking point. I want you to get better to get clean to be a part of her life like I e been telling you the last year.
I didn’t answer the template because I</t>
  </si>
  <si>
    <t>That’s what I have given her. You also promised I wouldn’t do it alone you also promised that wouldn’t be how we lived when we moved in there you also promised that you wouldn’t do half the shit you d</t>
  </si>
  <si>
    <t>LOL THE LIEs man. They do do that and that’s what the court order says.
Craig I want you to see Harper that’s where you’re wrong not to mention I’m not paranoid or nothing is in my head lol. Consider</t>
  </si>
  <si>
    <t>She’s allowed to have two parents now your choosing not to. Because it’s not your way. Your fucked
Emma Ryan
On Sep 6, 2025, at 9:28 AM, Emma Ryan &lt;emma.ryan1995@outlook.com&gt; wrote:
﻿ I want yo</t>
  </si>
  <si>
    <t xml:space="preserve">This is what you made up in your head to feel better about fucking Harper and myself rather then bare minimum
Emma Ryan
On Sep 6, 2025, at 9:35 AM, Emma Ryan &lt;emma.ryan1995@outlook.com&gt; wrote:
</t>
  </si>
  <si>
    <t>My mom hasn’t done shit lol
Emma Ryan
On Sep 6, 2025, at 9:35 AM, Emma Ryan &lt;emma.ryan1995@outlook.com&gt; wrote:
﻿ She’s allowed to have two parents now your choosing not to. Because it’s not you</t>
  </si>
  <si>
    <t>Instead you harass us when I’ve even the one solely providing for our daughter I don’t ask you to do anything because it’s always an issue the high chair you went gambling instead you asked to watch h</t>
  </si>
  <si>
    <t>All I begged you for the whole time she was in my belly happy healthy parents
Emma Ryan
On Sep 6, 2025, at 9:40 AM, Emma Ryan &lt;emma.ryan1995@outlook.com&gt; wrote:
﻿ Instead you harass us when I’v</t>
  </si>
  <si>
    <t>HARPER;</t>
  </si>
  <si>
    <t xml:space="preserve">Im putting her down for a nap if you wanted to 5 minutes of FaceTime. 
Emma Ryan
</t>
  </si>
  <si>
    <t>You've been waiting for this one!</t>
  </si>
  <si>
    <t xml:space="preserve">
https://click.brtpemails.com/?qs=0da1c727f6cb742181207af6b4d2153196568a681b82fd6e3e1d50d9cdfd211b584d34038b9f58a571096b2b8d98d5e266991479fdaf4badb43a5dc000afe57d 
Designed with You in Mind…
</t>
  </si>
  <si>
    <t>What needed to be done is done. I’m not scared I know what happened. I’m not “lying”.
Emma Ryan
On Sep 6, 2025, at 9:42 AM, Emma Ryan &lt;emma.ryan1995@outlook.com&gt; wrote:
﻿ All I begged you for t</t>
  </si>
  <si>
    <t>Re: HARPER;</t>
  </si>
  <si>
    <t xml:space="preserve">this means a lot, thank you for reaching out again seriously. i had to take
a technology break for my well being and the well being of others. its nice
being able to close the laptop and deal with my </t>
  </si>
  <si>
    <t>Up to 75% off is still yours!</t>
  </si>
  <si>
    <t>Perplexity now has personal agents. Get started by downloading Comet.
͏   ­͏   ­͏   ­͏   ­͏   ­͏   ­͏   ­͏   ­͏   ­͏   ­͏   ­͏   ­͏   ­͏   ­͏   ­͏   ­͏   ­͏   ­͏   ­͏   ­͏   ­͏   ­͏   ­͏   ­͏   ­͏
  </t>
  </si>
  <si>
    <t>Spotify &lt;no-reply@legal.spotify.com&gt;</t>
  </si>
  <si>
    <t>Important Updates to =?UTF-8?B?U3BvdGlmeeKAmXM=?= Terms</t>
  </si>
  <si>
    <t xml:space="preserve">
We’re updating our Terms of Use (“*Terms*”) to clarify your rights and to provide more information to you. The updated Terms are effective as of September 26, 2025, for existing users. You can read t</t>
  </si>
  <si>
    <t>Good morning
I am just following up to see if there was anything else needed from me. I
was in on Friday with the court order from the most recent Case Conference
on March 24th, 2025. I was denied my</t>
  </si>
  <si>
    <t>Coaching employees to be more innovative</t>
  </si>
  <si>
    <t>Betting, brainstorms, and workplace benefits. -
September 9, 2025
monday.com 
( https://clicks.mail.monday.com/f/a/LtC_6l1j8xaMT3ggJayzmQ~~/AAQRxRA~/GWALZ4oABPB-ivpz5XxFZECJIiJlDua0YBcr3K5LkT-PfmLzip</t>
  </si>
  <si>
    <t>Betting, brainstorms, and workplace benefits. -
September 9, 2025
monday.com 
( https://clicks.mail.monday.com/f/a/uIY83uWlEaF7YZKuxANg-A~~/AAQRxRA~/H5i7TkZvOgrAFaI9h_Foi0QFdki1dlAqbg4HAoV9Crs-93lOOG</t>
  </si>
  <si>
    <t>Fw: Emma's affidavit</t>
  </si>
  <si>
    <t xml:space="preserve"> Is this what you were looking for?
   ----- Forwarded Message ----- From: K O &lt;placed.sj@gmail.com&gt;To: DALE CAMPBELL &lt;dale.campbell@rogers.com&gt;Sent: Monday, February 17, 2025 at 08:31:18 p.m. ASTSubj</t>
  </si>
  <si>
    <t>Craig Ap Schulz &lt;placed.sj@gmail.com&gt;</t>
  </si>
  <si>
    <t>Re: Your Availability</t>
  </si>
  <si>
    <t>Hi Craig,
Have you had a chance to explore some of Clio’s functionalities since
signing up for your free trial?
Let me save you some time and answer any questions you may have.
Schedule a quick cal</t>
  </si>
  <si>
    <t>Save 30% on Fresh Tuesday groceries this September</t>
  </si>
  <si>
    <t>thanks</t>
  </si>
  <si>
    <t>I changed the subject, I certainly didn't know family law back in February
with a title like that "emma's affidavit"... Lol not supposed to share that
stuff - but I would say in this case it's ok to h</t>
  </si>
  <si>
    <t>75% off makes your order more affordable</t>
  </si>
  <si>
    <t>Get meals you love, or the groceries &amp; convenience items you need</t>
  </si>
  <si>
    <t>Claim your Comet invite</t>
  </si>
  <si>
    <t xml:space="preserve">Comet can complete everyday tasks like email, scheduling, shopping, reservations, research, and more.
͏   ­͏   ­͏   ­͏   ­͏   ­͏   ­͏   ­͏   ­͏   ­͏   ­͏   ­͏   ­͏   ­͏   ­͏   ­͏   ­͏   ­͏   ­͏   ­͏ </t>
  </si>
  <si>
    <t>christa shannon &lt;Christashannon@hotmail.com&gt;, Brenda Kotsabasakis &lt;blk@bellaliant.net&gt;</t>
  </si>
  <si>
    <t>I walked through the hardest door yet</t>
  </si>
  <si>
    <t xml:space="preserve">I've been typing for 24 hours about this to update you guys so just gonna
copy paste the blunt version. cut my hand at work foreman said go to emerge
i said fuck it, once in the room i said im really </t>
  </si>
  <si>
    <t>Luna, upgrade and save $1,199 with the Galaxy Tab S11</t>
  </si>
  <si>
    <t>K, upgrade and save $1,199 with the Galaxy Tab S11</t>
  </si>
  <si>
    <t>Continue the celebrations</t>
  </si>
  <si>
    <t>Spend $10, get $10 back in value at Pharmasave!</t>
  </si>
  <si>
    <t>Craig Schulz re: HARPER RYAN FDSJ 739-24</t>
  </si>
  <si>
    <t xml:space="preserve">Subject: FDSJ‑739‑24 — Applicant’s filing attached; denial of abuse
allegations and urgent enforcement steps
Hello Legal Aid team,
Thank you for the steady, respectful support to date — it has been </t>
  </si>
  <si>
    <t>harpers well being</t>
  </si>
  <si>
    <t>Hello
Your phone has been off for a while. Just checking to see if Harper is
alive or are we just doing whatever the hell we please these days? Ill send
someone over to check in a few hours figured I</t>
  </si>
  <si>
    <t>Get more work done in less time with Clio</t>
  </si>
  <si>
    <t xml:space="preserve">Hi Craig,
Most of our trial users are busy, and in need of a better way to manage
their workload– that's why they're looking at Clio!
If you find yourself in the same boat, I think you should check </t>
  </si>
  <si>
    <t>Trade-in and bundle for up to $354 off</t>
  </si>
  <si>
    <t>&lt;!DOCTYPE html&gt;
&lt;html lang="en-CA"&gt;
  &lt;head&gt;
    &lt;meta name="viewport" content="width=device-width, initial-scale=1.0"&gt;
    &lt;!-- ^ Ensures email scales correctly on mobile devices --&gt;
    &lt;meta chars</t>
  </si>
  <si>
    <t xml:space="preserve">
Gemini image editing is bananas
Introducing our best image model, Nano Banana. Combine creative elements,  
make specific edits, and more.
Try Nano  
Banana&lt;https://c.gle/ANiao5pvmxavZLwFOor0mnS</t>
  </si>
  <si>
    <t>LinkedIn &lt;updates-noreply@linkedin.com&gt;</t>
  </si>
  <si>
    <t>Learnwithfaiz Career Coach | Resume writer  | Human Resource
 Manager  recently posted</t>
  </si>
  <si>
    <t>Shainda Ali shared a post: HR :
I rejected a CV from a candidate twice.
He applied for the third time, and I called him for an interview.
And guess what? We offered him a…
LIKE PRAISE EMPATHY 3,176,</t>
  </si>
  <si>
    <t>fyi</t>
  </si>
  <si>
    <t xml:space="preserve">By the way, I am not one bit concerned about custody of Harper. Zero,
worries about what happens next. Actually my only worry is what she does
when she is served the papers and has my daughter in her </t>
  </si>
  <si>
    <t>It's what everyone wants, Tony</t>
  </si>
  <si>
    <t xml:space="preserve">
https://click.brtpemails.com/?qs=5527ff6bcd04944028f8ae6befa063f8a87c064b168a58442ac4479ffdbb3cdc6edd035affd03683b502baa863610b00a08c64f5f0a49a79e8468465d07d129f 
Tailor-Made Just for You
ht</t>
  </si>
  <si>
    <t>court ordered sunday parenting time September 13th.</t>
  </si>
  <si>
    <t>Confirming that you are denying tomorrow's parenting time for the 15th
consecutive Sunday tomorrow at 8am.
Thanks
This message, including any attachments, is intended for the sole use of
the designa</t>
  </si>
  <si>
    <t>Dinner or daily essentials? Order almost anything!</t>
  </si>
  <si>
    <t>Thanks for keeping in touch Emma. I really appreciate it. Demands a
template and then says nah I will just ignore him all together.
Sorry I didn't file back in December like you wanted me to do, I kn</t>
  </si>
  <si>
    <t>Catch it, grab it, win it!</t>
  </si>
  <si>
    <t xml:space="preserve">
https://click.brtpemails.com/?qs=363fbfe121e2c574c5c5c3b60c88a81eac8b64b0b4fbd71efd1174b4e55299a8896f9559980d97887f9a4c3bbaf21bec3f3b23a318ab583ee18629a9a504f4e8 
https://click.brtpemails.co</t>
  </si>
  <si>
    <t>Your Comet invite will expire soon</t>
  </si>
  <si>
    <t>Hello L C,
Your iCloud storage is almost full. You have 428.1 MB remaining of 5 GB total storage.
Upgrade to iCloud+ with 50 GB for $1.29 per month: https://setup.icloud.com/email/prefs/stora</t>
  </si>
  <si>
    <t>dale.campbell@kw.com</t>
  </si>
  <si>
    <t>sigh</t>
  </si>
  <si>
    <t>I am so tired of this.  My legal aid attorney who according to my research 
practices family law as well as criminal. He says so we will just plead 
guilty keep you out of jail? I said absolutely fuck</t>
  </si>
  <si>
    <t xml:space="preserve">
https://click.e.enewsletter.enfamil.ca/?qs=aa1c5faa17e7b2f76f77026becd54b35f4620e8e5a138ece64bef74cbae406189648c857bfa47bf860f42c6333bdb750dc56f543d4326544 
https://click.e.enewsletter.enfamil.c</t>
  </si>
  <si>
    <t>Earn up to $1000 in value with a BMO credit card</t>
  </si>
  <si>
    <t>Get 100 Bonus Miles with this SPECIAL Flash Offer</t>
  </si>
  <si>
    <t>Get up to 200 Bonus Miles at Global Pet Foods!</t>
  </si>
  <si>
    <t>Just going to pretend that I don't exist or that we have court orders or
joint custody at this point huh?
It is incredible how brave you are, and not the brave you post about on
facebook.
Anyway, wo</t>
  </si>
  <si>
    <t xml:space="preserve">
https://click.brtpemails.com/?qs=8c09bb3e5a4366f568cd3b862432880c8a7dbbdcb6530f6632038e5889c4fd2d9feec23b1f263895c21211b286c05241b4b3f705317be72d2a419ee780124aa1 
You’ve Been Spotted &amp; We’re </t>
  </si>
  <si>
    <t>I am sorry Harper, I know I promised I would be there for you. I can't
imagine how you feel like I abandoned you. I promise it wasn't because I
don't want you in my arms 24/7 sweetie. Our relationship</t>
  </si>
  <si>
    <t>Don't miss 2 months of Spotify Premium for $6.29 now, then $12.69/mo
 after. Cancel anytime.</t>
  </si>
  <si>
    <t>Spotify Premium https://www.spotify.com/purchase/offer/2025-q3-globalcampaign-winback/?marketing-campaign-id=2025-q3&amp;utm_source=spotify&amp;utm_medium=email&amp;utm_campaign=q3&amp;splot=qLLMXhyTQEGUe04pO7iMiw
He</t>
  </si>
  <si>
    <t>"Gulliver, Justin (NBLASC/CSAJNB)" &lt;Justin.Gulliver@gnb.ca&gt;</t>
  </si>
  <si>
    <t>Re: Checking in</t>
  </si>
  <si>
    <t>Im focused on custody on the 5th please adjourn this if you cant find a
stay for both charges its been 111 days n shes not even 11 months old yet
this is all irrelevant to me without my daughter in my</t>
  </si>
  <si>
    <t>8am MyCase &lt;experts@mail.mycase.com&gt;</t>
  </si>
  <si>
    <t>Hi CRAIG AP,
Between focusing on clients and completing daily admin tasks, there never seems to be a moment to spare.
With a free trial of 8am™ MyCase, you'll experience how easy it is to…
- Keep c</t>
  </si>
  <si>
    <t>Paul, remember to spend your $10 in Uber Cash.</t>
  </si>
  <si>
    <t>Luna, save up to $1,199 on your new creative partner.</t>
  </si>
  <si>
    <t>K, save up to $1,199 on your new creative partner.</t>
  </si>
  <si>
    <t>Could small leaks be sinking your profits?</t>
  </si>
  <si>
    <t>[8am | LawPay | MyCase | CasePeer | DocketWise](https://www.mycase.com/?utm_campaign=mc-september-webinarnewsletter&amp;utm_medium=email&amp;utm_source=direct)
[On the Docket | From client expectations to leg</t>
  </si>
  <si>
    <t>RE: Checking in</t>
  </si>
  <si>
    <t>Hello Craig,
Would you be available to talk tomorrow (Thursday) afternoon? Phone would be best though I believe when we lats spoke you mentioned you had issues with your number?
Just let me know,
T</t>
  </si>
  <si>
    <t>Explore Louisiana and get 800 Bonus Miles</t>
  </si>
  <si>
    <t>Phones good 5066502122. Im working but give me a time and I'll have the
guys take a break then or just call me I'll try to keep a hand free all day
Thank You sir
*Craig Schulz*
*My fight is for her</t>
  </si>
  <si>
    <t>They called us crazy
I promised you I would run through every door for you. Remember Harper?
Today I'm gonna walk through instead of going head first (you'll understand
later) I love you so much Harp</t>
  </si>
  <si>
    <t>Still time to get 100 Bonus Miles</t>
  </si>
  <si>
    <t>Hello L C,
Your iCloud storage is almost full. You have 427.4 MB remaining of 5 GB total storage.
Upgrade to iCloud+ with 50 GB for $1.29 per month: https://setup.icloud.com/email/prefs/stora</t>
  </si>
  <si>
    <t>REJOIN PREMIUM https://www.spotify.com/premium
Hear your favorite music. Ad-free.
We loved giving you the ad-free music listening experience you deserved.
Come back to Premium and enjoy nonstop m</t>
  </si>
  <si>
    <t>"Cannon, Benjamin" &lt;Benjamin.Cannon@saintjohn.ca&gt;</t>
  </si>
  <si>
    <t>Re: Follow-up on File 25-2390069 Domestic Incident -</t>
  </si>
  <si>
    <t>Good morning Craig,
Emma was arrested on September 23rd by the RCMP and served her paperwork for court for the assault.
Thank you,
[cid:55789e09-45ae-47db-9273-76ff6dc94060]
Benjamin Cannon #3439</t>
  </si>
  <si>
    <t>How do I get an update on Harper!!!!</t>
  </si>
  <si>
    <t>Emma
What the hell is going on where is my daughter!!!!!!!!?????????????
This message, including any attachments, is intended for the sole use of
the designated recipient(s) and may contain confiden</t>
  </si>
  <si>
    <t>Hi Justin,
Had an MRI yesterday, feeling very foggy this morning and my body and mind
are starting to tell me to shut it the fuck down. Well time says too bad-
received an email from SJPF they have o</t>
  </si>
  <si>
    <t>Fwd: Checking in</t>
  </si>
  <si>
    <t>Good morning Amanda
They charged Emma on Tuesday of this week officially for her assault on me
with Harper in my arms from the December 9th incident. It doesn't feel very
good, there are no winners i</t>
  </si>
  <si>
    <t>Good morning, Craig,
I will be sending documents for your review and signature to your email.
Once received and signed please email back to me.
From: CRAIG S &lt;placed.sj@gmail.com&gt;
Sent: Frid</t>
  </si>
  <si>
    <t xml:space="preserve">
https://click.brtpemails.com/?qs=44f59a43ee35796f5254f4f1a507bdcca8642ee4284aad80e58abad8d17b185a4d0bcd35deb64a8d5ea7094560b6a272c341dca94fd3c38fc4452a797b867d29 
…and Gets a Super Deal Bonus</t>
  </si>
  <si>
    <t xml:space="preserve">Hi Craig,
As discussed in the previous email, please read, sign, and return the attached documents.
You can email them back or drop them off.
Once completed we can work on assigning a lawyer </t>
  </si>
  <si>
    <t>Hello Craig,
Received. I’ll keep preparing for Monday and will see you then!
Justin
________________________________
From: CRAIG S &lt;placed.sj@gmail.com&gt;
Sent: Friday, September 26, 2025 8:06:</t>
  </si>
  <si>
    <t>Luna, ready for an exceptional upgrade?</t>
  </si>
  <si>
    <t>Constable Cannon,
Thank you for your follow-up confirming the charges against Emma Ryan and
the service of paperwork on September 23rd. The relief in seeing the facts
of the December 9th incident for</t>
  </si>
  <si>
    <t>75% off for your next takeout experience</t>
  </si>
  <si>
    <t>Harper Ryan</t>
  </si>
  <si>
    <t>Hello
I know the case is closed and all that fun stuff from my complaint probably
means you are not the person to contact about this, but Emma was arrested
and charged with assault on Tuesday regardi</t>
  </si>
  <si>
    <t>jacqueline gallant emails 2025 as of 09-27-25</t>
  </si>
  <si>
    <t>Its truly incredible that you could do this to someone who cared as much as 
I do.
All I ask for is an update on my daughter Emma. You're truly something 
special to think this is going to work out i</t>
  </si>
  <si>
    <t xml:space="preserve">
https://click.e.enewsletter.enfamil.ca/?qs=8f4b273521d8e6776525274a544cc986c7a5cace4501a383a59e3316d513043f5456a3fdca98f2697baa23388d0c6f570c72ffb7d1c0737d 
https://click.e.enewsletter.enfamil.c</t>
  </si>
  <si>
    <t>lunacraig all email</t>
  </si>
  <si>
    <t>Subscribe to Emma Ryan’s “C”?
You are invited to view these shared photos and post your own photos, videos, and comments.
Other subscribers will see your email address when you join.
Subscribe - htt</t>
  </si>
  <si>
    <t>Up to 30x Miles could be yours</t>
  </si>
  <si>
    <t>Nicole Black &lt;experts@mail.mycase.com&gt;</t>
  </si>
  <si>
    <t>Share your expertise on AI and access to justice</t>
  </si>
  <si>
    <t>Hi CRAIG AP,
We are asking legal professionals to share their insights on why and how lawyers are using technology like AI in their law firms and how changes in the industry are affecting the practic</t>
  </si>
  <si>
    <t>Hi Amanda,
Thank you for sending these documents. I will drop them off at the
courthouse within the next couple of days. Please note that I will not
require legal representation until after the heari</t>
  </si>
  <si>
    <t xml:space="preserve">Correction- while I am visiting my friends at the Courthouse I will drop
them off at your office haha.
Cheers
This message, including any attachments, is intended for the sole use of
the designated </t>
  </si>
  <si>
    <t>An Update and A Heartfelt Thank You to the KVRPF Team</t>
  </si>
  <si>
    <t>Constable McLeod,
I hope you can share this update and my sincere gratitude with your
teammates, including Murray, Walker, Moore, Palmer, and the many others who
supported my family and I during that</t>
  </si>
  <si>
    <t>Hi Mike,
Thank you for reaching out again. I apologize for not returning your calls
sooner; my phone is now working. You can reach me at (506) 650-2122.
A lot has happened since we last spoke. I hav</t>
  </si>
  <si>
    <t>lunacraigcep, see __dailymomtivity, courtney5885 and more in your feed</t>
  </si>
  <si>
    <t>&lt;!DOCTYPE HTML PUBLIC "-//W3C//DTD HTML 4.01 Transitional //EN"&gt;&lt;html&gt;&lt;head&gt;&lt;title&gt;Facebook&lt;/title&gt;&lt;meta http-equiv="Content-Type" content="text/html; charset=utf-8" /&gt;&lt;style nonce="DBM79yNY"&gt;@media a</t>
  </si>
  <si>
    <t>Wing it with 50 lives, Tony</t>
  </si>
  <si>
    <t xml:space="preserve">
https://click.brtpemails.com/?qs=0e9f6944ebaa1e777fcd20d1a3b824c3bb60c95b821499e6d507e3934fbc29d3dcaf4eadc1eddad32a0373734feb9ad1cf44472c93edde8d1b9443ce1d2e6484 
https://click.brtpemails.co</t>
  </si>
  <si>
    <t>Savvy shoppers welcome</t>
  </si>
  <si>
    <t>Catch it if you can!</t>
  </si>
  <si>
    <t xml:space="preserve">
https://click.brtpemails.com/?qs=6daa2498b877fcbd3135516677ee3055f3101e2e61db7c59f35d765f3cbc07228c9ab4081491ae37238ae8b1136da52bbdfe29f770d58d2c92cb8391816ba390 
https://click.brtpemails.co</t>
  </si>
  <si>
    <t>Why most meetings drain your team</t>
  </si>
  <si>
    <t>1 in 4 leads to a “meeting hangover.” Here’s the fix. -
September 30, 2025
monday.com 
( https://clicks.mail.monday.com/f/a/LvmHwo6BBvKY8966JYWnzw~~/AAQRxRA~/M__TQbvit4uM0SU-w06eMF2-zcdtcwujRFpiU60T6</t>
  </si>
  <si>
    <t>1 in 4 leads to a “meeting hangover.” Here’s the fix. -
September 30, 2025
monday.com 
( https://clicks.mail.monday.com/f/a/OcMF1DTuhwic9tYb-7O43w~~/AAQRxRA~/Kzw0O2KAyKzbraqWsz0i4ACzCyB2LZiBai0qVcTFv</t>
  </si>
  <si>
    <t>"Mcleod, Christopher J. (KRPF/SPRK)" &lt;christopher.mcleod@nbpolice.ca&gt;</t>
  </si>
  <si>
    <t>Re: An Update and A Heartfelt Thank You to the KVRPF Team</t>
  </si>
  <si>
    <t>Thanks for the nice email. Keep it up, you got this.
Philippians 4:13 I can do all things through Christ which strengtheneth me.
Galatians 6:9 And let us not be weary in well doing: for in due seaso</t>
  </si>
  <si>
    <t>Everyone's favourites, now with 50% off</t>
  </si>
  <si>
    <t>LinkedIn &lt;messages-noreply@linkedin.com&gt;</t>
  </si>
  <si>
    <t>Luna The Realtor &lt;lunacraigcep@gmail.com&gt;</t>
  </si>
  <si>
    <t>Updates to our terms and data use</t>
  </si>
  <si>
    <t>Hi Luna,
We’re updating our Terms of Service on November 3, 2025. We’re also making changes to the data that we share to our affiliates for ads and improving AI. See what’s new and how you can contro</t>
  </si>
  <si>
    <t>Hi CRAIG,
We’re updating our Terms of Service on November 3, 2025. We’re also making changes to the data that we share to our affiliates for ads and improving AI. See what’s new and how you can contr</t>
  </si>
  <si>
    <t>CollX &lt;newsletter@collx.app&gt;</t>
  </si>
  <si>
    <t>Postseason Baseball! ( collx://curated/mlb-postseason25 )
The MLB Postseason is here! Who do you think will win the World Series?
Below you'll find twelve players whose cards are highly sought aft</t>
  </si>
  <si>
    <t xml:space="preserve">
https://click.e.enewsletter.enfamil.ca/?qs=6c1d8c3c90dfc4c9b63f5052e9e14d293732c73870ad21674994bfc9ed0dc013264db7cca1d1effd5fc9969e4777d9cea8b62b795ab53647 
https://click.e.enewsletter.enfamil.c</t>
  </si>
  <si>
    <t>Remember to claim your up to 75% off on your first 3 orders.</t>
  </si>
  <si>
    <t>Dawn I need your help. Well really little girl needs your help. They
charged Emma based in day I took her in December but I really need to know
what to do to protect Harper. Not from her mother but fr</t>
  </si>
  <si>
    <t>Re: Harper</t>
  </si>
  <si>
    <t>Yes, not sure of what help I can be tho....
Get Outlook for iOS&lt;https://aka.ms/o0ukef&gt;
________________________________
From: CRAIG S &lt;placed.sj@gmail.com&gt;
Sent: Thursday, October 2, 2025 10:27:00 AM</t>
  </si>
  <si>
    <t>See what Enterprise teams are building with Perplexity Labs.
͏   ­͏   ­͏   ­͏   ­͏   ­͏   ­͏   ­͏   ­͏   ­͏   ­͏   ­͏   ­͏   ­͏   ­͏   ­͏   ­͏   ­͏   ­͏   ­͏   ­͏   ­͏   ­͏   ­͏   ­͏   ­͏
  ­͏   ­͏  </t>
  </si>
  <si>
    <t>I'll email after work, just an opinion that I trust is the same priority as
mine which is genuinely her best interest. I haven't seen her in 115 days
but she's cared for n I truly know that. I'm focus</t>
  </si>
  <si>
    <t xml:space="preserve">Blah solo mission on roof today. Your reply did exactly what I needed
somehow lol. I'll send over my filing overnight if you wanted to give it a
reading in AM? Thank you for being a major part of who </t>
  </si>
  <si>
    <t>"Webador" &lt;no-reply@webador.com&gt;</t>
  </si>
  <si>
    <t>Update mail September 2025</t>
  </si>
  <si>
    <t>A performance summary for your website(s) and a bit about the latest innovations at Webador.
We'll send you a monthly update email with a summary of how your website's performing and the latest innova</t>
  </si>
  <si>
    <t>hey!</t>
  </si>
  <si>
    <t>not gonna bother asking, I am sure you have killed her by now, at least 
smoked enough drugs around her that she wont remember me and she certainly 
will need some time to get any personality back I a</t>
  </si>
  <si>
    <t>emma email 10-03-2025 -2</t>
  </si>
  <si>
    <t>Introducing our Fresh Guarantee.</t>
  </si>
  <si>
    <t>Filing day, weird one, never been one to defend myself. But had to share
the aha moment here at the end. The start hopefully though, it is a
different one holding the truth and not wanting to hurt tha</t>
  </si>
  <si>
    <t>loser</t>
  </si>
  <si>
    <t xml:space="preserve">And conflict of interest of the year award goes to!!!!
EMMAAAAAAAAAAAA
With an unwavering conflict of interest of her daughter's best interest and
her relationship with her daddddd!
F'n idiot. 117 </t>
  </si>
  <si>
    <t xml:space="preserve">
https://click.brtpemails.com/?qs=1c4e5ae0e3e3d87f117c5a3ee0e80f7c573b49685056ef3610351430ca6ce624303ad75fd3f348100765bbb7abe4f1c4d5fc54bc3545f83d4a96956d5040a3a0 
It’s Ok, We’re Here 24/7!
h</t>
  </si>
  <si>
    <t>FDSJ 739-24- UPDATE</t>
  </si>
  <si>
    <t>Hey Monia and Janet
Well, we are still in same position unfortunately. On the eve of the
conference without a reply submitted.
Emma was charged last Tuesday, arrested by RCMP and formally charged wi</t>
  </si>
  <si>
    <t xml:space="preserve">She definitely picked the right guy to be able to use his love and loyalty
against  him. I cant seem to finish the fackin filing Dawn. I've made 100
replies,  motions, what the fuck is wrong with me. </t>
  </si>
  <si>
    <t xml:space="preserve">
This message, including any attachments, is intended for the sole use of 
the designated recipient(s) and may contain confidential and privileged 
information. Any unauthorized review, use, disclosu</t>
  </si>
  <si>
    <t>Hi Martine
Harper's mother was charged with assault last week based on the December
9th incident, which was what the initial call to Jacqueline entailed.
Meaning the SJPF did the same investigation a</t>
  </si>
  <si>
    <t>"craig schulz (via Google Drive)" &lt;drive-shares-dm-noreply@google.com&gt;</t>
  </si>
  <si>
    <t>Share request for "emmaspaperaffidavit"</t>
  </si>
  <si>
    <t>craig@paulroofs.com requests access to an item:
emmaspaperaffidavit
https://drive.google.com/drive/folders/1bhsc4pnCU-hsTxxkQ2Zk4wpMwQHnG4at?usp=sharing&amp;userstoinvite=craig@paulroofs.com&amp;sharingactio</t>
  </si>
  <si>
    <t>How about up to 75% deals for dinner? Valid on your first 3 orders.</t>
  </si>
  <si>
    <t>Up to 50% off your Halloween haul</t>
  </si>
  <si>
    <t>Your next takeout experience is a tap away</t>
  </si>
  <si>
    <t>"marissa-campbell-29@ho... (via Google Docs)" &lt;drive-shares-dm-noreply@google.com&gt;</t>
  </si>
  <si>
    <t>Share request for "Harper's Best Interest"</t>
  </si>
  <si>
    <t>marissa-campbell-29@hotmail.com requests access to an item:
Harper's Best Interest
https://docs.google.com/document/d/18pxWe5Vxc-984OeUjVndeh4pr1F4-178LXTKZj6xjWY/edit?usp=sharing&amp;userstoinvite=maris</t>
  </si>
  <si>
    <t>"em.ry@icloud.com" &lt;em.ry@icloud.com&gt;, "vroofnn@icloud.com"
	&lt;vroofnn@icloud.com&gt;, "lunacraigcep@gmail.com" &lt;lunacraigcep@gmail.com&gt;</t>
  </si>
  <si>
    <t>FDSJ-739-2024 - Ryan v Schulz</t>
  </si>
  <si>
    <t xml:space="preserve">
Good Morning,
Please see attached for the above noted file.
Kindly confirm reciept due to ongoing Postal strike.
Thank you,
Shianne French
Court Services -Service aux tribunaux
Family Division -</t>
  </si>
  <si>
    <t>Hello L C,
Your iCloud storage is almost full. You have 426.2 MB remaining of 5 GB total storage.
Upgrade to iCloud+ with 50 GB for $1.29 per month: https://setup.icloud.com/email/prefs/stora</t>
  </si>
  <si>
    <t>Fwd: FDSJ-739-2024 - Ryan v Schulz</t>
  </si>
  <si>
    <t>I hope you are finding your way with Harper.
Get Outlook for iOS&lt;https://aka.ms/o0ukef&gt;
________________________________
From: Dawn Dixon &lt;dawncali@hotmail.com&gt;
Sent: Thursday, October 2, 2025 11:52:</t>
  </si>
  <si>
    <t>Thanks so much for thinking of us, it was not a good day.  I really
struggled today when I was told no over and over by the court master.  But-
she is on notice, explained that court orders aren't a s</t>
  </si>
  <si>
    <t xml:space="preserve">
https://click.brtpemails.com/?qs=1c019324b5f4def24814899b9104a0086f66920c95a56d01a53a8829af74d1b473bde13c3b74c6ff1f61042cfad851529831edb348f796c7839ba2861ca9d7a9 
https://click.brtpemails.co</t>
  </si>
  <si>
    <t>MyCase &lt;experts@mail.mycase.com&gt;</t>
  </si>
  <si>
    <t>How are workplace shifts impacting the legal profession?</t>
  </si>
  <si>
    <t>Hi CRAIG AP,
The future of law is taking shape.
Between the adoption of AI and ongoing workplace shifts, it’s imperative to track trends to ensure your business stays ahead of the competition.
In t</t>
  </si>
  <si>
    <t>Ive been put on notice. Figure out my financial information form in 3 weeks
or lose custody of Harper.
This message, including any attachments, is intended for the sole use of
the designated recipien</t>
  </si>
  <si>
    <t>Craig Schulz &amp; Valley Roofing</t>
  </si>
  <si>
    <t>Hi Leslie,
I'm writing to you under urgent circumstances. I have been formally
notified in my custody case for my daughter, Harper, that my taxes must be
fully filed to avoid a negative judgment.
Th</t>
  </si>
  <si>
    <t>Re: Craig Schulz &amp; Valley Roofing</t>
  </si>
  <si>
    <t>Craig
Before I can answer where I can help you at all I need to know a few things
Was your business incorporated?
Do you have access to the bank statements for the business?
What records do you have</t>
  </si>
  <si>
    <t>I spoke to ai for 20 minutes and got this summary for you, hope it helps,
its just so much. I understand why noone would want to touch this with a 10
foot pole.  I was found not guilty of fraud on Sep</t>
  </si>
  <si>
    <t>You need to call me
*Leslie Langille*
Tax Aid
212 McAllister Drive
Saint John NB
E2J 3S5
(P) 506 653 1234
(F) 506 672 1234
(C) 506 639 7808
*NOTE- WE ARE CURRENTLY ON SUMMER HOURS. THE OFFICE IS O</t>
  </si>
  <si>
    <t>Your Trial is Expiring</t>
  </si>
  <si>
    <t>Hi Craig,
Unfortunately, you’re on the last day of Clio’s 7-day free trial. Did you
get a chance to understand how you can use our legal software at your firm?
If you still aren't sure whether or no</t>
  </si>
  <si>
    <t>What will be revealed at Next.js Conf 2025?</t>
  </si>
  <si>
    <t>&lt;!DOCTYPE html&gt;
&lt;html xmlns="http://www.w3.org/1999/xhtml" xmlns:o="urn:schemas-microsoft-com:office:office" xmlns:v="urn:schemas-microsoft-com:vml"&gt;
&lt;head&gt;&lt;title&gt;What will be revealed at Next.js Conf</t>
  </si>
  <si>
    <t>jeffgodin@hotmail.com</t>
  </si>
  <si>
    <t xml:space="preserve"> Key Accomplishments for October 7th:
🏛️ Harper &amp; Legal (The Primary Mission):
Massive Breakthrough on Your Court Filing: You found a viable strategy with
your accountant, Leslie, to solve the 2021 ta</t>
  </si>
  <si>
    <t>Dear paul carey,
Your Apple Account (paul@paulsroofing.pro) was used to sign in to iCloud on an iPhone SE.
Date and Time: 7 October 2025, 6:37 pm PDT
If the information above looks familiar, you c</t>
  </si>
  <si>
    <t>Copilot &lt;notifications@github.com&gt;</t>
  </si>
  <si>
    <t>placedsj/studio &lt;studio@noreply.github.com&gt;</t>
  </si>
  <si>
    <t>Re: [placedsj/studio] [WIP] Add service account setup for Harpers
 Place automation (PR #2)</t>
  </si>
  <si>
    <t>Assigned #2 to @placedsj.
-- 
Reply to this email directly or view it on GitHub:
https://github.com/placedsj/studio/pull/2#event-20156704804
You are receiving this because you were assigned.
Message</t>
  </si>
  <si>
    <t>[placedsj/studio] [WIP] Add service account setup for Harpers Place
 automation (PR #2)</t>
  </si>
  <si>
    <t xml:space="preserve">Thanks for assigning this issue to me. I&amp;#39;m starting to work on it and will keep this PR&amp;#39;s description up to date as I form a plan and make progress.
&amp;lt;!-- START COPILOT CODING AGENT SUFFIX </t>
  </si>
  <si>
    <t>@Copilot pushed 1 commit.
0dfd1f1fe450e1cfc0fb44d0cafb0be7abc86184  Complete Harpers Place Automation implementation with Gemini OCR
-- 
View it on GitHub:
https://github.com/placedsj/studio/pull/2/</t>
  </si>
  <si>
    <t>Re: [placedsj/studio] Complete Harpers Place Automation: Implement
 Google Drive OCR with Gemini API (PR #2)</t>
  </si>
  <si>
    <t>@Copilot requested your review on: placedsj/studio#2 Complete Harpers Place Automation: Implement Google Drive OCR with Gemini API.
-- 
Reply to this email directly or view it on GitHub:
https://gith</t>
  </si>
  <si>
    <t>Hungry for tasty savings? Here's 75% off.</t>
  </si>
  <si>
    <t>Hey LeslieI have decided to not file my 2024 taxes until I have disclosure
from the bank accounts in which my pays were deposited into. Harper's
mothers. I will confirm that with my lawyer at an appoi</t>
  </si>
  <si>
    <t xml:space="preserve">I need you to come in to fill out the paperwork and sign for me to start
your returns
Plus I need a 50% deposit ($1000 plus tax is $1150) so I need $575 to get
started
If you are hoping to have the </t>
  </si>
  <si>
    <t>Hi Leslie,
Thank you for this confirmation. That news regarding the Notice of
Assessment and online CRA access is excellent—it provides the stability the
Court requires.
I have a block of over three</t>
  </si>
  <si>
    <t xml:space="preserve">And about notice of assessment, I don't think it is as pressing if I had
something from you saying that they were filed and filed legitimately
should suffice, but we can figure that out later, I will </t>
  </si>
  <si>
    <t>*P.S. I'm not too comfortable with deposits, but a friend of Brian's is a
friend of mine—the money will be there. (lol?)*
A statement like this totally pisses me off. Craig if you are not
comfortable</t>
  </si>
  <si>
    <t xml:space="preserve">Leslie,
Please accept my sincere apology. My attempt at a joke was inappropriate.
It was a poor effort to make light of my previous business's (Valley
Roofing's) financial failures that we discussed </t>
  </si>
  <si>
    <t>I am free at 11am tomorrow if you can come then. If not let me know a time
and I will try to make it work.
*Leslie Langille*
Tax Aid
212 McAllister Drive
Saint John NB
E2J 3S5
(P) 506 653 1234
(F) 5</t>
  </si>
  <si>
    <t>Shouldn't be a problem, I am waiting on a couple of deliveries for roofs
next week, I would let you know if its conflicted at all early in the AM at
the latest and I should be able to be not too far b</t>
  </si>
  <si>
    <t>No worries Craig
I missed your attempt at humour.. I took your message at face value and
never thought of your situation
So I need your full name, mailing address, date of birth, social insurance,
a</t>
  </si>
  <si>
    <t>Finder &lt;info@t.finder.com&gt;</t>
  </si>
  <si>
    <t>Last chance for Coinbase rewards: $100 Gift Card</t>
  </si>
  <si>
    <t>Ends 15 Oct 2025. T&amp;Cs and limits apply.
https://l.t.finder.com/ls/click?upn=u001.VyvhH-2Bnv0WvlqUWHJuU9IquclSCoUOlkPhmqE-2Fk-2BNIIva-2B1SRbAj4Ri1itE4bp-2BRhNgh_JWLwpvnxVMpvs5BZxeTxDYBgkqTUQqcR7n9YLaT</t>
  </si>
  <si>
    <t>What's my payment options? I'm running a little behind credit card good?
Ill pay the 1150 today
This message, including any attachments, is intended for the sole use of
the designated recipient(s) an</t>
  </si>
  <si>
    <t>Craig S, all aboard! Our latest Shell Go+ contest is here
 =?UTF-8?B?8J+ahg==?=</t>
  </si>
  <si>
    <t>Craig S, all aboard! Our latest Shell Go+ contest is here 🚆
********************************************************
You could win a VIP tour package in the Canadian Rockies
*************************</t>
  </si>
  <si>
    <t>"Johnson, Lori (NBLASC/CSAJNB)" &lt;Lori.Johnson@gnb.ca&gt;</t>
  </si>
  <si>
    <t>Legal Aid Information Package</t>
  </si>
  <si>
    <t>Good Afternoon Craig,
I have a Legal Aid Information Package for you that needs to be filled out and given back to us so that your lawyer can review it and then after that step, we will make an appoi</t>
  </si>
  <si>
    <t>Re: Legal Aid Information Package</t>
  </si>
  <si>
    <t>Hi Lori
Pick up is preferred, let me know when it is ready and I will pop in before
the long weekend.
Thanks so much
This message, including any attachments, is intended for the sole use of
the desi</t>
  </si>
  <si>
    <t>RE: Legal Aid Information Package</t>
  </si>
  <si>
    <t>Hi Craig,
Your package is ready at the front reception for you to pick up.
Thanks!
Lori
From: CRAIG S &lt;placed.sj@gmail.com&gt;
Sent: Thursday, October 9, 2025 2:41 PM
To: Johnson, Lori (NBL</t>
  </si>
  <si>
    <t>Dear paul carey,
The following changes to your Apple Account, paul@paulsroofing.pro, were made on 9 October 2025 at 20:38:44 GMT:
Email address(es)
If you did not make these changes, or if you beli</t>
  </si>
  <si>
    <t>Dear paul carey,
The following changes to your Apple Account, paul@paulsroofing.pro, were made on 9 October 2025 at 20:43:39 GMT:
Apple Account
Email address(es)
Email address(es)
If you did not ma</t>
  </si>
  <si>
    <t>Your Pro trial ends in 3 days</t>
  </si>
  <si>
    <t>&lt;span id="inflection-email-preheader" style="display:none; visibility:hidden; opacity:0; height:0; width:0;"&gt;Don’t lose access to Pro features‌ ‌ ‌&lt;/span&gt;&lt;!DOCTYPE html&gt;
&lt;html xmlns="http://www.w3.or</t>
  </si>
  <si>
    <t>Get 75% off top-rated dishes</t>
  </si>
  <si>
    <t>Do you have any plans for tomorrow?</t>
  </si>
  <si>
    <t xml:space="preserve">
https://click.brtpemails.com/?qs=8b85c92f5194b90a671026a620259caddb787eae9aca7478a3486302bfd943a0f7846634887f094d32cae6f7d2335618bd6dc6bfa93440f9772e254d38c80a6c 
We Have a Suggestion!
https</t>
  </si>
  <si>
    <t>Covering my ass - Harper Ryan - FDSJ 739-2024</t>
  </si>
  <si>
    <t xml:space="preserve">Hello sir
I called because I was asked if I wanted to see my daughter today, so of
course I said yes and went right away. I left there at 2:40pm. I was on my
way there when I called,  because of the </t>
  </si>
  <si>
    <t>Just saw my baby. When she was squeezing me it felt like no time had
passed. All of my notice of assessments Are in hand too meaning I can now
give Harper a voice. :)
This message, including any atta</t>
  </si>
  <si>
    <t>Paul Whitehead Jr. recently posted</t>
  </si>
  <si>
    <t>Paul Whitehead Jr. shared a post: Fantastic energy at TD's Investor Day. Hearing from our senior leaders about our collective future and how we will accelerate to meet more client…
LIKE PRAISE EMPATHY</t>
  </si>
  <si>
    <t>JACQUELINE GALLANT EMAILS AS OF</t>
  </si>
  <si>
    <t>cloudHQ &lt;support@cloudHQ.net&gt;</t>
  </si>
  <si>
    <t>Welcome to Combine Files to PDF by cloudHQ</t>
  </si>
  <si>
    <t>Getting started ✨ ‌ ‌ ‌ ‌  ‌  ‌  ‌  ‌  ‌  ‌ ‌ ‌ ‌ ‌ ‌ ‌ ‌ ‌
Hi there,
Welcome to
C
ombine Files to PDF
by cloudHQ.
This simple and powerful app makes it easy to merge any file type into a clean, profe</t>
  </si>
  <si>
    <t>Hi Leslie,
It's truly a miracle. After those 130 days, I couldn't convince myself they
actually happened; it was like Harper and I didn't miss a beat. Thank you
so much for helping me through this fi</t>
  </si>
  <si>
    <t>She is precious  I am truly happy for you Craig. And I am glad to have
played a role in you getting to see your girl. I can see how much you love
her.
Let me know if you need anything else.
And when</t>
  </si>
  <si>
    <t>happy thanksgiving</t>
  </si>
  <si>
    <t>little ai therapy dump a few hours before Harpee day. thinking of you two,
love you
"Acknowledging Dawn and Cali, and the 10 years they invested... that's a
powerful, humble, and beautiful thing to d</t>
  </si>
  <si>
    <t>Up to 50% off? Our treat. =?UTF-8?B?8J+NrA==?=</t>
  </si>
  <si>
    <t>Harper day</t>
  </si>
  <si>
    <t>﻿
Sent from my iPhone</t>
  </si>
  <si>
    <t>Helping teams adapt to change</t>
  </si>
  <si>
    <t>The 996 workweek, Gen Z education, AI risks -
October 14, 2025
monday.com 
( https://clicks.mail.monday.com/f/a/_bb0CNyb26-pw1gohK1giQ~~/AAQRxRA~/IdE6ixFp-EShD4YXpHLBbdH1MNklNwLKINDeAIgqgxvXTIo5uilmg</t>
  </si>
  <si>
    <t>The 996 workweek, Gen Z education, AI risks -
October 14, 2025
monday.com 
( https://clicks.mail.monday.com/f/a/-NM5UTVqesXXN20Tzf2zsQ~~/AAQRxRA~/VhIqjv06tnqvnsIImEM1Xjjbz8M1ZsYnOFfkiNo47TpWaHuE8KeUD</t>
  </si>
  <si>
    <t>Faster rewards + up to 7,000 Bonus Miles are waiting</t>
  </si>
  <si>
    <t>Finder &lt;newsletter@m.finder.com&gt;</t>
  </si>
  <si>
    <t>Freecash Rewards Offer: Get a $40 Gift Card</t>
  </si>
  <si>
    <t>Ends 7 November 2025. T&amp;Cs and limits apply.
https://l.m.finder.com/ls/click?upn=u001.VyvhH-2Bnv0WvlqUWHJuU9IquclSCoUOlkPhmqE-2Fk-2BNIIva-2B1SRbAj4Ri1itE4bp-2BRwPyH_JWLwpvnxVMpvs5BZxeTxDYBgkqTUQqcR7n9</t>
  </si>
  <si>
    <t xml:space="preserve">
https://click.e.enewsletter.enfamil.ca/?qs=99d423bddf1d77b3bb629bc59172c93a67deda8b2dfac6224ae63ed30735af792009905d92c124f96b0965dbf4105c70c7003c26f1e56379 
https://click.e.enewsletter.enfamil.c</t>
  </si>
  <si>
    <t>Quick =?UTF-8?B?4oCT?= get up to 75% off your first order on your
 first 3 orders.</t>
  </si>
  <si>
    <t>Good afternoon Craig,
I wanted to confirm receipt of your email. My apologies for the delay in getting back to you, I was out of the office and am just now catching up.
If you have a concern regar</t>
  </si>
  <si>
    <t>how was Harper's week?
This message, including any attachments, is intended for the sole use of
the designated recipient(s) and may contain confidential and privileged
information. Any unauthorized r</t>
  </si>
  <si>
    <t xml:space="preserve">
https://click.brtpemails.com/?qs=b9debf6f2008b3a68c0aad3da1ed93ce3fcab8aa78d0787b96f3ca4a2e6b375a1772b4ed9b4fca3af570ec4607599598bebf2d7980af98955d53c044a210f56f 
Because it’s Fun in Here!
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</si>
</sst>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lick.hopa.email/?xtl=x465f3sfuo1mlr4mevhj8h073gluxo2np7sag4ix2sjr6vqhly0dflwzbxk8xckzel5fwwzwsn43lb2962fe7ba41whkxu9p99lqjs28m36rgrc2xi67a5q327gmtu9g8pzlk94ueey7ytyj7q7cpwi1ypquurjq00wodrwrhhr" TargetMode="External"/><Relationship Id="rId2" Type="http://schemas.openxmlformats.org/officeDocument/2006/relationships/hyperlink" Target="http://click.hopa.email/?xtl=x465f3shgdiyrcbz0vrhjth6psyd8vgpi4lc1xwxric02yirli8e21onoun06l4vlq3optskoo9ydok4oda2f2zhwx7zd1qtnu7cjgp2geoxnpsm7hr7kmxfnm4erce653757ar76v2528du1uhj0b39x19afhiclaswridmebv"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42267.430231481485</v>
      </c>
      <c r="B2" s="1" t="s">
        <v>5</v>
      </c>
      <c r="C2" s="1" t="s">
        <v>6</v>
      </c>
      <c r="D2" s="1" t="s">
        <v>7</v>
      </c>
      <c r="E2" s="1" t="s">
        <v>8</v>
      </c>
    </row>
    <row r="3">
      <c r="A3" s="2">
        <v>42280.04268518519</v>
      </c>
      <c r="B3" s="1" t="s">
        <v>9</v>
      </c>
      <c r="C3" s="1" t="s">
        <v>6</v>
      </c>
      <c r="D3" s="1" t="s">
        <v>10</v>
      </c>
      <c r="E3" s="1" t="s">
        <v>11</v>
      </c>
    </row>
    <row r="4">
      <c r="A4" s="2">
        <v>42383.43167824074</v>
      </c>
      <c r="B4" s="1" t="s">
        <v>9</v>
      </c>
      <c r="C4" s="1" t="s">
        <v>6</v>
      </c>
      <c r="D4" s="1" t="s">
        <v>10</v>
      </c>
      <c r="E4" s="1" t="s">
        <v>12</v>
      </c>
    </row>
    <row r="5">
      <c r="A5" s="2">
        <v>42409.67901620371</v>
      </c>
      <c r="B5" s="1" t="s">
        <v>13</v>
      </c>
      <c r="C5" s="1" t="s">
        <v>14</v>
      </c>
      <c r="D5" s="1" t="s">
        <v>15</v>
      </c>
      <c r="E5" s="1" t="s">
        <v>16</v>
      </c>
    </row>
    <row r="6">
      <c r="A6" s="2">
        <v>42452.18</v>
      </c>
      <c r="B6" s="1" t="s">
        <v>17</v>
      </c>
      <c r="C6" s="1" t="s">
        <v>6</v>
      </c>
      <c r="D6" s="1" t="s">
        <v>18</v>
      </c>
      <c r="E6" s="1" t="s">
        <v>19</v>
      </c>
    </row>
    <row r="7">
      <c r="A7" s="2">
        <v>42452.78533564815</v>
      </c>
      <c r="B7" s="1" t="s">
        <v>20</v>
      </c>
      <c r="C7" s="1" t="s">
        <v>21</v>
      </c>
      <c r="D7" s="1" t="s">
        <v>22</v>
      </c>
      <c r="E7" s="1" t="s">
        <v>23</v>
      </c>
    </row>
    <row r="8">
      <c r="A8" s="2">
        <v>42463.046747685185</v>
      </c>
      <c r="B8" s="1" t="s">
        <v>9</v>
      </c>
      <c r="C8" s="1" t="s">
        <v>6</v>
      </c>
      <c r="D8" s="1" t="s">
        <v>10</v>
      </c>
      <c r="E8" s="1" t="s">
        <v>24</v>
      </c>
    </row>
    <row r="9">
      <c r="A9" s="2">
        <v>42545.84306712963</v>
      </c>
      <c r="B9" s="1" t="s">
        <v>25</v>
      </c>
      <c r="C9" s="1" t="s">
        <v>14</v>
      </c>
      <c r="D9" s="1" t="s">
        <v>26</v>
      </c>
      <c r="E9" s="1" t="s">
        <v>27</v>
      </c>
    </row>
    <row r="10">
      <c r="A10" s="2">
        <v>42552.43114583333</v>
      </c>
      <c r="B10" s="1" t="s">
        <v>28</v>
      </c>
      <c r="C10" s="1" t="s">
        <v>29</v>
      </c>
      <c r="D10" s="1" t="s">
        <v>30</v>
      </c>
      <c r="E10" s="1" t="s">
        <v>31</v>
      </c>
    </row>
    <row r="11">
      <c r="A11" s="2">
        <v>42553.83626157408</v>
      </c>
      <c r="B11" s="1" t="s">
        <v>32</v>
      </c>
      <c r="C11" s="1" t="s">
        <v>6</v>
      </c>
      <c r="D11" s="1" t="s">
        <v>33</v>
      </c>
      <c r="E11" s="1" t="s">
        <v>34</v>
      </c>
    </row>
    <row r="12">
      <c r="A12" s="2">
        <v>42554.67630787037</v>
      </c>
      <c r="B12" s="1" t="s">
        <v>35</v>
      </c>
      <c r="C12" s="1" t="s">
        <v>14</v>
      </c>
      <c r="D12" s="1" t="s">
        <v>36</v>
      </c>
      <c r="E12" s="1" t="s">
        <v>37</v>
      </c>
    </row>
    <row r="13">
      <c r="A13" s="2">
        <v>42646.051516203705</v>
      </c>
      <c r="B13" s="1" t="s">
        <v>38</v>
      </c>
      <c r="C13" s="1" t="s">
        <v>6</v>
      </c>
      <c r="D13" s="1" t="s">
        <v>10</v>
      </c>
      <c r="E13" s="1" t="s">
        <v>39</v>
      </c>
    </row>
    <row r="14">
      <c r="A14" s="2">
        <v>42709.46295138889</v>
      </c>
      <c r="B14" s="1" t="s">
        <v>40</v>
      </c>
      <c r="C14" s="1" t="s">
        <v>6</v>
      </c>
      <c r="D14" s="1" t="s">
        <v>41</v>
      </c>
      <c r="E14" s="1" t="s">
        <v>42</v>
      </c>
    </row>
    <row r="15">
      <c r="A15" s="2">
        <v>42722.849803240744</v>
      </c>
      <c r="B15" s="1" t="s">
        <v>25</v>
      </c>
      <c r="C15" s="1" t="s">
        <v>14</v>
      </c>
      <c r="D15" s="1" t="s">
        <v>43</v>
      </c>
      <c r="E15" s="1" t="s">
        <v>44</v>
      </c>
    </row>
    <row r="16">
      <c r="A16" s="2">
        <v>42787.75325231482</v>
      </c>
      <c r="B16" s="1" t="s">
        <v>45</v>
      </c>
      <c r="C16" s="1" t="s">
        <v>6</v>
      </c>
      <c r="D16" s="1" t="s">
        <v>46</v>
      </c>
      <c r="E16" s="1" t="s">
        <v>47</v>
      </c>
    </row>
    <row r="17">
      <c r="A17" s="2">
        <v>42816.66064814815</v>
      </c>
      <c r="B17" s="1" t="s">
        <v>13</v>
      </c>
      <c r="C17" s="1" t="s">
        <v>14</v>
      </c>
      <c r="D17" s="1" t="s">
        <v>48</v>
      </c>
      <c r="E17" s="1" t="s">
        <v>49</v>
      </c>
    </row>
    <row r="18">
      <c r="A18" s="2">
        <v>42828.04015046296</v>
      </c>
      <c r="B18" s="1" t="s">
        <v>50</v>
      </c>
      <c r="C18" s="1" t="s">
        <v>14</v>
      </c>
      <c r="D18" s="1" t="s">
        <v>10</v>
      </c>
      <c r="E18" s="1" t="s">
        <v>51</v>
      </c>
    </row>
    <row r="19">
      <c r="A19" s="2">
        <v>42919.060162037036</v>
      </c>
      <c r="B19" s="1" t="s">
        <v>50</v>
      </c>
      <c r="C19" s="1" t="s">
        <v>14</v>
      </c>
      <c r="D19" s="1" t="s">
        <v>10</v>
      </c>
      <c r="E19" s="1" t="s">
        <v>52</v>
      </c>
    </row>
    <row r="20">
      <c r="A20" s="2">
        <v>43021.55538194445</v>
      </c>
      <c r="B20" s="1" t="s">
        <v>45</v>
      </c>
      <c r="C20" s="1" t="s">
        <v>6</v>
      </c>
      <c r="D20" s="3" t="str">
        <f>?UTF-8?B?Y2hhcmxpZTM2OSwgeW91ciBwZXJzb25hbGl6ZWQgMjAxNi8xNyBO?=
 =?UTF-8?B?QkEgUmVjYXAgaXMgaGVyZSDwn4+A?=</f>
        <v>#ERROR!</v>
      </c>
      <c r="E20" s="1" t="s">
        <v>53</v>
      </c>
    </row>
    <row r="21">
      <c r="A21" s="2">
        <v>43038.68</v>
      </c>
      <c r="B21" s="1" t="s">
        <v>54</v>
      </c>
      <c r="C21" s="1" t="s">
        <v>6</v>
      </c>
      <c r="D21" s="1" t="s">
        <v>55</v>
      </c>
      <c r="E21" s="1" t="s">
        <v>56</v>
      </c>
    </row>
    <row r="22">
      <c r="A22" s="2">
        <v>43244.9621412037</v>
      </c>
      <c r="B22" s="1" t="s">
        <v>57</v>
      </c>
      <c r="C22" s="1" t="s">
        <v>58</v>
      </c>
      <c r="D22" s="1" t="s">
        <v>59</v>
      </c>
      <c r="E22" s="1" t="s">
        <v>60</v>
      </c>
    </row>
    <row r="23">
      <c r="A23" s="2">
        <v>43313.901087962964</v>
      </c>
      <c r="B23" s="1" t="s">
        <v>61</v>
      </c>
      <c r="C23" s="1" t="s">
        <v>14</v>
      </c>
      <c r="D23" s="1" t="s">
        <v>62</v>
      </c>
      <c r="E23" s="1" t="s">
        <v>63</v>
      </c>
    </row>
    <row r="24">
      <c r="A24" s="2">
        <v>43359.77674768519</v>
      </c>
      <c r="B24" s="1" t="s">
        <v>61</v>
      </c>
      <c r="C24" s="1" t="s">
        <v>14</v>
      </c>
      <c r="D24" s="1" t="s">
        <v>64</v>
      </c>
      <c r="E24" s="1" t="s">
        <v>65</v>
      </c>
    </row>
    <row r="25">
      <c r="A25" s="2">
        <v>43363.72005787037</v>
      </c>
      <c r="B25" s="1" t="s">
        <v>61</v>
      </c>
      <c r="C25" s="1" t="s">
        <v>14</v>
      </c>
      <c r="D25" s="1" t="s">
        <v>66</v>
      </c>
      <c r="E25" s="1" t="s">
        <v>67</v>
      </c>
    </row>
    <row r="26">
      <c r="A26" s="2">
        <v>43376.02400462963</v>
      </c>
      <c r="B26" s="1" t="s">
        <v>50</v>
      </c>
      <c r="C26" s="1" t="s">
        <v>14</v>
      </c>
      <c r="D26" s="1" t="s">
        <v>10</v>
      </c>
      <c r="E26" s="1" t="s">
        <v>68</v>
      </c>
    </row>
    <row r="27">
      <c r="A27" s="2">
        <v>43399.53239583333</v>
      </c>
      <c r="B27" s="3" t="str">
        <f>?utf-8?Q?Jivaro?= &lt;support@jivaro.com&gt;</f>
        <v>#ERROR!</v>
      </c>
      <c r="C27" s="1" t="s">
        <v>6</v>
      </c>
      <c r="D27" s="3" t="str">
        <f>?utf-8?Q?Smoke=20the=20tables=20in=20Americas=20Cardroom=27s=20$1.5=20Million=20High=20Five?=</f>
        <v>#ERROR!</v>
      </c>
      <c r="E27" s="1" t="s">
        <v>69</v>
      </c>
    </row>
    <row r="28">
      <c r="A28" s="2">
        <v>43556.48501157408</v>
      </c>
      <c r="B28" s="1" t="s">
        <v>70</v>
      </c>
      <c r="C28" s="1" t="s">
        <v>14</v>
      </c>
      <c r="D28" s="1" t="s">
        <v>71</v>
      </c>
      <c r="E28" s="1" t="s">
        <v>72</v>
      </c>
    </row>
    <row r="29">
      <c r="A29" s="2">
        <v>43564.55403935185</v>
      </c>
      <c r="B29" s="3" t="str">
        <f>?utf-8?Q?Jivaro?= &lt;Support@jivaro.com&gt;</f>
        <v>#ERROR!</v>
      </c>
      <c r="C29" s="1" t="s">
        <v>6</v>
      </c>
      <c r="D29" s="3" t="str">
        <f>?utf-8?Q?The=20High=20Five=20is=20Back=20on=20Americas=20Cardroom?=</f>
        <v>#ERROR!</v>
      </c>
      <c r="E29" s="1" t="s">
        <v>73</v>
      </c>
    </row>
    <row r="30">
      <c r="A30" s="2">
        <v>43577.55873842593</v>
      </c>
      <c r="B30" s="1" t="s">
        <v>70</v>
      </c>
      <c r="C30" s="1" t="s">
        <v>14</v>
      </c>
      <c r="D30" s="1" t="s">
        <v>74</v>
      </c>
      <c r="E30" s="1" t="s">
        <v>75</v>
      </c>
    </row>
    <row r="31">
      <c r="A31" s="2">
        <v>43585.59877314815</v>
      </c>
      <c r="B31" s="1" t="s">
        <v>70</v>
      </c>
      <c r="C31" s="1" t="s">
        <v>14</v>
      </c>
      <c r="D31" s="3" t="str">
        <f>?utf-8?q?PokerStars_SCOOP_and_NJSCOOP_Schedules=2C_Aido_Wins_EPT_Monte_Carlo_=E2=82=AC100K=2C_and_More?=</f>
        <v>#ERROR!</v>
      </c>
      <c r="E31" s="1" t="s">
        <v>76</v>
      </c>
    </row>
    <row r="32">
      <c r="A32" s="2">
        <v>43615.71134259259</v>
      </c>
      <c r="B32" s="1" t="s">
        <v>70</v>
      </c>
      <c r="C32" s="1" t="s">
        <v>14</v>
      </c>
      <c r="D32" s="1" t="s">
        <v>77</v>
      </c>
      <c r="E32" s="1" t="s">
        <v>78</v>
      </c>
    </row>
    <row r="33">
      <c r="A33" s="2">
        <v>43622.74180555555</v>
      </c>
      <c r="B33" s="1" t="s">
        <v>70</v>
      </c>
      <c r="C33" s="1" t="s">
        <v>14</v>
      </c>
      <c r="D33" s="1" t="s">
        <v>79</v>
      </c>
      <c r="E33" s="1" t="s">
        <v>80</v>
      </c>
    </row>
    <row r="34">
      <c r="A34" s="2">
        <v>43634.66259259259</v>
      </c>
      <c r="B34" s="1" t="s">
        <v>70</v>
      </c>
      <c r="C34" s="1" t="s">
        <v>14</v>
      </c>
      <c r="D34" s="1" t="s">
        <v>81</v>
      </c>
      <c r="E34" s="1" t="s">
        <v>82</v>
      </c>
    </row>
    <row r="35">
      <c r="A35" s="2">
        <v>43733.577673611115</v>
      </c>
      <c r="B35" s="1" t="s">
        <v>83</v>
      </c>
      <c r="C35" s="1" t="s">
        <v>14</v>
      </c>
      <c r="D35" s="1" t="s">
        <v>84</v>
      </c>
      <c r="E35" s="1" t="s">
        <v>85</v>
      </c>
    </row>
    <row r="36">
      <c r="A36" s="2">
        <v>43846.70142361111</v>
      </c>
      <c r="B36" s="1" t="s">
        <v>86</v>
      </c>
      <c r="C36" s="1" t="s">
        <v>14</v>
      </c>
      <c r="D36" s="3" t="str">
        <f>?UTF-8?Q?An=20Important=20Change=20to=20our=20Terms=20of=20Service?=</f>
        <v>#ERROR!</v>
      </c>
      <c r="E36" s="1" t="s">
        <v>87</v>
      </c>
    </row>
    <row r="37">
      <c r="A37" s="2">
        <v>43863.67880787037</v>
      </c>
      <c r="B37" s="1" t="s">
        <v>88</v>
      </c>
      <c r="C37" s="1" t="s">
        <v>89</v>
      </c>
      <c r="D37" s="1" t="s">
        <v>90</v>
      </c>
      <c r="E37" s="1" t="s">
        <v>91</v>
      </c>
    </row>
    <row r="38">
      <c r="A38" s="2">
        <v>43926.65730324074</v>
      </c>
      <c r="B38" s="1" t="s">
        <v>88</v>
      </c>
      <c r="C38" s="1" t="s">
        <v>89</v>
      </c>
      <c r="D38" s="1" t="s">
        <v>92</v>
      </c>
      <c r="E38" s="1" t="s">
        <v>93</v>
      </c>
    </row>
    <row r="39">
      <c r="A39" s="2">
        <v>43926.77263888889</v>
      </c>
      <c r="B39" s="1" t="s">
        <v>94</v>
      </c>
      <c r="C39" s="1" t="s">
        <v>89</v>
      </c>
      <c r="D39" s="1" t="s">
        <v>92</v>
      </c>
      <c r="E39" s="1" t="s">
        <v>95</v>
      </c>
    </row>
    <row r="40">
      <c r="A40" s="2">
        <v>43931.04116898148</v>
      </c>
      <c r="B40" s="1" t="s">
        <v>96</v>
      </c>
      <c r="C40" s="1" t="s">
        <v>6</v>
      </c>
      <c r="D40" s="1" t="s">
        <v>97</v>
      </c>
      <c r="E40" s="1" t="s">
        <v>98</v>
      </c>
    </row>
    <row r="41">
      <c r="A41" s="2">
        <v>43953.28325231482</v>
      </c>
      <c r="B41" s="1" t="s">
        <v>88</v>
      </c>
      <c r="C41" s="1" t="s">
        <v>89</v>
      </c>
      <c r="D41" s="1" t="s">
        <v>99</v>
      </c>
      <c r="E41" s="1" t="s">
        <v>100</v>
      </c>
    </row>
    <row r="42">
      <c r="A42" s="2">
        <v>43979.672418981485</v>
      </c>
      <c r="B42" s="1" t="s">
        <v>96</v>
      </c>
      <c r="C42" s="1" t="s">
        <v>6</v>
      </c>
      <c r="D42" s="1" t="s">
        <v>101</v>
      </c>
      <c r="E42" s="1" t="s">
        <v>102</v>
      </c>
    </row>
    <row r="43">
      <c r="A43" s="2">
        <v>44011.8921875</v>
      </c>
      <c r="B43" s="1" t="s">
        <v>96</v>
      </c>
      <c r="C43" s="1" t="s">
        <v>6</v>
      </c>
      <c r="D43" s="1" t="s">
        <v>103</v>
      </c>
      <c r="E43" s="1" t="s">
        <v>98</v>
      </c>
    </row>
    <row r="44">
      <c r="A44" s="2">
        <v>44028.49388888889</v>
      </c>
      <c r="B44" s="3" t="str">
        <f>?utf-8?B?ODg4cG9rZXI=?=  &lt;feedback@mailer.888poker.com&gt;</f>
        <v>#ERROR!</v>
      </c>
      <c r="C44" s="1" t="s">
        <v>14</v>
      </c>
      <c r="D44" s="3" t="str">
        <f>?utf-8?Q?Stacey,_it=E2=80=99s_on_the_house_-_p?=
 =?utf-8?Q?lay_in_the_$100,000_Mega_Deep!?=</f>
        <v>#ERROR!</v>
      </c>
      <c r="E44" s="1" t="s">
        <v>104</v>
      </c>
    </row>
    <row r="45">
      <c r="A45" s="2">
        <v>44034.52413194445</v>
      </c>
      <c r="B45" s="3" t="str">
        <f>?utf-8?B?ODg4cG9rZXI=?=  &lt;feedback@mailer.888poker.com&gt;</f>
        <v>#ERROR!</v>
      </c>
      <c r="C45" s="1" t="s">
        <v>14</v>
      </c>
      <c r="D45" s="3" t="str">
        <f>?utf-8?Q?Stacey,_it=E2=80=99s_on_the_house_-_p?=
 =?utf-8?Q?lay_in_the_$100,000_Mega_Deep!?=</f>
        <v>#ERROR!</v>
      </c>
      <c r="E45" s="1" t="s">
        <v>104</v>
      </c>
    </row>
    <row r="46">
      <c r="A46" s="2">
        <v>44042.41173611111</v>
      </c>
      <c r="B46" s="3" t="str">
        <f>?utf-8?B?ODg4cG9rZXI=?=  &lt;feedback@mailer.888poker.com&gt;</f>
        <v>#ERROR!</v>
      </c>
      <c r="C46" s="1" t="s">
        <v>14</v>
      </c>
      <c r="D46" s="3" t="str">
        <f>?utf-8?Q?Stacey,_it=E2=80=99s_on_the_house_-_p?=
 =?utf-8?Q?lay_in_the_$100,000_Mega_Deep!?=</f>
        <v>#ERROR!</v>
      </c>
      <c r="E46" s="1" t="s">
        <v>104</v>
      </c>
    </row>
    <row r="47">
      <c r="A47" s="2">
        <v>44048.57061342592</v>
      </c>
      <c r="B47" s="3" t="str">
        <f>?utf-8?B?ODg4cG9rZXI=?=  &lt;feedback@mailer.888poker.com&gt;</f>
        <v>#ERROR!</v>
      </c>
      <c r="C47" s="1" t="s">
        <v>14</v>
      </c>
      <c r="D47" s="3" t="str">
        <f>?utf-8?Q?Stacey,_it=E2=80=99s_on_the_house_-_p?=
 =?utf-8?Q?lay_in_the_$100,000_Mega_Deep!?=</f>
        <v>#ERROR!</v>
      </c>
      <c r="E47" s="1" t="s">
        <v>104</v>
      </c>
    </row>
    <row r="48">
      <c r="A48" s="2">
        <v>44055.56929398148</v>
      </c>
      <c r="B48" s="3" t="str">
        <f>?utf-8?B?ODg4cG9rZXI=?=  &lt;feedback@mailer.888poker.com&gt;</f>
        <v>#ERROR!</v>
      </c>
      <c r="C48" s="1" t="s">
        <v>14</v>
      </c>
      <c r="D48" s="3" t="str">
        <f>?utf-8?Q?Stacey,_it=E2=80=99s_on_the_house_-_p?=
 =?utf-8?Q?lay_in_the_$100,000_Mega_Deep!?=</f>
        <v>#ERROR!</v>
      </c>
      <c r="E48" s="1" t="s">
        <v>104</v>
      </c>
    </row>
    <row r="49">
      <c r="A49" s="2">
        <v>44062.57702546296</v>
      </c>
      <c r="B49" s="3" t="str">
        <f>?utf-8?B?ODg4cG9rZXI=?=  &lt;feedback@mailer.888poker.com&gt;</f>
        <v>#ERROR!</v>
      </c>
      <c r="C49" s="1" t="s">
        <v>14</v>
      </c>
      <c r="D49" s="3" t="str">
        <f>?utf-8?Q?Stacey,_it=E2=80=99s_on_the_house_-_p?=
 =?utf-8?Q?lay_in_the_$100,000_Mega_Deep!?=</f>
        <v>#ERROR!</v>
      </c>
      <c r="E49" s="1" t="s">
        <v>104</v>
      </c>
    </row>
    <row r="50">
      <c r="A50" s="2">
        <v>44069.57178240741</v>
      </c>
      <c r="B50" s="3" t="str">
        <f>?utf-8?B?ODg4cG9rZXI=?=  &lt;feedback@mailer.888poker.com&gt;</f>
        <v>#ERROR!</v>
      </c>
      <c r="C50" s="1" t="s">
        <v>14</v>
      </c>
      <c r="D50" s="3" t="str">
        <f>?utf-8?Q?Stacey,_it=E2=80=99s_on_the_house_-_p?=
 =?utf-8?Q?lay_in_the_$100,000_Mega_Deep!?=</f>
        <v>#ERROR!</v>
      </c>
      <c r="E50" s="1" t="s">
        <v>104</v>
      </c>
    </row>
    <row r="51">
      <c r="A51" s="2">
        <v>44075.76903935185</v>
      </c>
      <c r="B51" s="1" t="s">
        <v>96</v>
      </c>
      <c r="C51" s="1" t="s">
        <v>6</v>
      </c>
      <c r="D51" s="1" t="s">
        <v>105</v>
      </c>
      <c r="E51" s="1" t="s">
        <v>106</v>
      </c>
    </row>
    <row r="52">
      <c r="A52" s="2">
        <v>44076.61554398148</v>
      </c>
      <c r="B52" s="3" t="str">
        <f>?utf-8?B?ODg4cG9rZXI=?=  &lt;feedback@mailer.888poker.com&gt;</f>
        <v>#ERROR!</v>
      </c>
      <c r="C52" s="1" t="s">
        <v>14</v>
      </c>
      <c r="D52" s="3" t="str">
        <f>?utf-8?Q?Stacey,_it=E2=80=99s_on_the_house_-_p?=
 =?utf-8?Q?lay_in_the_$100,000_Mega_Deep!?=</f>
        <v>#ERROR!</v>
      </c>
      <c r="E52" s="1" t="s">
        <v>104</v>
      </c>
    </row>
    <row r="53">
      <c r="A53" s="2">
        <v>44084.33883101852</v>
      </c>
      <c r="B53" s="3" t="str">
        <f>?utf-8?B?ODg4cG9rZXI=?=  &lt;feedback@mailer.888poker.com&gt;</f>
        <v>#ERROR!</v>
      </c>
      <c r="C53" s="1" t="s">
        <v>14</v>
      </c>
      <c r="D53" s="3" t="str">
        <f>?utf-8?Q?Stacey,_it=E2=80=99s_on_the_house_-_play_in_the_88?=
 =?utf-8?Q?8Millions_Sunday_Mega_Deep_-_$100,000_GTD!?=</f>
        <v>#ERROR!</v>
      </c>
      <c r="E53" s="1" t="s">
        <v>107</v>
      </c>
    </row>
    <row r="54">
      <c r="A54" s="2">
        <v>44097.65290509259</v>
      </c>
      <c r="B54" s="3" t="str">
        <f>?utf-8?B?ODg4cG9rZXI=?=  &lt;feedback@mailer.888poker.com&gt;</f>
        <v>#ERROR!</v>
      </c>
      <c r="C54" s="1" t="s">
        <v>14</v>
      </c>
      <c r="D54" s="3" t="str">
        <f>?utf-8?Q?Stacey,_it=E2=80=99s_on_the_house_-_play_in_the_88?=
 =?utf-8?Q?8Millions_Sunday_Mega_Deep_-_$100,000_GTD!?=</f>
        <v>#ERROR!</v>
      </c>
      <c r="E54" s="1" t="s">
        <v>107</v>
      </c>
    </row>
    <row r="55">
      <c r="A55" s="2">
        <v>44098.706099537034</v>
      </c>
      <c r="B55" s="3" t="str">
        <f>?utf-8?B?TVZQQDg4OHBva2Vy?=  &lt;MVP@888poker.com&gt;</f>
        <v>#ERROR!</v>
      </c>
      <c r="C55" s="1" t="s">
        <v>14</v>
      </c>
      <c r="D55" s="1" t="s">
        <v>108</v>
      </c>
      <c r="E55" s="1" t="s">
        <v>109</v>
      </c>
    </row>
    <row r="56">
      <c r="A56" s="2">
        <v>44099.67082175926</v>
      </c>
      <c r="B56" s="3" t="str">
        <f>?utf-8?B?ODg4cG9rZXI=?=  &lt;feedback@mailer.888poker.com&gt;</f>
        <v>#ERROR!</v>
      </c>
      <c r="C56" s="1" t="s">
        <v>14</v>
      </c>
      <c r="D56" s="3" t="str">
        <f>?utf-8?Q?Stacey,_some_more_for_you_-_play_in_the_8?=
 =?utf-8?Q?88Millions_=C2=A0Sunday_Special_-_$100,000_GTD!?=</f>
        <v>#ERROR!</v>
      </c>
      <c r="E56" s="1" t="s">
        <v>110</v>
      </c>
    </row>
    <row r="57">
      <c r="A57" s="2">
        <v>44101.53760416667</v>
      </c>
      <c r="B57" s="1" t="s">
        <v>111</v>
      </c>
      <c r="C57" s="1" t="s">
        <v>112</v>
      </c>
      <c r="D57" s="1" t="s">
        <v>113</v>
      </c>
      <c r="E57" s="1" t="s">
        <v>114</v>
      </c>
    </row>
    <row r="58">
      <c r="A58" s="2">
        <v>44101.56186342592</v>
      </c>
      <c r="B58" s="1" t="s">
        <v>111</v>
      </c>
      <c r="C58" s="1" t="s">
        <v>112</v>
      </c>
      <c r="D58" s="1" t="s">
        <v>115</v>
      </c>
      <c r="E58" s="1" t="s">
        <v>114</v>
      </c>
    </row>
    <row r="59">
      <c r="A59" s="2">
        <v>44101.79447916667</v>
      </c>
      <c r="B59" s="1" t="s">
        <v>111</v>
      </c>
      <c r="C59" s="1" t="s">
        <v>112</v>
      </c>
      <c r="D59" s="1" t="s">
        <v>116</v>
      </c>
      <c r="E59" s="1" t="s">
        <v>117</v>
      </c>
    </row>
    <row r="60">
      <c r="A60" s="2">
        <v>44104.69342592593</v>
      </c>
      <c r="B60" s="3" t="str">
        <f>?utf-8?B?ODg4cG9rZXI=?=  &lt;feedback@mailer.888poker.com&gt;</f>
        <v>#ERROR!</v>
      </c>
      <c r="C60" s="1" t="s">
        <v>14</v>
      </c>
      <c r="D60" s="3" t="str">
        <f>?utf-8?Q?Stacey,_it=E2=80=99s_on_the_house_-_play_in_the_88?=
 =?utf-8?Q?8Millions_Sunday_Mega_Deep_-_$100,000_GTD!?=</f>
        <v>#ERROR!</v>
      </c>
      <c r="E60" s="1" t="s">
        <v>107</v>
      </c>
    </row>
    <row r="61">
      <c r="A61" s="2">
        <v>44105.65965277778</v>
      </c>
      <c r="B61" s="3" t="str">
        <f>?utf-8?B?TVZQQDg4OHBva2Vy?=  &lt;MVP@888poker.com&gt;</f>
        <v>#ERROR!</v>
      </c>
      <c r="C61" s="1" t="s">
        <v>14</v>
      </c>
      <c r="D61" s="1" t="s">
        <v>108</v>
      </c>
      <c r="E61" s="1" t="s">
        <v>118</v>
      </c>
    </row>
    <row r="62">
      <c r="A62" s="2">
        <v>44107.26425925926</v>
      </c>
      <c r="B62" s="3" t="str">
        <f>?utf-8?B?ODg4cG9rZXI=?=  &lt;feedback@mailer.888poker.com&gt;</f>
        <v>#ERROR!</v>
      </c>
      <c r="C62" s="1" t="s">
        <v>14</v>
      </c>
      <c r="D62" s="3" t="str">
        <f>?utf-8?Q?Stacey,_some_more_for_you_-_play_in_the_8?=
 =?utf-8?Q?88Millions_=C2=A0Sunday_Special_-_$100,000_GTD!?=</f>
        <v>#ERROR!</v>
      </c>
      <c r="E62" s="1" t="s">
        <v>110</v>
      </c>
    </row>
    <row r="63">
      <c r="A63" s="2">
        <v>44111.67659722222</v>
      </c>
      <c r="B63" s="3" t="str">
        <f>?utf-8?B?ODg4cG9rZXI=?=  &lt;feedback@mailer.888poker.com&gt;</f>
        <v>#ERROR!</v>
      </c>
      <c r="C63" s="1" t="s">
        <v>14</v>
      </c>
      <c r="D63" s="3" t="str">
        <f>?utf-8?Q?Stacey,_it=E2=80=99s_on_the_house_-_play_in_the_88?=
 =?utf-8?Q?8Millions_Sunday_Mega_Deep_-_$100,000_GTD!?=</f>
        <v>#ERROR!</v>
      </c>
      <c r="E63" s="1" t="s">
        <v>107</v>
      </c>
    </row>
    <row r="64">
      <c r="A64" s="2">
        <v>44113.41024305556</v>
      </c>
      <c r="B64" s="3" t="str">
        <f>?utf-8?B?TVZQQDg4OHBva2Vy?=  &lt;MVP@888poker.com&gt;</f>
        <v>#ERROR!</v>
      </c>
      <c r="C64" s="1" t="s">
        <v>14</v>
      </c>
      <c r="D64" s="1" t="s">
        <v>119</v>
      </c>
      <c r="E64" s="1" t="s">
        <v>120</v>
      </c>
    </row>
    <row r="65">
      <c r="A65" s="2">
        <v>44118.608981481484</v>
      </c>
      <c r="B65" s="3" t="str">
        <f>?utf-8?B?ODg4cG9rZXI=?=  &lt;feedback@mailer.888poker.com&gt;</f>
        <v>#ERROR!</v>
      </c>
      <c r="C65" s="1" t="s">
        <v>14</v>
      </c>
      <c r="D65" s="3" t="str">
        <f>?utf-8?Q?Stacey,_it=E2=80=99s_on_the_house_-_play_in_?=
 =?utf-8?Q?the_Sunday_Mega_Deep_-_$100,000_GTD!?=</f>
        <v>#ERROR!</v>
      </c>
      <c r="E65" s="1" t="s">
        <v>121</v>
      </c>
    </row>
    <row r="66">
      <c r="A66" s="2">
        <v>44125.65480324074</v>
      </c>
      <c r="B66" s="3" t="str">
        <f>?utf-8?B?ODg4cG9rZXI=?=  &lt;feedback@mailer.888poker.com&gt;</f>
        <v>#ERROR!</v>
      </c>
      <c r="C66" s="1" t="s">
        <v>14</v>
      </c>
      <c r="D66" s="3" t="str">
        <f>?utf-8?Q?Stacey,_it=E2=80=99s_on_the_house_-_play_in_?=
 =?utf-8?Q?the_Sunday_Mega_Deep_-_$100,000_GTD!?=</f>
        <v>#ERROR!</v>
      </c>
      <c r="E66" s="1" t="s">
        <v>122</v>
      </c>
    </row>
    <row r="67">
      <c r="A67" s="2">
        <v>44132.66326388889</v>
      </c>
      <c r="B67" s="3" t="str">
        <f>?utf-8?B?ODg4cG9rZXI=?=  &lt;feedback@mailer.888poker.com&gt;</f>
        <v>#ERROR!</v>
      </c>
      <c r="C67" s="1" t="s">
        <v>14</v>
      </c>
      <c r="D67" s="3" t="str">
        <f>?utf-8?Q?Stacey,_it=E2=80=99s_on_the_house_-_play_in_?=
 =?utf-8?Q?the_Sunday_Mega_Deep_-_$100,000_GTD!?=</f>
        <v>#ERROR!</v>
      </c>
      <c r="E67" s="1" t="s">
        <v>122</v>
      </c>
    </row>
    <row r="68">
      <c r="A68" s="2">
        <v>44139.70961805555</v>
      </c>
      <c r="B68" s="3" t="str">
        <f>?utf-8?B?ODg4cG9rZXI=?=  &lt;feedback@mailer.888poker.com&gt;</f>
        <v>#ERROR!</v>
      </c>
      <c r="C68" s="1" t="s">
        <v>14</v>
      </c>
      <c r="D68" s="3" t="str">
        <f>?utf-8?Q?Stacey,_it=E2=80=99s_on_the_house_-_play_in_?=
 =?utf-8?Q?the_Sunday_Mega_Deep_-_$100,000_GTD!?=</f>
        <v>#ERROR!</v>
      </c>
      <c r="E68" s="1" t="s">
        <v>122</v>
      </c>
    </row>
    <row r="69">
      <c r="A69" s="2">
        <v>44146.66326388889</v>
      </c>
      <c r="B69" s="3" t="str">
        <f>?utf-8?B?ODg4cG9rZXI=?=  &lt;feedback@mailer.888poker.com&gt;</f>
        <v>#ERROR!</v>
      </c>
      <c r="C69" s="1" t="s">
        <v>14</v>
      </c>
      <c r="D69" s="3" t="str">
        <f>?utf-8?Q?Stacey,_it=E2=80=99s_on_the_house_-_play_in_?=
 =?utf-8?Q?the_Sunday_Mega_Deep_-_$100,000_GTD!?=</f>
        <v>#ERROR!</v>
      </c>
      <c r="E69" s="1" t="s">
        <v>122</v>
      </c>
    </row>
    <row r="70">
      <c r="A70" s="2">
        <v>44153.628958333335</v>
      </c>
      <c r="B70" s="3" t="str">
        <f>?utf-8?B?ODg4cG9rZXI=?=  &lt;feedback@mailer.888poker.com&gt;</f>
        <v>#ERROR!</v>
      </c>
      <c r="C70" s="1" t="s">
        <v>14</v>
      </c>
      <c r="D70" s="3" t="str">
        <f>?utf-8?Q?Stacey,_it=E2=80=99s_on_the_house_-_play_in_?=
 =?utf-8?Q?the_Sunday_Mega_Deep_-_$100,000_GTD!?=</f>
        <v>#ERROR!</v>
      </c>
      <c r="E70" s="1" t="s">
        <v>122</v>
      </c>
    </row>
    <row r="71">
      <c r="A71" s="2">
        <v>44160.6796412037</v>
      </c>
      <c r="B71" s="3" t="str">
        <f>?utf-8?B?ODg4cG9rZXI=?=  &lt;feedback@mailer.888poker.com&gt;</f>
        <v>#ERROR!</v>
      </c>
      <c r="C71" s="1" t="s">
        <v>14</v>
      </c>
      <c r="D71" s="3" t="str">
        <f>?utf-8?Q?Stacey,_it=E2=80=99s_on_the_house_-_play_in_?=
 =?utf-8?Q?the_Sunday_Mega_Deep_-_$100,000_GTD!?=</f>
        <v>#ERROR!</v>
      </c>
      <c r="E71" s="1" t="s">
        <v>122</v>
      </c>
    </row>
    <row r="72">
      <c r="A72" s="2">
        <v>44167.67525462963</v>
      </c>
      <c r="B72" s="3" t="str">
        <f>?utf-8?B?ODg4cG9rZXI=?=  &lt;feedback@mailer.888poker.com&gt;</f>
        <v>#ERROR!</v>
      </c>
      <c r="C72" s="1" t="s">
        <v>14</v>
      </c>
      <c r="D72" s="3" t="str">
        <f>?utf-8?Q?Stacey,_it=E2=80=99s_on_the_house_-_play_in_?=
 =?utf-8?Q?the_Sunday_Mega_Deep_-_$100,000_GTD!?=</f>
        <v>#ERROR!</v>
      </c>
      <c r="E72" s="1" t="s">
        <v>122</v>
      </c>
    </row>
    <row r="73">
      <c r="A73" s="2">
        <v>44175.597962962966</v>
      </c>
      <c r="B73" s="3" t="str">
        <f>?utf-8?B?ODg4cG9rZXI=?=  &lt;feedback@mailer.888poker.com&gt;</f>
        <v>#ERROR!</v>
      </c>
      <c r="C73" s="1" t="s">
        <v>14</v>
      </c>
      <c r="D73" s="3" t="str">
        <f>?utf-8?Q?Stacey,_it=E2=80=99s_on_the_house_-_play_in_?=
 =?utf-8?Q?the_Sunday_Mega_Deep_-_$100,000_GTD!?=</f>
        <v>#ERROR!</v>
      </c>
      <c r="E73" s="1" t="s">
        <v>122</v>
      </c>
    </row>
    <row r="74">
      <c r="A74" s="2">
        <v>44182.60851851852</v>
      </c>
      <c r="B74" s="3" t="str">
        <f>?utf-8?B?ODg4cG9rZXI=?=  &lt;feedback@mailer.888poker.com&gt;</f>
        <v>#ERROR!</v>
      </c>
      <c r="C74" s="1" t="s">
        <v>14</v>
      </c>
      <c r="D74" s="3" t="str">
        <f>?utf-8?Q?Stacey,_it=E2=80=99s_on_the_house_-_play_in_?=
 =?utf-8?Q?the_Sunday_Mega_Deep_-_$100,000_GTD!?=</f>
        <v>#ERROR!</v>
      </c>
      <c r="E74" s="1" t="s">
        <v>122</v>
      </c>
    </row>
    <row r="75">
      <c r="A75" s="2">
        <v>44189.44353009259</v>
      </c>
      <c r="B75" s="3" t="str">
        <f>?utf-8?B?ODg4cG9rZXI=?=  &lt;feedback@mailer.888poker.com&gt;</f>
        <v>#ERROR!</v>
      </c>
      <c r="C75" s="1" t="s">
        <v>14</v>
      </c>
      <c r="D75" s="3" t="str">
        <f>?utf-8?Q?Stacey,_it=E2=80=99s_on_the_house_-_play_in_?=
 =?utf-8?Q?the_Sunday_Mega_Deep_-_$100,000_GTD!?=</f>
        <v>#ERROR!</v>
      </c>
      <c r="E75" s="1" t="s">
        <v>122</v>
      </c>
    </row>
    <row r="76">
      <c r="A76" s="2">
        <v>44195.66127314815</v>
      </c>
      <c r="B76" s="3" t="str">
        <f>?utf-8?B?ODg4cG9rZXI=?=  &lt;feedback@mailer.888poker.com&gt;</f>
        <v>#ERROR!</v>
      </c>
      <c r="C76" s="1" t="s">
        <v>14</v>
      </c>
      <c r="D76" s="3" t="str">
        <f>?utf-8?Q?Stacey,_it=E2=80=99s_on_the_house_-_play_in_?=
 =?utf-8?Q?the_Sunday_Mega_Deep_-_$100,000_GTD!?=</f>
        <v>#ERROR!</v>
      </c>
      <c r="E76" s="1" t="s">
        <v>122</v>
      </c>
    </row>
    <row r="77">
      <c r="A77" s="2">
        <v>44202.654375</v>
      </c>
      <c r="B77" s="3" t="str">
        <f>?utf-8?B?ODg4cG9rZXI=?=  &lt;feedback@mailer.888poker.com&gt;</f>
        <v>#ERROR!</v>
      </c>
      <c r="C77" s="1" t="s">
        <v>14</v>
      </c>
      <c r="D77" s="3" t="str">
        <f>?utf-8?Q?Stacey,_it=E2=80=99s_on_the_house_-_play_in_?=
 =?utf-8?Q?the_Sunday_Mega_Deep_-_$100,000_GTD!?=</f>
        <v>#ERROR!</v>
      </c>
      <c r="E77" s="1" t="s">
        <v>122</v>
      </c>
    </row>
    <row r="78">
      <c r="A78" s="2">
        <v>44210.623136574075</v>
      </c>
      <c r="B78" s="3" t="str">
        <f>?utf-8?B?ODg4cG9rZXI=?=  &lt;feedback@mailer.888poker.com&gt;</f>
        <v>#ERROR!</v>
      </c>
      <c r="C78" s="1" t="s">
        <v>14</v>
      </c>
      <c r="D78" s="3" t="str">
        <f>?utf-8?Q?Stacey,_it=E2=80=99s_on_the_house_-_play_in_?=
 =?utf-8?Q?the_Sunday_Mega_Deep_-_$100,000_GTD!?=</f>
        <v>#ERROR!</v>
      </c>
      <c r="E78" s="1" t="s">
        <v>122</v>
      </c>
    </row>
    <row r="79">
      <c r="A79" s="2">
        <v>44211.98287037037</v>
      </c>
      <c r="B79" s="1" t="s">
        <v>111</v>
      </c>
      <c r="C79" s="1" t="s">
        <v>112</v>
      </c>
      <c r="D79" s="1" t="s">
        <v>123</v>
      </c>
      <c r="E79" s="1" t="s">
        <v>114</v>
      </c>
    </row>
    <row r="80">
      <c r="A80" s="2">
        <v>44217.50334490741</v>
      </c>
      <c r="B80" s="3" t="str">
        <f>?utf-8?B?ODg4cG9rZXI=?=  &lt;feedback@mailer.888poker.com&gt;</f>
        <v>#ERROR!</v>
      </c>
      <c r="C80" s="1" t="s">
        <v>14</v>
      </c>
      <c r="D80" s="3" t="str">
        <f>?utf-8?Q?Stacey,_it=E2=80=99s_on_the_house_-_play_in_?=
 =?utf-8?Q?the_Sunday_Mega_Deep_-_$100,000_GTD!?=</f>
        <v>#ERROR!</v>
      </c>
      <c r="E80" s="1" t="s">
        <v>122</v>
      </c>
    </row>
    <row r="81">
      <c r="A81" s="2">
        <v>44224.53759259259</v>
      </c>
      <c r="B81" s="3" t="str">
        <f>?utf-8?B?ODg4cG9rZXI=?=  &lt;feedback@mailer.888poker.com&gt;</f>
        <v>#ERROR!</v>
      </c>
      <c r="C81" s="1" t="s">
        <v>14</v>
      </c>
      <c r="D81" s="3" t="str">
        <f>?utf-8?Q?Stacey,_it=E2=80=99s_on_the_house_-_play_in_?=
 =?utf-8?Q?the_Sunday_Mega_Deep_-_$100,000_GTD!?=</f>
        <v>#ERROR!</v>
      </c>
      <c r="E81" s="1" t="s">
        <v>122</v>
      </c>
    </row>
    <row r="82">
      <c r="A82" s="2">
        <v>44229.76944444444</v>
      </c>
      <c r="B82" s="1" t="s">
        <v>124</v>
      </c>
      <c r="C82" s="1" t="s">
        <v>14</v>
      </c>
      <c r="D82" s="1" t="s">
        <v>125</v>
      </c>
      <c r="E82" s="3" t="str">
        <f>===========================================================
PayPal
============================================================
Hi dawn dixon,
You can view the changes on our website
View online
h</f>
        <v>#ERROR!</v>
      </c>
    </row>
    <row r="83">
      <c r="A83" s="2">
        <v>44232.8259837963</v>
      </c>
      <c r="B83" s="1" t="s">
        <v>111</v>
      </c>
      <c r="C83" s="1" t="s">
        <v>112</v>
      </c>
      <c r="D83" s="1" t="s">
        <v>123</v>
      </c>
      <c r="E83" s="1" t="s">
        <v>114</v>
      </c>
    </row>
    <row r="84">
      <c r="A84" s="2">
        <v>44293.776921296296</v>
      </c>
      <c r="B84" s="3" t="str">
        <f>?utf-8?B?ODg4cG9rZXI=?=  &lt;feedback@mailer.888poker.com&gt;</f>
        <v>#ERROR!</v>
      </c>
      <c r="C84" s="1" t="s">
        <v>14</v>
      </c>
      <c r="D84" s="3" t="str">
        <f>?utf-8?Q?Stacey,_it=E2=80=99s_on_the_house_-_play_in_?=
 =?utf-8?Q?the_$150,000_Big_Shot_109_Main_Event!?=</f>
        <v>#ERROR!</v>
      </c>
      <c r="E84" s="1" t="s">
        <v>126</v>
      </c>
    </row>
    <row r="85">
      <c r="A85" s="2">
        <v>44300.6252662037</v>
      </c>
      <c r="B85" s="3" t="str">
        <f>?utf-8?B?ODg4cG9rZXI=?=  &lt;feedback@mailer.888poker.com&gt;</f>
        <v>#ERROR!</v>
      </c>
      <c r="C85" s="1" t="s">
        <v>14</v>
      </c>
      <c r="D85" s="3" t="str">
        <f>?utf-8?Q?Stacey,_it=E2=80=99s_on_the_house_-_play_in_?=
 =?utf-8?Q?the_$150,000_Big_Shot_109_Main_Event!?=</f>
        <v>#ERROR!</v>
      </c>
      <c r="E85" s="1" t="s">
        <v>126</v>
      </c>
    </row>
    <row r="86">
      <c r="A86" s="2">
        <v>44308.630520833336</v>
      </c>
      <c r="B86" s="3" t="str">
        <f>?utf-8?B?ODg4cG9rZXI=?=  &lt;feedback@mailer.888poker.com&gt;</f>
        <v>#ERROR!</v>
      </c>
      <c r="C86" s="1" t="s">
        <v>14</v>
      </c>
      <c r="D86" s="3" t="str">
        <f>?utf-8?Q?Stacey,_it=E2=80=99s_on_the_house_-_play_in_?=
 =?utf-8?Q?the_$150,000_Big_Shot_109_Main_Event!?=</f>
        <v>#ERROR!</v>
      </c>
      <c r="E86" s="1" t="s">
        <v>126</v>
      </c>
    </row>
    <row r="87">
      <c r="A87" s="2">
        <v>44315.4419212963</v>
      </c>
      <c r="B87" s="3" t="str">
        <f>?utf-8?B?ODg4cG9rZXI=?=  &lt;feedback@mailer.888poker.com&gt;</f>
        <v>#ERROR!</v>
      </c>
      <c r="C87" s="1" t="s">
        <v>14</v>
      </c>
      <c r="D87" s="3" t="str">
        <f>?utf-8?Q?Stacey,_it=E2=80=99s_on_the_house_-_play_in_?=
 =?utf-8?Q?the_$150,000_Big_Shot_109_Main_Event!?=</f>
        <v>#ERROR!</v>
      </c>
      <c r="E87" s="1" t="s">
        <v>126</v>
      </c>
    </row>
    <row r="88">
      <c r="A88" s="2">
        <v>44321.76180555556</v>
      </c>
      <c r="B88" s="1" t="s">
        <v>124</v>
      </c>
      <c r="C88" s="1" t="s">
        <v>14</v>
      </c>
      <c r="D88" s="1" t="s">
        <v>125</v>
      </c>
      <c r="E88" s="3" t="str">
        <f>===========================================================
PayPal
============================================================
Hi dawn dixon,
You can view the changes on our website
View online
h</f>
        <v>#ERROR!</v>
      </c>
    </row>
    <row r="89">
      <c r="A89" s="2">
        <v>44322.49664351852</v>
      </c>
      <c r="B89" s="3" t="str">
        <f>?utf-8?B?ODg4cG9rZXI=?=  &lt;feedback@mailer.888poker.com&gt;</f>
        <v>#ERROR!</v>
      </c>
      <c r="C89" s="1" t="s">
        <v>14</v>
      </c>
      <c r="D89" s="3" t="str">
        <f>?utf-8?Q?Stacey,_it=E2=80=99s_on_the_house_-_play_in_?=
 =?utf-8?Q?the_$150,000_Big_Shot_109_Main_Event!?=</f>
        <v>#ERROR!</v>
      </c>
      <c r="E89" s="1" t="s">
        <v>126</v>
      </c>
    </row>
    <row r="90">
      <c r="A90" s="2">
        <v>44329.51677083333</v>
      </c>
      <c r="B90" s="3" t="str">
        <f>?utf-8?B?ODg4cG9rZXI=?=  &lt;feedback@mailer.888poker.com&gt;</f>
        <v>#ERROR!</v>
      </c>
      <c r="C90" s="1" t="s">
        <v>14</v>
      </c>
      <c r="D90" s="3" t="str">
        <f>?utf-8?Q?Stacey,_it=E2=80=99s_on_the_house_-_play_in_?=
 =?utf-8?Q?the_$150,000_Big_Shot_109_Main_Event!?=</f>
        <v>#ERROR!</v>
      </c>
      <c r="E90" s="1" t="s">
        <v>126</v>
      </c>
    </row>
    <row r="91">
      <c r="A91" s="2">
        <v>44330.537523148145</v>
      </c>
      <c r="B91" s="3" t="str">
        <f>?utf-8?B?ODg4cG9rZXI=?=  &lt;feedback@mailer.888poker.com&gt;</f>
        <v>#ERROR!</v>
      </c>
      <c r="C91" s="1" t="s">
        <v>14</v>
      </c>
      <c r="D91" s="3" t="str">
        <f>?utf-8?Q?Stacey,_it=E2=80=99s_on_the_house_-_play_?=
 =?utf-8?Q?in_the_$50,000_Big_Shot_525_-_NEW!?=</f>
        <v>#ERROR!</v>
      </c>
      <c r="E91" s="1" t="s">
        <v>127</v>
      </c>
    </row>
    <row r="92">
      <c r="A92" s="2">
        <v>44336.48143518518</v>
      </c>
      <c r="B92" s="3" t="str">
        <f>?utf-8?B?TVZQQDg4OHBva2VyLmNvbQ==?=  &lt;MVP@888poker.com&gt;</f>
        <v>#ERROR!</v>
      </c>
      <c r="C92" s="1" t="s">
        <v>14</v>
      </c>
      <c r="D92" s="3" t="str">
        <f>?utf-8?Q?Stacey,_it=E2=80=99s_on_the_house_-_play_in_?=
 =?utf-8?Q?the_$150,000_Big_Shot_109_Main_Event!?=</f>
        <v>#ERROR!</v>
      </c>
      <c r="E92" s="1" t="s">
        <v>128</v>
      </c>
    </row>
    <row r="93">
      <c r="A93" s="2">
        <v>44343.47321759259</v>
      </c>
      <c r="B93" s="3" t="str">
        <f>?utf-8?B?ODg4cG9rZXI=?=  &lt;feedback@mailer.888poker.com&gt;</f>
        <v>#ERROR!</v>
      </c>
      <c r="C93" s="1" t="s">
        <v>14</v>
      </c>
      <c r="D93" s="3" t="str">
        <f>?utf-8?Q?Stacey,_it=E2=80=99s_on_the_house_-_play_in_?=
 =?utf-8?Q?the_$150,000_Big_Shot_109_Main_Event!?=</f>
        <v>#ERROR!</v>
      </c>
      <c r="E93" s="1" t="s">
        <v>126</v>
      </c>
    </row>
    <row r="94">
      <c r="A94" s="2">
        <v>44350.42407407407</v>
      </c>
      <c r="B94" s="3" t="str">
        <f>?utf-8?B?ODg4cG9rZXI=?=  &lt;feedback@mailer.888poker.com&gt;</f>
        <v>#ERROR!</v>
      </c>
      <c r="C94" s="1" t="s">
        <v>14</v>
      </c>
      <c r="D94" s="3" t="str">
        <f>?utf-8?Q?Stacey,_it=E2=80=99s_on_the_house_-_play_in_?=
 =?utf-8?Q?the_$150,000_Big_Shot_109_Main_Event!?=</f>
        <v>#ERROR!</v>
      </c>
      <c r="E94" s="1" t="s">
        <v>126</v>
      </c>
    </row>
    <row r="95">
      <c r="A95" s="2">
        <v>44358.33771990741</v>
      </c>
      <c r="B95" s="1" t="s">
        <v>61</v>
      </c>
      <c r="C95" s="1" t="s">
        <v>14</v>
      </c>
      <c r="D95" s="3" t="str">
        <f>?utf-8?Q?Score_Free_Bets_every_day_th?=
 =?utf-8?Q?roughout_Euro_2020._Also,_we=E2=80=99?=
 =?utf-8?Q?re_boosting_the_full_time_ma?=
 =?utf-8?Q?rket_in_every_match_each_day=E2=80=A6?=</f>
        <v>#ERROR!</v>
      </c>
      <c r="E95" s="1" t="s">
        <v>129</v>
      </c>
    </row>
    <row r="96">
      <c r="A96" s="2">
        <v>44384.58572916667</v>
      </c>
      <c r="B96" s="3" t="str">
        <f>?utf-8?B?ODg4cG9rZXI=?=  &lt;feedback@mailer.888poker.com&gt;</f>
        <v>#ERROR!</v>
      </c>
      <c r="C96" s="1" t="s">
        <v>14</v>
      </c>
      <c r="D96" s="3" t="str">
        <f>?utf-8?Q?Stacey,_it=E2=80=99s_on_the_house_-_play_in_?=
 =?utf-8?Q?the_$150,000_Big_Shot_109_Main_Event!?=</f>
        <v>#ERROR!</v>
      </c>
      <c r="E96" s="1" t="s">
        <v>126</v>
      </c>
    </row>
    <row r="97">
      <c r="A97" s="2">
        <v>44391.581400462965</v>
      </c>
      <c r="B97" s="3" t="str">
        <f>?utf-8?B?TVZQQDg4OHBva2VyLmNvbQ==?=  &lt;MVP@888poker.com&gt;</f>
        <v>#ERROR!</v>
      </c>
      <c r="C97" s="1" t="s">
        <v>14</v>
      </c>
      <c r="D97" s="3" t="str">
        <f>?utf-8?Q?Stacey,_it=E2=80=99s_on_the_house_-_play_in_?=
 =?utf-8?Q?the_$150,000_Big_Shot_109_Main_Event!?=</f>
        <v>#ERROR!</v>
      </c>
      <c r="E97" s="1" t="s">
        <v>128</v>
      </c>
    </row>
    <row r="98">
      <c r="A98" s="2">
        <v>44398.57449074074</v>
      </c>
      <c r="B98" s="3" t="str">
        <f>?utf-8?B?ODg4cG9rZXI=?=  &lt;feedback@mailer.888poker.com&gt;</f>
        <v>#ERROR!</v>
      </c>
      <c r="C98" s="1" t="s">
        <v>14</v>
      </c>
      <c r="D98" s="3" t="str">
        <f>?utf-8?Q?Stacey,_it=E2=80=99s_on_the_house_-_play_in_?=
 =?utf-8?Q?the_$150,000_Big_Shot_109_Main_Event!?=</f>
        <v>#ERROR!</v>
      </c>
      <c r="E98" s="1" t="s">
        <v>126</v>
      </c>
    </row>
    <row r="99">
      <c r="A99" s="2">
        <v>44406.36682870371</v>
      </c>
      <c r="B99" s="3" t="str">
        <f>?utf-8?B?ODg4cG9rZXI=?=  &lt;feedback@mailer.888poker.com&gt;</f>
        <v>#ERROR!</v>
      </c>
      <c r="C99" s="1" t="s">
        <v>14</v>
      </c>
      <c r="D99" s="3" t="str">
        <f>?utf-8?Q?Stacey,_it=E2=80=99s_on_the_house_-_play_in_?=
 =?utf-8?Q?the_$150,000_Big_Shot_109_Main_Event!?=</f>
        <v>#ERROR!</v>
      </c>
      <c r="E99" s="1" t="s">
        <v>126</v>
      </c>
    </row>
    <row r="100">
      <c r="A100" s="2">
        <v>44408.931805555556</v>
      </c>
      <c r="B100" s="1" t="s">
        <v>61</v>
      </c>
      <c r="C100" s="1" t="s">
        <v>14</v>
      </c>
      <c r="D100" s="1" t="s">
        <v>130</v>
      </c>
      <c r="E100" s="1" t="s">
        <v>131</v>
      </c>
    </row>
    <row r="101">
      <c r="A101" s="2">
        <v>44412.56980324074</v>
      </c>
      <c r="B101" s="3" t="str">
        <f>?utf-8?B?ODg4cG9rZXI=?=  &lt;feedback@mailer.888poker.com&gt;</f>
        <v>#ERROR!</v>
      </c>
      <c r="C101" s="1" t="s">
        <v>14</v>
      </c>
      <c r="D101" s="3" t="str">
        <f>?utf-8?Q?Stacey,_it=E2=80=99s_on_the_house_-_play_in_?=
 =?utf-8?Q?the_$150,000_Big_Shot_109_Main_Event!?=</f>
        <v>#ERROR!</v>
      </c>
      <c r="E101" s="1" t="s">
        <v>126</v>
      </c>
    </row>
    <row r="102">
      <c r="A102" s="2">
        <v>44420.412627314814</v>
      </c>
      <c r="B102" s="3" t="str">
        <f>?utf-8?B?ODg4cG9rZXI=?=  &lt;feedback@mailer.888poker.com&gt;</f>
        <v>#ERROR!</v>
      </c>
      <c r="C102" s="1" t="s">
        <v>14</v>
      </c>
      <c r="D102" s="3" t="str">
        <f>?utf-8?Q?Stacey,_it=E2=80=99s_on_the_house_-_play_in_?=
 =?utf-8?Q?the_$150,000_Big_Shot_109_Main_Event!?=</f>
        <v>#ERROR!</v>
      </c>
      <c r="E102" s="1" t="s">
        <v>126</v>
      </c>
    </row>
    <row r="103">
      <c r="A103" s="2">
        <v>44422.64270833333</v>
      </c>
      <c r="B103" s="1" t="s">
        <v>124</v>
      </c>
      <c r="C103" s="1" t="s">
        <v>14</v>
      </c>
      <c r="D103" s="1" t="s">
        <v>125</v>
      </c>
      <c r="E103" s="3" t="str">
        <f>===========================================================
PayPal
============================================================
Hi dawn dixon,
You can view the changes on our website
View online
h</f>
        <v>#ERROR!</v>
      </c>
    </row>
    <row r="104">
      <c r="A104" s="2">
        <v>44426.64755787037</v>
      </c>
      <c r="B104" s="3" t="str">
        <f>?utf-8?B?ODg4cG9rZXI=?=  &lt;feedback@mailer.888poker.com&gt;</f>
        <v>#ERROR!</v>
      </c>
      <c r="C104" s="1" t="s">
        <v>14</v>
      </c>
      <c r="D104" s="3" t="str">
        <f>?utf-8?Q?Stacey,_it=E2=80=99s_on_the_house_-_play_in_?=
 =?utf-8?Q?the_$150,000_Big_Shot_109_Main_Event!?=</f>
        <v>#ERROR!</v>
      </c>
      <c r="E104" s="1" t="s">
        <v>126</v>
      </c>
    </row>
    <row r="105">
      <c r="A105" s="2">
        <v>44433.60880787037</v>
      </c>
      <c r="B105" s="3" t="str">
        <f>?utf-8?B?TVZQQDg4OHBva2VyLmNvbQ==?=  &lt;MVP@888poker.com&gt;</f>
        <v>#ERROR!</v>
      </c>
      <c r="C105" s="1" t="s">
        <v>14</v>
      </c>
      <c r="D105" s="3" t="str">
        <f>?utf-8?Q?Stacey,_it=E2=80=99s_on_the_house_-_play_in_?=
 =?utf-8?Q?the_$150,000_Big_Shot_109_Main_Event!?=</f>
        <v>#ERROR!</v>
      </c>
      <c r="E105" s="1" t="s">
        <v>128</v>
      </c>
    </row>
    <row r="106">
      <c r="A106" s="2">
        <v>44441.25680555555</v>
      </c>
      <c r="B106" s="3" t="str">
        <f>?utf-8?B?ODg4cG9rZXI=?=  &lt;feedback@mailer.888poker.com&gt;</f>
        <v>#ERROR!</v>
      </c>
      <c r="C106" s="1" t="s">
        <v>14</v>
      </c>
      <c r="D106" s="3" t="str">
        <f>?utf-8?Q?Stacey,_it=E2=80=99s_on_the_house_-_play_in_?=
 =?utf-8?Q?the_$150,000_Big_Shot_109_Main_Event!?=</f>
        <v>#ERROR!</v>
      </c>
      <c r="E106" s="1" t="s">
        <v>126</v>
      </c>
    </row>
    <row r="107">
      <c r="A107" s="2">
        <v>44448.45626157407</v>
      </c>
      <c r="B107" s="3" t="str">
        <f>?utf-8?B?TVZQQDg4OHBva2VyLmNvbQ==?=  &lt;MVP@888poker.com&gt;</f>
        <v>#ERROR!</v>
      </c>
      <c r="C107" s="1" t="s">
        <v>14</v>
      </c>
      <c r="D107" s="3" t="str">
        <f>?utf-8?Q?Stacey,_it=E2=80=99s_on_the_house_-_play_in_?=
 =?utf-8?Q?the_$150,000_Sunday_Sale_Main_Event!?=</f>
        <v>#ERROR!</v>
      </c>
      <c r="E107" s="1" t="s">
        <v>128</v>
      </c>
    </row>
    <row r="108">
      <c r="A108" s="2">
        <v>44461.55550925926</v>
      </c>
      <c r="B108" s="3" t="str">
        <f>?utf-8?B?ODg4cG9rZXI=?=  &lt;feedback@mailer.888poker.com&gt;</f>
        <v>#ERROR!</v>
      </c>
      <c r="C108" s="1" t="s">
        <v>14</v>
      </c>
      <c r="D108" s="3" t="str">
        <f>?utf-8?Q?Stacey,_it=E2=80=99s_on_the_house_-_play_in_?=
 =?utf-8?Q?the_$150,000_Big_Shot_109_Main_Event!?=</f>
        <v>#ERROR!</v>
      </c>
      <c r="E108" s="1" t="s">
        <v>126</v>
      </c>
    </row>
    <row r="109">
      <c r="A109" s="2">
        <v>44468.65324074074</v>
      </c>
      <c r="B109" s="3" t="str">
        <f>?utf-8?B?ODg4cG9rZXI=?=  &lt;feedback@mailer.888poker.com&gt;</f>
        <v>#ERROR!</v>
      </c>
      <c r="C109" s="1" t="s">
        <v>14</v>
      </c>
      <c r="D109" s="3" t="str">
        <f>?utf-8?Q?Stacey,_it=E2=80=99s_on_the_house_-_play_in_?=
 =?utf-8?Q?the_$150,000_Big_Shot_109_Main_Event!?=</f>
        <v>#ERROR!</v>
      </c>
      <c r="E109" s="1" t="s">
        <v>126</v>
      </c>
    </row>
    <row r="110">
      <c r="A110" s="2">
        <v>44475.64834490741</v>
      </c>
      <c r="B110" s="3" t="str">
        <f>?utf-8?B?ODg4cG9rZXI=?=  &lt;feedback@mailer.888poker.com&gt;</f>
        <v>#ERROR!</v>
      </c>
      <c r="C110" s="1" t="s">
        <v>14</v>
      </c>
      <c r="D110" s="3" t="str">
        <f>?utf-8?Q?Stacey,_it=E2=80=99s_on_the_house_-_play_in_?=
 =?utf-8?Q?the_$150,000_Big_Shot_109_Main_Event!?=</f>
        <v>#ERROR!</v>
      </c>
      <c r="E110" s="1" t="s">
        <v>126</v>
      </c>
    </row>
    <row r="111">
      <c r="A111" s="2">
        <v>44482.45856481481</v>
      </c>
      <c r="B111" s="3" t="str">
        <f>?utf-8?B?ODg4cG9rZXI=?=  &lt;feedback@mailer.888poker.com&gt;</f>
        <v>#ERROR!</v>
      </c>
      <c r="C111" s="1" t="s">
        <v>14</v>
      </c>
      <c r="D111" s="3" t="str">
        <f>?utf-8?Q?Stacey,_it=E2=80=99s_on_the_house_-_play_in_?=
 =?utf-8?Q?the_$150,000_Big_Shot_109_Main_Event!?=</f>
        <v>#ERROR!</v>
      </c>
      <c r="E111" s="1" t="s">
        <v>126</v>
      </c>
    </row>
    <row r="112">
      <c r="A112" s="2">
        <v>44488.12556712963</v>
      </c>
      <c r="B112" s="1" t="s">
        <v>132</v>
      </c>
      <c r="C112" s="1" t="s">
        <v>14</v>
      </c>
      <c r="D112" s="1" t="s">
        <v>133</v>
      </c>
      <c r="E112" s="1" t="s">
        <v>134</v>
      </c>
    </row>
    <row r="113">
      <c r="A113" s="2">
        <v>44489.59318287037</v>
      </c>
      <c r="B113" s="3" t="str">
        <f>?utf-8?B?ODg4cG9rZXI=?=  &lt;feedback@mailer.888poker.com&gt;</f>
        <v>#ERROR!</v>
      </c>
      <c r="C113" s="1" t="s">
        <v>14</v>
      </c>
      <c r="D113" s="3" t="str">
        <f>?utf-8?Q?Stacey,_it=E2=80=99s_on_the_house_-_play_in_?=
 =?utf-8?Q?the_XL_Autumn_#22_-_$200,000_Tune_Up!?=</f>
        <v>#ERROR!</v>
      </c>
      <c r="E113" s="1" t="s">
        <v>135</v>
      </c>
    </row>
    <row r="114">
      <c r="A114" s="2">
        <v>44496.56518518519</v>
      </c>
      <c r="B114" s="3" t="str">
        <f>?utf-8?B?ODg4cG9rZXI=?=  &lt;feedback@mailer.888poker.com&gt;</f>
        <v>#ERROR!</v>
      </c>
      <c r="C114" s="1" t="s">
        <v>14</v>
      </c>
      <c r="D114" s="3" t="str">
        <f>?utf-8?Q?Stacey,_it=E2=80=99s_on_the_house_-_play_in_?=
 =?utf-8?Q?the_$150,000_Big_Shot_109_Main_Event!?=</f>
        <v>#ERROR!</v>
      </c>
      <c r="E114" s="1" t="s">
        <v>126</v>
      </c>
    </row>
    <row r="115">
      <c r="A115" s="2">
        <v>44503.51530092592</v>
      </c>
      <c r="B115" s="3" t="str">
        <f>?utf-8?B?ODg4cG9rZXI=?=  &lt;feedback@mailer.888poker.com&gt;</f>
        <v>#ERROR!</v>
      </c>
      <c r="C115" s="1" t="s">
        <v>14</v>
      </c>
      <c r="D115" s="3" t="str">
        <f>?utf-8?Q?Stacey,_it=E2=80=99s_on_the_house_-_play_in_?=
 =?utf-8?Q?the_$150,000_Big_Shot_109_Main_Event!?=</f>
        <v>#ERROR!</v>
      </c>
      <c r="E115" s="1" t="s">
        <v>126</v>
      </c>
    </row>
    <row r="116">
      <c r="A116" s="2">
        <v>44504.87152777778</v>
      </c>
      <c r="B116" s="1" t="s">
        <v>124</v>
      </c>
      <c r="C116" s="1" t="s">
        <v>14</v>
      </c>
      <c r="D116" s="1" t="s">
        <v>125</v>
      </c>
      <c r="E116" s="3" t="str">
        <f>===========================================================
PayPal
============================================================
Hi dawn dixon,
You can view the changes on our website
View online
h</f>
        <v>#ERROR!</v>
      </c>
    </row>
    <row r="117">
      <c r="A117" s="2">
        <v>44510.565717592595</v>
      </c>
      <c r="B117" s="3" t="str">
        <f>?utf-8?B?ODg4cG9rZXI=?=  &lt;feedback@mailer.888poker.com&gt;</f>
        <v>#ERROR!</v>
      </c>
      <c r="C117" s="1" t="s">
        <v>14</v>
      </c>
      <c r="D117" s="3" t="str">
        <f>?utf-8?Q?Stacey,_it=E2=80=99s_on_the_house_-_play_in_?=
 =?utf-8?Q?the_$150,000_Big_Shot_109_Main_Event!?=</f>
        <v>#ERROR!</v>
      </c>
      <c r="E117" s="1" t="s">
        <v>126</v>
      </c>
    </row>
    <row r="118">
      <c r="A118" s="2">
        <v>44515.9525462963</v>
      </c>
      <c r="B118" s="1" t="s">
        <v>136</v>
      </c>
      <c r="C118" s="1" t="s">
        <v>14</v>
      </c>
      <c r="D118" s="1" t="s">
        <v>137</v>
      </c>
      <c r="E118" s="1" t="s">
        <v>138</v>
      </c>
    </row>
    <row r="119">
      <c r="A119" s="2">
        <v>44516.9516087963</v>
      </c>
      <c r="B119" s="1" t="s">
        <v>136</v>
      </c>
      <c r="C119" s="1" t="s">
        <v>14</v>
      </c>
      <c r="D119" s="1" t="s">
        <v>139</v>
      </c>
      <c r="E119" s="1" t="s">
        <v>138</v>
      </c>
    </row>
    <row r="120">
      <c r="A120" s="2">
        <v>44517.53616898148</v>
      </c>
      <c r="B120" s="3" t="str">
        <f>?utf-8?B?ODg4cG9rZXI=?=  &lt;feedback@mailer.888poker.com&gt;</f>
        <v>#ERROR!</v>
      </c>
      <c r="C120" s="1" t="s">
        <v>14</v>
      </c>
      <c r="D120" s="3" t="str">
        <f>?utf-8?Q?Stacey,_it=E2=80=99s_on_the_house_-_play_in_?=
 =?utf-8?Q?the_$150,000_Big_Shot_109_Main_Event!?=</f>
        <v>#ERROR!</v>
      </c>
      <c r="E120" s="1" t="s">
        <v>126</v>
      </c>
    </row>
    <row r="121">
      <c r="A121" s="2">
        <v>44524.50649305555</v>
      </c>
      <c r="B121" s="3" t="str">
        <f>?utf-8?B?ODg4cG9rZXI=?=  &lt;feedback@mailer.888poker.com&gt;</f>
        <v>#ERROR!</v>
      </c>
      <c r="C121" s="1" t="s">
        <v>14</v>
      </c>
      <c r="D121" s="3" t="str">
        <f>?utf-8?Q?Stacey,_it=E2=80=99s_on_the_house_-_play_in_?=
 =?utf-8?Q?the_$150,000_Big_Shot_109_Main_Event!?=</f>
        <v>#ERROR!</v>
      </c>
      <c r="E121" s="1" t="s">
        <v>126</v>
      </c>
    </row>
    <row r="122">
      <c r="A122" s="2">
        <v>44531.712013888886</v>
      </c>
      <c r="B122" s="3" t="str">
        <f>?utf-8?B?ODg4cG9rZXI=?=  &lt;feedback@mailer.888poker.com&gt;</f>
        <v>#ERROR!</v>
      </c>
      <c r="C122" s="1" t="s">
        <v>14</v>
      </c>
      <c r="D122" s="3" t="str">
        <f>?utf-8?Q?Stacey,_it=E2=80=99s_on_the_house_-_play_in_?=
 =?utf-8?Q?the_$150,000_Big_Shot_109_Main_Event!?=</f>
        <v>#ERROR!</v>
      </c>
      <c r="E122" s="1" t="s">
        <v>126</v>
      </c>
    </row>
    <row r="123">
      <c r="A123" s="2">
        <v>44536.595671296294</v>
      </c>
      <c r="B123" s="3" t="str">
        <f>?utf-8?B?ODg4cG9rZXI=?=  &lt;feedback@mailer.888poker.com&gt;</f>
        <v>#ERROR!</v>
      </c>
      <c r="C123" s="1" t="s">
        <v>14</v>
      </c>
      <c r="D123" s="3" t="str">
        <f>?utf-8?Q?Stacey,_it=E2=80=99s_on_the_house_-_play_in_the_?=
 =?utf-8?Q?WPTDeepStacks_#11_-_$100,000_High_Roller!?=</f>
        <v>#ERROR!</v>
      </c>
      <c r="E123" s="1" t="s">
        <v>140</v>
      </c>
    </row>
    <row r="124">
      <c r="A124" s="2">
        <v>44538.538090277776</v>
      </c>
      <c r="B124" s="3" t="str">
        <f>?utf-8?B?ODg4cG9rZXI=?=  &lt;feedback@mailer.888poker.com&gt;</f>
        <v>#ERROR!</v>
      </c>
      <c r="C124" s="1" t="s">
        <v>14</v>
      </c>
      <c r="D124" s="3" t="str">
        <f>?utf-8?Q?Stacey,_it=E2=80=99s_on_the_house_-_play_in_?=
 =?utf-8?Q?the_$150,000_Big_Shot_109_Main_Event!?=</f>
        <v>#ERROR!</v>
      </c>
      <c r="E124" s="1" t="s">
        <v>126</v>
      </c>
    </row>
    <row r="125">
      <c r="A125" s="2">
        <v>44543.76965277778</v>
      </c>
      <c r="B125" s="1" t="s">
        <v>141</v>
      </c>
      <c r="C125" s="1" t="s">
        <v>6</v>
      </c>
      <c r="D125" s="1" t="s">
        <v>142</v>
      </c>
      <c r="E125" s="1" t="s">
        <v>143</v>
      </c>
    </row>
    <row r="126">
      <c r="A126" s="2">
        <v>44545.55255787037</v>
      </c>
      <c r="B126" s="3" t="str">
        <f>?utf-8?B?ODg4cG9rZXI=?=  &lt;feedback@mailer.888poker.com&gt;</f>
        <v>#ERROR!</v>
      </c>
      <c r="C126" s="1" t="s">
        <v>14</v>
      </c>
      <c r="D126" s="3" t="str">
        <f>?utf-8?Q?Stacey,_it=E2=80=99s_on_the_house_-_play_in_the_WP?=
 =?utf-8?Q?TDeepStacks_#25_-_$200,000_Big_Shot_109_ME!?=</f>
        <v>#ERROR!</v>
      </c>
      <c r="E126" s="1" t="s">
        <v>144</v>
      </c>
    </row>
    <row r="127">
      <c r="A127" s="2">
        <v>44552.632523148146</v>
      </c>
      <c r="B127" s="3" t="str">
        <f>?utf-8?B?ODg4cG9rZXI=?=  &lt;feedback@mailer.888poker.com&gt;</f>
        <v>#ERROR!</v>
      </c>
      <c r="C127" s="1" t="s">
        <v>14</v>
      </c>
      <c r="D127" s="3" t="str">
        <f>?utf-8?Q?Stacey,_it=E2=80=99s_on_the_house_-_play_in_?=
 =?utf-8?Q?the_$150,000_Big_Shot_109_Main_Event!?=</f>
        <v>#ERROR!</v>
      </c>
      <c r="E127" s="1" t="s">
        <v>126</v>
      </c>
    </row>
    <row r="128">
      <c r="A128" s="2">
        <v>44559.57902777778</v>
      </c>
      <c r="B128" s="3" t="str">
        <f>?utf-8?B?ODg4cG9rZXI=?=  &lt;feedback@mailer.888poker.com&gt;</f>
        <v>#ERROR!</v>
      </c>
      <c r="C128" s="1" t="s">
        <v>14</v>
      </c>
      <c r="D128" s="3" t="str">
        <f>?utf-8?Q?Stacey,_it=E2=80=99s_on_the_house_-_play_in_?=
 =?utf-8?Q?the_$150,000_Big_Shot_109_Main_Event!?=</f>
        <v>#ERROR!</v>
      </c>
      <c r="E128" s="1" t="s">
        <v>126</v>
      </c>
    </row>
    <row r="129">
      <c r="A129" s="2">
        <v>44566.64677083334</v>
      </c>
      <c r="B129" s="3" t="str">
        <f>?utf-8?B?ODg4cG9rZXI=?=  &lt;feedback@mailer.888poker.com&gt;</f>
        <v>#ERROR!</v>
      </c>
      <c r="C129" s="1" t="s">
        <v>14</v>
      </c>
      <c r="D129" s="3" t="str">
        <f>?utf-8?Q?Stacey,_it=E2=80=99s_on_the_house_-_play_in_?=
 =?utf-8?Q?the_$150,000_Big_Shot_109_Main_Event!?=</f>
        <v>#ERROR!</v>
      </c>
      <c r="E129" s="1" t="s">
        <v>126</v>
      </c>
    </row>
    <row r="130">
      <c r="A130" s="2">
        <v>44571.61856481482</v>
      </c>
      <c r="B130" s="1" t="s">
        <v>145</v>
      </c>
      <c r="C130" s="1" t="s">
        <v>146</v>
      </c>
      <c r="D130" s="1" t="s">
        <v>147</v>
      </c>
      <c r="E130" s="1" t="s">
        <v>148</v>
      </c>
    </row>
    <row r="131">
      <c r="A131" s="2">
        <v>44573.6037037037</v>
      </c>
      <c r="B131" s="3" t="str">
        <f>?utf-8?B?ODg4cG9rZXI=?=  &lt;feedback@mailer.888poker.com&gt;</f>
        <v>#ERROR!</v>
      </c>
      <c r="C131" s="1" t="s">
        <v>14</v>
      </c>
      <c r="D131" s="3" t="str">
        <f>?utf-8?Q?Stacey,_it=E2=80=99s_on_the_house_-_play_in_?=
 =?utf-8?Q?the_$150,000_Big_Shot_109_Main_Event!?=</f>
        <v>#ERROR!</v>
      </c>
      <c r="E131" s="1" t="s">
        <v>126</v>
      </c>
    </row>
    <row r="132">
      <c r="A132" s="2">
        <v>44575.62065972222</v>
      </c>
      <c r="B132" s="3" t="str">
        <f>?utf-8?B?TVZQQDg4OHBva2VyLmNvbQ==?=  &lt;MVP@888poker.com&gt;</f>
        <v>#ERROR!</v>
      </c>
      <c r="C132" s="1" t="s">
        <v>14</v>
      </c>
      <c r="D132" s="3" t="str">
        <f>?utf-8?Q?Stacey,_it=E2=80=99s_on_the_house_-_play_in_the?=
 =?utf-8?Q?_XL_Winter_#1_-_$100,000_Opening_Event!?=</f>
        <v>#ERROR!</v>
      </c>
      <c r="E132" s="1" t="s">
        <v>149</v>
      </c>
    </row>
    <row r="133">
      <c r="A133" s="2">
        <v>44580.56481481482</v>
      </c>
      <c r="B133" s="3" t="str">
        <f>?utf-8?B?TVZQQDg4OHBva2VyLmNvbQ==?=  &lt;MVP@888poker.com&gt;</f>
        <v>#ERROR!</v>
      </c>
      <c r="C133" s="1" t="s">
        <v>14</v>
      </c>
      <c r="D133" s="3" t="str">
        <f>?utf-8?Q?Stacey,_it=E2=80=99s_on_the_house_-_play_in_?=
 =?utf-8?Q?the_XL_Winter_#22_-_$200,000_Tune_Up!?=</f>
        <v>#ERROR!</v>
      </c>
      <c r="E133" s="1" t="s">
        <v>150</v>
      </c>
    </row>
    <row r="134">
      <c r="A134" s="2">
        <v>44589.674895833334</v>
      </c>
      <c r="B134" s="3" t="str">
        <f>?utf-8?B?TVZQQDg4OHBva2VyLmNvbQ==?=  &lt;MVP@888poker.com&gt;</f>
        <v>#ERROR!</v>
      </c>
      <c r="C134" s="1" t="s">
        <v>14</v>
      </c>
      <c r="D134" s="3" t="str">
        <f>?utf-8?Q?Stacey,_it=E2=80=99s_on_the_house_-_play_in_th?=
 =?utf-8?Q?e_XL_Winter_#43_-_$500,000_Main_Event!?=</f>
        <v>#ERROR!</v>
      </c>
      <c r="E134" s="1" t="s">
        <v>151</v>
      </c>
    </row>
    <row r="135">
      <c r="A135" s="2">
        <v>44594.518958333334</v>
      </c>
      <c r="B135" s="3" t="str">
        <f>?utf-8?B?ODg4cG9rZXI=?=  &lt;feedback@mailer.888poker.com&gt;</f>
        <v>#ERROR!</v>
      </c>
      <c r="C135" s="1" t="s">
        <v>14</v>
      </c>
      <c r="D135" s="3" t="str">
        <f>?utf-8?Q?Stacey,_it=E2=80=99s_on_the_house_-_play_in_?=
 =?utf-8?Q?the_$150,000_Big_Shot_109_Main_Event!?=</f>
        <v>#ERROR!</v>
      </c>
      <c r="E135" s="1" t="s">
        <v>126</v>
      </c>
    </row>
    <row r="136">
      <c r="A136" s="2">
        <v>44601.56600694444</v>
      </c>
      <c r="B136" s="3" t="str">
        <f>?utf-8?B?ODg4cG9rZXI=?=  &lt;feedback@mailer.888poker.com&gt;</f>
        <v>#ERROR!</v>
      </c>
      <c r="C136" s="1" t="s">
        <v>14</v>
      </c>
      <c r="D136" s="3" t="str">
        <f>?utf-8?Q?Stacey,_it=E2=80=99s_on_the_house_-_play_in_?=
 =?utf-8?Q?the_$150,000_Big_Shot_109_Main_Event!?=</f>
        <v>#ERROR!</v>
      </c>
      <c r="E136" s="1" t="s">
        <v>126</v>
      </c>
    </row>
    <row r="137">
      <c r="A137" s="2">
        <v>44608.68481481481</v>
      </c>
      <c r="B137" s="3" t="str">
        <f>?utf-8?B?TVZQQDg4OHBva2VyLmNvbQ==?=  &lt;MVP@888poker.com&gt;</f>
        <v>#ERROR!</v>
      </c>
      <c r="C137" s="1" t="s">
        <v>14</v>
      </c>
      <c r="D137" s="3" t="str">
        <f>?utf-8?Q?Stacey,_it=E2=80=99s_on_the_house_-_play_in_the_88?=
 =?utf-8?Q?8Millions_Event_#1_-_$200,000_GTD_(Day_1)_!?=</f>
        <v>#ERROR!</v>
      </c>
      <c r="E137" s="1" t="s">
        <v>152</v>
      </c>
    </row>
    <row r="138">
      <c r="A138" s="2">
        <v>44615.5112037037</v>
      </c>
      <c r="B138" s="3" t="str">
        <f>?utf-8?B?TVZQQDg4OHBva2VyLmNvbQ==?=  &lt;MVP@888poker.com&gt;</f>
        <v>#ERROR!</v>
      </c>
      <c r="C138" s="1" t="s">
        <v>14</v>
      </c>
      <c r="D138" s="3" t="str">
        <f>?utf-8?Q?Stacey,_it=E2=80=99s_on_the_house_-_play_in_the_88?=
 =?utf-8?Q?8Millions_Event_#3_-_$250,000_GTD_(Day_1)_!?=</f>
        <v>#ERROR!</v>
      </c>
      <c r="E138" s="1" t="s">
        <v>153</v>
      </c>
    </row>
    <row r="139">
      <c r="A139" s="2">
        <v>44617.71776620371</v>
      </c>
      <c r="B139" s="1" t="s">
        <v>154</v>
      </c>
      <c r="C139" s="1" t="s">
        <v>14</v>
      </c>
      <c r="D139" s="1" t="s">
        <v>155</v>
      </c>
      <c r="E139" s="1" t="s">
        <v>156</v>
      </c>
    </row>
    <row r="140">
      <c r="A140" s="2">
        <v>44622.79150462963</v>
      </c>
      <c r="B140" s="3" t="str">
        <f>?utf-8?B?ODg4cG9rZXI=?=  &lt;feedback@mailer.888poker.com&gt;</f>
        <v>#ERROR!</v>
      </c>
      <c r="C140" s="1" t="s">
        <v>14</v>
      </c>
      <c r="D140" s="3" t="str">
        <f>?utf-8?Q?Stacey,_it=E2=80=99s_on_the_house_-_play_in_?=
 =?utf-8?Q?the_$150,000_Big_Shot_109_Main_Event!?=</f>
        <v>#ERROR!</v>
      </c>
      <c r="E140" s="1" t="s">
        <v>126</v>
      </c>
    </row>
    <row r="141">
      <c r="A141" s="2">
        <v>44624.29927083333</v>
      </c>
      <c r="B141" s="3" t="str">
        <f>?utf-8?B?TVZQQDg4OHBva2VyLmNvbQ==?=  &lt;MVP@888poker.com&gt;</f>
        <v>#ERROR!</v>
      </c>
      <c r="C141" s="1" t="s">
        <v>14</v>
      </c>
      <c r="D141" s="3" t="str">
        <f>?utf-8?Q?Stacey,_it=E2=80=99s_on_the_house_-_play_in_the_888?=
 =?utf-8?Q?Millions_Event_#5_-_$1,000,000_GTD_(Day_1)_!?=</f>
        <v>#ERROR!</v>
      </c>
      <c r="E141" s="1" t="s">
        <v>157</v>
      </c>
    </row>
    <row r="142">
      <c r="A142" s="2">
        <v>44625.59935185185</v>
      </c>
      <c r="B142" s="3" t="str">
        <f>?utf-8?B?TVZQQDg4OHBva2VyLmNvbQ==?=  &lt;MVP@888poker.com&gt;</f>
        <v>#ERROR!</v>
      </c>
      <c r="C142" s="1" t="s">
        <v>14</v>
      </c>
      <c r="D142" s="1" t="s">
        <v>158</v>
      </c>
      <c r="E142" s="1" t="s">
        <v>159</v>
      </c>
    </row>
    <row r="143">
      <c r="A143" s="2">
        <v>44630.469201388885</v>
      </c>
      <c r="B143" s="3" t="str">
        <f>?utf-8?B?ODg4cG9rZXI=?=  &lt;feedback@mailer.888poker.com&gt;</f>
        <v>#ERROR!</v>
      </c>
      <c r="C143" s="1" t="s">
        <v>14</v>
      </c>
      <c r="D143" s="3" t="str">
        <f>?utf-8?Q?Stacey,_it=E2=80=99s_on_the_house_-_play_in_?=
 =?utf-8?Q?the_$100,000_Big_Shot_109_Main_Event!?=</f>
        <v>#ERROR!</v>
      </c>
      <c r="E143" s="1" t="s">
        <v>160</v>
      </c>
    </row>
    <row r="144">
      <c r="A144" s="2">
        <v>44650.61263888889</v>
      </c>
      <c r="B144" s="1" t="s">
        <v>154</v>
      </c>
      <c r="C144" s="1" t="s">
        <v>14</v>
      </c>
      <c r="D144" s="3" t="str">
        <f>?UTF-8?B?WW914oCZdmU=?= lost access to Premium Duo</f>
        <v>#ERROR!</v>
      </c>
      <c r="E144" s="1" t="s">
        <v>161</v>
      </c>
    </row>
    <row r="145">
      <c r="A145" s="2">
        <v>44671.84460648148</v>
      </c>
      <c r="B145" s="1" t="s">
        <v>162</v>
      </c>
      <c r="C145" s="1" t="s">
        <v>163</v>
      </c>
      <c r="D145" s="1" t="s">
        <v>164</v>
      </c>
      <c r="E145" s="1" t="s">
        <v>165</v>
      </c>
    </row>
    <row r="146">
      <c r="A146" s="2">
        <v>44678.56353009259</v>
      </c>
      <c r="B146" s="3" t="str">
        <f>?utf-8?B?ODg4cG9rZXI=?=  &lt;feedback@mailer.888poker.com&gt;</f>
        <v>#ERROR!</v>
      </c>
      <c r="C146" s="1" t="s">
        <v>14</v>
      </c>
      <c r="D146" s="3" t="str">
        <f>?utf-8?Q?Stacey,_it=E2=80=99s_on_the_house_-_play_in_th?=
 =?utf-8?Q?e_KO_Games_#22_-_$150,000_Tune_Up_PKO!?=</f>
        <v>#ERROR!</v>
      </c>
      <c r="E146" s="1" t="s">
        <v>166</v>
      </c>
    </row>
    <row r="147">
      <c r="A147" s="2">
        <v>44685.51894675926</v>
      </c>
      <c r="B147" s="3" t="str">
        <f>?utf-8?B?ODg4cG9rZXI=?=  &lt;feedback@mailer.888poker.com&gt;</f>
        <v>#ERROR!</v>
      </c>
      <c r="C147" s="1" t="s">
        <v>14</v>
      </c>
      <c r="D147" s="3" t="str">
        <f>?utf-8?Q?Stacey,_it=E2=80=99s_on_the_house_-_play_in_the?=
 =?utf-8?Q?_KO_Games_#43_-_$300,000_Main_Event_PKO!?=</f>
        <v>#ERROR!</v>
      </c>
      <c r="E147" s="1" t="s">
        <v>167</v>
      </c>
    </row>
    <row r="148">
      <c r="A148" s="2">
        <v>44686.551724537036</v>
      </c>
      <c r="B148" s="3" t="str">
        <f>?utf-8?B?ODg4cG9rZXI=?=  &lt;feedback@mailer.888poker.com&gt;</f>
        <v>#ERROR!</v>
      </c>
      <c r="C148" s="1" t="s">
        <v>14</v>
      </c>
      <c r="D148" s="3" t="str">
        <f>?utf-8?Q?Stacey,_it=E2=80=99s_on_the_house_-_play_in_th?=
 =?utf-8?Q?e_KO_Games_#44_-_$50,000_Mini_Main_PKO!?=</f>
        <v>#ERROR!</v>
      </c>
      <c r="E148" s="1" t="s">
        <v>168</v>
      </c>
    </row>
    <row r="149">
      <c r="A149" s="2">
        <v>44688.62903935185</v>
      </c>
      <c r="B149" s="1" t="s">
        <v>162</v>
      </c>
      <c r="C149" s="1" t="s">
        <v>163</v>
      </c>
      <c r="D149" s="1" t="s">
        <v>169</v>
      </c>
      <c r="E149" s="1" t="s">
        <v>170</v>
      </c>
    </row>
    <row r="150">
      <c r="A150" s="2">
        <v>44694.812569444446</v>
      </c>
      <c r="B150" s="1" t="s">
        <v>171</v>
      </c>
      <c r="C150" s="1" t="s">
        <v>14</v>
      </c>
      <c r="D150" s="3" t="str">
        <f>?UTF-8?Q?charliewharlie369,_your_Prime_?=
 =?UTF-8?Q?Sub_to_Egption_ends_in_a_week_=E2=98=B9?=</f>
        <v>#ERROR!</v>
      </c>
      <c r="E150" s="1" t="s">
        <v>172</v>
      </c>
    </row>
    <row r="151">
      <c r="A151" s="2">
        <v>44705.72945601852</v>
      </c>
      <c r="B151" s="1" t="s">
        <v>162</v>
      </c>
      <c r="C151" s="1" t="s">
        <v>163</v>
      </c>
      <c r="D151" s="3" t="str">
        <f>?UTF-8?B?4pqhIERpcmVjdCBmcm9tIExlbm92byDimqE=?= Upgrade and SAVE 15%</f>
        <v>#ERROR!</v>
      </c>
      <c r="E151" s="1" t="s">
        <v>173</v>
      </c>
    </row>
    <row r="152">
      <c r="A152" s="2">
        <v>44706.878657407404</v>
      </c>
      <c r="B152" s="1" t="s">
        <v>162</v>
      </c>
      <c r="C152" s="1" t="s">
        <v>163</v>
      </c>
      <c r="D152" s="1" t="s">
        <v>174</v>
      </c>
      <c r="E152" s="1" t="s">
        <v>175</v>
      </c>
    </row>
    <row r="153">
      <c r="A153" s="2">
        <v>44712.41787037037</v>
      </c>
      <c r="B153" s="1" t="s">
        <v>61</v>
      </c>
      <c r="C153" s="1" t="s">
        <v>14</v>
      </c>
      <c r="D153" s="1" t="s">
        <v>176</v>
      </c>
      <c r="E153" s="1" t="s">
        <v>177</v>
      </c>
    </row>
    <row r="154">
      <c r="A154" s="2">
        <v>44713.75013888889</v>
      </c>
      <c r="B154" s="1" t="s">
        <v>162</v>
      </c>
      <c r="C154" s="1" t="s">
        <v>163</v>
      </c>
      <c r="D154" s="3" t="str">
        <f>?UTF-8?B?8J+YjQ==?= A coupon for dad! Save 15%</f>
        <v>#ERROR!</v>
      </c>
      <c r="E154" s="1" t="s">
        <v>178</v>
      </c>
    </row>
    <row r="155">
      <c r="A155" s="2">
        <v>44714.60283564815</v>
      </c>
      <c r="B155" s="1" t="s">
        <v>179</v>
      </c>
      <c r="C155" s="1" t="s">
        <v>163</v>
      </c>
      <c r="D155" s="3" t="str">
        <f>?UTF-8?B?8J+MiA==?= Don't miss the pride &amp; remembrance run
 =?UTF-8?B?8J+Ps++4j+KAjfCfjIg=?=</f>
        <v>#ERROR!</v>
      </c>
      <c r="E155" s="1" t="s">
        <v>180</v>
      </c>
    </row>
    <row r="156">
      <c r="A156" s="2">
        <v>44715.629016203704</v>
      </c>
      <c r="B156" s="1" t="s">
        <v>179</v>
      </c>
      <c r="C156" s="1" t="s">
        <v>163</v>
      </c>
      <c r="D156" s="1" t="s">
        <v>181</v>
      </c>
      <c r="E156" s="1" t="s">
        <v>182</v>
      </c>
    </row>
    <row r="157">
      <c r="A157" s="2">
        <v>44729.587476851855</v>
      </c>
      <c r="B157" s="1" t="s">
        <v>179</v>
      </c>
      <c r="C157" s="1" t="s">
        <v>163</v>
      </c>
      <c r="D157" s="3" t="str">
        <f>?UTF-8?B?8J+TjQ==?= Catch new cards today</f>
        <v>#ERROR!</v>
      </c>
      <c r="E157" s="1" t="s">
        <v>183</v>
      </c>
    </row>
    <row r="158">
      <c r="A158" s="2">
        <v>44749.60189814815</v>
      </c>
      <c r="B158" s="1" t="s">
        <v>179</v>
      </c>
      <c r="C158" s="1" t="s">
        <v>163</v>
      </c>
      <c r="D158" s="1" t="s">
        <v>184</v>
      </c>
      <c r="E158" s="1" t="s">
        <v>185</v>
      </c>
    </row>
    <row r="159">
      <c r="A159" s="2">
        <v>44751.41736111111</v>
      </c>
      <c r="B159" s="1" t="s">
        <v>61</v>
      </c>
      <c r="C159" s="1" t="s">
        <v>14</v>
      </c>
      <c r="D159" s="1" t="s">
        <v>186</v>
      </c>
      <c r="E159" s="1" t="s">
        <v>187</v>
      </c>
    </row>
    <row r="160">
      <c r="A160" s="2">
        <v>44754.91355324074</v>
      </c>
      <c r="B160" s="1" t="s">
        <v>162</v>
      </c>
      <c r="C160" s="1" t="s">
        <v>163</v>
      </c>
      <c r="D160" s="1" t="s">
        <v>188</v>
      </c>
      <c r="E160" s="1" t="s">
        <v>189</v>
      </c>
    </row>
    <row r="161">
      <c r="A161" s="2">
        <v>44762.64020833333</v>
      </c>
      <c r="B161" s="1" t="s">
        <v>162</v>
      </c>
      <c r="C161" s="1" t="s">
        <v>163</v>
      </c>
      <c r="D161" s="3" t="str">
        <f>?UTF-8?B?8J+OtQ==?= Extra 20% off BOSE Canada!</f>
        <v>#ERROR!</v>
      </c>
      <c r="E161" s="1" t="s">
        <v>190</v>
      </c>
    </row>
    <row r="162">
      <c r="A162" s="2">
        <v>44772.58725694445</v>
      </c>
      <c r="B162" s="1" t="s">
        <v>162</v>
      </c>
      <c r="C162" s="1" t="s">
        <v>163</v>
      </c>
      <c r="D162" s="1" t="s">
        <v>191</v>
      </c>
      <c r="E162" s="1" t="s">
        <v>192</v>
      </c>
    </row>
    <row r="163">
      <c r="A163" s="2">
        <v>44776.596180555556</v>
      </c>
      <c r="B163" s="3" t="str">
        <f>?utf-8?B?ODg4cG9rZXI=?=  &lt;feedback@mailer.888poker.com&gt;</f>
        <v>#ERROR!</v>
      </c>
      <c r="C163" s="1" t="s">
        <v>14</v>
      </c>
      <c r="D163" s="3" t="str">
        <f>?utf-8?Q?Stacey,_it=E2=80=99s_on_the_house_-_play_in_?=
 =?utf-8?Q?the_$100,000_Big_Shot_109_Main_Event!?=</f>
        <v>#ERROR!</v>
      </c>
      <c r="E163" s="1" t="s">
        <v>160</v>
      </c>
    </row>
    <row r="164">
      <c r="A164" s="2">
        <v>44783.5278587963</v>
      </c>
      <c r="B164" s="3" t="str">
        <f>?utf-8?B?ODg4cG9rZXI=?=  &lt;feedback@mailer.888poker.com&gt;</f>
        <v>#ERROR!</v>
      </c>
      <c r="C164" s="1" t="s">
        <v>14</v>
      </c>
      <c r="D164" s="3" t="str">
        <f>?utf-8?Q?Stacey,_it=E2=80=99s_on_the_house_-_play_in_?=
 =?utf-8?Q?the_$100,000_Big_Shot_109_Main_Event!?=</f>
        <v>#ERROR!</v>
      </c>
      <c r="E164" s="1" t="s">
        <v>160</v>
      </c>
    </row>
    <row r="165">
      <c r="A165" s="2">
        <v>44783.83369212963</v>
      </c>
      <c r="B165" s="1" t="s">
        <v>124</v>
      </c>
      <c r="C165" s="1" t="s">
        <v>14</v>
      </c>
      <c r="D165" s="1" t="s">
        <v>125</v>
      </c>
      <c r="E165" s="3" t="str">
        <f>===========================================================
PayPal
============================================================
Hi dawn dixon,
You can view the changes on our website
View online
h</f>
        <v>#ERROR!</v>
      </c>
    </row>
    <row r="166">
      <c r="A166" s="2">
        <v>44784.59780092593</v>
      </c>
      <c r="B166" s="1" t="s">
        <v>162</v>
      </c>
      <c r="C166" s="1" t="s">
        <v>163</v>
      </c>
      <c r="D166" s="1" t="s">
        <v>193</v>
      </c>
      <c r="E166" s="1" t="s">
        <v>194</v>
      </c>
    </row>
    <row r="167">
      <c r="A167" s="2">
        <v>44790.54211805556</v>
      </c>
      <c r="B167" s="3" t="str">
        <f>?utf-8?B?ODg4cG9rZXI=?=  &lt;feedback@mailer.888poker.com&gt;</f>
        <v>#ERROR!</v>
      </c>
      <c r="C167" s="1" t="s">
        <v>14</v>
      </c>
      <c r="D167" s="3" t="str">
        <f>?utf-8?Q?Stacey,_it=E2=80=99s_on_the_house_-_play_in_?=
 =?utf-8?Q?the_$100,000_Big_Shot_109_Main_Event!?=</f>
        <v>#ERROR!</v>
      </c>
      <c r="E167" s="1" t="s">
        <v>160</v>
      </c>
    </row>
    <row r="168">
      <c r="A168" s="2">
        <v>44790.72262731481</v>
      </c>
      <c r="B168" s="1" t="s">
        <v>162</v>
      </c>
      <c r="C168" s="1" t="s">
        <v>163</v>
      </c>
      <c r="D168" s="3" t="str">
        <f>?UTF-8?B?8J+Tow==?= Extra 15% off refurbished tech for school!</f>
        <v>#ERROR!</v>
      </c>
      <c r="E168" s="1" t="s">
        <v>195</v>
      </c>
    </row>
    <row r="169">
      <c r="A169" s="2">
        <v>44797.57258101852</v>
      </c>
      <c r="B169" s="3" t="str">
        <f>?utf-8?B?ODg4cG9rZXI=?=  &lt;feedback@mailer.888poker.com&gt;</f>
        <v>#ERROR!</v>
      </c>
      <c r="C169" s="1" t="s">
        <v>14</v>
      </c>
      <c r="D169" s="3" t="str">
        <f>?utf-8?Q?Stacey,_it=E2=80=99s_on_the_house_-_play_in_?=
 =?utf-8?Q?the_$100,000_Big_Shot_109_Main_Event!?=</f>
        <v>#ERROR!</v>
      </c>
      <c r="E169" s="1" t="s">
        <v>160</v>
      </c>
    </row>
    <row r="170">
      <c r="A170" s="2">
        <v>44817.04206018519</v>
      </c>
      <c r="B170" s="1" t="s">
        <v>111</v>
      </c>
      <c r="C170" s="1" t="s">
        <v>112</v>
      </c>
      <c r="D170" s="1" t="s">
        <v>196</v>
      </c>
      <c r="E170" s="1" t="s">
        <v>197</v>
      </c>
    </row>
    <row r="171">
      <c r="A171" s="2">
        <v>44823.79565972222</v>
      </c>
      <c r="B171" s="1" t="s">
        <v>198</v>
      </c>
      <c r="C171" s="1" t="s">
        <v>199</v>
      </c>
      <c r="D171" s="1" t="s">
        <v>200</v>
      </c>
      <c r="E171" s="1" t="s">
        <v>201</v>
      </c>
    </row>
    <row r="172">
      <c r="A172" s="2">
        <v>44852.72231481481</v>
      </c>
      <c r="B172" s="1" t="s">
        <v>162</v>
      </c>
      <c r="C172" s="1" t="s">
        <v>163</v>
      </c>
      <c r="D172" s="3" t="str">
        <f>?UTF-8?B?8J+OiQ==?= A coupon! Shop a small business and save</f>
        <v>#ERROR!</v>
      </c>
      <c r="E172" s="1" t="s">
        <v>202</v>
      </c>
    </row>
    <row r="173">
      <c r="A173" s="2">
        <v>44889.88774305556</v>
      </c>
      <c r="B173" s="1" t="s">
        <v>162</v>
      </c>
      <c r="C173" s="1" t="s">
        <v>163</v>
      </c>
      <c r="D173" s="1" t="s">
        <v>203</v>
      </c>
      <c r="E173" s="1" t="s">
        <v>204</v>
      </c>
    </row>
    <row r="174">
      <c r="A174" s="2">
        <v>44890.70009259259</v>
      </c>
      <c r="B174" s="1" t="s">
        <v>162</v>
      </c>
      <c r="C174" s="1" t="s">
        <v>163</v>
      </c>
      <c r="D174" s="3" t="str">
        <f>?UTF-8?B?8J+UlA==?= It's HEEERE! Black Friday savings galore
 =?UTF-8?B?8J+UlA==?=</f>
        <v>#ERROR!</v>
      </c>
      <c r="E174" s="1" t="s">
        <v>205</v>
      </c>
    </row>
    <row r="175">
      <c r="A175" s="2">
        <v>44891.887650462966</v>
      </c>
      <c r="B175" s="1" t="s">
        <v>162</v>
      </c>
      <c r="C175" s="1" t="s">
        <v>163</v>
      </c>
      <c r="D175" s="3" t="str">
        <f>?UTF-8?B?8J+OgQ==?= The Cyber Weekend deals just keep coming...</f>
        <v>#ERROR!</v>
      </c>
      <c r="E175" s="1" t="s">
        <v>206</v>
      </c>
    </row>
    <row r="176">
      <c r="A176" s="2">
        <v>44893.66532407407</v>
      </c>
      <c r="B176" s="1" t="s">
        <v>162</v>
      </c>
      <c r="C176" s="1" t="s">
        <v>163</v>
      </c>
      <c r="D176" s="3" t="str">
        <f>?UTF-8?B?8J+aqA==?= Now's your chance! Grab Cyber Monday savings</f>
        <v>#ERROR!</v>
      </c>
      <c r="E176" s="1" t="s">
        <v>207</v>
      </c>
    </row>
    <row r="177">
      <c r="A177" s="2">
        <v>44896.810428240744</v>
      </c>
      <c r="B177" s="1" t="s">
        <v>162</v>
      </c>
      <c r="C177" s="1" t="s">
        <v>163</v>
      </c>
      <c r="D177" s="1" t="s">
        <v>208</v>
      </c>
      <c r="E177" s="1" t="s">
        <v>209</v>
      </c>
    </row>
    <row r="178">
      <c r="A178" s="2">
        <v>44898.417280092595</v>
      </c>
      <c r="B178" s="1" t="s">
        <v>61</v>
      </c>
      <c r="C178" s="1" t="s">
        <v>14</v>
      </c>
      <c r="D178" s="1" t="s">
        <v>210</v>
      </c>
      <c r="E178" s="1" t="s">
        <v>211</v>
      </c>
    </row>
    <row r="179">
      <c r="A179" s="2">
        <v>44903.89449074074</v>
      </c>
      <c r="B179" s="1" t="s">
        <v>162</v>
      </c>
      <c r="C179" s="1" t="s">
        <v>163</v>
      </c>
      <c r="D179" s="1" t="s">
        <v>212</v>
      </c>
      <c r="E179" s="1" t="s">
        <v>213</v>
      </c>
    </row>
    <row r="180">
      <c r="A180" s="2">
        <v>44919.72771990741</v>
      </c>
      <c r="B180" s="1" t="s">
        <v>162</v>
      </c>
      <c r="C180" s="1" t="s">
        <v>163</v>
      </c>
      <c r="D180" s="3" t="str">
        <f>?UTF-8?B?8J+UpQ==?= The Boxing Week deals you love are back!</f>
        <v>#ERROR!</v>
      </c>
      <c r="E180" s="1" t="s">
        <v>214</v>
      </c>
    </row>
    <row r="181">
      <c r="A181" s="2">
        <v>44922.644270833334</v>
      </c>
      <c r="B181" s="1" t="s">
        <v>162</v>
      </c>
      <c r="C181" s="1" t="s">
        <v>163</v>
      </c>
      <c r="D181" s="3" t="str">
        <f>?UTF-8?B?8J+Tow==?= A fresh set of Boxing Week deals, just for you!</f>
        <v>#ERROR!</v>
      </c>
      <c r="E181" s="1" t="s">
        <v>215</v>
      </c>
    </row>
    <row r="182">
      <c r="A182" s="2">
        <v>44958.64409722222</v>
      </c>
      <c r="B182" s="1" t="s">
        <v>162</v>
      </c>
      <c r="C182" s="1" t="s">
        <v>163</v>
      </c>
      <c r="D182" s="3" t="str">
        <f>?UTF-8?B?8J+SjA==?= Coupon alert! Extra 10% off Jewellery
 =?UTF-8?B?8J+SjA==?=</f>
        <v>#ERROR!</v>
      </c>
      <c r="E182" s="1" t="s">
        <v>216</v>
      </c>
    </row>
    <row r="183">
      <c r="A183" s="2">
        <v>44960.66641203704</v>
      </c>
      <c r="B183" s="1" t="s">
        <v>154</v>
      </c>
      <c r="C183" s="1" t="s">
        <v>14</v>
      </c>
      <c r="D183" s="3" t="str">
        <f>?UTF-8?B?WW914oCZdmU=?= lost access to Premium Family</f>
        <v>#ERROR!</v>
      </c>
      <c r="E183" s="1" t="s">
        <v>217</v>
      </c>
    </row>
    <row r="184">
      <c r="A184" s="2">
        <v>44962.776412037034</v>
      </c>
      <c r="B184" s="1" t="s">
        <v>154</v>
      </c>
      <c r="C184" s="1" t="s">
        <v>14</v>
      </c>
      <c r="D184" s="1" t="s">
        <v>218</v>
      </c>
      <c r="E184" s="1" t="s">
        <v>219</v>
      </c>
    </row>
    <row r="185">
      <c r="A185" s="2">
        <v>44989.64056712963</v>
      </c>
      <c r="B185" s="1" t="s">
        <v>162</v>
      </c>
      <c r="C185" s="1" t="s">
        <v>163</v>
      </c>
      <c r="D185" s="1" t="s">
        <v>220</v>
      </c>
      <c r="E185" s="1" t="s">
        <v>221</v>
      </c>
    </row>
    <row r="186">
      <c r="A186" s="2">
        <v>45001.04561342593</v>
      </c>
      <c r="B186" s="1" t="s">
        <v>222</v>
      </c>
      <c r="C186" s="1" t="s">
        <v>14</v>
      </c>
      <c r="D186" s="1" t="s">
        <v>223</v>
      </c>
      <c r="E186" s="1" t="s">
        <v>224</v>
      </c>
    </row>
    <row r="187">
      <c r="A187" s="2">
        <v>45006.58912037037</v>
      </c>
      <c r="B187" s="1" t="s">
        <v>222</v>
      </c>
      <c r="C187" s="1" t="s">
        <v>14</v>
      </c>
      <c r="D187" s="1" t="s">
        <v>225</v>
      </c>
      <c r="E187" s="1" t="s">
        <v>226</v>
      </c>
    </row>
    <row r="188">
      <c r="A188" s="2">
        <v>45031.598495370374</v>
      </c>
      <c r="B188" s="1" t="s">
        <v>222</v>
      </c>
      <c r="C188" s="1" t="s">
        <v>14</v>
      </c>
      <c r="D188" s="1" t="s">
        <v>227</v>
      </c>
      <c r="E188" s="1" t="s">
        <v>228</v>
      </c>
    </row>
    <row r="189">
      <c r="A189" s="2">
        <v>45031.598807870374</v>
      </c>
      <c r="B189" s="1" t="s">
        <v>222</v>
      </c>
      <c r="C189" s="1" t="s">
        <v>14</v>
      </c>
      <c r="D189" s="1" t="s">
        <v>227</v>
      </c>
      <c r="E189" s="1" t="s">
        <v>229</v>
      </c>
    </row>
    <row r="190">
      <c r="A190" s="2">
        <v>45052.716261574074</v>
      </c>
      <c r="B190" s="1" t="s">
        <v>230</v>
      </c>
      <c r="C190" s="1" t="s">
        <v>231</v>
      </c>
      <c r="D190" s="1" t="s">
        <v>232</v>
      </c>
      <c r="E190" s="1" t="s">
        <v>233</v>
      </c>
    </row>
    <row r="191">
      <c r="A191" s="2">
        <v>45053.20976851852</v>
      </c>
      <c r="B191" s="1" t="s">
        <v>234</v>
      </c>
      <c r="C191" s="1" t="s">
        <v>6</v>
      </c>
      <c r="D191" s="3" t="str">
        <f>?UTF-8?B?RGF3biwgaGVyZSdzIHlvdXIgY2hhbmNlIHRvIHdpbiDwn5Kw?=</f>
        <v>#ERROR!</v>
      </c>
      <c r="E191" s="1" t="s">
        <v>235</v>
      </c>
    </row>
    <row r="192">
      <c r="A192" s="2">
        <v>45053.74105324074</v>
      </c>
      <c r="B192" s="1" t="s">
        <v>230</v>
      </c>
      <c r="C192" s="1" t="s">
        <v>236</v>
      </c>
      <c r="D192" s="1" t="s">
        <v>237</v>
      </c>
      <c r="E192" s="1" t="s">
        <v>238</v>
      </c>
    </row>
    <row r="193">
      <c r="A193" s="2">
        <v>45069.59920138889</v>
      </c>
      <c r="B193" s="1" t="s">
        <v>179</v>
      </c>
      <c r="C193" s="1" t="s">
        <v>163</v>
      </c>
      <c r="D193" s="1" t="s">
        <v>239</v>
      </c>
      <c r="E193" s="1" t="s">
        <v>240</v>
      </c>
    </row>
    <row r="194">
      <c r="A194" s="2">
        <v>45084.210543981484</v>
      </c>
      <c r="B194" s="1" t="s">
        <v>234</v>
      </c>
      <c r="C194" s="1" t="s">
        <v>6</v>
      </c>
      <c r="D194" s="3" t="str">
        <f>?UTF-8?B?RGF3biwgaGVyZSdzIHlvdXIgY2hhbmNlIHRvIHdpbiDwn5Kw?=</f>
        <v>#ERROR!</v>
      </c>
      <c r="E194" s="1" t="s">
        <v>241</v>
      </c>
    </row>
    <row r="195">
      <c r="A195" s="2">
        <v>45084.851851851854</v>
      </c>
      <c r="B195" s="1" t="s">
        <v>179</v>
      </c>
      <c r="C195" s="1" t="s">
        <v>163</v>
      </c>
      <c r="D195" s="3" t="str">
        <f>?UTF-8?B?8J+muO+4jw==?= Celebrate the hero in your life!</f>
        <v>#ERROR!</v>
      </c>
      <c r="E195" s="1" t="s">
        <v>242</v>
      </c>
    </row>
    <row r="196">
      <c r="A196" s="2">
        <v>45089.969247685185</v>
      </c>
      <c r="B196" s="1" t="s">
        <v>243</v>
      </c>
      <c r="C196" s="1" t="s">
        <v>14</v>
      </c>
      <c r="D196" s="1" t="s">
        <v>244</v>
      </c>
      <c r="E196" s="1" t="s">
        <v>138</v>
      </c>
    </row>
    <row r="197">
      <c r="A197" s="2">
        <v>45090.9690625</v>
      </c>
      <c r="B197" s="1" t="s">
        <v>243</v>
      </c>
      <c r="C197" s="1" t="s">
        <v>14</v>
      </c>
      <c r="D197" s="1" t="s">
        <v>245</v>
      </c>
      <c r="E197" s="1" t="s">
        <v>138</v>
      </c>
    </row>
    <row r="198">
      <c r="A198" s="2">
        <v>45095.05384259259</v>
      </c>
      <c r="B198" s="1" t="s">
        <v>246</v>
      </c>
      <c r="C198" s="1" t="s">
        <v>6</v>
      </c>
      <c r="D198" s="3" t="str">
        <f>?UTF-8?B?SGVyZeKAmXMgdGhlIHF1b3RlIGZvciB5b3VyIHJldmlldw==?=</f>
        <v>#ERROR!</v>
      </c>
      <c r="E198" s="1" t="s">
        <v>247</v>
      </c>
    </row>
    <row r="199">
      <c r="A199" s="2">
        <v>45096.417546296296</v>
      </c>
      <c r="B199" s="1" t="s">
        <v>246</v>
      </c>
      <c r="C199" s="1" t="s">
        <v>6</v>
      </c>
      <c r="D199" s="1" t="s">
        <v>248</v>
      </c>
      <c r="E199" s="1" t="s">
        <v>249</v>
      </c>
    </row>
    <row r="200">
      <c r="A200" s="2">
        <v>45098.50035879629</v>
      </c>
      <c r="B200" s="1" t="s">
        <v>246</v>
      </c>
      <c r="C200" s="1" t="s">
        <v>6</v>
      </c>
      <c r="D200" s="3" t="str">
        <f>?UTF-8?B?V2hhdOKAmXMgdGhlIGJlc3Qgd2F5IHRvIHBheSBmb3IgaGVhbHRo?=
 =?UTF-8?B?IGNvdmVyYWdlPw==?=</f>
        <v>#ERROR!</v>
      </c>
      <c r="E200" s="1" t="s">
        <v>250</v>
      </c>
    </row>
    <row r="201">
      <c r="A201" s="2">
        <v>45103.375613425924</v>
      </c>
      <c r="B201" s="1" t="s">
        <v>246</v>
      </c>
      <c r="C201" s="1" t="s">
        <v>6</v>
      </c>
      <c r="D201" s="3" t="str">
        <f>?UTF-8?B?Q2hlY2sgb3V0IHdoYXTigJlzIGluY2x1ZGVkIGluIHlvdXIgcGxh?=
 =?UTF-8?B?bg==?=</f>
        <v>#ERROR!</v>
      </c>
      <c r="E201" s="1" t="s">
        <v>251</v>
      </c>
    </row>
    <row r="202">
      <c r="A202" s="2">
        <v>45114.209641203706</v>
      </c>
      <c r="B202" s="1" t="s">
        <v>234</v>
      </c>
      <c r="C202" s="1" t="s">
        <v>6</v>
      </c>
      <c r="D202" s="3" t="str">
        <f>?UTF-8?B?RGF3biwgaGVyZSdzIHlvdXIgY2hhbmNlIHRvIHdpbiDwn5Kw?=</f>
        <v>#ERROR!</v>
      </c>
      <c r="E202" s="1" t="s">
        <v>252</v>
      </c>
    </row>
    <row r="203">
      <c r="A203" s="2">
        <v>45141.50099537037</v>
      </c>
      <c r="B203" s="1" t="s">
        <v>246</v>
      </c>
      <c r="C203" s="1" t="s">
        <v>6</v>
      </c>
      <c r="D203" s="1" t="s">
        <v>253</v>
      </c>
      <c r="E203" s="1" t="s">
        <v>254</v>
      </c>
    </row>
    <row r="204">
      <c r="A204" s="2">
        <v>45142.4194212963</v>
      </c>
      <c r="B204" s="1" t="s">
        <v>255</v>
      </c>
      <c r="C204" s="1" t="s">
        <v>14</v>
      </c>
      <c r="D204" s="1" t="s">
        <v>256</v>
      </c>
      <c r="E204" s="1" t="s">
        <v>257</v>
      </c>
    </row>
    <row r="205">
      <c r="A205" s="2">
        <v>45145.20962962963</v>
      </c>
      <c r="B205" s="1" t="s">
        <v>234</v>
      </c>
      <c r="C205" s="1" t="s">
        <v>6</v>
      </c>
      <c r="D205" s="3" t="str">
        <f>?UTF-8?B?RGF3biwgaGVyZSdzIHlvdXIgY2hhbmNlIHRvIHdpbiDwn5Kw?=</f>
        <v>#ERROR!</v>
      </c>
      <c r="E205" s="1" t="s">
        <v>258</v>
      </c>
    </row>
    <row r="206">
      <c r="A206" s="2">
        <v>45153.470717592594</v>
      </c>
      <c r="B206" s="1" t="s">
        <v>259</v>
      </c>
      <c r="C206" s="1" t="s">
        <v>6</v>
      </c>
      <c r="D206" s="3" t="str">
        <f>?windows-1252?Q?Let=92s_get_you_Bonus_Miles=2C__Babe!?=</f>
        <v>#ERROR!</v>
      </c>
      <c r="E206" s="1" t="s">
        <v>260</v>
      </c>
    </row>
    <row r="207">
      <c r="A207" s="2">
        <v>45153.7341087963</v>
      </c>
      <c r="B207" s="1" t="s">
        <v>261</v>
      </c>
      <c r="C207" s="1" t="s">
        <v>14</v>
      </c>
      <c r="D207" s="1" t="s">
        <v>262</v>
      </c>
      <c r="E207" s="1" t="s">
        <v>138</v>
      </c>
    </row>
    <row r="208">
      <c r="A208" s="2">
        <v>45153.73458333333</v>
      </c>
      <c r="B208" s="1" t="s">
        <v>261</v>
      </c>
      <c r="C208" s="1" t="s">
        <v>14</v>
      </c>
      <c r="D208" s="1" t="s">
        <v>263</v>
      </c>
      <c r="E208" s="1" t="s">
        <v>264</v>
      </c>
    </row>
    <row r="209">
      <c r="A209" s="2">
        <v>45159.37552083333</v>
      </c>
      <c r="B209" s="1" t="s">
        <v>265</v>
      </c>
      <c r="C209" s="1" t="s">
        <v>231</v>
      </c>
      <c r="D209" s="1" t="s">
        <v>266</v>
      </c>
      <c r="E209" s="1" t="s">
        <v>267</v>
      </c>
    </row>
    <row r="210">
      <c r="A210" s="2">
        <v>45160.145625</v>
      </c>
      <c r="B210" s="1" t="s">
        <v>243</v>
      </c>
      <c r="C210" s="1" t="s">
        <v>14</v>
      </c>
      <c r="D210" s="1" t="s">
        <v>263</v>
      </c>
      <c r="E210" s="1" t="s">
        <v>264</v>
      </c>
    </row>
    <row r="211">
      <c r="A211" s="2">
        <v>45161.47112268519</v>
      </c>
      <c r="B211" s="1" t="s">
        <v>259</v>
      </c>
      <c r="C211" s="1" t="s">
        <v>6</v>
      </c>
      <c r="D211" s="3" t="str">
        <f>?windows-1252?Q?Here=92s_how_to_get_Miles_7x_faster?=</f>
        <v>#ERROR!</v>
      </c>
      <c r="E211" s="1" t="s">
        <v>260</v>
      </c>
    </row>
    <row r="212">
      <c r="A212" s="2">
        <v>45163.79008101852</v>
      </c>
      <c r="B212" s="1" t="s">
        <v>261</v>
      </c>
      <c r="C212" s="1" t="s">
        <v>14</v>
      </c>
      <c r="D212" s="1" t="s">
        <v>268</v>
      </c>
      <c r="E212" s="1" t="s">
        <v>138</v>
      </c>
    </row>
    <row r="213">
      <c r="A213" s="2">
        <v>45163.81597222222</v>
      </c>
      <c r="B213" s="1" t="s">
        <v>261</v>
      </c>
      <c r="C213" s="1" t="s">
        <v>14</v>
      </c>
      <c r="D213" s="1" t="s">
        <v>263</v>
      </c>
      <c r="E213" s="1" t="s">
        <v>264</v>
      </c>
    </row>
    <row r="214">
      <c r="A214" s="2">
        <v>45169.481041666666</v>
      </c>
      <c r="B214" s="1" t="s">
        <v>259</v>
      </c>
      <c r="C214" s="1" t="s">
        <v>6</v>
      </c>
      <c r="D214" s="1" t="s">
        <v>269</v>
      </c>
      <c r="E214" s="1" t="s">
        <v>260</v>
      </c>
    </row>
    <row r="215">
      <c r="A215" s="2">
        <v>45173.25166666666</v>
      </c>
      <c r="B215" s="1" t="s">
        <v>111</v>
      </c>
      <c r="C215" s="1" t="s">
        <v>112</v>
      </c>
      <c r="D215" s="1" t="s">
        <v>270</v>
      </c>
      <c r="E215" s="1" t="s">
        <v>197</v>
      </c>
    </row>
    <row r="216">
      <c r="A216" s="2">
        <v>45176.20962962963</v>
      </c>
      <c r="B216" s="1" t="s">
        <v>234</v>
      </c>
      <c r="C216" s="1" t="s">
        <v>6</v>
      </c>
      <c r="D216" s="3" t="str">
        <f>?UTF-8?B?RGF3biwgaGVyZSdzIHlvdXIgY2hhbmNlIHRvIHdpbiDwn5Kw?=</f>
        <v>#ERROR!</v>
      </c>
      <c r="E216" s="1" t="s">
        <v>271</v>
      </c>
    </row>
    <row r="217">
      <c r="A217" s="2">
        <v>45176.88445601852</v>
      </c>
      <c r="B217" s="1" t="s">
        <v>272</v>
      </c>
      <c r="C217" s="1" t="s">
        <v>231</v>
      </c>
      <c r="D217" s="1" t="s">
        <v>273</v>
      </c>
      <c r="E217" s="1" t="s">
        <v>274</v>
      </c>
    </row>
    <row r="218">
      <c r="A218" s="2">
        <v>45176.958032407405</v>
      </c>
      <c r="B218" s="1" t="s">
        <v>275</v>
      </c>
      <c r="C218" s="1" t="s">
        <v>231</v>
      </c>
      <c r="D218" s="1" t="s">
        <v>276</v>
      </c>
      <c r="E218" s="1" t="s">
        <v>277</v>
      </c>
    </row>
    <row r="219">
      <c r="A219" s="2">
        <v>45177.470671296294</v>
      </c>
      <c r="B219" s="1" t="s">
        <v>259</v>
      </c>
      <c r="C219" s="1" t="s">
        <v>6</v>
      </c>
      <c r="D219" s="1" t="s">
        <v>278</v>
      </c>
      <c r="E219" s="1" t="s">
        <v>260</v>
      </c>
    </row>
    <row r="220">
      <c r="A220" s="2">
        <v>45177.69420138889</v>
      </c>
      <c r="B220" s="1" t="s">
        <v>259</v>
      </c>
      <c r="C220" s="1" t="s">
        <v>6</v>
      </c>
      <c r="D220" s="3" t="str">
        <f>?utf-8?B?T2ggc25hcCDigJQgaXQncyBhIG5ldyB3YXkgdG8gZWFybiBNaQ==?=
 =?utf-8?B?bGVzIPCfp77inIU=?=</f>
        <v>#ERROR!</v>
      </c>
      <c r="E220" s="1" t="s">
        <v>279</v>
      </c>
    </row>
    <row r="221">
      <c r="A221" s="2">
        <v>45184.564155092594</v>
      </c>
      <c r="B221" s="1" t="s">
        <v>259</v>
      </c>
      <c r="C221" s="1" t="s">
        <v>6</v>
      </c>
      <c r="D221" s="1" t="s">
        <v>280</v>
      </c>
      <c r="E221" s="1" t="s">
        <v>260</v>
      </c>
    </row>
    <row r="222">
      <c r="A222" s="2">
        <v>45184.919120370374</v>
      </c>
      <c r="B222" s="1" t="s">
        <v>222</v>
      </c>
      <c r="C222" s="1" t="s">
        <v>14</v>
      </c>
      <c r="D222" s="1" t="s">
        <v>223</v>
      </c>
      <c r="E222" s="1" t="s">
        <v>224</v>
      </c>
    </row>
    <row r="223">
      <c r="A223" s="2">
        <v>45185.60988425926</v>
      </c>
      <c r="B223" s="1" t="s">
        <v>259</v>
      </c>
      <c r="C223" s="1" t="s">
        <v>6</v>
      </c>
      <c r="D223" s="1" t="s">
        <v>281</v>
      </c>
      <c r="E223" s="1" t="s">
        <v>260</v>
      </c>
    </row>
    <row r="224">
      <c r="A224" s="2">
        <v>45186.23809027778</v>
      </c>
      <c r="B224" s="1" t="s">
        <v>111</v>
      </c>
      <c r="C224" s="1" t="s">
        <v>112</v>
      </c>
      <c r="D224" s="1" t="s">
        <v>282</v>
      </c>
      <c r="E224" s="1" t="s">
        <v>197</v>
      </c>
    </row>
    <row r="225">
      <c r="A225" s="2">
        <v>45189.751655092594</v>
      </c>
      <c r="B225" s="1" t="s">
        <v>283</v>
      </c>
      <c r="C225" s="1" t="s">
        <v>284</v>
      </c>
      <c r="D225" s="3" t="str">
        <f>?UTF-8?B?8J+mkQ==?= Reach your tentacles for some free rounds!</f>
        <v>#ERROR!</v>
      </c>
      <c r="E225" s="1" t="s">
        <v>285</v>
      </c>
    </row>
    <row r="226">
      <c r="A226" s="2">
        <v>45191.67238425926</v>
      </c>
      <c r="B226" s="1" t="s">
        <v>259</v>
      </c>
      <c r="C226" s="1" t="s">
        <v>6</v>
      </c>
      <c r="D226" s="3" t="str">
        <f>?utf-8?B?4pqhIFlvdXIgRkxBU0ggT0ZGRVJTIGFyZSBoZXJlISBDaGVjaw==?=
 =?utf-8?B?IHRoZW0gb3V0IG5vdyBpbiB0aGUgYXBwLiDwn5Ox?=</f>
        <v>#ERROR!</v>
      </c>
      <c r="E226" s="1" t="s">
        <v>279</v>
      </c>
    </row>
    <row r="227">
      <c r="A227" s="2">
        <v>45197.6715625</v>
      </c>
      <c r="B227" s="1" t="s">
        <v>259</v>
      </c>
      <c r="C227" s="1" t="s">
        <v>6</v>
      </c>
      <c r="D227" s="1" t="s">
        <v>286</v>
      </c>
      <c r="E227" s="1" t="s">
        <v>279</v>
      </c>
    </row>
    <row r="228">
      <c r="A228" s="2">
        <v>45198.742939814816</v>
      </c>
      <c r="B228" s="1" t="s">
        <v>259</v>
      </c>
      <c r="C228" s="1" t="s">
        <v>6</v>
      </c>
      <c r="D228" s="3" t="str">
        <f>?utf-8?B?8J+al+KaoSBTSEVMTCBGTEFTSCBPRkZFUjogU2F2ZSAyNcKiIA==?=
 =?utf-8?B?cGVyIGxpdHJlIHRoaXMgU2F0dXJkYXkhIE9wdCBpbiBub3c=?=</f>
        <v>#ERROR!</v>
      </c>
      <c r="E228" s="1" t="s">
        <v>279</v>
      </c>
    </row>
    <row r="229">
      <c r="A229" s="2">
        <v>45205.70502314815</v>
      </c>
      <c r="B229" s="1" t="s">
        <v>259</v>
      </c>
      <c r="C229" s="1" t="s">
        <v>6</v>
      </c>
      <c r="D229" s="3" t="str">
        <f>?utf-8?B?QWN0aXZhdGUgeW91ciBsb25nIHdlZWtlbmQgd2l0aCB0aGlzIA==?=
 =?utf-8?B?d2VlaydzIEZMQVNIIE9GRkVSISDwn5Oy?=</f>
        <v>#ERROR!</v>
      </c>
      <c r="E229" s="1" t="s">
        <v>279</v>
      </c>
    </row>
    <row r="230">
      <c r="A230" s="2">
        <v>45207.015381944446</v>
      </c>
      <c r="B230" s="1" t="s">
        <v>275</v>
      </c>
      <c r="C230" s="1" t="s">
        <v>231</v>
      </c>
      <c r="D230" s="1" t="s">
        <v>287</v>
      </c>
      <c r="E230" s="1" t="s">
        <v>288</v>
      </c>
    </row>
    <row r="231">
      <c r="A231" s="2">
        <v>45209.58752314815</v>
      </c>
      <c r="B231" s="1" t="s">
        <v>289</v>
      </c>
      <c r="C231" s="1" t="s">
        <v>89</v>
      </c>
      <c r="D231" s="1" t="s">
        <v>290</v>
      </c>
      <c r="E231" s="1" t="s">
        <v>291</v>
      </c>
    </row>
    <row r="232">
      <c r="A232" s="2">
        <v>45216.79258101852</v>
      </c>
      <c r="B232" s="1" t="s">
        <v>111</v>
      </c>
      <c r="C232" s="1" t="s">
        <v>112</v>
      </c>
      <c r="D232" s="1" t="s">
        <v>292</v>
      </c>
      <c r="E232" s="1" t="s">
        <v>197</v>
      </c>
    </row>
    <row r="233">
      <c r="A233" s="2">
        <v>45217.751655092594</v>
      </c>
      <c r="B233" s="1" t="s">
        <v>283</v>
      </c>
      <c r="C233" s="1" t="s">
        <v>284</v>
      </c>
      <c r="D233" s="3" t="str">
        <f>?UTF-8?B?8J+Djw==?= These game rounds in Joker Split are no joke!</f>
        <v>#ERROR!</v>
      </c>
      <c r="E233" s="1" t="s">
        <v>293</v>
      </c>
    </row>
    <row r="234">
      <c r="A234" s="2">
        <v>45217.723078703704</v>
      </c>
      <c r="B234" s="1" t="s">
        <v>294</v>
      </c>
      <c r="C234" s="1" t="s">
        <v>6</v>
      </c>
      <c r="D234" s="1" t="s">
        <v>295</v>
      </c>
      <c r="E234" s="1" t="s">
        <v>279</v>
      </c>
    </row>
    <row r="235">
      <c r="A235" s="2">
        <v>45219.560960648145</v>
      </c>
      <c r="B235" s="1" t="s">
        <v>259</v>
      </c>
      <c r="C235" s="1" t="s">
        <v>6</v>
      </c>
      <c r="D235" s="3" t="str">
        <f>?utf-8?B?4pqhIFlvdXIgRkxBU0ggT0ZGRVJTIGFyZSBoZXJlISDwn5qo?=</f>
        <v>#ERROR!</v>
      </c>
      <c r="E235" s="1" t="s">
        <v>279</v>
      </c>
    </row>
    <row r="236">
      <c r="A236" s="2">
        <v>45224.40054398148</v>
      </c>
      <c r="B236" s="1" t="s">
        <v>294</v>
      </c>
      <c r="C236" s="1" t="s">
        <v>6</v>
      </c>
      <c r="D236" s="3" t="str">
        <f>?utf-8?B?V2hhdCBjb3VsZCB5b3UgZG8gd2l0aCBhbiBleHRyYSAkNTAsMA==?=
 =?utf-8?B?MDA/IPCfmK8=?=</f>
        <v>#ERROR!</v>
      </c>
      <c r="E236" s="1" t="s">
        <v>279</v>
      </c>
    </row>
    <row r="237">
      <c r="A237" s="2">
        <v>45224.44957175926</v>
      </c>
      <c r="B237" s="1" t="s">
        <v>294</v>
      </c>
      <c r="C237" s="1" t="s">
        <v>6</v>
      </c>
      <c r="D237" s="3" t="str">
        <f>?utf-8?B?4piDRW50ZXIgZm9yIGEgY2hhbmNlIHRvIHdpbiBhIFZJUCB0cg==?=
 =?utf-8?B?aXAgdG8gdGhlIFF1w6liZWMgV2ludGVyIENhcm5pdmFs8J+OiQ==?=</f>
        <v>#ERROR!</v>
      </c>
      <c r="E237" s="1" t="s">
        <v>279</v>
      </c>
    </row>
    <row r="238">
      <c r="A238" s="2">
        <v>45225.824282407404</v>
      </c>
      <c r="B238" s="1" t="s">
        <v>259</v>
      </c>
      <c r="C238" s="1" t="s">
        <v>6</v>
      </c>
      <c r="D238" s="3" t="str">
        <f>?utf-8?B?ICBNb3JlIEJvbnVzIE1pbGVzIPCfjJ8gTW9yZSBCcmFuZHMg?=
 =?utf-8?B?8J+RoCBMZXTigJlzIGxpbmsgdXAh?=</f>
        <v>#ERROR!</v>
      </c>
      <c r="E238" s="1" t="s">
        <v>279</v>
      </c>
    </row>
    <row r="239">
      <c r="A239" s="2">
        <v>45226.67755787037</v>
      </c>
      <c r="B239" s="1" t="s">
        <v>259</v>
      </c>
      <c r="C239" s="1" t="s">
        <v>6</v>
      </c>
      <c r="D239" s="3" t="str">
        <f>?utf-8?B?4pqhIFlvdXIgRkxBU0ggT0ZGRVJTIGhhdmUgYXJyaXZlZC4gRA==?=
 =?utf-8?B?b24ndCBtaXNzIG91dCE=?=</f>
        <v>#ERROR!</v>
      </c>
      <c r="E239" s="1" t="s">
        <v>279</v>
      </c>
    </row>
    <row r="240">
      <c r="A240" s="2">
        <v>45227.15924768519</v>
      </c>
      <c r="B240" s="1" t="s">
        <v>296</v>
      </c>
      <c r="C240" s="1" t="s">
        <v>297</v>
      </c>
      <c r="D240" s="1" t="s">
        <v>298</v>
      </c>
      <c r="E240" s="1" t="s">
        <v>299</v>
      </c>
    </row>
    <row r="241">
      <c r="A241" s="2">
        <v>45227.52788194444</v>
      </c>
      <c r="B241" s="1" t="s">
        <v>300</v>
      </c>
      <c r="C241" s="1" t="s">
        <v>14</v>
      </c>
      <c r="D241" s="1" t="s">
        <v>301</v>
      </c>
      <c r="E241" s="1" t="s">
        <v>302</v>
      </c>
    </row>
    <row r="242">
      <c r="A242" s="2">
        <v>45227.70853009259</v>
      </c>
      <c r="B242" s="1" t="s">
        <v>61</v>
      </c>
      <c r="C242" s="1" t="s">
        <v>14</v>
      </c>
      <c r="D242" s="1" t="s">
        <v>130</v>
      </c>
      <c r="E242" s="1" t="s">
        <v>303</v>
      </c>
    </row>
    <row r="243">
      <c r="A243" s="2">
        <v>45232.64142361111</v>
      </c>
      <c r="B243" s="1" t="s">
        <v>294</v>
      </c>
      <c r="C243" s="1" t="s">
        <v>6</v>
      </c>
      <c r="D243" s="3" t="str">
        <f>?utf-8?B?4o+wIFRpbWXigJlzIHJ1bm5pbmcgb3V0ISBZb3UgY291bGQgdw==?=
 =?utf-8?B?aW4gYSB0cmlwIHRvIHRoZSBRdcOpYmVjIFdpbnRlciBDYXJuaXZhbCA=?=
 =?utf-8?B?4p2E?=</f>
        <v>#ERROR!</v>
      </c>
      <c r="E243" s="1" t="s">
        <v>279</v>
      </c>
    </row>
    <row r="244">
      <c r="A244" s="2">
        <v>45238.72247685185</v>
      </c>
      <c r="B244" s="1" t="s">
        <v>294</v>
      </c>
      <c r="C244" s="1" t="s">
        <v>6</v>
      </c>
      <c r="D244" s="3" t="str">
        <f>?utf-8?B?SG9saWRheSBzaG9wIHdpdGggYSBCTU8gQUlSIE1JTEVTIENyZQ==?=
 =?utf-8?B?ZGl0IENhcmQgYW5kIGVhcm4gbW9yZSDwn5uN77iP?=</f>
        <v>#ERROR!</v>
      </c>
      <c r="E244" s="1" t="s">
        <v>279</v>
      </c>
    </row>
    <row r="245">
      <c r="A245" s="2">
        <v>45240.60197916667</v>
      </c>
      <c r="B245" s="1" t="s">
        <v>259</v>
      </c>
      <c r="C245" s="1" t="s">
        <v>6</v>
      </c>
      <c r="D245" s="1" t="s">
        <v>304</v>
      </c>
      <c r="E245" s="1" t="s">
        <v>279</v>
      </c>
    </row>
    <row r="246">
      <c r="A246" s="2">
        <v>45240.71251157407</v>
      </c>
      <c r="B246" s="1" t="s">
        <v>259</v>
      </c>
      <c r="C246" s="1" t="s">
        <v>6</v>
      </c>
      <c r="D246" s="3" t="str">
        <f>?utf-8?B?8J+aqCBZb3VyIEZMQVNIIE9GRkVSUyBhcmUgaGVyZTogMzB4IA==?=
 =?utf-8?B?dGhlIG1pbGVzIGF0IFNoZWxsIEFORCBEeXNvbg==?=</f>
        <v>#ERROR!</v>
      </c>
      <c r="E246" s="1" t="s">
        <v>279</v>
      </c>
    </row>
    <row r="247">
      <c r="A247" s="2">
        <v>45245.6641087963</v>
      </c>
      <c r="B247" s="1" t="s">
        <v>305</v>
      </c>
      <c r="C247" s="1" t="s">
        <v>306</v>
      </c>
      <c r="D247" s="3" t="str">
        <f>?utf-8?B?8J+ToiBEb27igJl0IG1pc3Mgb3V0ISBFYXJuIDEweCBmYXN0ZQ==?=
 =?utf-8?B?ciB3aXRoIGEgQk1PIEFJUiBNSUxFUyBDcmVkaXQgQ2FyZA==?=</f>
        <v>#ERROR!</v>
      </c>
      <c r="E247" s="1" t="s">
        <v>279</v>
      </c>
    </row>
    <row r="248">
      <c r="A248" s="2">
        <v>45245.664189814815</v>
      </c>
      <c r="B248" s="1" t="s">
        <v>294</v>
      </c>
      <c r="C248" s="1" t="s">
        <v>6</v>
      </c>
      <c r="D248" s="3" t="str">
        <f>?utf-8?B?8J+ToiBEb27igJl0IG1pc3Mgb3V0ISBFYXJuIDEweCBmYXN0ZQ==?=
 =?utf-8?B?ciB3aXRoIGEgQk1PIEFJUiBNSUxFUyBDcmVkaXQgQ2FyZA==?=</f>
        <v>#ERROR!</v>
      </c>
      <c r="E248" s="1" t="s">
        <v>279</v>
      </c>
    </row>
    <row r="249">
      <c r="A249" s="2">
        <v>45246.70706018519</v>
      </c>
      <c r="B249" s="1" t="s">
        <v>222</v>
      </c>
      <c r="C249" s="1" t="s">
        <v>14</v>
      </c>
      <c r="D249" s="1" t="s">
        <v>307</v>
      </c>
      <c r="E249" s="1" t="s">
        <v>308</v>
      </c>
    </row>
    <row r="250">
      <c r="A250" s="2">
        <v>45246.69180555556</v>
      </c>
      <c r="B250" s="1" t="s">
        <v>259</v>
      </c>
      <c r="C250" s="1" t="s">
        <v>6</v>
      </c>
      <c r="D250" s="3" t="str">
        <f>?utf-8?B?R2V0IDEwMCBCb251cyBNaWxlcyBncm9jZXJ5IHNob3BwaW5nIA==?=
 =?utf-8?B?d2l0aCBBSVIgTUlMRVMgUmVjZWlwdHMhIPCfpZHwn5Oc?=</f>
        <v>#ERROR!</v>
      </c>
      <c r="E250" s="1" t="s">
        <v>279</v>
      </c>
    </row>
    <row r="251">
      <c r="A251" s="2">
        <v>45246.795902777776</v>
      </c>
      <c r="B251" s="1" t="s">
        <v>309</v>
      </c>
      <c r="C251" s="1" t="s">
        <v>306</v>
      </c>
      <c r="D251" s="3" t="str">
        <f>?utf-8?B?R2V0IDEwMCBCb251cyBNaWxlcyBncm9jZXJ5IHNob3BwaW5nIA==?=
 =?utf-8?B?d2l0aCBBSVIgTUlMRVMgUmVjZWlwdHMhIPCfpZHwn5Oc?=</f>
        <v>#ERROR!</v>
      </c>
      <c r="E251" s="1" t="s">
        <v>279</v>
      </c>
    </row>
    <row r="252">
      <c r="A252" s="2">
        <v>45247.056967592594</v>
      </c>
      <c r="B252" s="1" t="s">
        <v>136</v>
      </c>
      <c r="C252" s="1" t="s">
        <v>14</v>
      </c>
      <c r="D252" s="1" t="s">
        <v>310</v>
      </c>
      <c r="E252" s="1" t="s">
        <v>138</v>
      </c>
    </row>
    <row r="253">
      <c r="A253" s="2">
        <v>45246.79267361111</v>
      </c>
      <c r="B253" s="1" t="s">
        <v>111</v>
      </c>
      <c r="C253" s="1" t="s">
        <v>112</v>
      </c>
      <c r="D253" s="1" t="s">
        <v>292</v>
      </c>
      <c r="E253" s="1" t="s">
        <v>197</v>
      </c>
    </row>
    <row r="254">
      <c r="A254" s="2">
        <v>45247.639027777775</v>
      </c>
      <c r="B254" s="1" t="s">
        <v>259</v>
      </c>
      <c r="C254" s="1" t="s">
        <v>6</v>
      </c>
      <c r="D254" s="3" t="str">
        <f>?utf-8?B?4pqhIEtpY2tvZmYgdGhlIHdlZWtlbmQgd2l0aCB0aGVzZSBGTA==?=
 =?utf-8?B?QVNIIE9GRkVSUyE=?=</f>
        <v>#ERROR!</v>
      </c>
      <c r="E254" s="1" t="s">
        <v>279</v>
      </c>
    </row>
    <row r="255">
      <c r="A255" s="2">
        <v>45247.732199074075</v>
      </c>
      <c r="B255" s="1" t="s">
        <v>305</v>
      </c>
      <c r="C255" s="1" t="s">
        <v>306</v>
      </c>
      <c r="D255" s="3" t="str">
        <f>?utf-8?B?8J+ToyBEb27igJl0IG1pc3Mgb3V0IG9uIDE5MCBDYXNoIE1pbA==?=
 =?utf-8?B?ZXMgYXQgU2hlbGwg4oCTIHRoYXTigJlzIGEgc2F2aW5ncyBvZiA1MMKiLw==?=
 =?utf-8?B?TCE=?=</f>
        <v>#ERROR!</v>
      </c>
      <c r="E255" s="1" t="s">
        <v>279</v>
      </c>
    </row>
    <row r="256">
      <c r="A256" s="2">
        <v>45247.73238425926</v>
      </c>
      <c r="B256" s="1" t="s">
        <v>294</v>
      </c>
      <c r="C256" s="1" t="s">
        <v>6</v>
      </c>
      <c r="D256" s="3" t="str">
        <f>?utf-8?B?8J+ToyBEb27igJl0IG1pc3Mgb3V0IG9uIDE5MCBDYXNoIE1pbA==?=
 =?utf-8?B?ZXMgYXQgU2hlbGwg4oCTIHRoYXTigJlzIGEgc2F2aW5ncyBvZiA1MMKiLw==?=
 =?utf-8?B?TCE=?=</f>
        <v>#ERROR!</v>
      </c>
      <c r="E256" s="1" t="s">
        <v>279</v>
      </c>
    </row>
    <row r="257">
      <c r="A257" s="2">
        <v>45248.06539351852</v>
      </c>
      <c r="B257" s="1" t="s">
        <v>309</v>
      </c>
      <c r="C257" s="1" t="s">
        <v>306</v>
      </c>
      <c r="D257" s="3" t="str">
        <f>?utf-8?B?R2V0IHVwIHRvIDYweCBNaWxlcyBvbiBCbGFjayBGcmlkYXkgdw==?=
 =?utf-8?B?ZWVrZW5kIPCfm40=?=</f>
        <v>#ERROR!</v>
      </c>
      <c r="E257" s="1" t="s">
        <v>279</v>
      </c>
    </row>
    <row r="258">
      <c r="A258" s="2">
        <v>45248.065567129626</v>
      </c>
      <c r="B258" s="1" t="s">
        <v>259</v>
      </c>
      <c r="C258" s="1" t="s">
        <v>6</v>
      </c>
      <c r="D258" s="3" t="str">
        <f>?utf-8?B?R2V0IHVwIHRvIDYweCBNaWxlcyBvbiBCbGFjayBGcmlkYXkgdw==?=
 =?utf-8?B?ZWVrZW5kIPCfm40=?=</f>
        <v>#ERROR!</v>
      </c>
      <c r="E258" s="1" t="s">
        <v>279</v>
      </c>
    </row>
    <row r="259">
      <c r="A259" s="2">
        <v>45249.66186342593</v>
      </c>
      <c r="B259" s="1" t="s">
        <v>179</v>
      </c>
      <c r="C259" s="1" t="s">
        <v>163</v>
      </c>
      <c r="D259" s="3" t="str">
        <f>?UTF-8?B?8J+OhSDwn5Ky?= Weekly steals: tech, toys, cards, and more.</f>
        <v>#ERROR!</v>
      </c>
      <c r="E259" s="1" t="s">
        <v>311</v>
      </c>
    </row>
    <row r="260">
      <c r="A260" s="2">
        <v>45249.916446759256</v>
      </c>
      <c r="B260" s="1" t="s">
        <v>222</v>
      </c>
      <c r="C260" s="1" t="s">
        <v>14</v>
      </c>
      <c r="D260" s="1" t="s">
        <v>312</v>
      </c>
      <c r="E260" s="1" t="s">
        <v>313</v>
      </c>
    </row>
    <row r="261">
      <c r="A261" s="2">
        <v>45250.61896990741</v>
      </c>
      <c r="B261" s="1" t="s">
        <v>305</v>
      </c>
      <c r="C261" s="1" t="s">
        <v>306</v>
      </c>
      <c r="D261" s="3" t="str">
        <f>?utf-8?B?VGhlIFB1bXAgVXAgWW91ciBNaWxlcyBFdmVudCBlbmRzIFRPTg==?=
 =?utf-8?B?SUdIVCEg4pu9?=</f>
        <v>#ERROR!</v>
      </c>
      <c r="E261" s="1" t="s">
        <v>279</v>
      </c>
    </row>
    <row r="262">
      <c r="A262" s="2">
        <v>45250.61907407407</v>
      </c>
      <c r="B262" s="1" t="s">
        <v>294</v>
      </c>
      <c r="C262" s="1" t="s">
        <v>6</v>
      </c>
      <c r="D262" s="3" t="str">
        <f>?utf-8?B?VGhlIFB1bXAgVXAgWW91ciBNaWxlcyBFdmVudCBlbmRzIFRPTg==?=
 =?utf-8?B?SUdIVCEg4pu9?=</f>
        <v>#ERROR!</v>
      </c>
      <c r="E262" s="1" t="s">
        <v>279</v>
      </c>
    </row>
    <row r="263">
      <c r="A263" s="2">
        <v>45250.624293981484</v>
      </c>
      <c r="B263" s="1" t="s">
        <v>259</v>
      </c>
      <c r="C263" s="1" t="s">
        <v>6</v>
      </c>
      <c r="D263" s="3" t="str">
        <f>?utf-8?B?R2V0IDIweCBNaWxlcyBhdCBBbWF6b24sIFNlcGhvcmEsIER5cw==?=
 =?utf-8?B?b24gKyBtb3JlIPCfm43vuI8=?=</f>
        <v>#ERROR!</v>
      </c>
      <c r="E263" s="1" t="s">
        <v>279</v>
      </c>
    </row>
    <row r="264">
      <c r="A264" s="2">
        <v>45250.78912037037</v>
      </c>
      <c r="B264" s="1" t="s">
        <v>309</v>
      </c>
      <c r="C264" s="1" t="s">
        <v>306</v>
      </c>
      <c r="D264" s="3" t="str">
        <f>?utf-8?B?R2V0IDIweCBNaWxlcyBhdCBBbWF6b24sIFNlcGhvcmEsIER5cw==?=
 =?utf-8?B?b24gKyBtb3JlIPCfm43vuI8=?=</f>
        <v>#ERROR!</v>
      </c>
      <c r="E264" s="1" t="s">
        <v>279</v>
      </c>
    </row>
    <row r="265">
      <c r="A265" s="2">
        <v>45253.75755787037</v>
      </c>
      <c r="B265" s="1" t="s">
        <v>259</v>
      </c>
      <c r="C265" s="1" t="s">
        <v>6</v>
      </c>
      <c r="D265" s="3" t="str">
        <f>?utf-8?B?QmxhY2sgRnJpZGF5IHRyYXZlbCBkZWFsISDinIggR2V0IHVwIA==?=
 =?utf-8?B?dG8gMiw1MDAgQm9udXMgTWlsZXPigJRkb27igJl0IG1pc3Mgb3V0IQ==?=</f>
        <v>#ERROR!</v>
      </c>
      <c r="E265" s="1" t="s">
        <v>279</v>
      </c>
    </row>
    <row r="266">
      <c r="A266" s="2">
        <v>45253.75791666667</v>
      </c>
      <c r="B266" s="1" t="s">
        <v>309</v>
      </c>
      <c r="C266" s="1" t="s">
        <v>306</v>
      </c>
      <c r="D266" s="3" t="str">
        <f>?utf-8?B?QmxhY2sgRnJpZGF5IHRyYXZlbCBkZWFsISDinIggR2V0IHVwIA==?=
 =?utf-8?B?dG8gMiw1MDAgQm9udXMgTWlsZXPigJRkb27igJl0IG1pc3Mgb3V0IQ==?=</f>
        <v>#ERROR!</v>
      </c>
      <c r="E266" s="1" t="s">
        <v>279</v>
      </c>
    </row>
    <row r="267">
      <c r="A267" s="2">
        <v>45254.493414351855</v>
      </c>
      <c r="B267" s="1" t="s">
        <v>294</v>
      </c>
      <c r="C267" s="1" t="s">
        <v>6</v>
      </c>
      <c r="D267" s="1" t="s">
        <v>314</v>
      </c>
      <c r="E267" s="1" t="s">
        <v>279</v>
      </c>
    </row>
    <row r="268">
      <c r="A268" s="2">
        <v>45254.49381944445</v>
      </c>
      <c r="B268" s="1" t="s">
        <v>305</v>
      </c>
      <c r="C268" s="1" t="s">
        <v>306</v>
      </c>
      <c r="D268" s="1" t="s">
        <v>314</v>
      </c>
      <c r="E268" s="1" t="s">
        <v>279</v>
      </c>
    </row>
    <row r="269">
      <c r="A269" s="2">
        <v>45254.49513888889</v>
      </c>
      <c r="B269" s="1" t="s">
        <v>294</v>
      </c>
      <c r="C269" s="1" t="s">
        <v>6</v>
      </c>
      <c r="D269" s="3" t="str">
        <f>?utf-8?B?QWN0aXZhdGUgd2l0aCBSb2dlcnMgYW5kIGVhcm4gNTAwIEJvbg==?=
 =?utf-8?B?dXMgTWlsZXMh8J+RifCfk7E=?=</f>
        <v>#ERROR!</v>
      </c>
      <c r="E269" s="1" t="s">
        <v>279</v>
      </c>
    </row>
    <row r="270">
      <c r="A270" s="2">
        <v>45254.51625</v>
      </c>
      <c r="B270" s="1" t="s">
        <v>259</v>
      </c>
      <c r="C270" s="1" t="s">
        <v>6</v>
      </c>
      <c r="D270" s="3" t="str">
        <f>?utf-8?B?R2V0IDIweCBNaWxlcyBkdXJpbmcgQmxhY2sgRnJpZGF5IA==?=
 =?utf-8?B?8J+ZjA==?=</f>
        <v>#ERROR!</v>
      </c>
      <c r="E270" s="1" t="s">
        <v>279</v>
      </c>
    </row>
    <row r="271">
      <c r="A271" s="2">
        <v>45254.54858796296</v>
      </c>
      <c r="B271" s="1" t="s">
        <v>305</v>
      </c>
      <c r="C271" s="1" t="s">
        <v>306</v>
      </c>
      <c r="D271" s="3" t="str">
        <f>?utf-8?B?QWN0aXZhdGUgd2l0aCBSb2dlcnMgYW5kIGVhcm4gNTAwIEJvbg==?=
 =?utf-8?B?dXMgTWlsZXMh8J+RifCfk7E=?=</f>
        <v>#ERROR!</v>
      </c>
      <c r="E271" s="1" t="s">
        <v>279</v>
      </c>
    </row>
    <row r="272">
      <c r="A272" s="2">
        <v>45256.790972222225</v>
      </c>
      <c r="B272" s="1" t="s">
        <v>300</v>
      </c>
      <c r="C272" s="1" t="s">
        <v>14</v>
      </c>
      <c r="D272" s="1" t="s">
        <v>301</v>
      </c>
      <c r="E272" s="1" t="s">
        <v>302</v>
      </c>
    </row>
    <row r="273">
      <c r="A273" s="2">
        <v>45257.4990625</v>
      </c>
      <c r="B273" s="1" t="s">
        <v>259</v>
      </c>
      <c r="C273" s="1" t="s">
        <v>6</v>
      </c>
      <c r="D273" s="3" t="str">
        <f>?utf-8?B?R2V0IDIweCBNaWxlcyBvbiBDeWJlciBNb25kYXkgdGhyb3VnaA==?=
 =?utf-8?B?IGFpcm1pbGVzc2hvcHMuY2Eg8J+kkQ==?=</f>
        <v>#ERROR!</v>
      </c>
      <c r="E273" s="1" t="s">
        <v>279</v>
      </c>
    </row>
    <row r="274">
      <c r="A274" s="2">
        <v>45259.75671296296</v>
      </c>
      <c r="B274" s="1" t="s">
        <v>294</v>
      </c>
      <c r="C274" s="1" t="s">
        <v>6</v>
      </c>
      <c r="D274" s="3" t="str">
        <f>?utf-8?B?WW91IGNvdWxkIGJlIGVhcm5pbmcgMTB4IGZhc3RlciB3aXRoIA==?=
 =?utf-8?B?YSBCTU8gQUlSIE1JTEVTIENyZWRpdCBDYXJkIPCfkrM=?=</f>
        <v>#ERROR!</v>
      </c>
      <c r="E274" s="1" t="s">
        <v>279</v>
      </c>
    </row>
    <row r="275">
      <c r="A275" s="2">
        <v>45260.880324074074</v>
      </c>
      <c r="B275" s="1" t="s">
        <v>300</v>
      </c>
      <c r="C275" s="1" t="s">
        <v>14</v>
      </c>
      <c r="D275" s="1" t="s">
        <v>301</v>
      </c>
      <c r="E275" s="1" t="s">
        <v>302</v>
      </c>
    </row>
    <row r="276">
      <c r="A276" s="2">
        <v>45260.8809375</v>
      </c>
      <c r="B276" s="1" t="s">
        <v>315</v>
      </c>
      <c r="C276" s="1" t="s">
        <v>14</v>
      </c>
      <c r="D276" s="1" t="s">
        <v>316</v>
      </c>
      <c r="E276" s="1" t="s">
        <v>317</v>
      </c>
    </row>
    <row r="277">
      <c r="A277" s="2">
        <v>45260.882256944446</v>
      </c>
      <c r="B277" s="1" t="s">
        <v>315</v>
      </c>
      <c r="C277" s="1" t="s">
        <v>14</v>
      </c>
      <c r="D277" s="1" t="s">
        <v>316</v>
      </c>
      <c r="E277" s="1" t="s">
        <v>318</v>
      </c>
    </row>
    <row r="278">
      <c r="A278" s="2">
        <v>45261.06652777778</v>
      </c>
      <c r="B278" s="1" t="s">
        <v>319</v>
      </c>
      <c r="C278" s="1" t="s">
        <v>14</v>
      </c>
      <c r="D278" s="1" t="s">
        <v>320</v>
      </c>
      <c r="E278" s="1" t="s">
        <v>321</v>
      </c>
    </row>
    <row r="279">
      <c r="A279" s="2">
        <v>45261.45753472222</v>
      </c>
      <c r="B279" s="1" t="s">
        <v>319</v>
      </c>
      <c r="C279" s="1" t="s">
        <v>14</v>
      </c>
      <c r="D279" s="1" t="s">
        <v>320</v>
      </c>
      <c r="E279" s="1" t="s">
        <v>321</v>
      </c>
    </row>
    <row r="280">
      <c r="A280" s="2">
        <v>45261.68041666667</v>
      </c>
      <c r="B280" s="1" t="s">
        <v>259</v>
      </c>
      <c r="C280" s="1" t="s">
        <v>6</v>
      </c>
      <c r="D280" s="3" t="str">
        <f>?utf-8?B?RkxBU0ggT0ZGRVJTIGFyZSBoZXJlOiAzMHggYXQgU2hlbGwgKw==?=
 =?utf-8?B?IG1vcmUg4pqh?=</f>
        <v>#ERROR!</v>
      </c>
      <c r="E280" s="1" t="s">
        <v>279</v>
      </c>
    </row>
    <row r="281">
      <c r="A281" s="2">
        <v>45261.747094907405</v>
      </c>
      <c r="B281" s="1" t="s">
        <v>294</v>
      </c>
      <c r="C281" s="1" t="s">
        <v>6</v>
      </c>
      <c r="D281" s="1" t="s">
        <v>322</v>
      </c>
      <c r="E281" s="1" t="s">
        <v>279</v>
      </c>
    </row>
    <row r="282">
      <c r="A282" s="2">
        <v>45262.18678240741</v>
      </c>
      <c r="B282" s="1" t="s">
        <v>315</v>
      </c>
      <c r="C282" s="1" t="s">
        <v>14</v>
      </c>
      <c r="D282" s="1" t="s">
        <v>323</v>
      </c>
      <c r="E282" s="1" t="s">
        <v>324</v>
      </c>
    </row>
    <row r="283">
      <c r="A283" s="2">
        <v>45262.19253472222</v>
      </c>
      <c r="B283" s="1" t="s">
        <v>325</v>
      </c>
      <c r="C283" s="1" t="s">
        <v>14</v>
      </c>
      <c r="D283" s="1" t="s">
        <v>326</v>
      </c>
      <c r="E283" s="1" t="s">
        <v>327</v>
      </c>
    </row>
    <row r="284">
      <c r="A284" s="2">
        <v>45265.428622685184</v>
      </c>
      <c r="B284" s="1" t="s">
        <v>136</v>
      </c>
      <c r="C284" s="1" t="s">
        <v>14</v>
      </c>
      <c r="D284" s="1" t="s">
        <v>328</v>
      </c>
      <c r="E284" s="1" t="s">
        <v>138</v>
      </c>
    </row>
    <row r="285">
      <c r="A285" s="2">
        <v>45267.08478009259</v>
      </c>
      <c r="B285" s="1" t="s">
        <v>329</v>
      </c>
      <c r="C285" s="1" t="s">
        <v>14</v>
      </c>
      <c r="D285" s="1" t="s">
        <v>330</v>
      </c>
      <c r="E285" s="1" t="s">
        <v>331</v>
      </c>
    </row>
    <row r="286">
      <c r="A286" s="2">
        <v>45267.08773148148</v>
      </c>
      <c r="B286" s="1" t="s">
        <v>329</v>
      </c>
      <c r="C286" s="1" t="s">
        <v>14</v>
      </c>
      <c r="D286" s="3" t="str">
        <f>?ISO-8859-1?Q?Your_recent_purchase_with_your_Apple=A0ID?=</f>
        <v>#ERROR!</v>
      </c>
      <c r="E286" s="1" t="s">
        <v>332</v>
      </c>
    </row>
    <row r="287">
      <c r="A287" s="2">
        <v>45267.153761574074</v>
      </c>
      <c r="B287" s="1" t="s">
        <v>319</v>
      </c>
      <c r="C287" s="1" t="s">
        <v>14</v>
      </c>
      <c r="D287" s="1" t="s">
        <v>320</v>
      </c>
      <c r="E287" s="1" t="s">
        <v>333</v>
      </c>
    </row>
    <row r="288">
      <c r="A288" s="2">
        <v>45267.25136574074</v>
      </c>
      <c r="B288" s="1" t="s">
        <v>234</v>
      </c>
      <c r="C288" s="1" t="s">
        <v>6</v>
      </c>
      <c r="D288" s="3" t="str">
        <f>?UTF-8?B?RGF3biwgaGVyZSdzIHlvdXIgY2hhbmNlIHRvIHdpbiDwn5Kw?=</f>
        <v>#ERROR!</v>
      </c>
      <c r="E288" s="1" t="s">
        <v>334</v>
      </c>
    </row>
    <row r="289">
      <c r="A289" s="2">
        <v>45268.694861111115</v>
      </c>
      <c r="B289" s="1" t="s">
        <v>325</v>
      </c>
      <c r="C289" s="1" t="s">
        <v>14</v>
      </c>
      <c r="D289" s="1" t="s">
        <v>335</v>
      </c>
      <c r="E289" s="1" t="s">
        <v>336</v>
      </c>
    </row>
    <row r="290">
      <c r="A290" s="2">
        <v>45268.683958333335</v>
      </c>
      <c r="B290" s="1" t="s">
        <v>259</v>
      </c>
      <c r="C290" s="1" t="s">
        <v>6</v>
      </c>
      <c r="D290" s="3" t="str">
        <f>?utf-8?B?R3JhYiB5b3VyIGhvdCBjaG9jb2xhdGUhIFlvdXIgd2Vla2x5IA==?=
 =?utf-8?B?b2ZmZXJzIGFyZSBoZXJlIOKdhO+4jw==?=</f>
        <v>#ERROR!</v>
      </c>
      <c r="E290" s="1" t="s">
        <v>279</v>
      </c>
    </row>
    <row r="291">
      <c r="A291" s="2">
        <v>45269.05454861111</v>
      </c>
      <c r="B291" s="1" t="s">
        <v>289</v>
      </c>
      <c r="C291" s="1" t="s">
        <v>89</v>
      </c>
      <c r="D291" s="1" t="s">
        <v>290</v>
      </c>
      <c r="E291" s="1" t="s">
        <v>291</v>
      </c>
    </row>
    <row r="292">
      <c r="A292" s="2">
        <v>45269.925</v>
      </c>
      <c r="B292" s="1" t="s">
        <v>329</v>
      </c>
      <c r="C292" s="1" t="s">
        <v>14</v>
      </c>
      <c r="D292" s="1" t="s">
        <v>330</v>
      </c>
      <c r="E292" s="1" t="s">
        <v>337</v>
      </c>
    </row>
    <row r="293">
      <c r="A293" s="2">
        <v>45270.00449074074</v>
      </c>
      <c r="B293" s="1" t="s">
        <v>325</v>
      </c>
      <c r="C293" s="1" t="s">
        <v>14</v>
      </c>
      <c r="D293" s="1" t="s">
        <v>338</v>
      </c>
      <c r="E293" s="1" t="s">
        <v>339</v>
      </c>
    </row>
    <row r="294">
      <c r="A294" s="2">
        <v>45270.01329861111</v>
      </c>
      <c r="B294" s="1" t="s">
        <v>289</v>
      </c>
      <c r="C294" s="1" t="s">
        <v>89</v>
      </c>
      <c r="D294" s="1" t="s">
        <v>290</v>
      </c>
      <c r="E294" s="1" t="s">
        <v>340</v>
      </c>
    </row>
    <row r="295">
      <c r="A295" s="2">
        <v>45270.76341435185</v>
      </c>
      <c r="B295" s="1" t="s">
        <v>325</v>
      </c>
      <c r="C295" s="1" t="s">
        <v>14</v>
      </c>
      <c r="D295" s="1" t="s">
        <v>341</v>
      </c>
      <c r="E295" s="1" t="s">
        <v>342</v>
      </c>
    </row>
    <row r="296">
      <c r="A296" s="2">
        <v>45270.77177083334</v>
      </c>
      <c r="B296" s="1" t="s">
        <v>325</v>
      </c>
      <c r="C296" s="1" t="s">
        <v>14</v>
      </c>
      <c r="D296" s="1" t="s">
        <v>343</v>
      </c>
      <c r="E296" s="1" t="s">
        <v>344</v>
      </c>
    </row>
    <row r="297">
      <c r="A297" s="2">
        <v>45272.80320601852</v>
      </c>
      <c r="B297" s="1" t="s">
        <v>259</v>
      </c>
      <c r="C297" s="1" t="s">
        <v>6</v>
      </c>
      <c r="D297" s="3" t="str">
        <f>?utf-8?B?8J+YjSBHZXQgMTkwIENhc2ggTWlsZXMgYXQgU2hlbGwg4oCTIA==?=
 =?utf-8?B?YSBzYXZpbmdzIG9mIDUwwqIvTA==?=</f>
        <v>#ERROR!</v>
      </c>
      <c r="E297" s="1" t="s">
        <v>279</v>
      </c>
    </row>
    <row r="298">
      <c r="A298" s="2">
        <v>45274.30657407407</v>
      </c>
      <c r="B298" s="1" t="s">
        <v>325</v>
      </c>
      <c r="C298" s="1" t="s">
        <v>14</v>
      </c>
      <c r="D298" s="1" t="s">
        <v>345</v>
      </c>
      <c r="E298" s="1" t="s">
        <v>346</v>
      </c>
    </row>
    <row r="299">
      <c r="A299" s="2">
        <v>45275.299375</v>
      </c>
      <c r="B299" s="1" t="s">
        <v>325</v>
      </c>
      <c r="C299" s="1" t="s">
        <v>14</v>
      </c>
      <c r="D299" s="1" t="s">
        <v>347</v>
      </c>
      <c r="E299" s="1" t="s">
        <v>348</v>
      </c>
    </row>
    <row r="300">
      <c r="A300" s="2">
        <v>45275.623078703706</v>
      </c>
      <c r="B300" s="1" t="s">
        <v>259</v>
      </c>
      <c r="C300" s="1" t="s">
        <v>6</v>
      </c>
      <c r="D300" s="3" t="str">
        <f>?utf-8?B?8J+noyBCdW5kbGUgdXAgd2l0aCAyeCB0aGUgTWlsZXMgYXQgUw==?=
 =?utf-8?B?ZXBob3JhICsgU2hvcCBUaGUgQmxvY2sg8J+bje+4jw==?=</f>
        <v>#ERROR!</v>
      </c>
      <c r="E300" s="1" t="s">
        <v>279</v>
      </c>
    </row>
    <row r="301">
      <c r="A301" s="2">
        <v>45275.65133101852</v>
      </c>
      <c r="B301" s="1" t="s">
        <v>294</v>
      </c>
      <c r="C301" s="1" t="s">
        <v>6</v>
      </c>
      <c r="D301" s="3" t="str">
        <f>?windows-1252?Q?There=92s_still_time_to_get_100_Bonus_Miles_at_?=
 =?windows-1252?Q?Shell!?=</f>
        <v>#ERROR!</v>
      </c>
      <c r="E301" s="1" t="s">
        <v>279</v>
      </c>
    </row>
    <row r="302">
      <c r="A302" s="2">
        <v>45275.86650462963</v>
      </c>
      <c r="B302" s="1" t="s">
        <v>294</v>
      </c>
      <c r="C302" s="1" t="s">
        <v>6</v>
      </c>
      <c r="D302" s="3" t="str">
        <f>?utf-8?B?8J+ToyBEb27igJl0IG1pc3Mgb3V0IG9uIDE5MCBDYXNoIE1pbA==?=
 =?utf-8?B?ZXMgYXQgU2hlbGwg4oCTIHRoYXTigJlzIGEgc2F2aW5ncyBvZiA1MMKiLw==?=
 =?utf-8?B?TCEg?=</f>
        <v>#ERROR!</v>
      </c>
      <c r="E302" s="1" t="s">
        <v>279</v>
      </c>
    </row>
    <row r="303">
      <c r="A303" s="2">
        <v>45275.86319444444</v>
      </c>
      <c r="B303" s="1" t="s">
        <v>349</v>
      </c>
      <c r="C303" s="1" t="s">
        <v>6</v>
      </c>
      <c r="D303" s="1" t="s">
        <v>350</v>
      </c>
      <c r="E303" s="1" t="s">
        <v>351</v>
      </c>
    </row>
    <row r="304">
      <c r="A304" s="2">
        <v>45276.417037037034</v>
      </c>
      <c r="B304" s="1" t="s">
        <v>265</v>
      </c>
      <c r="C304" s="1" t="s">
        <v>231</v>
      </c>
      <c r="D304" s="1" t="s">
        <v>352</v>
      </c>
      <c r="E304" s="1" t="s">
        <v>353</v>
      </c>
    </row>
    <row r="305">
      <c r="A305" s="2">
        <v>45276.86283564815</v>
      </c>
      <c r="B305" s="1" t="s">
        <v>349</v>
      </c>
      <c r="C305" s="1" t="s">
        <v>6</v>
      </c>
      <c r="D305" s="1" t="s">
        <v>354</v>
      </c>
      <c r="E305" s="1" t="s">
        <v>355</v>
      </c>
    </row>
    <row r="306">
      <c r="A306" s="2">
        <v>45278.79625</v>
      </c>
      <c r="B306" s="1" t="s">
        <v>222</v>
      </c>
      <c r="C306" s="1" t="s">
        <v>14</v>
      </c>
      <c r="D306" s="1" t="s">
        <v>356</v>
      </c>
      <c r="E306" s="1" t="s">
        <v>357</v>
      </c>
    </row>
    <row r="307">
      <c r="A307" s="2">
        <v>45278.72243055556</v>
      </c>
      <c r="B307" s="1" t="s">
        <v>358</v>
      </c>
      <c r="C307" s="1" t="s">
        <v>89</v>
      </c>
      <c r="D307" s="1" t="s">
        <v>290</v>
      </c>
      <c r="E307" s="1" t="s">
        <v>359</v>
      </c>
    </row>
    <row r="308">
      <c r="A308" s="2">
        <v>45278.861875</v>
      </c>
      <c r="B308" s="1" t="s">
        <v>349</v>
      </c>
      <c r="C308" s="1" t="s">
        <v>6</v>
      </c>
      <c r="D308" s="3" t="str">
        <f>?UTF-8?B?SXTigJlzIGdhbWUgdGltZSBhdCBFdXJvIFBhbGFjZSE=?=</f>
        <v>#ERROR!</v>
      </c>
      <c r="E308" s="1" t="s">
        <v>360</v>
      </c>
    </row>
    <row r="309">
      <c r="A309" s="2">
        <v>45279.68137731482</v>
      </c>
      <c r="B309" s="1" t="s">
        <v>358</v>
      </c>
      <c r="C309" s="1" t="s">
        <v>89</v>
      </c>
      <c r="D309" s="1" t="s">
        <v>290</v>
      </c>
      <c r="E309" s="1" t="s">
        <v>361</v>
      </c>
    </row>
    <row r="310">
      <c r="A310" s="2">
        <v>45281.86349537037</v>
      </c>
      <c r="B310" s="1" t="s">
        <v>349</v>
      </c>
      <c r="C310" s="1" t="s">
        <v>6</v>
      </c>
      <c r="D310" s="1" t="s">
        <v>362</v>
      </c>
      <c r="E310" s="1" t="s">
        <v>363</v>
      </c>
    </row>
    <row r="311">
      <c r="A311" s="2">
        <v>45282.44783564815</v>
      </c>
      <c r="B311" s="1" t="s">
        <v>259</v>
      </c>
      <c r="C311" s="1" t="s">
        <v>6</v>
      </c>
      <c r="D311" s="3" t="str">
        <f>?utf-8?B?VW53cmFwIHRoaXMgd2VlaydzIEJvbnVzIE9mZmVycyDwn46B?=
 =?utf-8?B?8J+OiQ==?=</f>
        <v>#ERROR!</v>
      </c>
      <c r="E311" s="1" t="s">
        <v>279</v>
      </c>
    </row>
    <row r="312">
      <c r="A312" s="2">
        <v>45282.500069444446</v>
      </c>
      <c r="B312" s="1" t="s">
        <v>259</v>
      </c>
      <c r="C312" s="1" t="s">
        <v>6</v>
      </c>
      <c r="D312" s="3" t="str">
        <f>?utf-8?B?U2hvcCBmb3IgdGhlIGhvbGlkYXlzIGFuZCBnZXQgbW9yZSBCbw==?=
 =?utf-8?B?bnVzIE1pbGVzIHdpdGggQUlSIE1JTEVTIFJlY2VpcHRzIeKdhO+4jw==?=
 =?utf-8?B?8J+bkg==?=</f>
        <v>#ERROR!</v>
      </c>
      <c r="E312" s="1" t="s">
        <v>279</v>
      </c>
    </row>
    <row r="313">
      <c r="A313" s="2">
        <v>45283.41694444444</v>
      </c>
      <c r="B313" s="1" t="s">
        <v>265</v>
      </c>
      <c r="C313" s="1" t="s">
        <v>231</v>
      </c>
      <c r="D313" s="1" t="s">
        <v>364</v>
      </c>
      <c r="E313" s="1" t="s">
        <v>365</v>
      </c>
    </row>
    <row r="314">
      <c r="A314" s="2">
        <v>45283.86226851852</v>
      </c>
      <c r="B314" s="1" t="s">
        <v>325</v>
      </c>
      <c r="C314" s="1" t="s">
        <v>14</v>
      </c>
      <c r="D314" s="1" t="s">
        <v>366</v>
      </c>
      <c r="E314" s="1" t="s">
        <v>367</v>
      </c>
    </row>
    <row r="315">
      <c r="A315" s="2">
        <v>45284.771203703705</v>
      </c>
      <c r="B315" s="1" t="s">
        <v>319</v>
      </c>
      <c r="C315" s="1" t="s">
        <v>14</v>
      </c>
      <c r="D315" s="1" t="s">
        <v>320</v>
      </c>
      <c r="E315" s="1" t="s">
        <v>333</v>
      </c>
    </row>
    <row r="316">
      <c r="A316" s="2">
        <v>45285.68210648148</v>
      </c>
      <c r="B316" s="1" t="s">
        <v>358</v>
      </c>
      <c r="C316" s="1" t="s">
        <v>89</v>
      </c>
      <c r="D316" s="1" t="s">
        <v>368</v>
      </c>
      <c r="E316" s="1" t="s">
        <v>369</v>
      </c>
    </row>
    <row r="317">
      <c r="A317" s="2">
        <v>45286.28649305556</v>
      </c>
      <c r="B317" s="1" t="s">
        <v>259</v>
      </c>
      <c r="C317" s="1" t="s">
        <v>6</v>
      </c>
      <c r="D317" s="3" t="str">
        <f>?utf-8?B?TWFrZSBCb3hpbmcgRGF5IGRlYWxzIGdvIGZ1cnRoZXIgd2l0aA==?=
 =?utf-8?B?IDIweCBNaWxlcyDihpTvuI8=?=</f>
        <v>#ERROR!</v>
      </c>
      <c r="E317" s="1" t="s">
        <v>279</v>
      </c>
    </row>
    <row r="318">
      <c r="A318" s="2">
        <v>45286.42575231481</v>
      </c>
      <c r="B318" s="1" t="s">
        <v>294</v>
      </c>
      <c r="C318" s="1" t="s">
        <v>6</v>
      </c>
      <c r="D318" s="1" t="s">
        <v>370</v>
      </c>
      <c r="E318" s="1" t="s">
        <v>279</v>
      </c>
    </row>
    <row r="319">
      <c r="A319" s="2">
        <v>45286.64079861111</v>
      </c>
      <c r="B319" s="1" t="s">
        <v>179</v>
      </c>
      <c r="C319" s="1" t="s">
        <v>163</v>
      </c>
      <c r="D319" s="3" t="str">
        <f>?UTF-8?B?8J+SpQ==?= Boxing Week knockout deals</f>
        <v>#ERROR!</v>
      </c>
      <c r="E319" s="1" t="s">
        <v>371</v>
      </c>
    </row>
    <row r="320">
      <c r="A320" s="2">
        <v>45288.85498842593</v>
      </c>
      <c r="B320" s="1" t="s">
        <v>319</v>
      </c>
      <c r="C320" s="1" t="s">
        <v>14</v>
      </c>
      <c r="D320" s="1" t="s">
        <v>320</v>
      </c>
      <c r="E320" s="1" t="s">
        <v>333</v>
      </c>
    </row>
    <row r="321">
      <c r="A321" s="2">
        <v>45289.21778935185</v>
      </c>
      <c r="B321" s="1" t="s">
        <v>315</v>
      </c>
      <c r="C321" s="1" t="s">
        <v>14</v>
      </c>
      <c r="D321" s="1" t="s">
        <v>316</v>
      </c>
      <c r="E321" s="1" t="s">
        <v>372</v>
      </c>
    </row>
    <row r="322">
      <c r="A322" s="2">
        <v>45289.126076388886</v>
      </c>
      <c r="B322" s="1" t="s">
        <v>234</v>
      </c>
      <c r="C322" s="1" t="s">
        <v>6</v>
      </c>
      <c r="D322" s="3" t="str">
        <f>?UTF-8?B?UmV2ZWFsIHlvdXIgMjAyNCBwcmVkaWN0aW9uIPCflK4=?=</f>
        <v>#ERROR!</v>
      </c>
      <c r="E322" s="1" t="s">
        <v>373</v>
      </c>
    </row>
    <row r="323">
      <c r="A323" s="2">
        <v>45289.4875</v>
      </c>
      <c r="B323" s="1" t="s">
        <v>329</v>
      </c>
      <c r="C323" s="1" t="s">
        <v>14</v>
      </c>
      <c r="D323" s="1" t="s">
        <v>330</v>
      </c>
      <c r="E323" s="1" t="s">
        <v>374</v>
      </c>
    </row>
    <row r="324">
      <c r="A324" s="2">
        <v>45289.49445601852</v>
      </c>
      <c r="B324" s="1" t="s">
        <v>259</v>
      </c>
      <c r="C324" s="1" t="s">
        <v>6</v>
      </c>
      <c r="D324" s="1" t="s">
        <v>375</v>
      </c>
      <c r="E324" s="1" t="s">
        <v>279</v>
      </c>
    </row>
    <row r="325">
      <c r="A325" s="2">
        <v>45289.883356481485</v>
      </c>
      <c r="B325" s="1" t="s">
        <v>136</v>
      </c>
      <c r="C325" s="1" t="s">
        <v>14</v>
      </c>
      <c r="D325" s="3" t="str">
        <f>?UTF-8?B?V2XigJlyZQ==?= back and ready to play again!
 =?UTF-8?B?4pyU77iP?=</f>
        <v>#ERROR!</v>
      </c>
      <c r="E325" s="1" t="s">
        <v>138</v>
      </c>
    </row>
    <row r="326">
      <c r="A326" s="2">
        <v>45290.21778935185</v>
      </c>
      <c r="B326" s="1" t="s">
        <v>154</v>
      </c>
      <c r="C326" s="1" t="s">
        <v>14</v>
      </c>
      <c r="D326" s="3" t="str">
        <f>?UTF-8?B?WW914oCZdmU=?= lost access to Premium Family</f>
        <v>#ERROR!</v>
      </c>
      <c r="E326" s="1" t="s">
        <v>376</v>
      </c>
    </row>
    <row r="327">
      <c r="A327" s="2">
        <v>45290.28355324074</v>
      </c>
      <c r="B327" s="1" t="s">
        <v>319</v>
      </c>
      <c r="C327" s="1" t="s">
        <v>14</v>
      </c>
      <c r="D327" s="1" t="s">
        <v>320</v>
      </c>
      <c r="E327" s="1" t="s">
        <v>333</v>
      </c>
    </row>
    <row r="328">
      <c r="A328" s="2">
        <v>45291.50244212963</v>
      </c>
      <c r="B328" s="1" t="s">
        <v>377</v>
      </c>
      <c r="C328" s="1" t="s">
        <v>231</v>
      </c>
      <c r="D328" s="1" t="s">
        <v>378</v>
      </c>
      <c r="E328" s="1" t="s">
        <v>197</v>
      </c>
    </row>
    <row r="329">
      <c r="A329" s="2">
        <v>45295.428090277775</v>
      </c>
      <c r="B329" s="1" t="s">
        <v>329</v>
      </c>
      <c r="C329" s="1" t="s">
        <v>14</v>
      </c>
      <c r="D329" s="1" t="s">
        <v>379</v>
      </c>
      <c r="E329" s="1" t="s">
        <v>380</v>
      </c>
    </row>
    <row r="330">
      <c r="A330" s="2">
        <v>45295.428148148145</v>
      </c>
      <c r="B330" s="1" t="s">
        <v>329</v>
      </c>
      <c r="C330" s="1" t="s">
        <v>14</v>
      </c>
      <c r="D330" s="1" t="s">
        <v>330</v>
      </c>
      <c r="E330" s="1" t="s">
        <v>381</v>
      </c>
    </row>
    <row r="331">
      <c r="A331" s="2">
        <v>45296.30851851852</v>
      </c>
      <c r="B331" s="1" t="s">
        <v>329</v>
      </c>
      <c r="C331" s="1" t="s">
        <v>14</v>
      </c>
      <c r="D331" s="1" t="s">
        <v>330</v>
      </c>
      <c r="E331" s="1" t="s">
        <v>382</v>
      </c>
    </row>
    <row r="332">
      <c r="A332" s="2">
        <v>45296.68071759259</v>
      </c>
      <c r="B332" s="1" t="s">
        <v>259</v>
      </c>
      <c r="C332" s="1" t="s">
        <v>6</v>
      </c>
      <c r="D332" s="3" t="str">
        <f>?utf-8?B?Q29vbCB0ZW1wcyBjYWxsIGZvciBob3QgYm9udXMgb2ZmZXJzIA==?=
 =?utf-8?B?4p2E77iP?=</f>
        <v>#ERROR!</v>
      </c>
      <c r="E332" s="1" t="s">
        <v>279</v>
      </c>
    </row>
    <row r="333">
      <c r="A333" s="2">
        <v>45298.309224537035</v>
      </c>
      <c r="B333" s="1" t="s">
        <v>329</v>
      </c>
      <c r="C333" s="1" t="s">
        <v>14</v>
      </c>
      <c r="D333" s="1" t="s">
        <v>383</v>
      </c>
      <c r="E333" s="1" t="s">
        <v>384</v>
      </c>
    </row>
    <row r="334">
      <c r="A334" s="2">
        <v>45298.251284722224</v>
      </c>
      <c r="B334" s="1" t="s">
        <v>234</v>
      </c>
      <c r="C334" s="1" t="s">
        <v>6</v>
      </c>
      <c r="D334" s="3" t="str">
        <f>?UTF-8?B?RGF3biwgaGVyZSdzIHlvdXIgY2hhbmNlIHRvIHdpbiDwn5Kw?=</f>
        <v>#ERROR!</v>
      </c>
      <c r="E334" s="1" t="s">
        <v>385</v>
      </c>
    </row>
    <row r="335">
      <c r="A335" s="2">
        <v>45302.50770833333</v>
      </c>
      <c r="B335" s="1" t="s">
        <v>294</v>
      </c>
      <c r="C335" s="1" t="s">
        <v>6</v>
      </c>
      <c r="D335" s="3" t="str">
        <f>?utf-8?B?MjXCoiBwZXIgbGl0cmUgaXMgYSBMT1Qgb2YgZnVlbCBzYXZpbg==?=
 =?utf-8?B?Z3Mg4pu9IOKbvSDim70g?=</f>
        <v>#ERROR!</v>
      </c>
      <c r="E335" s="1" t="s">
        <v>279</v>
      </c>
    </row>
    <row r="336">
      <c r="A336" s="2">
        <v>45303.651608796295</v>
      </c>
      <c r="B336" s="1" t="s">
        <v>259</v>
      </c>
      <c r="C336" s="1" t="s">
        <v>6</v>
      </c>
      <c r="D336" s="3" t="str">
        <f>?utf-8?B?U3RhY2sgdXAgeW91ciBNaWxlcyB0aGlzIHdlZWtlbmQgd2l0aA==?=
 =?utf-8?B?IDV4IGF0IGx1bHVsZW1vbiAmIE1vcmUg8J+bje+4jw==?=</f>
        <v>#ERROR!</v>
      </c>
      <c r="E336" s="1" t="s">
        <v>279</v>
      </c>
    </row>
    <row r="337">
      <c r="A337" s="2">
        <v>45305.872511574074</v>
      </c>
      <c r="B337" s="1" t="s">
        <v>329</v>
      </c>
      <c r="C337" s="1" t="s">
        <v>14</v>
      </c>
      <c r="D337" s="1" t="s">
        <v>330</v>
      </c>
      <c r="E337" s="1" t="s">
        <v>386</v>
      </c>
    </row>
    <row r="338">
      <c r="A338" s="2">
        <v>45306.24314814815</v>
      </c>
      <c r="B338" s="1" t="s">
        <v>329</v>
      </c>
      <c r="C338" s="1" t="s">
        <v>14</v>
      </c>
      <c r="D338" s="1" t="s">
        <v>330</v>
      </c>
      <c r="E338" s="1" t="s">
        <v>387</v>
      </c>
    </row>
    <row r="339">
      <c r="A339" s="2">
        <v>45306.243159722224</v>
      </c>
      <c r="B339" s="1" t="s">
        <v>329</v>
      </c>
      <c r="C339" s="1" t="s">
        <v>14</v>
      </c>
      <c r="D339" s="1" t="s">
        <v>379</v>
      </c>
      <c r="E339" s="1" t="s">
        <v>388</v>
      </c>
    </row>
    <row r="340">
      <c r="A340" s="2">
        <v>45306.43987268519</v>
      </c>
      <c r="B340" s="1" t="s">
        <v>294</v>
      </c>
      <c r="C340" s="1" t="s">
        <v>6</v>
      </c>
      <c r="D340" s="3" t="str">
        <f>?windows-1252?Q?There=92s_still_time_to_get_100_Bonus_Miles_at_?=
 =?windows-1252?Q?Shell!?=</f>
        <v>#ERROR!</v>
      </c>
      <c r="E340" s="1" t="s">
        <v>279</v>
      </c>
    </row>
    <row r="341">
      <c r="A341" s="2">
        <v>45306.715208333335</v>
      </c>
      <c r="B341" s="1" t="s">
        <v>259</v>
      </c>
      <c r="C341" s="1" t="s">
        <v>6</v>
      </c>
      <c r="D341" s="3" t="str">
        <f>?utf-8?B?R2V0IDEwMCBCb251cyBNaWxlcyBhdCBXZWxsLmNhLCBMdWx1bA==?=
 =?utf-8?B?ZW1vbiArIG1vcmUhIPCfj4Pwn4+94oCN4pmA77iP?=</f>
        <v>#ERROR!</v>
      </c>
      <c r="E341" s="1" t="s">
        <v>279</v>
      </c>
    </row>
    <row r="342">
      <c r="A342" s="2">
        <v>45307.322233796294</v>
      </c>
      <c r="B342" s="1" t="s">
        <v>319</v>
      </c>
      <c r="C342" s="1" t="s">
        <v>14</v>
      </c>
      <c r="D342" s="1" t="s">
        <v>320</v>
      </c>
      <c r="E342" s="1" t="s">
        <v>333</v>
      </c>
    </row>
    <row r="343">
      <c r="A343" s="2">
        <v>45307.33556712963</v>
      </c>
      <c r="B343" s="1" t="s">
        <v>319</v>
      </c>
      <c r="C343" s="1" t="s">
        <v>14</v>
      </c>
      <c r="D343" s="1" t="s">
        <v>320</v>
      </c>
      <c r="E343" s="1" t="s">
        <v>333</v>
      </c>
    </row>
    <row r="344">
      <c r="A344" s="2">
        <v>45307.33731481482</v>
      </c>
      <c r="B344" s="1" t="s">
        <v>329</v>
      </c>
      <c r="C344" s="1" t="s">
        <v>14</v>
      </c>
      <c r="D344" s="1" t="s">
        <v>330</v>
      </c>
      <c r="E344" s="1" t="s">
        <v>389</v>
      </c>
    </row>
    <row r="345">
      <c r="A345" s="2">
        <v>45307.42429398148</v>
      </c>
      <c r="B345" s="1" t="s">
        <v>329</v>
      </c>
      <c r="C345" s="1" t="s">
        <v>14</v>
      </c>
      <c r="D345" s="1" t="s">
        <v>330</v>
      </c>
      <c r="E345" s="1" t="s">
        <v>390</v>
      </c>
    </row>
    <row r="346">
      <c r="A346" s="2">
        <v>45307.85827546296</v>
      </c>
      <c r="B346" s="1" t="s">
        <v>391</v>
      </c>
      <c r="C346" s="1" t="s">
        <v>392</v>
      </c>
      <c r="D346" s="3" t="str">
        <f>?windows-1252?Q?Complete_your_AIR_MILES_profile_=96_verify_your?=
 =?windows-1252?Q?_email_address.?=</f>
        <v>#ERROR!</v>
      </c>
      <c r="E346" s="1" t="s">
        <v>260</v>
      </c>
    </row>
    <row r="347">
      <c r="A347" s="2">
        <v>45308.431921296295</v>
      </c>
      <c r="B347" s="1" t="s">
        <v>393</v>
      </c>
      <c r="C347" s="1" t="s">
        <v>392</v>
      </c>
      <c r="D347" s="1" t="s">
        <v>394</v>
      </c>
      <c r="E347" s="1" t="s">
        <v>260</v>
      </c>
    </row>
    <row r="348">
      <c r="A348" s="2">
        <v>45308.45777777778</v>
      </c>
      <c r="B348" s="1" t="s">
        <v>294</v>
      </c>
      <c r="C348" s="1" t="s">
        <v>6</v>
      </c>
      <c r="D348" s="3" t="str">
        <f>?utf-8?B?U2F2ZSAyNcKiL0wgYXQgU2hlbGwg4oCTIGRvbuKAmXQgbWlzcw==?=
 =?utf-8?B?IG91dCEg8J+Ysg==?=</f>
        <v>#ERROR!</v>
      </c>
      <c r="E348" s="1" t="s">
        <v>279</v>
      </c>
    </row>
    <row r="349">
      <c r="A349" s="2">
        <v>45308.901458333334</v>
      </c>
      <c r="B349" s="1" t="s">
        <v>391</v>
      </c>
      <c r="C349" s="1" t="s">
        <v>392</v>
      </c>
      <c r="D349" s="1" t="s">
        <v>395</v>
      </c>
      <c r="E349" s="1" t="s">
        <v>260</v>
      </c>
    </row>
    <row r="350">
      <c r="A350" s="2">
        <v>45309.23138888889</v>
      </c>
      <c r="B350" s="1" t="s">
        <v>329</v>
      </c>
      <c r="C350" s="1" t="s">
        <v>14</v>
      </c>
      <c r="D350" s="1" t="s">
        <v>330</v>
      </c>
      <c r="E350" s="1" t="s">
        <v>396</v>
      </c>
    </row>
    <row r="351">
      <c r="A351" s="2">
        <v>45309.24171296296</v>
      </c>
      <c r="B351" s="1" t="s">
        <v>329</v>
      </c>
      <c r="C351" s="1" t="s">
        <v>14</v>
      </c>
      <c r="D351" s="1" t="s">
        <v>330</v>
      </c>
      <c r="E351" s="1" t="s">
        <v>397</v>
      </c>
    </row>
    <row r="352">
      <c r="A352" s="2">
        <v>45309.432280092595</v>
      </c>
      <c r="B352" s="1" t="s">
        <v>393</v>
      </c>
      <c r="C352" s="1" t="s">
        <v>392</v>
      </c>
      <c r="D352" s="1" t="s">
        <v>394</v>
      </c>
      <c r="E352" s="1" t="s">
        <v>260</v>
      </c>
    </row>
    <row r="353">
      <c r="A353" s="2">
        <v>45310.431921296295</v>
      </c>
      <c r="B353" s="1" t="s">
        <v>393</v>
      </c>
      <c r="C353" s="1" t="s">
        <v>392</v>
      </c>
      <c r="D353" s="1" t="s">
        <v>394</v>
      </c>
      <c r="E353" s="1" t="s">
        <v>260</v>
      </c>
    </row>
    <row r="354">
      <c r="A354" s="2">
        <v>45310.668703703705</v>
      </c>
      <c r="B354" s="1" t="s">
        <v>259</v>
      </c>
      <c r="C354" s="1" t="s">
        <v>6</v>
      </c>
      <c r="D354" s="3" t="str">
        <f>?utf-8?B?WW91ciBXZWVrbHkgQm9udXMgT2ZmZXJzIGFyZSBoZXJlISA=?=
 =?utf-8?B?8J+OiQ==?=</f>
        <v>#ERROR!</v>
      </c>
      <c r="E354" s="1" t="s">
        <v>279</v>
      </c>
    </row>
    <row r="355">
      <c r="A355" s="2">
        <v>45311.43219907407</v>
      </c>
      <c r="B355" s="1" t="s">
        <v>393</v>
      </c>
      <c r="C355" s="1" t="s">
        <v>392</v>
      </c>
      <c r="D355" s="1" t="s">
        <v>394</v>
      </c>
      <c r="E355" s="1" t="s">
        <v>260</v>
      </c>
    </row>
    <row r="356">
      <c r="A356" s="2">
        <v>45312.470347222225</v>
      </c>
      <c r="B356" s="1" t="s">
        <v>393</v>
      </c>
      <c r="C356" s="1" t="s">
        <v>392</v>
      </c>
      <c r="D356" s="3" t="str">
        <f>?windows-1252?Q?Let=92s_get_you_Bonus_Miles=2C__Bob!?=</f>
        <v>#ERROR!</v>
      </c>
      <c r="E356" s="1" t="s">
        <v>260</v>
      </c>
    </row>
    <row r="357">
      <c r="A357" s="2">
        <v>45313.2425</v>
      </c>
      <c r="B357" s="1" t="s">
        <v>329</v>
      </c>
      <c r="C357" s="1" t="s">
        <v>14</v>
      </c>
      <c r="D357" s="1" t="s">
        <v>398</v>
      </c>
      <c r="E357" s="1" t="s">
        <v>399</v>
      </c>
    </row>
    <row r="358">
      <c r="A358" s="2">
        <v>45315.18177083333</v>
      </c>
      <c r="B358" s="1" t="s">
        <v>329</v>
      </c>
      <c r="C358" s="1" t="s">
        <v>14</v>
      </c>
      <c r="D358" s="1" t="s">
        <v>330</v>
      </c>
      <c r="E358" s="1" t="s">
        <v>400</v>
      </c>
    </row>
    <row r="359">
      <c r="A359" s="2">
        <v>45315.18177083333</v>
      </c>
      <c r="B359" s="1" t="s">
        <v>329</v>
      </c>
      <c r="C359" s="1" t="s">
        <v>14</v>
      </c>
      <c r="D359" s="1" t="s">
        <v>379</v>
      </c>
      <c r="E359" s="1" t="s">
        <v>401</v>
      </c>
    </row>
    <row r="360">
      <c r="A360" s="2">
        <v>45315.50509259259</v>
      </c>
      <c r="B360" s="1" t="s">
        <v>294</v>
      </c>
      <c r="C360" s="1" t="s">
        <v>6</v>
      </c>
      <c r="D360" s="3" t="str">
        <f>?utf-8?B?RG9lcyB5b3VyIGNyZWRpdCBjYXJkIHNhdmUgeW91IHVwIHRvIA==?=
 =?utf-8?B?JDEwMCBvbiBmdWVsPyDwn6SU?=</f>
        <v>#ERROR!</v>
      </c>
      <c r="E360" s="1" t="s">
        <v>279</v>
      </c>
    </row>
    <row r="361">
      <c r="A361" s="2">
        <v>45316.72195601852</v>
      </c>
      <c r="B361" s="1" t="s">
        <v>393</v>
      </c>
      <c r="C361" s="1" t="s">
        <v>392</v>
      </c>
      <c r="D361" s="1" t="s">
        <v>402</v>
      </c>
      <c r="E361" s="1" t="s">
        <v>279</v>
      </c>
    </row>
    <row r="362">
      <c r="A362" s="2">
        <v>45316.72238425926</v>
      </c>
      <c r="B362" s="1" t="s">
        <v>259</v>
      </c>
      <c r="C362" s="1" t="s">
        <v>6</v>
      </c>
      <c r="D362" s="1" t="s">
        <v>402</v>
      </c>
      <c r="E362" s="1" t="s">
        <v>279</v>
      </c>
    </row>
    <row r="363">
      <c r="A363" s="2">
        <v>45317.182708333334</v>
      </c>
      <c r="B363" s="1" t="s">
        <v>329</v>
      </c>
      <c r="C363" s="1" t="s">
        <v>14</v>
      </c>
      <c r="D363" s="1" t="s">
        <v>398</v>
      </c>
      <c r="E363" s="1" t="s">
        <v>399</v>
      </c>
    </row>
    <row r="364">
      <c r="A364" s="2">
        <v>45316.967256944445</v>
      </c>
      <c r="B364" s="1" t="s">
        <v>403</v>
      </c>
      <c r="C364" s="1" t="s">
        <v>404</v>
      </c>
      <c r="D364" s="3" t="str">
        <f>?UTF-8?B?Q291cnRuZXkgQ2xhcmsg?=
 =?UTF-8?B?c2VudCBhIG1lc3NhZ2Ug?=
 =?UTF-8?B?dG8gdGhlIGdyb3VwIGNv?=
 =?UTF-8?B?bnZlcnNhdGlvbiAiQ291?=
 =?UTF-8?B?cnRuZXkgwrcgU21hbGwgdw==?=
 =?UTF-8?B?b21lbnMgbm9ydGggZmFj?=
 =?UTF-8?B?ZSB3aW50ZXIgYy4uLg==?=</f>
        <v>#ERROR!</v>
      </c>
      <c r="E364" s="1" t="s">
        <v>405</v>
      </c>
    </row>
    <row r="365">
      <c r="A365" s="2">
        <v>45317.80994212963</v>
      </c>
      <c r="B365" s="1" t="s">
        <v>406</v>
      </c>
      <c r="C365" s="1" t="s">
        <v>14</v>
      </c>
      <c r="D365" s="1" t="s">
        <v>407</v>
      </c>
      <c r="E365" s="1" t="s">
        <v>408</v>
      </c>
    </row>
    <row r="366">
      <c r="A366" s="2">
        <v>45319.29275462963</v>
      </c>
      <c r="B366" s="1" t="s">
        <v>409</v>
      </c>
      <c r="C366" s="1" t="s">
        <v>410</v>
      </c>
      <c r="D366" s="3" t="str">
        <f>?UTF-8?B?V2hhdOKAmXMgY29taW5nPyBCb251cyB0aHJpbGxzIQ==?=</f>
        <v>#ERROR!</v>
      </c>
      <c r="E366" s="1" t="s">
        <v>411</v>
      </c>
    </row>
    <row r="367">
      <c r="A367" s="2">
        <v>45320.417083333334</v>
      </c>
      <c r="B367" s="1" t="s">
        <v>265</v>
      </c>
      <c r="C367" s="1" t="s">
        <v>231</v>
      </c>
      <c r="D367" s="1" t="s">
        <v>412</v>
      </c>
      <c r="E367" s="1" t="s">
        <v>413</v>
      </c>
    </row>
    <row r="368">
      <c r="A368" s="2">
        <v>45320.29258101852</v>
      </c>
      <c r="B368" s="1" t="s">
        <v>409</v>
      </c>
      <c r="C368" s="1" t="s">
        <v>410</v>
      </c>
      <c r="D368" s="1" t="s">
        <v>414</v>
      </c>
      <c r="E368" s="1" t="s">
        <v>415</v>
      </c>
    </row>
    <row r="369">
      <c r="A369" s="2">
        <v>45320.47094907407</v>
      </c>
      <c r="B369" s="1" t="s">
        <v>393</v>
      </c>
      <c r="C369" s="1" t="s">
        <v>392</v>
      </c>
      <c r="D369" s="3" t="str">
        <f>?windows-1252?Q?Here=92s_how_to_get_Miles_7x_faster?=</f>
        <v>#ERROR!</v>
      </c>
      <c r="E369" s="1" t="s">
        <v>260</v>
      </c>
    </row>
    <row r="370">
      <c r="A370" s="2">
        <v>45320.7775</v>
      </c>
      <c r="B370" s="1" t="s">
        <v>391</v>
      </c>
      <c r="C370" s="1" t="s">
        <v>392</v>
      </c>
      <c r="D370" s="1" t="s">
        <v>416</v>
      </c>
      <c r="E370" s="1" t="s">
        <v>260</v>
      </c>
    </row>
    <row r="371">
      <c r="A371" s="2">
        <v>45320.77761574074</v>
      </c>
      <c r="B371" s="1" t="s">
        <v>391</v>
      </c>
      <c r="C371" s="1" t="s">
        <v>392</v>
      </c>
      <c r="D371" s="1" t="s">
        <v>417</v>
      </c>
      <c r="E371" s="1" t="s">
        <v>260</v>
      </c>
    </row>
    <row r="372">
      <c r="A372" s="2">
        <v>45321.29263888889</v>
      </c>
      <c r="B372" s="1" t="s">
        <v>409</v>
      </c>
      <c r="C372" s="1" t="s">
        <v>410</v>
      </c>
      <c r="D372" s="1" t="s">
        <v>418</v>
      </c>
      <c r="E372" s="1" t="s">
        <v>419</v>
      </c>
    </row>
    <row r="373">
      <c r="A373" s="2">
        <v>45322.14539351852</v>
      </c>
      <c r="B373" s="1" t="s">
        <v>358</v>
      </c>
      <c r="C373" s="1" t="s">
        <v>89</v>
      </c>
      <c r="D373" s="1" t="s">
        <v>290</v>
      </c>
      <c r="E373" s="1" t="s">
        <v>359</v>
      </c>
    </row>
    <row r="374">
      <c r="A374" s="2">
        <v>45322.193460648145</v>
      </c>
      <c r="B374" s="1" t="s">
        <v>420</v>
      </c>
      <c r="C374" s="1" t="s">
        <v>421</v>
      </c>
      <c r="D374" s="3" t="str">
        <f>?windows-1252?Q?Complete_your_AIR_MILES_profile_=96_verify_your?=
 =?windows-1252?Q?_email_address.?=</f>
        <v>#ERROR!</v>
      </c>
      <c r="E374" s="1" t="s">
        <v>260</v>
      </c>
    </row>
    <row r="375">
      <c r="A375" s="2">
        <v>45322.19467592592</v>
      </c>
      <c r="B375" s="1" t="s">
        <v>422</v>
      </c>
      <c r="C375" s="1" t="s">
        <v>423</v>
      </c>
      <c r="D375" s="3" t="str">
        <f>?windows-1252?Q?Complete_your_AIR_MILES_profile_=96_verify_your?=
 =?windows-1252?Q?_email_address.?=</f>
        <v>#ERROR!</v>
      </c>
      <c r="E375" s="1" t="s">
        <v>260</v>
      </c>
    </row>
    <row r="376">
      <c r="A376" s="2">
        <v>45322.19467592592</v>
      </c>
      <c r="B376" s="1" t="s">
        <v>422</v>
      </c>
      <c r="C376" s="1" t="s">
        <v>423</v>
      </c>
      <c r="D376" s="3" t="str">
        <f>?windows-1252?Q?Complete_your_AIR_MILES_profile_=96_verify_your?=
 =?windows-1252?Q?_email_address.?=</f>
        <v>#ERROR!</v>
      </c>
      <c r="E376" s="1" t="s">
        <v>260</v>
      </c>
    </row>
    <row r="377">
      <c r="A377" s="2">
        <v>45322.19467592592</v>
      </c>
      <c r="B377" s="1" t="s">
        <v>422</v>
      </c>
      <c r="C377" s="1" t="s">
        <v>423</v>
      </c>
      <c r="D377" s="3" t="str">
        <f>?windows-1252?Q?Complete_your_AIR_MILES_profile_=96_verify_your?=
 =?windows-1252?Q?_email_address.?=</f>
        <v>#ERROR!</v>
      </c>
      <c r="E377" s="1" t="s">
        <v>260</v>
      </c>
    </row>
    <row r="378">
      <c r="A378" s="2">
        <v>45322.29269675926</v>
      </c>
      <c r="B378" s="1" t="s">
        <v>409</v>
      </c>
      <c r="C378" s="1" t="s">
        <v>410</v>
      </c>
      <c r="D378" s="1" t="s">
        <v>424</v>
      </c>
      <c r="E378" s="1" t="s">
        <v>425</v>
      </c>
    </row>
    <row r="379">
      <c r="A379" s="2">
        <v>45323.10438657407</v>
      </c>
      <c r="B379" s="1" t="s">
        <v>358</v>
      </c>
      <c r="C379" s="1" t="s">
        <v>89</v>
      </c>
      <c r="D379" s="1" t="s">
        <v>290</v>
      </c>
      <c r="E379" s="1" t="s">
        <v>361</v>
      </c>
    </row>
    <row r="380">
      <c r="A380" s="2">
        <v>45323.21912037037</v>
      </c>
      <c r="B380" s="1" t="s">
        <v>426</v>
      </c>
      <c r="C380" s="1" t="s">
        <v>423</v>
      </c>
      <c r="D380" s="1" t="s">
        <v>427</v>
      </c>
      <c r="E380" s="1" t="s">
        <v>279</v>
      </c>
    </row>
    <row r="381">
      <c r="A381" s="2">
        <v>45323.21912037037</v>
      </c>
      <c r="B381" s="1" t="s">
        <v>428</v>
      </c>
      <c r="C381" s="1" t="s">
        <v>421</v>
      </c>
      <c r="D381" s="1" t="s">
        <v>427</v>
      </c>
      <c r="E381" s="1" t="s">
        <v>279</v>
      </c>
    </row>
    <row r="382">
      <c r="A382" s="2">
        <v>45323.29283564815</v>
      </c>
      <c r="B382" s="1" t="s">
        <v>409</v>
      </c>
      <c r="C382" s="1" t="s">
        <v>410</v>
      </c>
      <c r="D382" s="3" t="str">
        <f>?UTF-8?B?V2XigJl2ZSBsb2NhdGVkIHlvdXIgRGFpbHkgRGVhbCDwn6eQ?=</f>
        <v>#ERROR!</v>
      </c>
      <c r="E382" s="1" t="s">
        <v>429</v>
      </c>
    </row>
    <row r="383">
      <c r="A383" s="2">
        <v>45323.43667824074</v>
      </c>
      <c r="B383" s="1" t="s">
        <v>430</v>
      </c>
      <c r="C383" s="1" t="s">
        <v>421</v>
      </c>
      <c r="D383" s="1" t="s">
        <v>394</v>
      </c>
      <c r="E383" s="1" t="s">
        <v>260</v>
      </c>
    </row>
    <row r="384">
      <c r="A384" s="2">
        <v>45323.56967592592</v>
      </c>
      <c r="B384" s="1" t="s">
        <v>294</v>
      </c>
      <c r="C384" s="1" t="s">
        <v>6</v>
      </c>
      <c r="D384" s="1" t="s">
        <v>322</v>
      </c>
      <c r="E384" s="1" t="s">
        <v>279</v>
      </c>
    </row>
    <row r="385">
      <c r="A385" s="2">
        <v>45323.69086805556</v>
      </c>
      <c r="B385" s="1" t="s">
        <v>259</v>
      </c>
      <c r="C385" s="1" t="s">
        <v>6</v>
      </c>
      <c r="D385" s="3" t="str">
        <f>?utf-8?B?RmFsbCBpbiBsb3ZlIHdpdGggN3ggTWlsZXMgYXQgQW1hem9uLA==?=
 =?utf-8?B?IE1lanVyaSBhbmQgbW9yZSDwn5Kd?=</f>
        <v>#ERROR!</v>
      </c>
      <c r="E385" s="1" t="s">
        <v>279</v>
      </c>
    </row>
    <row r="386">
      <c r="A386" s="2">
        <v>45324.292650462965</v>
      </c>
      <c r="B386" s="1" t="s">
        <v>409</v>
      </c>
      <c r="C386" s="1" t="s">
        <v>410</v>
      </c>
      <c r="D386" s="3" t="str">
        <f>?UTF-8?B?TG9vayBpbnRvIHlvdXIgRGFpbHkgRGVhbCDwn5GA?=</f>
        <v>#ERROR!</v>
      </c>
      <c r="E386" s="1" t="s">
        <v>431</v>
      </c>
    </row>
    <row r="387">
      <c r="A387" s="2">
        <v>45324.432175925926</v>
      </c>
      <c r="B387" s="1" t="s">
        <v>430</v>
      </c>
      <c r="C387" s="1" t="s">
        <v>421</v>
      </c>
      <c r="D387" s="1" t="s">
        <v>394</v>
      </c>
      <c r="E387" s="1" t="s">
        <v>260</v>
      </c>
    </row>
    <row r="388">
      <c r="A388" s="2">
        <v>45324.62440972222</v>
      </c>
      <c r="B388" s="1" t="s">
        <v>393</v>
      </c>
      <c r="C388" s="1" t="s">
        <v>392</v>
      </c>
      <c r="D388" s="1" t="s">
        <v>432</v>
      </c>
      <c r="E388" s="1" t="s">
        <v>279</v>
      </c>
    </row>
    <row r="389">
      <c r="A389" s="2">
        <v>45324.62446759259</v>
      </c>
      <c r="B389" s="1" t="s">
        <v>259</v>
      </c>
      <c r="C389" s="1" t="s">
        <v>6</v>
      </c>
      <c r="D389" s="1" t="s">
        <v>432</v>
      </c>
      <c r="E389" s="1" t="s">
        <v>279</v>
      </c>
    </row>
    <row r="390">
      <c r="A390" s="2">
        <v>45325.06690972222</v>
      </c>
      <c r="B390" s="1" t="s">
        <v>422</v>
      </c>
      <c r="C390" s="1" t="s">
        <v>423</v>
      </c>
      <c r="D390" s="1" t="s">
        <v>416</v>
      </c>
      <c r="E390" s="1" t="s">
        <v>260</v>
      </c>
    </row>
    <row r="391">
      <c r="A391" s="2">
        <v>45325.29253472222</v>
      </c>
      <c r="B391" s="1" t="s">
        <v>409</v>
      </c>
      <c r="C391" s="1" t="s">
        <v>410</v>
      </c>
      <c r="D391" s="3" t="str">
        <f>?UTF-8?B?WW91ciBEYWlseSBEZWFsIOKAkyBzaW1wbHkgaXJyZXNpc3RpYmxl?=
 =?UTF-8?B?IQ==?=</f>
        <v>#ERROR!</v>
      </c>
      <c r="E391" s="1" t="s">
        <v>433</v>
      </c>
    </row>
    <row r="392">
      <c r="A392" s="2">
        <v>45325.637037037035</v>
      </c>
      <c r="B392" s="1" t="s">
        <v>434</v>
      </c>
      <c r="C392" s="1" t="s">
        <v>392</v>
      </c>
      <c r="D392" s="1" t="s">
        <v>435</v>
      </c>
      <c r="E392" s="1" t="s">
        <v>436</v>
      </c>
    </row>
    <row r="393">
      <c r="A393" s="2">
        <v>45326.28255787037</v>
      </c>
      <c r="B393" s="1" t="s">
        <v>329</v>
      </c>
      <c r="C393" s="1" t="s">
        <v>14</v>
      </c>
      <c r="D393" s="1" t="s">
        <v>398</v>
      </c>
      <c r="E393" s="1" t="s">
        <v>399</v>
      </c>
    </row>
    <row r="394">
      <c r="A394" s="2">
        <v>45327.292592592596</v>
      </c>
      <c r="B394" s="1" t="s">
        <v>409</v>
      </c>
      <c r="C394" s="1" t="s">
        <v>410</v>
      </c>
      <c r="D394" s="1" t="s">
        <v>437</v>
      </c>
      <c r="E394" s="1" t="s">
        <v>438</v>
      </c>
    </row>
    <row r="395">
      <c r="A395" s="2">
        <v>45327.66954861111</v>
      </c>
      <c r="B395" s="1" t="s">
        <v>439</v>
      </c>
      <c r="C395" s="1" t="s">
        <v>410</v>
      </c>
      <c r="D395" s="1" t="s">
        <v>440</v>
      </c>
      <c r="E395" s="1" t="s">
        <v>264</v>
      </c>
    </row>
    <row r="396">
      <c r="A396" s="2">
        <v>45327.47085648148</v>
      </c>
      <c r="B396" s="1" t="s">
        <v>430</v>
      </c>
      <c r="C396" s="1" t="s">
        <v>421</v>
      </c>
      <c r="D396" s="3" t="str">
        <f>?windows-1252?Q?Let=92s_get_you_Bonus_Miles=2C__Jeremt!?=</f>
        <v>#ERROR!</v>
      </c>
      <c r="E396" s="1" t="s">
        <v>260</v>
      </c>
    </row>
    <row r="397">
      <c r="A397" s="2">
        <v>45327.49521990741</v>
      </c>
      <c r="B397" s="1" t="s">
        <v>259</v>
      </c>
      <c r="C397" s="1" t="s">
        <v>6</v>
      </c>
      <c r="D397" s="3" t="str">
        <f>?utf-8?B?T3VyIFZhbGVudGluZeKAmXMgZ2lmdCB0byB5b3Ug8J+SjA==?=</f>
        <v>#ERROR!</v>
      </c>
      <c r="E397" s="1" t="s">
        <v>279</v>
      </c>
    </row>
    <row r="398">
      <c r="A398" s="2">
        <v>45328.320023148146</v>
      </c>
      <c r="B398" s="1" t="s">
        <v>315</v>
      </c>
      <c r="C398" s="1" t="s">
        <v>14</v>
      </c>
      <c r="D398" s="1" t="s">
        <v>316</v>
      </c>
      <c r="E398" s="1" t="s">
        <v>441</v>
      </c>
    </row>
    <row r="399">
      <c r="A399" s="2">
        <v>45328.32065972222</v>
      </c>
      <c r="B399" s="1" t="s">
        <v>329</v>
      </c>
      <c r="C399" s="1" t="s">
        <v>14</v>
      </c>
      <c r="D399" s="1" t="s">
        <v>330</v>
      </c>
      <c r="E399" s="1" t="s">
        <v>442</v>
      </c>
    </row>
    <row r="400">
      <c r="A400" s="2">
        <v>45328.320706018516</v>
      </c>
      <c r="B400" s="1" t="s">
        <v>329</v>
      </c>
      <c r="C400" s="1" t="s">
        <v>14</v>
      </c>
      <c r="D400" s="1" t="s">
        <v>379</v>
      </c>
      <c r="E400" s="1" t="s">
        <v>443</v>
      </c>
    </row>
    <row r="401">
      <c r="A401" s="2">
        <v>45328.07140046296</v>
      </c>
      <c r="B401" s="1" t="s">
        <v>444</v>
      </c>
      <c r="C401" s="1" t="s">
        <v>297</v>
      </c>
      <c r="D401" s="1" t="s">
        <v>445</v>
      </c>
      <c r="E401" s="1" t="s">
        <v>446</v>
      </c>
    </row>
    <row r="402">
      <c r="A402" s="2">
        <v>45328.29255787037</v>
      </c>
      <c r="B402" s="1" t="s">
        <v>409</v>
      </c>
      <c r="C402" s="1" t="s">
        <v>410</v>
      </c>
      <c r="D402" s="1" t="s">
        <v>447</v>
      </c>
      <c r="E402" s="1" t="s">
        <v>448</v>
      </c>
    </row>
    <row r="403">
      <c r="A403" s="2">
        <v>45328.47052083333</v>
      </c>
      <c r="B403" s="1" t="s">
        <v>393</v>
      </c>
      <c r="C403" s="1" t="s">
        <v>392</v>
      </c>
      <c r="D403" s="1" t="s">
        <v>449</v>
      </c>
      <c r="E403" s="1" t="s">
        <v>260</v>
      </c>
    </row>
    <row r="404">
      <c r="A404" s="2">
        <v>45328.96666666667</v>
      </c>
      <c r="B404" s="1" t="s">
        <v>450</v>
      </c>
      <c r="C404" s="1" t="s">
        <v>6</v>
      </c>
      <c r="D404" s="1" t="s">
        <v>451</v>
      </c>
      <c r="E404" s="1" t="s">
        <v>452</v>
      </c>
    </row>
    <row r="405">
      <c r="A405" s="2">
        <v>45329.10506944444</v>
      </c>
      <c r="B405" s="1" t="s">
        <v>358</v>
      </c>
      <c r="C405" s="1" t="s">
        <v>89</v>
      </c>
      <c r="D405" s="1" t="s">
        <v>368</v>
      </c>
      <c r="E405" s="1" t="s">
        <v>369</v>
      </c>
    </row>
    <row r="406">
      <c r="A406" s="2">
        <v>45329.25131944445</v>
      </c>
      <c r="B406" s="1" t="s">
        <v>234</v>
      </c>
      <c r="C406" s="1" t="s">
        <v>6</v>
      </c>
      <c r="D406" s="3" t="str">
        <f>?UTF-8?B?RGF3biwgaGVyZSdzIHlvdXIgY2hhbmNlIHRvIHdpbiDwn5Kw?=</f>
        <v>#ERROR!</v>
      </c>
      <c r="E406" s="1" t="s">
        <v>453</v>
      </c>
    </row>
    <row r="407">
      <c r="A407" s="2">
        <v>45329.29280092593</v>
      </c>
      <c r="B407" s="1" t="s">
        <v>409</v>
      </c>
      <c r="C407" s="1" t="s">
        <v>410</v>
      </c>
      <c r="D407" s="1" t="s">
        <v>454</v>
      </c>
      <c r="E407" s="1" t="s">
        <v>455</v>
      </c>
    </row>
    <row r="408">
      <c r="A408" s="2">
        <v>45329.48039351852</v>
      </c>
      <c r="B408" s="1" t="s">
        <v>294</v>
      </c>
      <c r="C408" s="1" t="s">
        <v>6</v>
      </c>
      <c r="D408" s="3" t="str">
        <f>?utf-8?B?JDEwMCBpbiBmdWVsIHNhdmluZ3MgKyB1cCB0byAzLDAwMCBXZQ==?=
 =?utf-8?B?bGNvbWUgQm9udXMgTWlsZXMg8J+RiQ==?=</f>
        <v>#ERROR!</v>
      </c>
      <c r="E408" s="1" t="s">
        <v>279</v>
      </c>
    </row>
    <row r="409">
      <c r="A409" s="2">
        <v>45330.093252314815</v>
      </c>
      <c r="B409" s="1" t="s">
        <v>456</v>
      </c>
      <c r="C409" s="1" t="s">
        <v>6</v>
      </c>
      <c r="D409" s="1" t="s">
        <v>457</v>
      </c>
      <c r="E409" s="1" t="s">
        <v>458</v>
      </c>
    </row>
    <row r="410">
      <c r="A410" s="2">
        <v>45330.09391203704</v>
      </c>
      <c r="B410" s="1" t="s">
        <v>456</v>
      </c>
      <c r="C410" s="1" t="s">
        <v>6</v>
      </c>
      <c r="D410" s="1" t="s">
        <v>457</v>
      </c>
      <c r="E410" s="1" t="s">
        <v>459</v>
      </c>
    </row>
    <row r="411">
      <c r="A411" s="2">
        <v>45330.29253472222</v>
      </c>
      <c r="B411" s="1" t="s">
        <v>409</v>
      </c>
      <c r="C411" s="1" t="s">
        <v>410</v>
      </c>
      <c r="D411" s="1" t="s">
        <v>460</v>
      </c>
      <c r="E411" s="1" t="s">
        <v>461</v>
      </c>
    </row>
    <row r="412">
      <c r="A412" s="2">
        <v>45331.29268518519</v>
      </c>
      <c r="B412" s="1" t="s">
        <v>409</v>
      </c>
      <c r="C412" s="1" t="s">
        <v>410</v>
      </c>
      <c r="D412" s="1" t="s">
        <v>462</v>
      </c>
      <c r="E412" s="1" t="s">
        <v>463</v>
      </c>
    </row>
    <row r="413">
      <c r="A413" s="2">
        <v>45331.705613425926</v>
      </c>
      <c r="B413" s="1" t="s">
        <v>393</v>
      </c>
      <c r="C413" s="1" t="s">
        <v>392</v>
      </c>
      <c r="D413" s="3" t="str">
        <f>?utf-8?B?IENhcm91c2VsIG9mIERyZWFtcyBpcyBlbmRpbmcgc29vbuKAlA==?=
 =?utf-8?B?a2VlcCBwbGF5aW5nIHRvIHdpbiEg8J+ZjA==?=</f>
        <v>#ERROR!</v>
      </c>
      <c r="E413" s="1" t="s">
        <v>279</v>
      </c>
    </row>
    <row r="414">
      <c r="A414" s="2">
        <v>45331.70569444444</v>
      </c>
      <c r="B414" s="1" t="s">
        <v>259</v>
      </c>
      <c r="C414" s="1" t="s">
        <v>6</v>
      </c>
      <c r="D414" s="3" t="str">
        <f>?utf-8?B?IENhcm91c2VsIG9mIERyZWFtcyBpcyBlbmRpbmcgc29vbuKAlA==?=
 =?utf-8?B?a2VlcCBwbGF5aW5nIHRvIHdpbiEg8J+ZjA==?=</f>
        <v>#ERROR!</v>
      </c>
      <c r="E414" s="1" t="s">
        <v>279</v>
      </c>
    </row>
    <row r="415">
      <c r="A415" s="2">
        <v>45331.70712962963</v>
      </c>
      <c r="B415" s="1" t="s">
        <v>464</v>
      </c>
      <c r="C415" s="1" t="s">
        <v>423</v>
      </c>
      <c r="D415" s="3" t="str">
        <f>?utf-8?B?IENhcm91c2VsIG9mIERyZWFtcyBpcyBlbmRpbmcgc29vbuKAlA==?=
 =?utf-8?B?a2VlcCBwbGF5aW5nIHRvIHdpbiEg8J+ZjA==?=</f>
        <v>#ERROR!</v>
      </c>
      <c r="E415" s="1" t="s">
        <v>279</v>
      </c>
    </row>
    <row r="416">
      <c r="A416" s="2">
        <v>45331.71627314815</v>
      </c>
      <c r="B416" s="1" t="s">
        <v>430</v>
      </c>
      <c r="C416" s="1" t="s">
        <v>421</v>
      </c>
      <c r="D416" s="3" t="str">
        <f>?utf-8?B?IENhcm91c2VsIG9mIERyZWFtcyBpcyBlbmRpbmcgc29vbuKAlA==?=
 =?utf-8?B?a2VlcCBwbGF5aW5nIHRvIHdpbiEg8J+ZjA==?=</f>
        <v>#ERROR!</v>
      </c>
      <c r="E416" s="1" t="s">
        <v>279</v>
      </c>
    </row>
    <row r="417">
      <c r="A417" s="2">
        <v>45331.73668981482</v>
      </c>
      <c r="B417" s="1" t="s">
        <v>259</v>
      </c>
      <c r="C417" s="1" t="s">
        <v>6</v>
      </c>
      <c r="D417" s="3" t="str">
        <f>?utf-8?B?T3VyIFZhbGVudGluZeKAmXMgT2ZmZXIgZW5kcyBzb29uISA3eA==?=
 =?utf-8?B?IE1pbGVzIHNpdGV3aWRl8J+SmA==?=</f>
        <v>#ERROR!</v>
      </c>
      <c r="E417" s="1" t="s">
        <v>279</v>
      </c>
    </row>
    <row r="418">
      <c r="A418" s="2">
        <v>45332.40332175926</v>
      </c>
      <c r="B418" s="1" t="s">
        <v>319</v>
      </c>
      <c r="C418" s="1" t="s">
        <v>14</v>
      </c>
      <c r="D418" s="1" t="s">
        <v>320</v>
      </c>
      <c r="E418" s="1" t="s">
        <v>333</v>
      </c>
    </row>
    <row r="419">
      <c r="A419" s="2">
        <v>45332.292708333334</v>
      </c>
      <c r="B419" s="1" t="s">
        <v>409</v>
      </c>
      <c r="C419" s="1" t="s">
        <v>410</v>
      </c>
      <c r="D419" s="1" t="s">
        <v>465</v>
      </c>
      <c r="E419" s="1" t="s">
        <v>466</v>
      </c>
    </row>
    <row r="420">
      <c r="A420" s="2">
        <v>45333.0012037037</v>
      </c>
      <c r="B420" s="1" t="s">
        <v>467</v>
      </c>
      <c r="C420" s="1" t="s">
        <v>14</v>
      </c>
      <c r="D420" s="1" t="s">
        <v>468</v>
      </c>
      <c r="E420" s="4" t="s">
        <v>469</v>
      </c>
    </row>
    <row r="421">
      <c r="A421" s="2">
        <v>45333.09885416667</v>
      </c>
      <c r="B421" s="1" t="s">
        <v>470</v>
      </c>
      <c r="C421" s="1" t="s">
        <v>471</v>
      </c>
      <c r="D421" s="3" t="str">
        <f>?windows-1252?Q?Complete_your_AIR_MILES_profile_=96_verify_your?=
 =?windows-1252?Q?_email_address.?=</f>
        <v>#ERROR!</v>
      </c>
      <c r="E421" s="1" t="s">
        <v>260</v>
      </c>
    </row>
    <row r="422">
      <c r="A422" s="2">
        <v>45333.29275462963</v>
      </c>
      <c r="B422" s="1" t="s">
        <v>409</v>
      </c>
      <c r="C422" s="1" t="s">
        <v>410</v>
      </c>
      <c r="D422" s="1" t="s">
        <v>472</v>
      </c>
      <c r="E422" s="1" t="s">
        <v>473</v>
      </c>
    </row>
    <row r="423">
      <c r="A423" s="2">
        <v>45334.292662037034</v>
      </c>
      <c r="B423" s="1" t="s">
        <v>409</v>
      </c>
      <c r="C423" s="1" t="s">
        <v>410</v>
      </c>
      <c r="D423" s="1" t="s">
        <v>474</v>
      </c>
      <c r="E423" s="1" t="s">
        <v>475</v>
      </c>
    </row>
    <row r="424">
      <c r="A424" s="2">
        <v>45334.43271990741</v>
      </c>
      <c r="B424" s="1" t="s">
        <v>476</v>
      </c>
      <c r="C424" s="1" t="s">
        <v>471</v>
      </c>
      <c r="D424" s="1" t="s">
        <v>394</v>
      </c>
      <c r="E424" s="1" t="s">
        <v>260</v>
      </c>
    </row>
    <row r="425">
      <c r="A425" s="2">
        <v>45334.60175925926</v>
      </c>
      <c r="B425" s="1" t="s">
        <v>259</v>
      </c>
      <c r="C425" s="1" t="s">
        <v>6</v>
      </c>
      <c r="D425" s="1" t="s">
        <v>477</v>
      </c>
      <c r="E425" s="1" t="s">
        <v>279</v>
      </c>
    </row>
    <row r="426">
      <c r="A426" s="2">
        <v>45334.817025462966</v>
      </c>
      <c r="B426" s="1" t="s">
        <v>478</v>
      </c>
      <c r="C426" s="1" t="s">
        <v>89</v>
      </c>
      <c r="D426" s="1" t="s">
        <v>416</v>
      </c>
      <c r="E426" s="1" t="s">
        <v>260</v>
      </c>
    </row>
    <row r="427">
      <c r="A427" s="2">
        <v>45335.10471064815</v>
      </c>
      <c r="B427" s="1" t="s">
        <v>479</v>
      </c>
      <c r="C427" s="1" t="s">
        <v>480</v>
      </c>
      <c r="D427" s="3" t="str">
        <f>?utf-8?B?QW4gYXBvbG9neTogV2UgZGlkbuKAmXQga25vdyB3aGF0IDY5IG1l?=
	=?utf-8?B?YW50Lg==?=</f>
        <v>#ERROR!</v>
      </c>
      <c r="E427" s="1" t="s">
        <v>481</v>
      </c>
    </row>
    <row r="428">
      <c r="A428" s="2">
        <v>45335.22539351852</v>
      </c>
      <c r="B428" s="1" t="s">
        <v>319</v>
      </c>
      <c r="C428" s="1" t="s">
        <v>14</v>
      </c>
      <c r="D428" s="1" t="s">
        <v>320</v>
      </c>
      <c r="E428" s="1" t="s">
        <v>333</v>
      </c>
    </row>
    <row r="429">
      <c r="A429" s="2">
        <v>45335.231944444444</v>
      </c>
      <c r="B429" s="1" t="s">
        <v>222</v>
      </c>
      <c r="C429" s="1" t="s">
        <v>14</v>
      </c>
      <c r="D429" s="1" t="s">
        <v>482</v>
      </c>
      <c r="E429" s="1" t="s">
        <v>483</v>
      </c>
    </row>
    <row r="430">
      <c r="A430" s="2">
        <v>45335.232465277775</v>
      </c>
      <c r="B430" s="1" t="s">
        <v>154</v>
      </c>
      <c r="C430" s="1" t="s">
        <v>14</v>
      </c>
      <c r="D430" s="1" t="s">
        <v>484</v>
      </c>
      <c r="E430" s="1" t="s">
        <v>485</v>
      </c>
    </row>
    <row r="431">
      <c r="A431" s="2">
        <v>45335.368125</v>
      </c>
      <c r="B431" s="1" t="s">
        <v>329</v>
      </c>
      <c r="C431" s="1" t="s">
        <v>14</v>
      </c>
      <c r="D431" s="1" t="s">
        <v>398</v>
      </c>
      <c r="E431" s="1" t="s">
        <v>486</v>
      </c>
    </row>
    <row r="432">
      <c r="A432" s="2">
        <v>45335.292766203704</v>
      </c>
      <c r="B432" s="1" t="s">
        <v>409</v>
      </c>
      <c r="C432" s="1" t="s">
        <v>410</v>
      </c>
      <c r="D432" s="1" t="s">
        <v>487</v>
      </c>
      <c r="E432" s="1" t="s">
        <v>488</v>
      </c>
    </row>
    <row r="433">
      <c r="A433" s="2">
        <v>45335.470671296294</v>
      </c>
      <c r="B433" s="1" t="s">
        <v>430</v>
      </c>
      <c r="C433" s="1" t="s">
        <v>421</v>
      </c>
      <c r="D433" s="3" t="str">
        <f>?windows-1252?Q?Here=92s_how_to_get_Miles_7x_faster?=</f>
        <v>#ERROR!</v>
      </c>
      <c r="E433" s="1" t="s">
        <v>260</v>
      </c>
    </row>
    <row r="434">
      <c r="A434" s="2">
        <v>45336.506840277776</v>
      </c>
      <c r="B434" s="1" t="s">
        <v>467</v>
      </c>
      <c r="C434" s="1" t="s">
        <v>14</v>
      </c>
      <c r="D434" s="1" t="s">
        <v>468</v>
      </c>
      <c r="E434" s="4" t="s">
        <v>489</v>
      </c>
    </row>
    <row r="435">
      <c r="A435" s="2">
        <v>45336.29274305556</v>
      </c>
      <c r="B435" s="1" t="s">
        <v>409</v>
      </c>
      <c r="C435" s="1" t="s">
        <v>410</v>
      </c>
      <c r="D435" s="1" t="s">
        <v>490</v>
      </c>
      <c r="E435" s="1" t="s">
        <v>491</v>
      </c>
    </row>
    <row r="436">
      <c r="A436" s="2">
        <v>45336.470729166664</v>
      </c>
      <c r="B436" s="1" t="s">
        <v>393</v>
      </c>
      <c r="C436" s="1" t="s">
        <v>392</v>
      </c>
      <c r="D436" s="1" t="s">
        <v>492</v>
      </c>
      <c r="E436" s="1" t="s">
        <v>260</v>
      </c>
    </row>
    <row r="437">
      <c r="A437" s="2">
        <v>45336.67099537037</v>
      </c>
      <c r="B437" s="1" t="s">
        <v>259</v>
      </c>
      <c r="C437" s="1" t="s">
        <v>6</v>
      </c>
      <c r="D437" s="1" t="s">
        <v>493</v>
      </c>
      <c r="E437" s="1" t="s">
        <v>279</v>
      </c>
    </row>
    <row r="438">
      <c r="A438" s="2">
        <v>45337.36891203704</v>
      </c>
      <c r="B438" s="1" t="s">
        <v>329</v>
      </c>
      <c r="C438" s="1" t="s">
        <v>14</v>
      </c>
      <c r="D438" s="1" t="s">
        <v>398</v>
      </c>
      <c r="E438" s="1" t="s">
        <v>486</v>
      </c>
    </row>
    <row r="439">
      <c r="A439" s="2">
        <v>45337.29277777778</v>
      </c>
      <c r="B439" s="1" t="s">
        <v>409</v>
      </c>
      <c r="C439" s="1" t="s">
        <v>410</v>
      </c>
      <c r="D439" s="3" t="str">
        <f>?UTF-8?B?VGhlIHBhcnR5IHN0YXJ0cyB3aXRoIGEgYm9udXMg8J+lsw==?=</f>
        <v>#ERROR!</v>
      </c>
      <c r="E439" s="1" t="s">
        <v>494</v>
      </c>
    </row>
    <row r="440">
      <c r="A440" s="2">
        <v>45337.421215277776</v>
      </c>
      <c r="B440" s="1" t="s">
        <v>294</v>
      </c>
      <c r="C440" s="1" t="s">
        <v>6</v>
      </c>
      <c r="D440" s="1" t="s">
        <v>495</v>
      </c>
      <c r="E440" s="1" t="s">
        <v>279</v>
      </c>
    </row>
    <row r="441">
      <c r="A441" s="2">
        <v>45337.526608796295</v>
      </c>
      <c r="B441" s="1" t="s">
        <v>259</v>
      </c>
      <c r="C441" s="1" t="s">
        <v>6</v>
      </c>
      <c r="D441" s="1" t="s">
        <v>496</v>
      </c>
      <c r="E441" s="1" t="s">
        <v>279</v>
      </c>
    </row>
    <row r="442">
      <c r="A442" s="2">
        <v>45337.52673611111</v>
      </c>
      <c r="B442" s="1" t="s">
        <v>464</v>
      </c>
      <c r="C442" s="1" t="s">
        <v>423</v>
      </c>
      <c r="D442" s="1" t="s">
        <v>496</v>
      </c>
      <c r="E442" s="1" t="s">
        <v>279</v>
      </c>
    </row>
    <row r="443">
      <c r="A443" s="2">
        <v>45337.73658564815</v>
      </c>
      <c r="B443" s="1" t="s">
        <v>464</v>
      </c>
      <c r="C443" s="1" t="s">
        <v>423</v>
      </c>
      <c r="D443" s="1" t="s">
        <v>497</v>
      </c>
      <c r="E443" s="1" t="s">
        <v>279</v>
      </c>
    </row>
    <row r="444">
      <c r="A444" s="2">
        <v>45338.29267361111</v>
      </c>
      <c r="B444" s="1" t="s">
        <v>409</v>
      </c>
      <c r="C444" s="1" t="s">
        <v>410</v>
      </c>
      <c r="D444" s="3" t="str">
        <f>?UTF-8?B?QSB0aHJpbGxlciBvZiBhIERhaWx5IERlYWwg8J+YsQ==?=</f>
        <v>#ERROR!</v>
      </c>
      <c r="E444" s="1" t="s">
        <v>498</v>
      </c>
    </row>
    <row r="445">
      <c r="A445" s="2">
        <v>45338.470289351855</v>
      </c>
      <c r="B445" s="1" t="s">
        <v>476</v>
      </c>
      <c r="C445" s="1" t="s">
        <v>471</v>
      </c>
      <c r="D445" s="3" t="str">
        <f>?windows-1252?Q?Let=92s_get_you_Bonus_Miles=2C__Tm!?=</f>
        <v>#ERROR!</v>
      </c>
      <c r="E445" s="1" t="s">
        <v>260</v>
      </c>
    </row>
    <row r="446">
      <c r="A446" s="2">
        <v>45338.60732638889</v>
      </c>
      <c r="B446" s="1" t="s">
        <v>476</v>
      </c>
      <c r="C446" s="1" t="s">
        <v>471</v>
      </c>
      <c r="D446" s="3" t="str">
        <f>?utf-8?B?RG9u4oCZdCBtaXNzIEJvbnVzIE1pbGVzIGF0IEFtYXpvbiwgUw==?=
 =?utf-8?B?aGVsbCAmIE1vcmUg8J+bje+4jw==?=</f>
        <v>#ERROR!</v>
      </c>
      <c r="E446" s="1" t="s">
        <v>279</v>
      </c>
    </row>
    <row r="447">
      <c r="A447" s="2">
        <v>45338.60736111111</v>
      </c>
      <c r="B447" s="1" t="s">
        <v>393</v>
      </c>
      <c r="C447" s="1" t="s">
        <v>392</v>
      </c>
      <c r="D447" s="3" t="str">
        <f>?utf-8?B?RG9u4oCZdCBtaXNzIEJvbnVzIE1pbGVzIGF0IEFtYXpvbiwgUw==?=
 =?utf-8?B?aGVsbCAmIE1vcmUg8J+bje+4jw==?=</f>
        <v>#ERROR!</v>
      </c>
      <c r="E447" s="1" t="s">
        <v>279</v>
      </c>
    </row>
    <row r="448">
      <c r="A448" s="2">
        <v>45338.60769675926</v>
      </c>
      <c r="B448" s="1" t="s">
        <v>259</v>
      </c>
      <c r="C448" s="1" t="s">
        <v>6</v>
      </c>
      <c r="D448" s="3" t="str">
        <f>?utf-8?B?RG9u4oCZdCBtaXNzIEJvbnVzIE1pbGVzIGF0IEFtYXpvbiwgUw==?=
 =?utf-8?B?aGVsbCAmIE1vcmUg8J+bje+4jw==?=</f>
        <v>#ERROR!</v>
      </c>
      <c r="E448" s="1" t="s">
        <v>279</v>
      </c>
    </row>
    <row r="449">
      <c r="A449" s="2">
        <v>45338.60878472222</v>
      </c>
      <c r="B449" s="1" t="s">
        <v>464</v>
      </c>
      <c r="C449" s="1" t="s">
        <v>423</v>
      </c>
      <c r="D449" s="3" t="str">
        <f>?utf-8?B?RG9u4oCZdCBtaXNzIEJvbnVzIE1pbGVzIGF0IEFtYXpvbiwgUw==?=
 =?utf-8?B?aGVsbCAmIE1vcmUg8J+bje+4jw==?=</f>
        <v>#ERROR!</v>
      </c>
      <c r="E449" s="1" t="s">
        <v>279</v>
      </c>
    </row>
    <row r="450">
      <c r="A450" s="2">
        <v>45338.61738425926</v>
      </c>
      <c r="B450" s="1" t="s">
        <v>430</v>
      </c>
      <c r="C450" s="1" t="s">
        <v>421</v>
      </c>
      <c r="D450" s="3" t="str">
        <f>?utf-8?B?RG9u4oCZdCBtaXNzIEJvbnVzIE1pbGVzIGF0IEFtYXpvbiwgUw==?=
 =?utf-8?B?aGVsbCAmIE1vcmUg8J+bje+4jw==?=</f>
        <v>#ERROR!</v>
      </c>
      <c r="E450" s="1" t="s">
        <v>279</v>
      </c>
    </row>
    <row r="451">
      <c r="A451" s="2">
        <v>45338.80174768518</v>
      </c>
      <c r="B451" s="1" t="s">
        <v>391</v>
      </c>
      <c r="C451" s="1" t="s">
        <v>392</v>
      </c>
      <c r="D451" s="1" t="s">
        <v>416</v>
      </c>
      <c r="E451" s="1" t="s">
        <v>260</v>
      </c>
    </row>
    <row r="452">
      <c r="A452" s="2">
        <v>45338.802256944444</v>
      </c>
      <c r="B452" s="1" t="s">
        <v>391</v>
      </c>
      <c r="C452" s="1" t="s">
        <v>392</v>
      </c>
      <c r="D452" s="1" t="s">
        <v>417</v>
      </c>
      <c r="E452" s="1" t="s">
        <v>260</v>
      </c>
    </row>
    <row r="453">
      <c r="A453" s="2">
        <v>45339.08868055556</v>
      </c>
      <c r="B453" s="1" t="s">
        <v>234</v>
      </c>
      <c r="C453" s="1" t="s">
        <v>6</v>
      </c>
      <c r="D453" s="3" t="str">
        <f>?UTF-8?B?RGF3biwgZW5qb3kgc29tZSBnb29kIGZvcnR1bmUg8J+Urg==?=</f>
        <v>#ERROR!</v>
      </c>
      <c r="E453" s="1" t="s">
        <v>499</v>
      </c>
    </row>
    <row r="454">
      <c r="A454" s="2">
        <v>45339.37017361111</v>
      </c>
      <c r="B454" s="1" t="s">
        <v>329</v>
      </c>
      <c r="C454" s="1" t="s">
        <v>14</v>
      </c>
      <c r="D454" s="1" t="s">
        <v>398</v>
      </c>
      <c r="E454" s="1" t="s">
        <v>486</v>
      </c>
    </row>
    <row r="455">
      <c r="A455" s="2">
        <v>45339.29267361111</v>
      </c>
      <c r="B455" s="1" t="s">
        <v>409</v>
      </c>
      <c r="C455" s="1" t="s">
        <v>410</v>
      </c>
      <c r="D455" s="1" t="s">
        <v>500</v>
      </c>
      <c r="E455" s="1" t="s">
        <v>501</v>
      </c>
    </row>
    <row r="456">
      <c r="A456" s="2">
        <v>45340.29269675926</v>
      </c>
      <c r="B456" s="1" t="s">
        <v>409</v>
      </c>
      <c r="C456" s="1" t="s">
        <v>410</v>
      </c>
      <c r="D456" s="3" t="str">
        <f>?UTF-8?B?WW91ciBEYWlseSBEZWFs4oCZcyBwdXJyLWZlY3QsIFN0YWNleQ==?=</f>
        <v>#ERROR!</v>
      </c>
      <c r="E456" s="1" t="s">
        <v>502</v>
      </c>
    </row>
    <row r="457">
      <c r="A457" s="2">
        <v>45340.509097222224</v>
      </c>
      <c r="B457" s="1" t="s">
        <v>422</v>
      </c>
      <c r="C457" s="1" t="s">
        <v>423</v>
      </c>
      <c r="D457" s="1" t="s">
        <v>416</v>
      </c>
      <c r="E457" s="1" t="s">
        <v>260</v>
      </c>
    </row>
    <row r="458">
      <c r="A458" s="2">
        <v>45340.50986111111</v>
      </c>
      <c r="B458" s="1" t="s">
        <v>422</v>
      </c>
      <c r="C458" s="1" t="s">
        <v>423</v>
      </c>
      <c r="D458" s="1" t="s">
        <v>417</v>
      </c>
      <c r="E458" s="1" t="s">
        <v>260</v>
      </c>
    </row>
    <row r="459">
      <c r="A459" s="2">
        <v>45341.292708333334</v>
      </c>
      <c r="B459" s="1" t="s">
        <v>409</v>
      </c>
      <c r="C459" s="1" t="s">
        <v>410</v>
      </c>
      <c r="D459" s="3" t="str">
        <f>?UTF-8?B?U29sdmUgeW91ciBteXN0ZXJ5IGJvbnVzISDwn6eQ?=</f>
        <v>#ERROR!</v>
      </c>
      <c r="E459" s="1" t="s">
        <v>503</v>
      </c>
    </row>
    <row r="460">
      <c r="A460" s="2">
        <v>45341.659155092595</v>
      </c>
      <c r="B460" s="1" t="s">
        <v>504</v>
      </c>
      <c r="C460" s="1" t="s">
        <v>505</v>
      </c>
      <c r="D460" s="3" t="str">
        <f>?utf-8?Q?10_inspiring_homes_you_have_to_see?=</f>
        <v>#ERROR!</v>
      </c>
      <c r="E460" s="1" t="s">
        <v>506</v>
      </c>
    </row>
    <row r="461">
      <c r="A461" s="2">
        <v>45342.292766203704</v>
      </c>
      <c r="B461" s="1" t="s">
        <v>409</v>
      </c>
      <c r="C461" s="1" t="s">
        <v>410</v>
      </c>
      <c r="D461" s="3" t="str">
        <f>?UTF-8?B?VG9kYXnigJlzIERhaWx5IERlYWzigKZzaW1wbHkgbWFnaWMh?=</f>
        <v>#ERROR!</v>
      </c>
      <c r="E461" s="1" t="s">
        <v>507</v>
      </c>
    </row>
    <row r="462">
      <c r="A462" s="2">
        <v>45342.69243055556</v>
      </c>
      <c r="B462" s="1" t="s">
        <v>508</v>
      </c>
      <c r="C462" s="1" t="s">
        <v>423</v>
      </c>
      <c r="D462" s="3" t="str">
        <f>?utf-8?B?8J+OiSBHZXQgMiBtb3JlIGRheXMgb2YgZWFybHkgYWNjZXNzIA==?=
 =?utf-8?B?dG8gUHVtcCBVcCBZb3VyIE1pbGVzIQ==?=</f>
        <v>#ERROR!</v>
      </c>
      <c r="E462" s="1" t="s">
        <v>279</v>
      </c>
    </row>
    <row r="463">
      <c r="A463" s="2">
        <v>45343.29283564815</v>
      </c>
      <c r="B463" s="1" t="s">
        <v>409</v>
      </c>
      <c r="C463" s="1" t="s">
        <v>410</v>
      </c>
      <c r="D463" s="1" t="s">
        <v>509</v>
      </c>
      <c r="E463" s="1" t="s">
        <v>510</v>
      </c>
    </row>
    <row r="464">
      <c r="A464" s="2">
        <v>45343.47079861111</v>
      </c>
      <c r="B464" s="1" t="s">
        <v>430</v>
      </c>
      <c r="C464" s="1" t="s">
        <v>421</v>
      </c>
      <c r="D464" s="1" t="s">
        <v>511</v>
      </c>
      <c r="E464" s="1" t="s">
        <v>260</v>
      </c>
    </row>
    <row r="465">
      <c r="A465" s="2">
        <v>45343.4790162037</v>
      </c>
      <c r="B465" s="1" t="s">
        <v>464</v>
      </c>
      <c r="C465" s="1" t="s">
        <v>423</v>
      </c>
      <c r="D465" s="1" t="s">
        <v>512</v>
      </c>
      <c r="E465" s="1" t="s">
        <v>279</v>
      </c>
    </row>
    <row r="466">
      <c r="A466" s="2">
        <v>45343.51232638889</v>
      </c>
      <c r="B466" s="1" t="s">
        <v>294</v>
      </c>
      <c r="C466" s="1" t="s">
        <v>6</v>
      </c>
      <c r="D466" s="3" t="str">
        <f>?utf-8?B?RG9u4oCZdCBmb3JnZXQhIE9ubHkgMSBjYXJkIHNhdmVzIHlvdQ==?=
 =?utf-8?B?IDI1wqIvbCBhdCBTaGVsbOKbvQ==?=</f>
        <v>#ERROR!</v>
      </c>
      <c r="E466" s="1" t="s">
        <v>279</v>
      </c>
    </row>
    <row r="467">
      <c r="A467" s="2">
        <v>45343.56416666666</v>
      </c>
      <c r="B467" s="1" t="s">
        <v>393</v>
      </c>
      <c r="C467" s="1" t="s">
        <v>392</v>
      </c>
      <c r="D467" s="3" t="str">
        <f>?utf-8?B?WW914oCZcmUgb24gYSByb2xsISDwn4+GIExldOKAmXMgZ2V0IA==?=
 =?utf-8?B?eW91IG1vcmUgTWlsZXMu?=</f>
        <v>#ERROR!</v>
      </c>
      <c r="E467" s="1" t="s">
        <v>260</v>
      </c>
    </row>
    <row r="468">
      <c r="A468" s="2">
        <v>45343.59866898148</v>
      </c>
      <c r="B468" s="1" t="s">
        <v>464</v>
      </c>
      <c r="C468" s="1" t="s">
        <v>423</v>
      </c>
      <c r="D468" s="3" t="str">
        <f>?utf-8?B?WW91ciB0cmF2ZWwgZXNjYXBlIHN0YXJ0cyBoZXJlIPCfkYk=?=</f>
        <v>#ERROR!</v>
      </c>
      <c r="E468" s="1" t="s">
        <v>279</v>
      </c>
    </row>
    <row r="469">
      <c r="A469" s="2">
        <v>45344.292719907404</v>
      </c>
      <c r="B469" s="1" t="s">
        <v>409</v>
      </c>
      <c r="C469" s="1" t="s">
        <v>410</v>
      </c>
      <c r="D469" s="1" t="s">
        <v>513</v>
      </c>
      <c r="E469" s="1" t="s">
        <v>514</v>
      </c>
    </row>
    <row r="470">
      <c r="A470" s="2">
        <v>45344.56277777778</v>
      </c>
      <c r="B470" s="1" t="s">
        <v>325</v>
      </c>
      <c r="C470" s="1" t="s">
        <v>14</v>
      </c>
      <c r="D470" s="1" t="s">
        <v>515</v>
      </c>
      <c r="E470" s="1" t="s">
        <v>516</v>
      </c>
    </row>
    <row r="471">
      <c r="A471" s="2">
        <v>45345.16815972222</v>
      </c>
      <c r="B471" s="1" t="s">
        <v>319</v>
      </c>
      <c r="C471" s="1" t="s">
        <v>14</v>
      </c>
      <c r="D471" s="1" t="s">
        <v>517</v>
      </c>
      <c r="E471" s="1" t="s">
        <v>518</v>
      </c>
    </row>
    <row r="472">
      <c r="A472" s="2">
        <v>45345.29277777778</v>
      </c>
      <c r="B472" s="1" t="s">
        <v>409</v>
      </c>
      <c r="C472" s="1" t="s">
        <v>410</v>
      </c>
      <c r="D472" s="1" t="s">
        <v>519</v>
      </c>
      <c r="E472" s="1" t="s">
        <v>520</v>
      </c>
    </row>
    <row r="473">
      <c r="A473" s="2">
        <v>45345.511770833335</v>
      </c>
      <c r="B473" s="1" t="s">
        <v>470</v>
      </c>
      <c r="C473" s="1" t="s">
        <v>471</v>
      </c>
      <c r="D473" s="1" t="s">
        <v>416</v>
      </c>
      <c r="E473" s="1" t="s">
        <v>260</v>
      </c>
    </row>
    <row r="474">
      <c r="A474" s="2">
        <v>45345.65710648148</v>
      </c>
      <c r="B474" s="1" t="s">
        <v>476</v>
      </c>
      <c r="C474" s="1" t="s">
        <v>471</v>
      </c>
      <c r="D474" s="3" t="str">
        <f>?utf-8?B?R2V0IE1hcmNoIEJyZWFrIHJlYWR5IGZvciA0MCUgbGVzcyA=?=
 =?utf-8?B?8J+nsyArIEZsYXNoIE9mZmVycyEg4pqh77iP?=</f>
        <v>#ERROR!</v>
      </c>
      <c r="E474" s="1" t="s">
        <v>279</v>
      </c>
    </row>
    <row r="475">
      <c r="A475" s="2">
        <v>45345.65712962963</v>
      </c>
      <c r="B475" s="1" t="s">
        <v>393</v>
      </c>
      <c r="C475" s="1" t="s">
        <v>392</v>
      </c>
      <c r="D475" s="3" t="str">
        <f>?utf-8?B?R2V0IE1hcmNoIEJyZWFrIHJlYWR5IGZvciA0MCUgbGVzcyA=?=
 =?utf-8?B?8J+nsyArIEZsYXNoIE9mZmVycyEg4pqh77iP?=</f>
        <v>#ERROR!</v>
      </c>
      <c r="E475" s="1" t="s">
        <v>279</v>
      </c>
    </row>
    <row r="476">
      <c r="A476" s="2">
        <v>45345.657175925924</v>
      </c>
      <c r="B476" s="1" t="s">
        <v>259</v>
      </c>
      <c r="C476" s="1" t="s">
        <v>6</v>
      </c>
      <c r="D476" s="3" t="str">
        <f>?utf-8?B?R2V0IE1hcmNoIEJyZWFrIHJlYWR5IGZvciA0MCUgbGVzcyA=?=
 =?utf-8?B?8J+nsyArIEZsYXNoIE9mZmVycyEg4pqh77iP?=</f>
        <v>#ERROR!</v>
      </c>
      <c r="E476" s="1" t="s">
        <v>279</v>
      </c>
    </row>
    <row r="477">
      <c r="A477" s="2">
        <v>45345.65824074074</v>
      </c>
      <c r="B477" s="1" t="s">
        <v>464</v>
      </c>
      <c r="C477" s="1" t="s">
        <v>423</v>
      </c>
      <c r="D477" s="3" t="str">
        <f>?utf-8?B?R2V0IE1hcmNoIEJyZWFrIHJlYWR5IGZvciA0MCUgbGVzcyA=?=
 =?utf-8?B?8J+nsyArIEZsYXNoIE9mZmVycyEg4pqh77iP?=</f>
        <v>#ERROR!</v>
      </c>
      <c r="E477" s="1" t="s">
        <v>279</v>
      </c>
    </row>
    <row r="478">
      <c r="A478" s="2">
        <v>45345.66740740741</v>
      </c>
      <c r="B478" s="1" t="s">
        <v>430</v>
      </c>
      <c r="C478" s="1" t="s">
        <v>421</v>
      </c>
      <c r="D478" s="3" t="str">
        <f>?utf-8?B?R2V0IE1hcmNoIEJyZWFrIHJlYWR5IGZvciA0MCUgbGVzcyA=?=
 =?utf-8?B?8J+nsyArIEZsYXNoIE9mZmVycyEg4pqh77iP?=</f>
        <v>#ERROR!</v>
      </c>
      <c r="E478" s="1" t="s">
        <v>279</v>
      </c>
    </row>
    <row r="479">
      <c r="A479" s="2">
        <v>45346.239328703705</v>
      </c>
      <c r="B479" s="1" t="s">
        <v>319</v>
      </c>
      <c r="C479" s="1" t="s">
        <v>14</v>
      </c>
      <c r="D479" s="1" t="s">
        <v>320</v>
      </c>
      <c r="E479" s="1" t="s">
        <v>333</v>
      </c>
    </row>
    <row r="480">
      <c r="A480" s="2">
        <v>45346.040925925925</v>
      </c>
      <c r="B480" s="1" t="s">
        <v>521</v>
      </c>
      <c r="C480" s="1" t="s">
        <v>522</v>
      </c>
      <c r="D480" s="3" t="str">
        <f>?windows-1252?Q?Complete_your_AIR_MILES_profile_=96_verify_your?=
 =?windows-1252?Q?_email_address.?=</f>
        <v>#ERROR!</v>
      </c>
      <c r="E480" s="1" t="s">
        <v>260</v>
      </c>
    </row>
    <row r="481">
      <c r="A481" s="2">
        <v>45346.04219907407</v>
      </c>
      <c r="B481" s="1" t="s">
        <v>523</v>
      </c>
      <c r="C481" s="1" t="s">
        <v>524</v>
      </c>
      <c r="D481" s="3" t="str">
        <f>?windows-1252?Q?Complete_your_AIR_MILES_profile_=96_verify_your?=
 =?windows-1252?Q?_email_address.?=</f>
        <v>#ERROR!</v>
      </c>
      <c r="E481" s="1" t="s">
        <v>260</v>
      </c>
    </row>
    <row r="482">
      <c r="A482" s="2">
        <v>45346.04329861111</v>
      </c>
      <c r="B482" s="1" t="s">
        <v>525</v>
      </c>
      <c r="C482" s="1" t="s">
        <v>526</v>
      </c>
      <c r="D482" s="3" t="str">
        <f>?windows-1252?Q?Complete_your_AIR_MILES_profile_=96_verify_your?=
 =?windows-1252?Q?_email_address.?=</f>
        <v>#ERROR!</v>
      </c>
      <c r="E482" s="1" t="s">
        <v>260</v>
      </c>
    </row>
    <row r="483">
      <c r="A483" s="2">
        <v>45346.045381944445</v>
      </c>
      <c r="B483" s="1" t="s">
        <v>527</v>
      </c>
      <c r="C483" s="1" t="s">
        <v>528</v>
      </c>
      <c r="D483" s="3" t="str">
        <f>?windows-1252?Q?Complete_your_AIR_MILES_profile_=96_verify_your?=
 =?windows-1252?Q?_email_address.?=</f>
        <v>#ERROR!</v>
      </c>
      <c r="E483" s="1" t="s">
        <v>260</v>
      </c>
    </row>
    <row r="484">
      <c r="A484" s="2">
        <v>45346.47046296296</v>
      </c>
      <c r="B484" s="1" t="s">
        <v>476</v>
      </c>
      <c r="C484" s="1" t="s">
        <v>471</v>
      </c>
      <c r="D484" s="3" t="str">
        <f>?windows-1252?Q?Here=92s_how_to_get_Miles_7x_faster?=</f>
        <v>#ERROR!</v>
      </c>
      <c r="E484" s="1" t="s">
        <v>260</v>
      </c>
    </row>
    <row r="485">
      <c r="A485" s="2">
        <v>45347.30451388889</v>
      </c>
      <c r="B485" s="1" t="s">
        <v>325</v>
      </c>
      <c r="C485" s="1" t="s">
        <v>14</v>
      </c>
      <c r="D485" s="1" t="s">
        <v>529</v>
      </c>
      <c r="E485" s="1" t="s">
        <v>530</v>
      </c>
    </row>
    <row r="486">
      <c r="A486" s="2">
        <v>45347.29240740741</v>
      </c>
      <c r="B486" s="1" t="s">
        <v>409</v>
      </c>
      <c r="C486" s="1" t="s">
        <v>410</v>
      </c>
      <c r="D486" s="1" t="s">
        <v>531</v>
      </c>
      <c r="E486" s="1" t="s">
        <v>532</v>
      </c>
    </row>
    <row r="487">
      <c r="A487" s="2">
        <v>45347.432025462964</v>
      </c>
      <c r="B487" s="1" t="s">
        <v>533</v>
      </c>
      <c r="C487" s="1" t="s">
        <v>526</v>
      </c>
      <c r="D487" s="1" t="s">
        <v>394</v>
      </c>
      <c r="E487" s="1" t="s">
        <v>260</v>
      </c>
    </row>
    <row r="488">
      <c r="A488" s="2">
        <v>45347.432025462964</v>
      </c>
      <c r="B488" s="1" t="s">
        <v>534</v>
      </c>
      <c r="C488" s="1" t="s">
        <v>522</v>
      </c>
      <c r="D488" s="1" t="s">
        <v>394</v>
      </c>
      <c r="E488" s="1" t="s">
        <v>260</v>
      </c>
    </row>
    <row r="489">
      <c r="A489" s="2">
        <v>45347.432025462964</v>
      </c>
      <c r="B489" s="1" t="s">
        <v>535</v>
      </c>
      <c r="C489" s="1" t="s">
        <v>524</v>
      </c>
      <c r="D489" s="1" t="s">
        <v>394</v>
      </c>
      <c r="E489" s="1" t="s">
        <v>260</v>
      </c>
    </row>
    <row r="490">
      <c r="A490" s="2">
        <v>45348.20880787037</v>
      </c>
      <c r="B490" s="1" t="s">
        <v>525</v>
      </c>
      <c r="C490" s="1" t="s">
        <v>526</v>
      </c>
      <c r="D490" s="3" t="str">
        <f>?windows-1252?Q?Don=92t_forget_to_verify_your_email_address_wit?=
 =?windows-1252?Q?h_AIR_MILES.?=</f>
        <v>#ERROR!</v>
      </c>
      <c r="E490" s="1" t="s">
        <v>260</v>
      </c>
    </row>
    <row r="491">
      <c r="A491" s="2">
        <v>45348.20880787037</v>
      </c>
      <c r="B491" s="1" t="s">
        <v>527</v>
      </c>
      <c r="C491" s="1" t="s">
        <v>528</v>
      </c>
      <c r="D491" s="3" t="str">
        <f>?windows-1252?Q?Don=92t_forget_to_verify_your_email_address_wit?=
 =?windows-1252?Q?h_AIR_MILES.?=</f>
        <v>#ERROR!</v>
      </c>
      <c r="E491" s="1" t="s">
        <v>260</v>
      </c>
    </row>
    <row r="492">
      <c r="A492" s="2">
        <v>45348.292650462965</v>
      </c>
      <c r="B492" s="1" t="s">
        <v>409</v>
      </c>
      <c r="C492" s="1" t="s">
        <v>410</v>
      </c>
      <c r="D492" s="1" t="s">
        <v>536</v>
      </c>
      <c r="E492" s="1" t="s">
        <v>537</v>
      </c>
    </row>
    <row r="493">
      <c r="A493" s="2">
        <v>45348.64791666667</v>
      </c>
      <c r="B493" s="1" t="s">
        <v>538</v>
      </c>
      <c r="C493" s="1" t="s">
        <v>14</v>
      </c>
      <c r="D493" s="1" t="s">
        <v>539</v>
      </c>
      <c r="E493" s="1" t="s">
        <v>540</v>
      </c>
    </row>
    <row r="494">
      <c r="A494" s="2">
        <v>45348.723275462966</v>
      </c>
      <c r="B494" s="1" t="s">
        <v>464</v>
      </c>
      <c r="C494" s="1" t="s">
        <v>423</v>
      </c>
      <c r="D494" s="3" t="str">
        <f>?utf-8?B?SGV5IE1hcmNoIGJyZWFrLWVycyEgR2V0IDEwMCBCb251cyBNaQ==?=
 =?utf-8?B?bGVzIPCfkYs=?=</f>
        <v>#ERROR!</v>
      </c>
      <c r="E494" s="1" t="s">
        <v>279</v>
      </c>
    </row>
    <row r="495">
      <c r="A495" s="2">
        <v>45349.01398148148</v>
      </c>
      <c r="B495" s="1" t="s">
        <v>450</v>
      </c>
      <c r="C495" s="1" t="s">
        <v>6</v>
      </c>
      <c r="D495" s="1" t="s">
        <v>541</v>
      </c>
      <c r="E495" s="1" t="s">
        <v>542</v>
      </c>
    </row>
    <row r="496">
      <c r="A496" s="2">
        <v>45349.29274305556</v>
      </c>
      <c r="B496" s="1" t="s">
        <v>409</v>
      </c>
      <c r="C496" s="1" t="s">
        <v>410</v>
      </c>
      <c r="D496" s="1" t="s">
        <v>543</v>
      </c>
      <c r="E496" s="1" t="s">
        <v>544</v>
      </c>
    </row>
    <row r="497">
      <c r="A497" s="2">
        <v>45350.29268518519</v>
      </c>
      <c r="B497" s="1" t="s">
        <v>409</v>
      </c>
      <c r="C497" s="1" t="s">
        <v>410</v>
      </c>
      <c r="D497" s="3" t="str">
        <f>?UTF-8?B?TWVldCB5b3VyIGZyZWFreSBmdW4gYm9udXMhIPCfmLI=?=</f>
        <v>#ERROR!</v>
      </c>
      <c r="E497" s="1" t="s">
        <v>545</v>
      </c>
    </row>
    <row r="498">
      <c r="A498" s="2">
        <v>45351.29274305556</v>
      </c>
      <c r="B498" s="1" t="s">
        <v>409</v>
      </c>
      <c r="C498" s="1" t="s">
        <v>410</v>
      </c>
      <c r="D498" s="1" t="s">
        <v>546</v>
      </c>
      <c r="E498" s="1" t="s">
        <v>547</v>
      </c>
    </row>
    <row r="499">
      <c r="A499" s="2">
        <v>45351.47025462963</v>
      </c>
      <c r="B499" s="1" t="s">
        <v>535</v>
      </c>
      <c r="C499" s="1" t="s">
        <v>524</v>
      </c>
      <c r="D499" s="3" t="str">
        <f>?windows-1252?Q?Let=92s_get_you_Bonus_Miles=2C__Glen!?=</f>
        <v>#ERROR!</v>
      </c>
      <c r="E499" s="1" t="s">
        <v>260</v>
      </c>
    </row>
    <row r="500">
      <c r="A500" s="2">
        <v>45351.47025462963</v>
      </c>
      <c r="B500" s="1" t="s">
        <v>430</v>
      </c>
      <c r="C500" s="1" t="s">
        <v>421</v>
      </c>
      <c r="D500" s="1" t="s">
        <v>548</v>
      </c>
      <c r="E500" s="1" t="s">
        <v>260</v>
      </c>
    </row>
    <row r="501">
      <c r="A501" s="2">
        <v>45351.4702662037</v>
      </c>
      <c r="B501" s="1" t="s">
        <v>533</v>
      </c>
      <c r="C501" s="1" t="s">
        <v>526</v>
      </c>
      <c r="D501" s="3" t="str">
        <f>?windows-1252?Q?Let=92s_get_you_Bonus_Miles=2C__Lit!?=</f>
        <v>#ERROR!</v>
      </c>
      <c r="E501" s="1" t="s">
        <v>260</v>
      </c>
    </row>
    <row r="502">
      <c r="A502" s="2">
        <v>45351.470300925925</v>
      </c>
      <c r="B502" s="1" t="s">
        <v>549</v>
      </c>
      <c r="C502" s="1" t="s">
        <v>528</v>
      </c>
      <c r="D502" s="3" t="str">
        <f>?windows-1252?Q?Let=92s_get_you_Bonus_Miles=2C__D!?=</f>
        <v>#ERROR!</v>
      </c>
      <c r="E502" s="1" t="s">
        <v>260</v>
      </c>
    </row>
    <row r="503">
      <c r="A503" s="2">
        <v>45351.4703125</v>
      </c>
      <c r="B503" s="1" t="s">
        <v>534</v>
      </c>
      <c r="C503" s="1" t="s">
        <v>522</v>
      </c>
      <c r="D503" s="3" t="str">
        <f>?windows-1252?Q?Let=92s_get_you_Bonus_Miles=2C__Greg!?=</f>
        <v>#ERROR!</v>
      </c>
      <c r="E503" s="1" t="s">
        <v>260</v>
      </c>
    </row>
    <row r="504">
      <c r="A504" s="2">
        <v>45351.54988425926</v>
      </c>
      <c r="B504" s="1" t="s">
        <v>464</v>
      </c>
      <c r="C504" s="1" t="s">
        <v>423</v>
      </c>
      <c r="D504" s="3" t="str">
        <f>?utf-8?B?4pyoIEdldCByZWFkeeKAlDIweCBNaWxlcyBpcyBjb21pbmcgZg==?=
 =?utf-8?B?b3IgMSBkYXkgb25seSEg4pyo?=</f>
        <v>#ERROR!</v>
      </c>
      <c r="E504" s="1" t="s">
        <v>279</v>
      </c>
    </row>
    <row r="505">
      <c r="A505" s="2">
        <v>45351.84159722222</v>
      </c>
      <c r="B505" s="1" t="s">
        <v>259</v>
      </c>
      <c r="C505" s="1" t="s">
        <v>6</v>
      </c>
      <c r="D505" s="3" t="str">
        <f>?utf-8?B?4pyoIEdldCByZWFkeeKAlDIweCBNaWxlcyBpcyBjb21pbmcgZg==?=
 =?utf-8?B?b3IgMSBkYXkgb25seSEg4pyo?=</f>
        <v>#ERROR!</v>
      </c>
      <c r="E505" s="1" t="s">
        <v>279</v>
      </c>
    </row>
    <row r="506">
      <c r="A506" s="2">
        <v>45352.29275462963</v>
      </c>
      <c r="B506" s="1" t="s">
        <v>409</v>
      </c>
      <c r="C506" s="1" t="s">
        <v>410</v>
      </c>
      <c r="D506" s="3" t="str">
        <f>?UTF-8?B?U2ltcGx5IHN0ZWxsYXIsIHlvdXIgRGFpbHkgRGVhbCEg8J+kqQ==?=</f>
        <v>#ERROR!</v>
      </c>
      <c r="E506" s="1" t="s">
        <v>550</v>
      </c>
    </row>
    <row r="507">
      <c r="A507" s="2">
        <v>45352.699224537035</v>
      </c>
      <c r="B507" s="1" t="s">
        <v>549</v>
      </c>
      <c r="C507" s="1" t="s">
        <v>528</v>
      </c>
      <c r="D507" s="3" t="str">
        <f>?utf-8?B?8J+bje+4jyBHRVQgUkVBRFk6IDIweCBNaWxlcyB0b21vcnJvdw==?=
 =?utf-8?B?IG9ubHkhIPCfm43vuI8=?=</f>
        <v>#ERROR!</v>
      </c>
      <c r="E507" s="1" t="s">
        <v>279</v>
      </c>
    </row>
    <row r="508">
      <c r="A508" s="2">
        <v>45352.69923611111</v>
      </c>
      <c r="B508" s="1" t="s">
        <v>430</v>
      </c>
      <c r="C508" s="1" t="s">
        <v>421</v>
      </c>
      <c r="D508" s="3" t="str">
        <f>?utf-8?B?8J+bje+4jyBHRVQgUkVBRFk6IDIweCBNaWxlcyB0b21vcnJvdw==?=
 =?utf-8?B?IG9ubHkhIPCfm43vuI8=?=</f>
        <v>#ERROR!</v>
      </c>
      <c r="E508" s="1" t="s">
        <v>279</v>
      </c>
    </row>
    <row r="509">
      <c r="A509" s="2">
        <v>45352.702893518515</v>
      </c>
      <c r="B509" s="1" t="s">
        <v>534</v>
      </c>
      <c r="C509" s="1" t="s">
        <v>522</v>
      </c>
      <c r="D509" s="3" t="str">
        <f>?utf-8?B?8J+bje+4jyBHRVQgUkVBRFk6IDIweCBNaWxlcyB0b21vcnJvdw==?=
 =?utf-8?B?IG9ubHkhIPCfm43vuI8=?=</f>
        <v>#ERROR!</v>
      </c>
      <c r="E509" s="1" t="s">
        <v>279</v>
      </c>
    </row>
    <row r="510">
      <c r="A510" s="2">
        <v>45352.702893518515</v>
      </c>
      <c r="B510" s="1" t="s">
        <v>393</v>
      </c>
      <c r="C510" s="1" t="s">
        <v>392</v>
      </c>
      <c r="D510" s="3" t="str">
        <f>?utf-8?B?8J+bje+4jyBHRVQgUkVBRFk6IDIweCBNaWxlcyB0b21vcnJvdw==?=
 =?utf-8?B?IG9ubHkhIPCfm43vuI8=?=</f>
        <v>#ERROR!</v>
      </c>
      <c r="E510" s="1" t="s">
        <v>279</v>
      </c>
    </row>
    <row r="511">
      <c r="A511" s="2">
        <v>45352.702893518515</v>
      </c>
      <c r="B511" s="1" t="s">
        <v>535</v>
      </c>
      <c r="C511" s="1" t="s">
        <v>524</v>
      </c>
      <c r="D511" s="3" t="str">
        <f>?utf-8?B?8J+bje+4jyBHRVQgUkVBRFk6IDIweCBNaWxlcyB0b21vcnJvdw==?=
 =?utf-8?B?IG9ubHkhIPCfm43vuI8=?=</f>
        <v>#ERROR!</v>
      </c>
      <c r="E511" s="1" t="s">
        <v>279</v>
      </c>
    </row>
    <row r="512">
      <c r="A512" s="2">
        <v>45352.702893518515</v>
      </c>
      <c r="B512" s="1" t="s">
        <v>476</v>
      </c>
      <c r="C512" s="1" t="s">
        <v>471</v>
      </c>
      <c r="D512" s="3" t="str">
        <f>?utf-8?B?8J+bje+4jyBHRVQgUkVBRFk6IDIweCBNaWxlcyB0b21vcnJvdw==?=
 =?utf-8?B?IG9ubHkhIPCfm43vuI8=?=</f>
        <v>#ERROR!</v>
      </c>
      <c r="E512" s="1" t="s">
        <v>279</v>
      </c>
    </row>
    <row r="513">
      <c r="A513" s="2">
        <v>45352.702893518515</v>
      </c>
      <c r="B513" s="1" t="s">
        <v>533</v>
      </c>
      <c r="C513" s="1" t="s">
        <v>526</v>
      </c>
      <c r="D513" s="3" t="str">
        <f>?utf-8?B?8J+bje+4jyBHRVQgUkVBRFk6IDIweCBNaWxlcyB0b21vcnJvdw==?=
 =?utf-8?B?IG9ubHkhIPCfm43vuI8=?=</f>
        <v>#ERROR!</v>
      </c>
      <c r="E513" s="1" t="s">
        <v>279</v>
      </c>
    </row>
    <row r="514">
      <c r="A514" s="2">
        <v>45352.70295138889</v>
      </c>
      <c r="B514" s="1" t="s">
        <v>259</v>
      </c>
      <c r="C514" s="1" t="s">
        <v>6</v>
      </c>
      <c r="D514" s="3" t="str">
        <f>?utf-8?B?8J+bje+4jyBHRVQgUkVBRFk6IDIweCBNaWxlcyB0b21vcnJvdw==?=
 =?utf-8?B?IG9ubHkhIPCfm43vuI8=?=</f>
        <v>#ERROR!</v>
      </c>
      <c r="E514" s="1" t="s">
        <v>279</v>
      </c>
    </row>
    <row r="515">
      <c r="A515" s="2">
        <v>45352.703622685185</v>
      </c>
      <c r="B515" s="1" t="s">
        <v>464</v>
      </c>
      <c r="C515" s="1" t="s">
        <v>423</v>
      </c>
      <c r="D515" s="3" t="str">
        <f>?utf-8?B?8J+bje+4jyBHRVQgUkVBRFk6IDIweCBNaWxlcyB0b21vcnJvdw==?=
 =?utf-8?B?IG9ubHkhIPCfm43vuI8=?=</f>
        <v>#ERROR!</v>
      </c>
      <c r="E515" s="1" t="s">
        <v>279</v>
      </c>
    </row>
    <row r="516">
      <c r="A516" s="2">
        <v>45353.21082175926</v>
      </c>
      <c r="B516" s="1" t="s">
        <v>527</v>
      </c>
      <c r="C516" s="1" t="s">
        <v>528</v>
      </c>
      <c r="D516" s="3" t="str">
        <f>?windows-1252?Q?Don=92t_forget_to_verify_your_email_address_wit?=
 =?windows-1252?Q?h_AIR_MILES.?=</f>
        <v>#ERROR!</v>
      </c>
      <c r="E516" s="1" t="s">
        <v>260</v>
      </c>
    </row>
    <row r="517">
      <c r="A517" s="2">
        <v>45353.21082175926</v>
      </c>
      <c r="B517" s="1" t="s">
        <v>525</v>
      </c>
      <c r="C517" s="1" t="s">
        <v>526</v>
      </c>
      <c r="D517" s="3" t="str">
        <f>?windows-1252?Q?Don=92t_forget_to_verify_your_email_address_wit?=
 =?windows-1252?Q?h_AIR_MILES.?=</f>
        <v>#ERROR!</v>
      </c>
      <c r="E517" s="1" t="s">
        <v>260</v>
      </c>
    </row>
    <row r="518">
      <c r="A518" s="2">
        <v>45353.21680555555</v>
      </c>
      <c r="B518" s="1" t="s">
        <v>444</v>
      </c>
      <c r="C518" s="1" t="s">
        <v>297</v>
      </c>
      <c r="D518" s="1" t="s">
        <v>445</v>
      </c>
      <c r="E518" s="1" t="s">
        <v>446</v>
      </c>
    </row>
    <row r="519">
      <c r="A519" s="2">
        <v>45353.292916666665</v>
      </c>
      <c r="B519" s="1" t="s">
        <v>409</v>
      </c>
      <c r="C519" s="1" t="s">
        <v>410</v>
      </c>
      <c r="D519" s="3" t="str">
        <f>?UTF-8?B?RHJ1bXJvbGwgcGxlYXNlLCBpdOKAmXMgeW91ciBEYWlseSBEZWFs?=
 =?UTF-8?B?IQ==?=</f>
        <v>#ERROR!</v>
      </c>
      <c r="E519" s="1" t="s">
        <v>551</v>
      </c>
    </row>
    <row r="520">
      <c r="A520" s="2">
        <v>45354.29269675926</v>
      </c>
      <c r="B520" s="1" t="s">
        <v>409</v>
      </c>
      <c r="C520" s="1" t="s">
        <v>410</v>
      </c>
      <c r="D520" s="1" t="s">
        <v>552</v>
      </c>
      <c r="E520" s="1" t="s">
        <v>553</v>
      </c>
    </row>
    <row r="521">
      <c r="A521" s="2">
        <v>45354.470289351855</v>
      </c>
      <c r="B521" s="1" t="s">
        <v>476</v>
      </c>
      <c r="C521" s="1" t="s">
        <v>471</v>
      </c>
      <c r="D521" s="1" t="s">
        <v>554</v>
      </c>
      <c r="E521" s="1" t="s">
        <v>260</v>
      </c>
    </row>
    <row r="522">
      <c r="A522" s="2">
        <v>45354.92599537037</v>
      </c>
      <c r="B522" s="1" t="s">
        <v>478</v>
      </c>
      <c r="C522" s="1" t="s">
        <v>89</v>
      </c>
      <c r="D522" s="1" t="s">
        <v>416</v>
      </c>
      <c r="E522" s="1" t="s">
        <v>260</v>
      </c>
    </row>
    <row r="523">
      <c r="A523" s="2">
        <v>45354.926099537035</v>
      </c>
      <c r="B523" s="1" t="s">
        <v>478</v>
      </c>
      <c r="C523" s="1" t="s">
        <v>89</v>
      </c>
      <c r="D523" s="1" t="s">
        <v>417</v>
      </c>
      <c r="E523" s="1" t="s">
        <v>260</v>
      </c>
    </row>
    <row r="524">
      <c r="A524" s="2">
        <v>45354.97589120371</v>
      </c>
      <c r="B524" s="1" t="s">
        <v>409</v>
      </c>
      <c r="C524" s="1" t="s">
        <v>410</v>
      </c>
      <c r="D524" s="1" t="s">
        <v>440</v>
      </c>
      <c r="E524" s="1" t="s">
        <v>555</v>
      </c>
    </row>
    <row r="525">
      <c r="A525" s="2">
        <v>45354.97665509259</v>
      </c>
      <c r="B525" s="1" t="s">
        <v>556</v>
      </c>
      <c r="C525" s="1" t="s">
        <v>557</v>
      </c>
      <c r="D525" s="1" t="s">
        <v>263</v>
      </c>
      <c r="E525" s="1" t="s">
        <v>558</v>
      </c>
    </row>
    <row r="526">
      <c r="A526" s="2">
        <v>45355.307118055556</v>
      </c>
      <c r="B526" s="1" t="s">
        <v>319</v>
      </c>
      <c r="C526" s="1" t="s">
        <v>14</v>
      </c>
      <c r="D526" s="3" t="str">
        <f>?ISO-8859-1?Q?You_are_no_longer_participating_in_Family=A0Sharing.?=</f>
        <v>#ERROR!</v>
      </c>
      <c r="E526" s="1" t="s">
        <v>559</v>
      </c>
    </row>
    <row r="527">
      <c r="A527" s="2">
        <v>45355.417129629626</v>
      </c>
      <c r="B527" s="1" t="s">
        <v>265</v>
      </c>
      <c r="C527" s="1" t="s">
        <v>231</v>
      </c>
      <c r="D527" s="1" t="s">
        <v>560</v>
      </c>
      <c r="E527" s="1" t="s">
        <v>561</v>
      </c>
    </row>
    <row r="528">
      <c r="A528" s="2">
        <v>45355.29275462963</v>
      </c>
      <c r="B528" s="1" t="s">
        <v>409</v>
      </c>
      <c r="C528" s="1" t="s">
        <v>410</v>
      </c>
      <c r="D528" s="1" t="s">
        <v>562</v>
      </c>
      <c r="E528" s="1" t="s">
        <v>563</v>
      </c>
    </row>
    <row r="529">
      <c r="A529" s="2">
        <v>45355.89690972222</v>
      </c>
      <c r="B529" s="1" t="s">
        <v>294</v>
      </c>
      <c r="C529" s="1" t="s">
        <v>6</v>
      </c>
      <c r="D529" s="1" t="s">
        <v>322</v>
      </c>
      <c r="E529" s="1" t="s">
        <v>279</v>
      </c>
    </row>
    <row r="530">
      <c r="A530" s="2">
        <v>45356.292662037034</v>
      </c>
      <c r="B530" s="1" t="s">
        <v>409</v>
      </c>
      <c r="C530" s="1" t="s">
        <v>410</v>
      </c>
      <c r="D530" s="1" t="s">
        <v>564</v>
      </c>
      <c r="E530" s="1" t="s">
        <v>565</v>
      </c>
    </row>
    <row r="531">
      <c r="A531" s="2">
        <v>45356.487280092595</v>
      </c>
      <c r="B531" s="1" t="s">
        <v>464</v>
      </c>
      <c r="C531" s="1" t="s">
        <v>423</v>
      </c>
      <c r="D531" s="3" t="str">
        <f>?utf-8?B?SGVyZeKAmXMgeW91ciBzaWduIHRvIHZpc2l0IE5ldyBZb3JrIA==?=
 =?utf-8?B?JiBzYXZlIHVwIHRvIDM1JSBvbiBhY2NvbW1vZGF0aW9ucyEg8J+nsw==?=</f>
        <v>#ERROR!</v>
      </c>
      <c r="E531" s="1" t="s">
        <v>279</v>
      </c>
    </row>
    <row r="532">
      <c r="A532" s="2">
        <v>45357.292766203704</v>
      </c>
      <c r="B532" s="1" t="s">
        <v>409</v>
      </c>
      <c r="C532" s="1" t="s">
        <v>410</v>
      </c>
      <c r="D532" s="1" t="s">
        <v>566</v>
      </c>
      <c r="E532" s="1" t="s">
        <v>567</v>
      </c>
    </row>
    <row r="533">
      <c r="A533" s="2">
        <v>45357.60736111111</v>
      </c>
      <c r="B533" s="1" t="s">
        <v>508</v>
      </c>
      <c r="C533" s="1" t="s">
        <v>423</v>
      </c>
      <c r="D533" s="3" t="str">
        <f>?utf-8?B?RXhwZXJpZW5jZSBOZXcgT3JsZWFuc+KAmXMgYmlnZ2VzdCBtdQ==?=
 =?utf-8?B?c2ljIGZlc3RpdmFsIHdpdGggU2hlbGwgR28rIPCfjrY=?=</f>
        <v>#ERROR!</v>
      </c>
      <c r="E533" s="1" t="s">
        <v>279</v>
      </c>
    </row>
    <row r="534">
      <c r="A534" s="2">
        <v>45358.251550925925</v>
      </c>
      <c r="B534" s="1" t="s">
        <v>234</v>
      </c>
      <c r="C534" s="1" t="s">
        <v>6</v>
      </c>
      <c r="D534" s="3" t="str">
        <f>?UTF-8?B?RGF3biwgaGVyZSdzIHlvdXIgY2hhbmNlIHRvIHdpbiDwn5Kw?=</f>
        <v>#ERROR!</v>
      </c>
      <c r="E534" s="1" t="s">
        <v>568</v>
      </c>
    </row>
    <row r="535">
      <c r="A535" s="2">
        <v>45358.29251157407</v>
      </c>
      <c r="B535" s="1" t="s">
        <v>409</v>
      </c>
      <c r="C535" s="1" t="s">
        <v>410</v>
      </c>
      <c r="D535" s="1" t="s">
        <v>569</v>
      </c>
      <c r="E535" s="1" t="s">
        <v>570</v>
      </c>
    </row>
    <row r="536">
      <c r="A536" s="2">
        <v>45358.56394675926</v>
      </c>
      <c r="B536" s="1" t="s">
        <v>430</v>
      </c>
      <c r="C536" s="1" t="s">
        <v>421</v>
      </c>
      <c r="D536" s="3" t="str">
        <f>?utf-8?B?WW914oCZcmUgb24gYSByb2xsISDwn4+GIExldOKAmXMgZ2V0IA==?=
 =?utf-8?B?eW91IG1vcmUgTWlsZXMu?=</f>
        <v>#ERROR!</v>
      </c>
      <c r="E536" s="1" t="s">
        <v>260</v>
      </c>
    </row>
    <row r="537">
      <c r="A537" s="2">
        <v>45358.66342592592</v>
      </c>
      <c r="B537" s="1" t="s">
        <v>464</v>
      </c>
      <c r="C537" s="1" t="s">
        <v>423</v>
      </c>
      <c r="D537" s="3" t="str">
        <f>?utf-8?B?R2V0IHVwIHRvIDQwIEJvbnVzIE1pbGVzIHdpdGggdGhpcyA=?=
 =?utf-8?B?4pyoZXhjbHVzaXZl4pyoIG9mZmVyIQ==?=</f>
        <v>#ERROR!</v>
      </c>
      <c r="E537" s="1" t="s">
        <v>279</v>
      </c>
    </row>
    <row r="538">
      <c r="A538" s="2">
        <v>45358.708344907405</v>
      </c>
      <c r="B538" s="1" t="s">
        <v>571</v>
      </c>
      <c r="C538" s="1" t="s">
        <v>6</v>
      </c>
      <c r="D538" s="1" t="s">
        <v>572</v>
      </c>
      <c r="E538" s="1" t="s">
        <v>481</v>
      </c>
    </row>
    <row r="539">
      <c r="A539" s="2">
        <v>45359.534791666665</v>
      </c>
      <c r="B539" s="1" t="s">
        <v>329</v>
      </c>
      <c r="C539" s="1" t="s">
        <v>14</v>
      </c>
      <c r="D539" s="1" t="s">
        <v>398</v>
      </c>
      <c r="E539" s="1" t="s">
        <v>486</v>
      </c>
    </row>
    <row r="540">
      <c r="A540" s="2">
        <v>45359.29277777778</v>
      </c>
      <c r="B540" s="1" t="s">
        <v>409</v>
      </c>
      <c r="C540" s="1" t="s">
        <v>410</v>
      </c>
      <c r="D540" s="3" t="str">
        <f>?UTF-8?B?Q2hpbGwgb3V0IHdpdGggdG9kYXnigJlzIGJvbnVzIQ==?=</f>
        <v>#ERROR!</v>
      </c>
      <c r="E540" s="1" t="s">
        <v>573</v>
      </c>
    </row>
    <row r="541">
      <c r="A541" s="2">
        <v>45359.47116898148</v>
      </c>
      <c r="B541" s="1" t="s">
        <v>534</v>
      </c>
      <c r="C541" s="1" t="s">
        <v>522</v>
      </c>
      <c r="D541" s="3" t="str">
        <f>?windows-1252?Q?Here=92s_how_to_get_Miles_7x_faster?=</f>
        <v>#ERROR!</v>
      </c>
      <c r="E541" s="1" t="s">
        <v>260</v>
      </c>
    </row>
    <row r="542">
      <c r="A542" s="2">
        <v>45359.47116898148</v>
      </c>
      <c r="B542" s="1" t="s">
        <v>535</v>
      </c>
      <c r="C542" s="1" t="s">
        <v>524</v>
      </c>
      <c r="D542" s="3" t="str">
        <f>?windows-1252?Q?Here=92s_how_to_get_Miles_7x_faster?=</f>
        <v>#ERROR!</v>
      </c>
      <c r="E542" s="1" t="s">
        <v>260</v>
      </c>
    </row>
    <row r="543">
      <c r="A543" s="2">
        <v>45359.47116898148</v>
      </c>
      <c r="B543" s="1" t="s">
        <v>549</v>
      </c>
      <c r="C543" s="1" t="s">
        <v>528</v>
      </c>
      <c r="D543" s="3" t="str">
        <f>?windows-1252?Q?Here=92s_how_to_get_Miles_7x_faster?=</f>
        <v>#ERROR!</v>
      </c>
      <c r="E543" s="1" t="s">
        <v>260</v>
      </c>
    </row>
    <row r="544">
      <c r="A544" s="2">
        <v>45359.62803240741</v>
      </c>
      <c r="B544" s="1" t="s">
        <v>535</v>
      </c>
      <c r="C544" s="1" t="s">
        <v>524</v>
      </c>
      <c r="D544" s="3" t="str">
        <f>?utf-8?B?RkxBU0ggT0ZGRVJTICsgbW9yZSBpbnNpZGUhIPCfp77imqE=?=
 =?utf-8?B?4pqh8J+OrA==?=</f>
        <v>#ERROR!</v>
      </c>
      <c r="E544" s="1" t="s">
        <v>279</v>
      </c>
    </row>
    <row r="545">
      <c r="A545" s="2">
        <v>45359.62803240741</v>
      </c>
      <c r="B545" s="1" t="s">
        <v>533</v>
      </c>
      <c r="C545" s="1" t="s">
        <v>526</v>
      </c>
      <c r="D545" s="3" t="str">
        <f>?utf-8?B?RkxBU0ggT0ZGRVJTICsgbW9yZSBpbnNpZGUhIPCfp77imqE=?=
 =?utf-8?B?4pqh8J+OrA==?=</f>
        <v>#ERROR!</v>
      </c>
      <c r="E545" s="1" t="s">
        <v>279</v>
      </c>
    </row>
    <row r="546">
      <c r="A546" s="2">
        <v>45359.62804398148</v>
      </c>
      <c r="B546" s="1" t="s">
        <v>476</v>
      </c>
      <c r="C546" s="1" t="s">
        <v>471</v>
      </c>
      <c r="D546" s="3" t="str">
        <f>?utf-8?B?RkxBU0ggT0ZGRVJTICsgbW9yZSBpbnNpZGUhIPCfp77imqE=?=
 =?utf-8?B?4pqh8J+OrA==?=</f>
        <v>#ERROR!</v>
      </c>
      <c r="E546" s="1" t="s">
        <v>279</v>
      </c>
    </row>
    <row r="547">
      <c r="A547" s="2">
        <v>45359.62805555556</v>
      </c>
      <c r="B547" s="1" t="s">
        <v>393</v>
      </c>
      <c r="C547" s="1" t="s">
        <v>392</v>
      </c>
      <c r="D547" s="3" t="str">
        <f>?utf-8?B?RkxBU0ggT0ZGRVJTICsgbW9yZSBpbnNpZGUhIPCfp77imqE=?=
 =?utf-8?B?4pqh8J+OrA==?=</f>
        <v>#ERROR!</v>
      </c>
      <c r="E547" s="1" t="s">
        <v>279</v>
      </c>
    </row>
    <row r="548">
      <c r="A548" s="2">
        <v>45359.62815972222</v>
      </c>
      <c r="B548" s="1" t="s">
        <v>259</v>
      </c>
      <c r="C548" s="1" t="s">
        <v>6</v>
      </c>
      <c r="D548" s="3" t="str">
        <f>?utf-8?B?RkxBU0ggT0ZGRVJTICsgbW9yZSBpbnNpZGUhIPCfp77imqE=?=
 =?utf-8?B?4pqh8J+OrA==?=</f>
        <v>#ERROR!</v>
      </c>
      <c r="E548" s="1" t="s">
        <v>279</v>
      </c>
    </row>
    <row r="549">
      <c r="A549" s="2">
        <v>45359.62951388889</v>
      </c>
      <c r="B549" s="1" t="s">
        <v>464</v>
      </c>
      <c r="C549" s="1" t="s">
        <v>423</v>
      </c>
      <c r="D549" s="3" t="str">
        <f>?utf-8?B?RkxBU0ggT0ZGRVJTICsgbW9yZSBpbnNpZGUhIPCfp77imqE=?=
 =?utf-8?B?4pqh8J+OrA==?=</f>
        <v>#ERROR!</v>
      </c>
      <c r="E549" s="1" t="s">
        <v>279</v>
      </c>
    </row>
    <row r="550">
      <c r="A550" s="2">
        <v>45359.64188657407</v>
      </c>
      <c r="B550" s="1" t="s">
        <v>549</v>
      </c>
      <c r="C550" s="1" t="s">
        <v>528</v>
      </c>
      <c r="D550" s="3" t="str">
        <f>?utf-8?B?RkxBU0ggT0ZGRVJTICsgbW9yZSBpbnNpZGUhIPCfp77imqE=?=
 =?utf-8?B?4pqh8J+OrA==?=</f>
        <v>#ERROR!</v>
      </c>
      <c r="E550" s="1" t="s">
        <v>279</v>
      </c>
    </row>
    <row r="551">
      <c r="A551" s="2">
        <v>45359.641909722224</v>
      </c>
      <c r="B551" s="1" t="s">
        <v>430</v>
      </c>
      <c r="C551" s="1" t="s">
        <v>421</v>
      </c>
      <c r="D551" s="3" t="str">
        <f>?utf-8?B?RkxBU0ggT0ZGRVJTICsgbW9yZSBpbnNpZGUhIPCfp77imqE=?=
 =?utf-8?B?4pqh8J+OrA==?=</f>
        <v>#ERROR!</v>
      </c>
      <c r="E551" s="1" t="s">
        <v>279</v>
      </c>
    </row>
    <row r="552">
      <c r="A552" s="2">
        <v>45359.70891203704</v>
      </c>
      <c r="B552" s="1" t="s">
        <v>571</v>
      </c>
      <c r="C552" s="1" t="s">
        <v>6</v>
      </c>
      <c r="D552" s="1" t="s">
        <v>574</v>
      </c>
      <c r="E552" s="1" t="s">
        <v>481</v>
      </c>
    </row>
    <row r="553">
      <c r="A553" s="2">
        <v>45360.2925</v>
      </c>
      <c r="B553" s="1" t="s">
        <v>409</v>
      </c>
      <c r="C553" s="1" t="s">
        <v>410</v>
      </c>
      <c r="D553" s="3" t="str">
        <f>?UTF-8?B?V2hhdOKAmXMgdGhpcz8gWW91ciBEYWlseSBEZWFsIQ==?=</f>
        <v>#ERROR!</v>
      </c>
      <c r="E553" s="1" t="s">
        <v>575</v>
      </c>
    </row>
    <row r="554">
      <c r="A554" s="2">
        <v>45361.16642361111</v>
      </c>
      <c r="B554" s="1" t="s">
        <v>556</v>
      </c>
      <c r="C554" s="1" t="s">
        <v>557</v>
      </c>
      <c r="D554" s="1" t="s">
        <v>576</v>
      </c>
      <c r="E554" s="1" t="s">
        <v>577</v>
      </c>
    </row>
    <row r="555">
      <c r="A555" s="2">
        <v>45361.29287037037</v>
      </c>
      <c r="B555" s="1" t="s">
        <v>409</v>
      </c>
      <c r="C555" s="1" t="s">
        <v>410</v>
      </c>
      <c r="D555" s="1" t="s">
        <v>578</v>
      </c>
      <c r="E555" s="1" t="s">
        <v>579</v>
      </c>
    </row>
    <row r="556">
      <c r="A556" s="2">
        <v>45361.822118055556</v>
      </c>
      <c r="B556" s="1" t="s">
        <v>422</v>
      </c>
      <c r="C556" s="1" t="s">
        <v>423</v>
      </c>
      <c r="D556" s="1" t="s">
        <v>580</v>
      </c>
      <c r="E556" s="1" t="s">
        <v>260</v>
      </c>
    </row>
    <row r="557">
      <c r="A557" s="2">
        <v>45362.37548611111</v>
      </c>
      <c r="B557" s="1" t="s">
        <v>265</v>
      </c>
      <c r="C557" s="1" t="s">
        <v>231</v>
      </c>
      <c r="D557" s="1" t="s">
        <v>581</v>
      </c>
      <c r="E557" s="1" t="s">
        <v>561</v>
      </c>
    </row>
    <row r="558">
      <c r="A558" s="2">
        <v>45362.29282407407</v>
      </c>
      <c r="B558" s="1" t="s">
        <v>409</v>
      </c>
      <c r="C558" s="1" t="s">
        <v>410</v>
      </c>
      <c r="D558" s="3" t="str">
        <f>?UTF-8?B?RnVuIGFuZCBleGNsdXNpdmUsIHlvdXIgRGFpbHkgRGVhbCDwn5ic?=</f>
        <v>#ERROR!</v>
      </c>
      <c r="E558" s="1" t="s">
        <v>582</v>
      </c>
    </row>
    <row r="559">
      <c r="A559" s="2">
        <v>45362.45516203704</v>
      </c>
      <c r="B559" s="1" t="s">
        <v>521</v>
      </c>
      <c r="C559" s="1" t="s">
        <v>522</v>
      </c>
      <c r="D559" s="1" t="s">
        <v>580</v>
      </c>
      <c r="E559" s="1" t="s">
        <v>260</v>
      </c>
    </row>
    <row r="560">
      <c r="A560" s="2">
        <v>45362.47126157407</v>
      </c>
      <c r="B560" s="1" t="s">
        <v>476</v>
      </c>
      <c r="C560" s="1" t="s">
        <v>471</v>
      </c>
      <c r="D560" s="1" t="s">
        <v>583</v>
      </c>
      <c r="E560" s="1" t="s">
        <v>260</v>
      </c>
    </row>
    <row r="561">
      <c r="A561" s="2">
        <v>45362.377916666665</v>
      </c>
      <c r="B561" s="1" t="s">
        <v>444</v>
      </c>
      <c r="C561" s="1" t="s">
        <v>297</v>
      </c>
      <c r="D561" s="1" t="s">
        <v>584</v>
      </c>
      <c r="E561" s="1" t="s">
        <v>299</v>
      </c>
    </row>
    <row r="562">
      <c r="A562" s="2">
        <v>45363.29282407407</v>
      </c>
      <c r="B562" s="1" t="s">
        <v>409</v>
      </c>
      <c r="C562" s="1" t="s">
        <v>410</v>
      </c>
      <c r="D562" s="1" t="s">
        <v>585</v>
      </c>
      <c r="E562" s="1" t="s">
        <v>586</v>
      </c>
    </row>
    <row r="563">
      <c r="A563" s="2">
        <v>45363.57619212963</v>
      </c>
      <c r="B563" s="1" t="s">
        <v>587</v>
      </c>
      <c r="C563" s="1" t="s">
        <v>6</v>
      </c>
      <c r="D563" s="1" t="s">
        <v>588</v>
      </c>
      <c r="E563" s="1" t="s">
        <v>260</v>
      </c>
    </row>
    <row r="564">
      <c r="A564" s="2">
        <v>45364.29282407407</v>
      </c>
      <c r="B564" s="1" t="s">
        <v>409</v>
      </c>
      <c r="C564" s="1" t="s">
        <v>410</v>
      </c>
      <c r="D564" s="1" t="s">
        <v>589</v>
      </c>
      <c r="E564" s="1" t="s">
        <v>590</v>
      </c>
    </row>
    <row r="565">
      <c r="A565" s="2">
        <v>45364.40079861111</v>
      </c>
      <c r="B565" s="1" t="s">
        <v>508</v>
      </c>
      <c r="C565" s="1" t="s">
        <v>423</v>
      </c>
      <c r="D565" s="1" t="s">
        <v>591</v>
      </c>
      <c r="E565" s="1" t="s">
        <v>279</v>
      </c>
    </row>
    <row r="566">
      <c r="A566" s="2">
        <v>45364.6084375</v>
      </c>
      <c r="B566" s="1" t="s">
        <v>592</v>
      </c>
      <c r="C566" s="1" t="s">
        <v>392</v>
      </c>
      <c r="D566" s="1" t="s">
        <v>591</v>
      </c>
      <c r="E566" s="1" t="s">
        <v>279</v>
      </c>
    </row>
    <row r="567">
      <c r="A567" s="2">
        <v>45364.60880787037</v>
      </c>
      <c r="B567" s="1" t="s">
        <v>294</v>
      </c>
      <c r="C567" s="1" t="s">
        <v>6</v>
      </c>
      <c r="D567" s="1" t="s">
        <v>591</v>
      </c>
      <c r="E567" s="1" t="s">
        <v>279</v>
      </c>
    </row>
    <row r="568">
      <c r="A568" s="2">
        <v>45364.64438657407</v>
      </c>
      <c r="B568" s="1" t="s">
        <v>508</v>
      </c>
      <c r="C568" s="1" t="s">
        <v>423</v>
      </c>
      <c r="D568" s="3" t="str">
        <f>?utf-8?B?4o+wIFRpbWXigJlzIHJ1bm5pbmcgb3V0ISBZb3UgY291bGQgdw==?=
 =?utf-8?B?aW4gYSB0cmlwIHRvIHNlZSBUaGUgUm9sbGluZyBTdG9uZXMgbGl2ZSEg?=
 =?utf-8?B?8J+Otg==?=</f>
        <v>#ERROR!</v>
      </c>
      <c r="E568" s="1" t="s">
        <v>279</v>
      </c>
    </row>
    <row r="569">
      <c r="A569" s="2">
        <v>45365.29284722222</v>
      </c>
      <c r="B569" s="1" t="s">
        <v>409</v>
      </c>
      <c r="C569" s="1" t="s">
        <v>410</v>
      </c>
      <c r="D569" s="1" t="s">
        <v>593</v>
      </c>
      <c r="E569" s="1" t="s">
        <v>594</v>
      </c>
    </row>
    <row r="570">
      <c r="A570" s="2">
        <v>45365.72421296296</v>
      </c>
      <c r="B570" s="1" t="s">
        <v>595</v>
      </c>
      <c r="C570" s="1" t="s">
        <v>14</v>
      </c>
      <c r="D570" s="1" t="s">
        <v>596</v>
      </c>
      <c r="E570" s="1" t="s">
        <v>597</v>
      </c>
    </row>
    <row r="571">
      <c r="A571" s="2">
        <v>45366.29262731481</v>
      </c>
      <c r="B571" s="1" t="s">
        <v>409</v>
      </c>
      <c r="C571" s="1" t="s">
        <v>410</v>
      </c>
      <c r="D571" s="1" t="s">
        <v>598</v>
      </c>
      <c r="E571" s="1" t="s">
        <v>599</v>
      </c>
    </row>
    <row r="572">
      <c r="A572" s="2">
        <v>45366.42162037037</v>
      </c>
      <c r="B572" s="1" t="s">
        <v>294</v>
      </c>
      <c r="C572" s="1" t="s">
        <v>6</v>
      </c>
      <c r="D572" s="1" t="s">
        <v>495</v>
      </c>
      <c r="E572" s="1" t="s">
        <v>279</v>
      </c>
    </row>
    <row r="573">
      <c r="A573" s="2">
        <v>45366.606145833335</v>
      </c>
      <c r="B573" s="1" t="s">
        <v>259</v>
      </c>
      <c r="C573" s="1" t="s">
        <v>6</v>
      </c>
      <c r="D573" s="3" t="str">
        <f>?utf-8?B?4pqhIEZMQVNIIE9GRkVSUyBhbGVydCEg4pqh?=</f>
        <v>#ERROR!</v>
      </c>
      <c r="E573" s="1" t="s">
        <v>279</v>
      </c>
    </row>
    <row r="574">
      <c r="A574" s="2">
        <v>45366.6066087963</v>
      </c>
      <c r="B574" s="1" t="s">
        <v>535</v>
      </c>
      <c r="C574" s="1" t="s">
        <v>524</v>
      </c>
      <c r="D574" s="3" t="str">
        <f>?utf-8?B?4pqhIEZMQVNIIE9GRkVSUyBhbGVydCEg4pqh?=</f>
        <v>#ERROR!</v>
      </c>
      <c r="E574" s="1" t="s">
        <v>279</v>
      </c>
    </row>
    <row r="575">
      <c r="A575" s="2">
        <v>45366.6066087963</v>
      </c>
      <c r="B575" s="1" t="s">
        <v>533</v>
      </c>
      <c r="C575" s="1" t="s">
        <v>526</v>
      </c>
      <c r="D575" s="3" t="str">
        <f>?utf-8?B?4pqhIEZMQVNIIE9GRkVSUyBhbGVydCEg4pqh?=</f>
        <v>#ERROR!</v>
      </c>
      <c r="E575" s="1" t="s">
        <v>279</v>
      </c>
    </row>
    <row r="576">
      <c r="A576" s="2">
        <v>45366.6066087963</v>
      </c>
      <c r="B576" s="1" t="s">
        <v>534</v>
      </c>
      <c r="C576" s="1" t="s">
        <v>522</v>
      </c>
      <c r="D576" s="3" t="str">
        <f>?utf-8?B?4pqhIEZMQVNIIE9GRkVSUyBhbGVydCEg4pqh?=</f>
        <v>#ERROR!</v>
      </c>
      <c r="E576" s="1" t="s">
        <v>279</v>
      </c>
    </row>
    <row r="577">
      <c r="A577" s="2">
        <v>45366.606620370374</v>
      </c>
      <c r="B577" s="1" t="s">
        <v>476</v>
      </c>
      <c r="C577" s="1" t="s">
        <v>471</v>
      </c>
      <c r="D577" s="3" t="str">
        <f>?utf-8?B?4pqhIEZMQVNIIE9GRkVSUyBhbGVydCEg4pqh?=</f>
        <v>#ERROR!</v>
      </c>
      <c r="E577" s="1" t="s">
        <v>279</v>
      </c>
    </row>
    <row r="578">
      <c r="A578" s="2">
        <v>45366.60663194444</v>
      </c>
      <c r="B578" s="1" t="s">
        <v>393</v>
      </c>
      <c r="C578" s="1" t="s">
        <v>392</v>
      </c>
      <c r="D578" s="3" t="str">
        <f>?utf-8?B?4pqhIEZMQVNIIE9GRkVSUyBhbGVydCEg4pqh?=</f>
        <v>#ERROR!</v>
      </c>
      <c r="E578" s="1" t="s">
        <v>279</v>
      </c>
    </row>
    <row r="579">
      <c r="A579" s="2">
        <v>45366.6078125</v>
      </c>
      <c r="B579" s="1" t="s">
        <v>464</v>
      </c>
      <c r="C579" s="1" t="s">
        <v>423</v>
      </c>
      <c r="D579" s="3" t="str">
        <f>?utf-8?B?4pqhIEZMQVNIIE9GRkVSUyBhbGVydCEg4pqh?=</f>
        <v>#ERROR!</v>
      </c>
      <c r="E579" s="1" t="s">
        <v>279</v>
      </c>
    </row>
    <row r="580">
      <c r="A580" s="2">
        <v>45366.62086805556</v>
      </c>
      <c r="B580" s="1" t="s">
        <v>549</v>
      </c>
      <c r="C580" s="1" t="s">
        <v>528</v>
      </c>
      <c r="D580" s="3" t="str">
        <f>?utf-8?B?4pqhIEZMQVNIIE9GRkVSUyBhbGVydCEg4pqh?=</f>
        <v>#ERROR!</v>
      </c>
      <c r="E580" s="1" t="s">
        <v>279</v>
      </c>
    </row>
    <row r="581">
      <c r="A581" s="2">
        <v>45366.62091435185</v>
      </c>
      <c r="B581" s="1" t="s">
        <v>430</v>
      </c>
      <c r="C581" s="1" t="s">
        <v>421</v>
      </c>
      <c r="D581" s="3" t="str">
        <f>?utf-8?B?4pqhIEZMQVNIIE9GRkVSUyBhbGVydCEg4pqh?=</f>
        <v>#ERROR!</v>
      </c>
      <c r="E581" s="1" t="s">
        <v>279</v>
      </c>
    </row>
    <row r="582">
      <c r="A582" s="2">
        <v>45366.714155092595</v>
      </c>
      <c r="B582" s="1" t="s">
        <v>600</v>
      </c>
      <c r="C582" s="1" t="s">
        <v>601</v>
      </c>
      <c r="D582" s="3" t="str">
        <f>?UTF-8?B?8J+RgCBTZWUgaG93IG90aGVyIGJ1c2luZXNzZXMgYXJlIHVzaW5n?=
 =?UTF-8?B?IEZyZXNoQm9va3MgdG8gZ3Jvdw==?=</f>
        <v>#ERROR!</v>
      </c>
      <c r="E582" s="1" t="s">
        <v>37</v>
      </c>
    </row>
    <row r="583">
      <c r="A583" s="2">
        <v>45367.292604166665</v>
      </c>
      <c r="B583" s="1" t="s">
        <v>315</v>
      </c>
      <c r="C583" s="1" t="s">
        <v>14</v>
      </c>
      <c r="D583" s="1" t="s">
        <v>316</v>
      </c>
      <c r="E583" s="1" t="s">
        <v>602</v>
      </c>
    </row>
    <row r="584">
      <c r="A584" s="2">
        <v>45367.53855324074</v>
      </c>
      <c r="B584" s="1" t="s">
        <v>329</v>
      </c>
      <c r="C584" s="1" t="s">
        <v>14</v>
      </c>
      <c r="D584" s="1" t="s">
        <v>398</v>
      </c>
      <c r="E584" s="1" t="s">
        <v>486</v>
      </c>
    </row>
    <row r="585">
      <c r="A585" s="2">
        <v>45367.292719907404</v>
      </c>
      <c r="B585" s="1" t="s">
        <v>409</v>
      </c>
      <c r="C585" s="1" t="s">
        <v>410</v>
      </c>
      <c r="D585" s="1" t="s">
        <v>603</v>
      </c>
      <c r="E585" s="1" t="s">
        <v>604</v>
      </c>
    </row>
    <row r="586">
      <c r="A586" s="2">
        <v>45367.470138888886</v>
      </c>
      <c r="B586" s="1" t="s">
        <v>535</v>
      </c>
      <c r="C586" s="1" t="s">
        <v>524</v>
      </c>
      <c r="D586" s="1" t="s">
        <v>605</v>
      </c>
      <c r="E586" s="1" t="s">
        <v>260</v>
      </c>
    </row>
    <row r="587">
      <c r="A587" s="2">
        <v>45367.470138888886</v>
      </c>
      <c r="B587" s="1" t="s">
        <v>533</v>
      </c>
      <c r="C587" s="1" t="s">
        <v>526</v>
      </c>
      <c r="D587" s="1" t="s">
        <v>606</v>
      </c>
      <c r="E587" s="1" t="s">
        <v>260</v>
      </c>
    </row>
    <row r="588">
      <c r="A588" s="2">
        <v>45367.470138888886</v>
      </c>
      <c r="B588" s="1" t="s">
        <v>549</v>
      </c>
      <c r="C588" s="1" t="s">
        <v>528</v>
      </c>
      <c r="D588" s="1" t="s">
        <v>607</v>
      </c>
      <c r="E588" s="1" t="s">
        <v>260</v>
      </c>
    </row>
    <row r="589">
      <c r="A589" s="2">
        <v>45367.470138888886</v>
      </c>
      <c r="B589" s="1" t="s">
        <v>534</v>
      </c>
      <c r="C589" s="1" t="s">
        <v>522</v>
      </c>
      <c r="D589" s="1" t="s">
        <v>608</v>
      </c>
      <c r="E589" s="1" t="s">
        <v>260</v>
      </c>
    </row>
    <row r="590">
      <c r="A590" s="2">
        <v>45368.29263888889</v>
      </c>
      <c r="B590" s="1" t="s">
        <v>409</v>
      </c>
      <c r="C590" s="1" t="s">
        <v>410</v>
      </c>
      <c r="D590" s="3" t="str">
        <f>?UTF-8?B?WW91ciBib251cyBpcyBlcGljLCBTdGFjZXkg8J+YsQ==?=</f>
        <v>#ERROR!</v>
      </c>
      <c r="E590" s="1" t="s">
        <v>609</v>
      </c>
    </row>
    <row r="591">
      <c r="A591" s="2">
        <v>45368.915601851855</v>
      </c>
      <c r="B591" s="1" t="s">
        <v>610</v>
      </c>
      <c r="C591" s="1" t="s">
        <v>6</v>
      </c>
      <c r="D591" s="1" t="s">
        <v>440</v>
      </c>
      <c r="E591" s="1" t="s">
        <v>611</v>
      </c>
    </row>
    <row r="592">
      <c r="A592" s="2">
        <v>45368.95425925926</v>
      </c>
      <c r="B592" s="1" t="s">
        <v>349</v>
      </c>
      <c r="C592" s="1" t="s">
        <v>6</v>
      </c>
      <c r="D592" s="1" t="s">
        <v>440</v>
      </c>
      <c r="E592" s="1" t="s">
        <v>612</v>
      </c>
    </row>
    <row r="593">
      <c r="A593" s="2">
        <v>45369.37541666667</v>
      </c>
      <c r="B593" s="1" t="s">
        <v>265</v>
      </c>
      <c r="C593" s="1" t="s">
        <v>231</v>
      </c>
      <c r="D593" s="1" t="s">
        <v>613</v>
      </c>
      <c r="E593" s="1" t="s">
        <v>561</v>
      </c>
    </row>
    <row r="594">
      <c r="A594" s="2">
        <v>45369.29274305556</v>
      </c>
      <c r="B594" s="1" t="s">
        <v>409</v>
      </c>
      <c r="C594" s="1" t="s">
        <v>410</v>
      </c>
      <c r="D594" s="1" t="s">
        <v>614</v>
      </c>
      <c r="E594" s="1" t="s">
        <v>615</v>
      </c>
    </row>
    <row r="595">
      <c r="A595" s="2">
        <v>45369.7256712963</v>
      </c>
      <c r="B595" s="1" t="s">
        <v>504</v>
      </c>
      <c r="C595" s="1" t="s">
        <v>505</v>
      </c>
      <c r="D595" s="3" t="str">
        <f>?utf-8?Q?10_inspiring_homes_you_have_to_see?=</f>
        <v>#ERROR!</v>
      </c>
      <c r="E595" s="1" t="s">
        <v>616</v>
      </c>
    </row>
    <row r="596">
      <c r="A596" s="2">
        <v>45369.563564814816</v>
      </c>
      <c r="B596" s="1" t="s">
        <v>476</v>
      </c>
      <c r="C596" s="1" t="s">
        <v>471</v>
      </c>
      <c r="D596" s="3" t="str">
        <f>?utf-8?B?WW914oCZcmUgb24gYSByb2xsISDwn4+GIExldOKAmXMgZ2V0IA==?=
 =?utf-8?B?eW91IG1vcmUgTWlsZXMu?=</f>
        <v>#ERROR!</v>
      </c>
      <c r="E596" s="1" t="s">
        <v>260</v>
      </c>
    </row>
    <row r="597">
      <c r="A597" s="2">
        <v>45370.2928125</v>
      </c>
      <c r="B597" s="1" t="s">
        <v>409</v>
      </c>
      <c r="C597" s="1" t="s">
        <v>410</v>
      </c>
      <c r="D597" s="1" t="s">
        <v>617</v>
      </c>
      <c r="E597" s="1" t="s">
        <v>618</v>
      </c>
    </row>
    <row r="598">
      <c r="A598" s="2">
        <v>45370.5278587963</v>
      </c>
      <c r="B598" s="1" t="s">
        <v>464</v>
      </c>
      <c r="C598" s="1" t="s">
        <v>423</v>
      </c>
      <c r="D598" s="3" t="str">
        <f>?utf-8?B?R2V0IG1vcmUgcmV3YXJkcyBmYXN0ZXIgd2l0aCBBSVIgTUlMRQ==?=
 =?utf-8?B?U8KuIFRyYXZlbCDinIjvuI8=?=</f>
        <v>#ERROR!</v>
      </c>
      <c r="E598" s="1" t="s">
        <v>279</v>
      </c>
    </row>
    <row r="599">
      <c r="A599" s="2">
        <v>45370.57585648148</v>
      </c>
      <c r="B599" s="1" t="s">
        <v>428</v>
      </c>
      <c r="C599" s="1" t="s">
        <v>421</v>
      </c>
      <c r="D599" s="1" t="s">
        <v>588</v>
      </c>
      <c r="E599" s="1" t="s">
        <v>260</v>
      </c>
    </row>
    <row r="600">
      <c r="A600" s="2">
        <v>45370.71513888889</v>
      </c>
      <c r="B600" s="1" t="s">
        <v>259</v>
      </c>
      <c r="C600" s="1" t="s">
        <v>6</v>
      </c>
      <c r="D600" s="3" t="str">
        <f>?utf-8?B?R2V0IG1vcmUgcmV3YXJkcyBmYXN0ZXIgd2l0aCBBSVIgTUlMRQ==?=
 =?utf-8?B?U8KuIFRyYXZlbCDinIjvuI8=?=</f>
        <v>#ERROR!</v>
      </c>
      <c r="E600" s="1" t="s">
        <v>279</v>
      </c>
    </row>
    <row r="601">
      <c r="A601" s="2">
        <v>45371.29275462963</v>
      </c>
      <c r="B601" s="1" t="s">
        <v>409</v>
      </c>
      <c r="C601" s="1" t="s">
        <v>410</v>
      </c>
      <c r="D601" s="3" t="str">
        <f>?UTF-8?B?VG9kYXnigJlzIGV4Y2x1c2l2ZSBvZmZlciBhd2FpdHMgeW91IA==?=
 =?UTF-8?B?8J+OiQ==?=</f>
        <v>#ERROR!</v>
      </c>
      <c r="E601" s="1" t="s">
        <v>619</v>
      </c>
    </row>
    <row r="602">
      <c r="A602" s="2">
        <v>45371.46297453704</v>
      </c>
      <c r="B602" s="1" t="s">
        <v>508</v>
      </c>
      <c r="C602" s="1" t="s">
        <v>423</v>
      </c>
      <c r="D602" s="3" t="str">
        <f>?utf-8?B?QWNjZWxlcmF0ZSB5b3VyIGVhcm5pbmdzIHdpdGggQk1PIA==?=
 =?utf-8?B?8J+Pju+4jw==?=</f>
        <v>#ERROR!</v>
      </c>
      <c r="E602" s="1" t="s">
        <v>279</v>
      </c>
    </row>
    <row r="603">
      <c r="A603" s="2">
        <v>45371.67108796296</v>
      </c>
      <c r="B603" s="1" t="s">
        <v>592</v>
      </c>
      <c r="C603" s="1" t="s">
        <v>392</v>
      </c>
      <c r="D603" s="3" t="str">
        <f>?utf-8?B?QWNjZWxlcmF0ZSB5b3VyIGVhcm5pbmdzIHdpdGggQk1PIA==?=
 =?utf-8?B?8J+Pju+4jw==?=</f>
        <v>#ERROR!</v>
      </c>
      <c r="E603" s="1" t="s">
        <v>279</v>
      </c>
    </row>
    <row r="604">
      <c r="A604" s="2">
        <v>45371.67186342592</v>
      </c>
      <c r="B604" s="1" t="s">
        <v>294</v>
      </c>
      <c r="C604" s="1" t="s">
        <v>6</v>
      </c>
      <c r="D604" s="3" t="str">
        <f>?utf-8?B?QWNjZWxlcmF0ZSB5b3VyIGVhcm5pbmdzIHdpdGggQk1PIA==?=
 =?utf-8?B?8J+Pju+4jw==?=</f>
        <v>#ERROR!</v>
      </c>
      <c r="E604" s="1" t="s">
        <v>279</v>
      </c>
    </row>
    <row r="605">
      <c r="A605" s="2">
        <v>45372.03386574074</v>
      </c>
      <c r="B605" s="1" t="s">
        <v>422</v>
      </c>
      <c r="C605" s="1" t="s">
        <v>423</v>
      </c>
      <c r="D605" s="1" t="s">
        <v>580</v>
      </c>
      <c r="E605" s="1" t="s">
        <v>260</v>
      </c>
    </row>
    <row r="606">
      <c r="A606" s="2">
        <v>45372.29274305556</v>
      </c>
      <c r="B606" s="1" t="s">
        <v>409</v>
      </c>
      <c r="C606" s="1" t="s">
        <v>410</v>
      </c>
      <c r="D606" s="3" t="str">
        <f>?UTF-8?B?R2FtZSBvbiEgRXhjbHVzaXZlIGRlYWwgaW5zaWRl4oCm?=</f>
        <v>#ERROR!</v>
      </c>
      <c r="E606" s="1" t="s">
        <v>620</v>
      </c>
    </row>
    <row r="607">
      <c r="A607" s="2">
        <v>45372.599965277775</v>
      </c>
      <c r="B607" s="1" t="s">
        <v>571</v>
      </c>
      <c r="C607" s="1" t="s">
        <v>6</v>
      </c>
      <c r="D607" s="1" t="s">
        <v>621</v>
      </c>
      <c r="E607" s="1" t="s">
        <v>481</v>
      </c>
    </row>
    <row r="608">
      <c r="A608" s="2">
        <v>45373.28565972222</v>
      </c>
      <c r="B608" s="1" t="s">
        <v>319</v>
      </c>
      <c r="C608" s="1" t="s">
        <v>14</v>
      </c>
      <c r="D608" s="1" t="s">
        <v>320</v>
      </c>
      <c r="E608" s="1" t="s">
        <v>333</v>
      </c>
    </row>
    <row r="609">
      <c r="A609" s="2">
        <v>45373.292719907404</v>
      </c>
      <c r="B609" s="1" t="s">
        <v>409</v>
      </c>
      <c r="C609" s="1" t="s">
        <v>410</v>
      </c>
      <c r="D609" s="3" t="str">
        <f>?UTF-8?B?VG9kYXnigJlzIERhaWx5IERlYWwgaXMgZXBpYyEg8J+Oig==?=</f>
        <v>#ERROR!</v>
      </c>
      <c r="E609" s="1" t="s">
        <v>622</v>
      </c>
    </row>
    <row r="610">
      <c r="A610" s="2">
        <v>45373.50671296296</v>
      </c>
      <c r="B610" s="1" t="s">
        <v>464</v>
      </c>
      <c r="C610" s="1" t="s">
        <v>423</v>
      </c>
      <c r="D610" s="1" t="s">
        <v>623</v>
      </c>
      <c r="E610" s="1" t="s">
        <v>279</v>
      </c>
    </row>
    <row r="611">
      <c r="A611" s="2">
        <v>45373.63141203704</v>
      </c>
      <c r="B611" s="1" t="s">
        <v>571</v>
      </c>
      <c r="C611" s="1" t="s">
        <v>6</v>
      </c>
      <c r="D611" s="1" t="s">
        <v>624</v>
      </c>
      <c r="E611" s="1" t="s">
        <v>481</v>
      </c>
    </row>
    <row r="612">
      <c r="A612" s="2">
        <v>45373.66905092593</v>
      </c>
      <c r="B612" s="1" t="s">
        <v>464</v>
      </c>
      <c r="C612" s="1" t="s">
        <v>423</v>
      </c>
      <c r="D612" s="1" t="s">
        <v>493</v>
      </c>
      <c r="E612" s="1" t="s">
        <v>279</v>
      </c>
    </row>
    <row r="613">
      <c r="A613" s="2">
        <v>45373.716840277775</v>
      </c>
      <c r="B613" s="1" t="s">
        <v>533</v>
      </c>
      <c r="C613" s="1" t="s">
        <v>526</v>
      </c>
      <c r="D613" s="3" t="str">
        <f>?utf-8?B?4pqhIFlvdXIgRkxBU0ggT0ZGRVJTIGFyZSBoZXJlISBEb24=?=
 =?utf-8?B?4oCZdCBtaXNzIG91dC4=?=</f>
        <v>#ERROR!</v>
      </c>
      <c r="E613" s="1" t="s">
        <v>279</v>
      </c>
    </row>
    <row r="614">
      <c r="A614" s="2">
        <v>45373.716840277775</v>
      </c>
      <c r="B614" s="1" t="s">
        <v>534</v>
      </c>
      <c r="C614" s="1" t="s">
        <v>522</v>
      </c>
      <c r="D614" s="3" t="str">
        <f>?utf-8?B?4pqhIFlvdXIgRkxBU0ggT0ZGRVJTIGFyZSBoZXJlISBEb24=?=
 =?utf-8?B?4oCZdCBtaXNzIG91dC4=?=</f>
        <v>#ERROR!</v>
      </c>
      <c r="E614" s="1" t="s">
        <v>279</v>
      </c>
    </row>
    <row r="615">
      <c r="A615" s="2">
        <v>45373.716840277775</v>
      </c>
      <c r="B615" s="1" t="s">
        <v>535</v>
      </c>
      <c r="C615" s="1" t="s">
        <v>524</v>
      </c>
      <c r="D615" s="3" t="str">
        <f>?utf-8?B?4pqhIFlvdXIgRkxBU0ggT0ZGRVJTIGFyZSBoZXJlISBEb24=?=
 =?utf-8?B?4oCZdCBtaXNzIG91dC4=?=</f>
        <v>#ERROR!</v>
      </c>
      <c r="E615" s="1" t="s">
        <v>279</v>
      </c>
    </row>
    <row r="616">
      <c r="A616" s="2">
        <v>45373.716875</v>
      </c>
      <c r="B616" s="1" t="s">
        <v>476</v>
      </c>
      <c r="C616" s="1" t="s">
        <v>471</v>
      </c>
      <c r="D616" s="3" t="str">
        <f>?utf-8?B?4pqhIFlvdXIgRkxBU0ggT0ZGRVJTIGFyZSBoZXJlISBEb24=?=
 =?utf-8?B?4oCZdCBtaXNzIG91dC4=?=</f>
        <v>#ERROR!</v>
      </c>
      <c r="E616" s="1" t="s">
        <v>279</v>
      </c>
    </row>
    <row r="617">
      <c r="A617" s="2">
        <v>45373.71690972222</v>
      </c>
      <c r="B617" s="1" t="s">
        <v>393</v>
      </c>
      <c r="C617" s="1" t="s">
        <v>392</v>
      </c>
      <c r="D617" s="3" t="str">
        <f>?utf-8?B?4pqhIFlvdXIgRkxBU0ggT0ZGRVJTIGFyZSBoZXJlISBEb24=?=
 =?utf-8?B?4oCZdCBtaXNzIG91dC4=?=</f>
        <v>#ERROR!</v>
      </c>
      <c r="E617" s="1" t="s">
        <v>279</v>
      </c>
    </row>
    <row r="618">
      <c r="A618" s="2">
        <v>45373.71701388889</v>
      </c>
      <c r="B618" s="1" t="s">
        <v>259</v>
      </c>
      <c r="C618" s="1" t="s">
        <v>6</v>
      </c>
      <c r="D618" s="3" t="str">
        <f>?utf-8?B?4pqhIFlvdXIgRkxBU0ggT0ZGRVJTIGFyZSBoZXJlISBEb24=?=
 =?utf-8?B?4oCZdCBtaXNzIG91dC4=?=</f>
        <v>#ERROR!</v>
      </c>
      <c r="E618" s="1" t="s">
        <v>279</v>
      </c>
    </row>
    <row r="619">
      <c r="A619" s="2">
        <v>45373.71875</v>
      </c>
      <c r="B619" s="1" t="s">
        <v>464</v>
      </c>
      <c r="C619" s="1" t="s">
        <v>423</v>
      </c>
      <c r="D619" s="3" t="str">
        <f>?utf-8?B?4pqhIFlvdXIgRkxBU0ggT0ZGRVJTIGFyZSBoZXJlISBEb24=?=
 =?utf-8?B?4oCZdCBtaXNzIG91dC4=?=</f>
        <v>#ERROR!</v>
      </c>
      <c r="E619" s="1" t="s">
        <v>279</v>
      </c>
    </row>
    <row r="620">
      <c r="A620" s="2">
        <v>45373.73138888889</v>
      </c>
      <c r="B620" s="1" t="s">
        <v>549</v>
      </c>
      <c r="C620" s="1" t="s">
        <v>528</v>
      </c>
      <c r="D620" s="3" t="str">
        <f>?utf-8?B?4pqhIFlvdXIgRkxBU0ggT0ZGRVJTIGFyZSBoZXJlISBEb24=?=
 =?utf-8?B?4oCZdCBtaXNzIG91dC4=?=</f>
        <v>#ERROR!</v>
      </c>
      <c r="E620" s="1" t="s">
        <v>279</v>
      </c>
    </row>
    <row r="621">
      <c r="A621" s="2">
        <v>45373.731400462966</v>
      </c>
      <c r="B621" s="1" t="s">
        <v>430</v>
      </c>
      <c r="C621" s="1" t="s">
        <v>421</v>
      </c>
      <c r="D621" s="3" t="str">
        <f>?utf-8?B?4pqhIFlvdXIgRkxBU0ggT0ZGRVJTIGFyZSBoZXJlISBEb24=?=
 =?utf-8?B?4oCZdCBtaXNzIG91dC4=?=</f>
        <v>#ERROR!</v>
      </c>
      <c r="E621" s="1" t="s">
        <v>279</v>
      </c>
    </row>
    <row r="622">
      <c r="A622" s="2">
        <v>45373.83980324074</v>
      </c>
      <c r="B622" s="1" t="s">
        <v>259</v>
      </c>
      <c r="C622" s="1" t="s">
        <v>6</v>
      </c>
      <c r="D622" s="1" t="s">
        <v>623</v>
      </c>
      <c r="E622" s="1" t="s">
        <v>279</v>
      </c>
    </row>
    <row r="623">
      <c r="A623" s="2">
        <v>45373.86077546296</v>
      </c>
      <c r="B623" s="1" t="s">
        <v>393</v>
      </c>
      <c r="C623" s="1" t="s">
        <v>392</v>
      </c>
      <c r="D623" s="1" t="s">
        <v>623</v>
      </c>
      <c r="E623" s="1" t="s">
        <v>279</v>
      </c>
    </row>
    <row r="624">
      <c r="A624" s="2">
        <v>45374.29258101852</v>
      </c>
      <c r="B624" s="1" t="s">
        <v>409</v>
      </c>
      <c r="C624" s="1" t="s">
        <v>410</v>
      </c>
      <c r="D624" s="3" t="str">
        <f>?UTF-8?B?VW5sb2NrIHlvdXIgY2FwdGl2YXRpbmcgRGFpbHkgRGVhbOKcqA==?=</f>
        <v>#ERROR!</v>
      </c>
      <c r="E624" s="1" t="s">
        <v>625</v>
      </c>
    </row>
    <row r="625">
      <c r="A625" s="2">
        <v>45375.292662037034</v>
      </c>
      <c r="B625" s="1" t="s">
        <v>409</v>
      </c>
      <c r="C625" s="1" t="s">
        <v>410</v>
      </c>
      <c r="D625" s="3" t="str">
        <f>?UTF-8?B?TGF1bmNoIGludG8gZnVuIHdpdGggdG9kYXnigJlzIGRlYWwhIA==?=
 =?UTF-8?B?8J+agA==?=</f>
        <v>#ERROR!</v>
      </c>
      <c r="E625" s="1" t="s">
        <v>626</v>
      </c>
    </row>
    <row r="626">
      <c r="A626" s="2">
        <v>45375.470243055555</v>
      </c>
      <c r="B626" s="1" t="s">
        <v>533</v>
      </c>
      <c r="C626" s="1" t="s">
        <v>526</v>
      </c>
      <c r="D626" s="1" t="s">
        <v>627</v>
      </c>
      <c r="E626" s="1" t="s">
        <v>260</v>
      </c>
    </row>
    <row r="627">
      <c r="A627" s="2">
        <v>45375.4702662037</v>
      </c>
      <c r="B627" s="1" t="s">
        <v>534</v>
      </c>
      <c r="C627" s="1" t="s">
        <v>522</v>
      </c>
      <c r="D627" s="1" t="s">
        <v>628</v>
      </c>
      <c r="E627" s="1" t="s">
        <v>260</v>
      </c>
    </row>
    <row r="628">
      <c r="A628" s="2">
        <v>45375.470289351855</v>
      </c>
      <c r="B628" s="1" t="s">
        <v>549</v>
      </c>
      <c r="C628" s="1" t="s">
        <v>528</v>
      </c>
      <c r="D628" s="1" t="s">
        <v>629</v>
      </c>
      <c r="E628" s="1" t="s">
        <v>260</v>
      </c>
    </row>
    <row r="629">
      <c r="A629" s="2">
        <v>45375.470289351855</v>
      </c>
      <c r="B629" s="1" t="s">
        <v>535</v>
      </c>
      <c r="C629" s="1" t="s">
        <v>524</v>
      </c>
      <c r="D629" s="1" t="s">
        <v>630</v>
      </c>
      <c r="E629" s="1" t="s">
        <v>260</v>
      </c>
    </row>
    <row r="630">
      <c r="A630" s="2">
        <v>45376.37541666667</v>
      </c>
      <c r="B630" s="1" t="s">
        <v>265</v>
      </c>
      <c r="C630" s="1" t="s">
        <v>231</v>
      </c>
      <c r="D630" s="1" t="s">
        <v>631</v>
      </c>
      <c r="E630" s="1" t="s">
        <v>561</v>
      </c>
    </row>
    <row r="631">
      <c r="A631" s="2">
        <v>45376.21152777778</v>
      </c>
      <c r="B631" s="1" t="s">
        <v>525</v>
      </c>
      <c r="C631" s="1" t="s">
        <v>526</v>
      </c>
      <c r="D631" s="3" t="str">
        <f>?windows-1252?Q?Don=92t_forget_to_verify_your_email_address_wit?=
 =?windows-1252?Q?h_AIR_MILES.?=</f>
        <v>#ERROR!</v>
      </c>
      <c r="E631" s="1" t="s">
        <v>260</v>
      </c>
    </row>
    <row r="632">
      <c r="A632" s="2">
        <v>45376.29284722222</v>
      </c>
      <c r="B632" s="1" t="s">
        <v>409</v>
      </c>
      <c r="C632" s="1" t="s">
        <v>410</v>
      </c>
      <c r="D632" s="3" t="str">
        <f>?UTF-8?B?SG9wIG9uIG92ZXIgZm9yIHNvbWUgdHJlYXRzLCBTdGFjZXkg?=
 =?UTF-8?B?8J+Qhw==?=</f>
        <v>#ERROR!</v>
      </c>
      <c r="E632" s="1" t="s">
        <v>632</v>
      </c>
    </row>
    <row r="633">
      <c r="A633" s="2">
        <v>45376.460486111115</v>
      </c>
      <c r="B633" s="1" t="s">
        <v>633</v>
      </c>
      <c r="C633" s="1" t="s">
        <v>421</v>
      </c>
      <c r="D633" s="1" t="s">
        <v>634</v>
      </c>
      <c r="E633" s="1" t="s">
        <v>279</v>
      </c>
    </row>
    <row r="634">
      <c r="A634" s="2">
        <v>45376.68298611111</v>
      </c>
      <c r="B634" s="1" t="s">
        <v>633</v>
      </c>
      <c r="C634" s="1" t="s">
        <v>421</v>
      </c>
      <c r="D634" s="3" t="str">
        <f>?utf-8?B?8J+OiSBQdW1wIFVwIFlvdXIgTWlsZXMgd2l0aCB1cCB0byAxMA==?=
 =?utf-8?B?MCBCb251cyBNaWxlcyDwn46J?=</f>
        <v>#ERROR!</v>
      </c>
      <c r="E634" s="1" t="s">
        <v>279</v>
      </c>
    </row>
    <row r="635">
      <c r="A635" s="2">
        <v>45376.68309027778</v>
      </c>
      <c r="B635" s="1" t="s">
        <v>508</v>
      </c>
      <c r="C635" s="1" t="s">
        <v>423</v>
      </c>
      <c r="D635" s="3" t="str">
        <f>?utf-8?B?8J+OiSBHZXQgdXAgdG8gMTAwIEJvbnVzIE1pbGVzIGF0IFNoZQ==?=
 =?utf-8?B?bGwg8J+OiQ==?=</f>
        <v>#ERROR!</v>
      </c>
      <c r="E635" s="1" t="s">
        <v>279</v>
      </c>
    </row>
    <row r="636">
      <c r="A636" s="2">
        <v>45376.68493055556</v>
      </c>
      <c r="B636" s="1" t="s">
        <v>294</v>
      </c>
      <c r="C636" s="1" t="s">
        <v>6</v>
      </c>
      <c r="D636" s="3" t="str">
        <f>?utf-8?B?8J+OiSBQdW1wIFVwIFlvdXIgTWlsZXMgd2l0aCB1cCB0byAxMA==?=
 =?utf-8?B?MCBCb251cyBNaWxlcyDwn46J?=</f>
        <v>#ERROR!</v>
      </c>
      <c r="E636" s="1" t="s">
        <v>279</v>
      </c>
    </row>
    <row r="637">
      <c r="A637" s="2">
        <v>45376.69619212963</v>
      </c>
      <c r="B637" s="1" t="s">
        <v>592</v>
      </c>
      <c r="C637" s="1" t="s">
        <v>392</v>
      </c>
      <c r="D637" s="3" t="str">
        <f>?utf-8?B?8J+OiSBQdW1wIFVwIFlvdXIgTWlsZXMgd2l0aCB1cCB0byAxMA==?=
 =?utf-8?B?MCBCb251cyBNaWxlcyDwn46J?=</f>
        <v>#ERROR!</v>
      </c>
      <c r="E637" s="1" t="s">
        <v>279</v>
      </c>
    </row>
    <row r="638">
      <c r="A638" s="2">
        <v>45376.93555555555</v>
      </c>
      <c r="B638" s="1" t="s">
        <v>329</v>
      </c>
      <c r="C638" s="1" t="s">
        <v>14</v>
      </c>
      <c r="D638" s="1" t="s">
        <v>330</v>
      </c>
      <c r="E638" s="1" t="s">
        <v>635</v>
      </c>
    </row>
    <row r="639">
      <c r="A639" s="2">
        <v>45376.93976851852</v>
      </c>
      <c r="B639" s="1" t="s">
        <v>329</v>
      </c>
      <c r="C639" s="1" t="s">
        <v>14</v>
      </c>
      <c r="D639" s="1" t="s">
        <v>330</v>
      </c>
      <c r="E639" s="1" t="s">
        <v>636</v>
      </c>
    </row>
    <row r="640">
      <c r="A640" s="2">
        <v>45377.29269675926</v>
      </c>
      <c r="B640" s="1" t="s">
        <v>409</v>
      </c>
      <c r="C640" s="1" t="s">
        <v>410</v>
      </c>
      <c r="D640" s="1" t="s">
        <v>637</v>
      </c>
      <c r="E640" s="1" t="s">
        <v>638</v>
      </c>
    </row>
    <row r="641">
      <c r="A641" s="2">
        <v>45377.57550925926</v>
      </c>
      <c r="B641" s="1" t="s">
        <v>639</v>
      </c>
      <c r="C641" s="1" t="s">
        <v>471</v>
      </c>
      <c r="D641" s="1" t="s">
        <v>588</v>
      </c>
      <c r="E641" s="1" t="s">
        <v>260</v>
      </c>
    </row>
    <row r="642">
      <c r="A642" s="2">
        <v>45378.29287037037</v>
      </c>
      <c r="B642" s="1" t="s">
        <v>409</v>
      </c>
      <c r="C642" s="1" t="s">
        <v>410</v>
      </c>
      <c r="D642" s="3" t="str">
        <f>?UTF-8?B?TGlnaHQgaXQgdXAgd2l0aCB0b2RheeKAmXMgZGVhbCDwn5Wv?=</f>
        <v>#ERROR!</v>
      </c>
      <c r="E642" s="1" t="s">
        <v>640</v>
      </c>
    </row>
    <row r="643">
      <c r="A643" s="2">
        <v>45378.78502314815</v>
      </c>
      <c r="B643" s="1" t="s">
        <v>523</v>
      </c>
      <c r="C643" s="1" t="s">
        <v>524</v>
      </c>
      <c r="D643" s="1" t="s">
        <v>416</v>
      </c>
      <c r="E643" s="1" t="s">
        <v>260</v>
      </c>
    </row>
    <row r="644">
      <c r="A644" s="2">
        <v>45378.785266203704</v>
      </c>
      <c r="B644" s="1" t="s">
        <v>478</v>
      </c>
      <c r="C644" s="1" t="s">
        <v>6</v>
      </c>
      <c r="D644" s="1" t="s">
        <v>417</v>
      </c>
      <c r="E644" s="1" t="s">
        <v>260</v>
      </c>
    </row>
    <row r="645">
      <c r="A645" s="2">
        <v>45378.78681712963</v>
      </c>
      <c r="B645" s="1" t="s">
        <v>521</v>
      </c>
      <c r="C645" s="1" t="s">
        <v>522</v>
      </c>
      <c r="D645" s="1" t="s">
        <v>416</v>
      </c>
      <c r="E645" s="1" t="s">
        <v>260</v>
      </c>
    </row>
    <row r="646">
      <c r="A646" s="2">
        <v>45378.78693287037</v>
      </c>
      <c r="B646" s="1" t="s">
        <v>478</v>
      </c>
      <c r="C646" s="1" t="s">
        <v>6</v>
      </c>
      <c r="D646" s="1" t="s">
        <v>417</v>
      </c>
      <c r="E646" s="1" t="s">
        <v>260</v>
      </c>
    </row>
    <row r="647">
      <c r="A647" s="2">
        <v>45378.79023148148</v>
      </c>
      <c r="B647" s="1" t="s">
        <v>422</v>
      </c>
      <c r="C647" s="1" t="s">
        <v>423</v>
      </c>
      <c r="D647" s="1" t="s">
        <v>580</v>
      </c>
      <c r="E647" s="1" t="s">
        <v>260</v>
      </c>
    </row>
    <row r="648">
      <c r="A648" s="2">
        <v>45379.29277777778</v>
      </c>
      <c r="B648" s="1" t="s">
        <v>409</v>
      </c>
      <c r="C648" s="1" t="s">
        <v>410</v>
      </c>
      <c r="D648" s="1" t="s">
        <v>641</v>
      </c>
      <c r="E648" s="1" t="s">
        <v>642</v>
      </c>
    </row>
    <row r="649">
      <c r="A649" s="2">
        <v>45379.66862268518</v>
      </c>
      <c r="B649" s="1" t="s">
        <v>259</v>
      </c>
      <c r="C649" s="1" t="s">
        <v>6</v>
      </c>
      <c r="D649" s="3" t="str">
        <f>?utf-8?B?SG9wIG9uIHRoZXNlIEZsYXNoIE9mZmVycyArIG1vcmUg8J+QsA==?=
 =?utf-8?B?8J+lmg==?=</f>
        <v>#ERROR!</v>
      </c>
      <c r="E649" s="1" t="s">
        <v>279</v>
      </c>
    </row>
    <row r="650">
      <c r="A650" s="2">
        <v>45379.66921296297</v>
      </c>
      <c r="B650" s="1" t="s">
        <v>393</v>
      </c>
      <c r="C650" s="1" t="s">
        <v>392</v>
      </c>
      <c r="D650" s="3" t="str">
        <f>?utf-8?B?SG9wIG9uIHRoZXNlIEZsYXNoIE9mZmVycyArIG1vcmUg8J+QsA==?=
 =?utf-8?B?8J+lmg==?=</f>
        <v>#ERROR!</v>
      </c>
      <c r="E650" s="1" t="s">
        <v>279</v>
      </c>
    </row>
    <row r="651">
      <c r="A651" s="2">
        <v>45379.66921296297</v>
      </c>
      <c r="B651" s="1" t="s">
        <v>533</v>
      </c>
      <c r="C651" s="1" t="s">
        <v>526</v>
      </c>
      <c r="D651" s="3" t="str">
        <f>?utf-8?B?SG9wIG9uIHRoZXNlIEZsYXNoIE9mZmVycyArIG1vcmUg8J+QsA==?=
 =?utf-8?B?8J+lmg==?=</f>
        <v>#ERROR!</v>
      </c>
      <c r="E651" s="1" t="s">
        <v>279</v>
      </c>
    </row>
    <row r="652">
      <c r="A652" s="2">
        <v>45379.66921296297</v>
      </c>
      <c r="B652" s="1" t="s">
        <v>476</v>
      </c>
      <c r="C652" s="1" t="s">
        <v>471</v>
      </c>
      <c r="D652" s="3" t="str">
        <f>?utf-8?B?SG9wIG9uIHRoZXNlIEZsYXNoIE9mZmVycyArIG1vcmUg8J+QsA==?=
 =?utf-8?B?8J+lmg==?=</f>
        <v>#ERROR!</v>
      </c>
      <c r="E652" s="1" t="s">
        <v>279</v>
      </c>
    </row>
    <row r="653">
      <c r="A653" s="2">
        <v>45379.66921296297</v>
      </c>
      <c r="B653" s="1" t="s">
        <v>534</v>
      </c>
      <c r="C653" s="1" t="s">
        <v>522</v>
      </c>
      <c r="D653" s="3" t="str">
        <f>?utf-8?B?SG9wIG9uIHRoZXNlIEZsYXNoIE9mZmVycyArIG1vcmUg8J+QsA==?=
 =?utf-8?B?8J+lmg==?=</f>
        <v>#ERROR!</v>
      </c>
      <c r="E653" s="1" t="s">
        <v>279</v>
      </c>
    </row>
    <row r="654">
      <c r="A654" s="2">
        <v>45379.66921296297</v>
      </c>
      <c r="B654" s="1" t="s">
        <v>535</v>
      </c>
      <c r="C654" s="1" t="s">
        <v>524</v>
      </c>
      <c r="D654" s="3" t="str">
        <f>?utf-8?B?SG9wIG9uIHRoZXNlIEZsYXNoIE9mZmVycyArIG1vcmUg8J+QsA==?=
 =?utf-8?B?8J+lmg==?=</f>
        <v>#ERROR!</v>
      </c>
      <c r="E654" s="1" t="s">
        <v>279</v>
      </c>
    </row>
    <row r="655">
      <c r="A655" s="2">
        <v>45379.67034722222</v>
      </c>
      <c r="B655" s="1" t="s">
        <v>464</v>
      </c>
      <c r="C655" s="1" t="s">
        <v>423</v>
      </c>
      <c r="D655" s="3" t="str">
        <f>?utf-8?B?SG9wIG9uIHRoZXNlIEZsYXNoIE9mZmVycyArIG1vcmUg8J+QsA==?=
 =?utf-8?B?8J+lmg==?=</f>
        <v>#ERROR!</v>
      </c>
      <c r="E655" s="1" t="s">
        <v>279</v>
      </c>
    </row>
    <row r="656">
      <c r="A656" s="2">
        <v>45379.68064814815</v>
      </c>
      <c r="B656" s="1" t="s">
        <v>549</v>
      </c>
      <c r="C656" s="1" t="s">
        <v>528</v>
      </c>
      <c r="D656" s="3" t="str">
        <f>?utf-8?B?SG9wIG9uIHRoZXNlIEZsYXNoIE9mZmVycyArIG1vcmUg8J+QsA==?=
 =?utf-8?B?8J+lmg==?=</f>
        <v>#ERROR!</v>
      </c>
      <c r="E656" s="1" t="s">
        <v>279</v>
      </c>
    </row>
    <row r="657">
      <c r="A657" s="2">
        <v>45379.680659722224</v>
      </c>
      <c r="B657" s="1" t="s">
        <v>430</v>
      </c>
      <c r="C657" s="1" t="s">
        <v>421</v>
      </c>
      <c r="D657" s="3" t="str">
        <f>?utf-8?B?SG9wIG9uIHRoZXNlIEZsYXNoIE9mZmVycyArIG1vcmUg8J+QsA==?=
 =?utf-8?B?8J+lmg==?=</f>
        <v>#ERROR!</v>
      </c>
      <c r="E657" s="1" t="s">
        <v>279</v>
      </c>
    </row>
    <row r="658">
      <c r="A658" s="2">
        <v>45381.502800925926</v>
      </c>
      <c r="B658" s="1" t="s">
        <v>296</v>
      </c>
      <c r="C658" s="1" t="s">
        <v>297</v>
      </c>
      <c r="D658" s="1" t="s">
        <v>643</v>
      </c>
      <c r="E658" s="1" t="s">
        <v>299</v>
      </c>
    </row>
    <row r="659">
      <c r="A659" s="2">
        <v>45383.50494212963</v>
      </c>
      <c r="B659" s="1" t="s">
        <v>325</v>
      </c>
      <c r="C659" s="1" t="s">
        <v>14</v>
      </c>
      <c r="D659" s="1" t="s">
        <v>515</v>
      </c>
      <c r="E659" s="1" t="s">
        <v>516</v>
      </c>
    </row>
    <row r="660">
      <c r="A660" s="2">
        <v>45384.46234953704</v>
      </c>
      <c r="B660" s="1" t="s">
        <v>587</v>
      </c>
      <c r="C660" s="1" t="s">
        <v>6</v>
      </c>
      <c r="D660" s="1" t="s">
        <v>644</v>
      </c>
      <c r="E660" s="1" t="s">
        <v>260</v>
      </c>
    </row>
    <row r="661">
      <c r="A661" s="2">
        <v>45384.57457175926</v>
      </c>
      <c r="B661" s="1" t="s">
        <v>294</v>
      </c>
      <c r="C661" s="1" t="s">
        <v>6</v>
      </c>
      <c r="D661" s="1" t="s">
        <v>322</v>
      </c>
      <c r="E661" s="1" t="s">
        <v>279</v>
      </c>
    </row>
    <row r="662">
      <c r="A662" s="2">
        <v>45387.716990740744</v>
      </c>
      <c r="B662" s="1" t="s">
        <v>259</v>
      </c>
      <c r="C662" s="1" t="s">
        <v>6</v>
      </c>
      <c r="D662" s="3" t="str">
        <f>?utf-8?B?U2F2ZSB1cCB0byA3wqIvTCBhdCBTaGVsbCArIG1vcmUg8J+RgA==?=
 =?utf-8?B?4pu9?=</f>
        <v>#ERROR!</v>
      </c>
      <c r="E662" s="1" t="s">
        <v>279</v>
      </c>
    </row>
    <row r="663">
      <c r="A663" s="2">
        <v>45389.94369212963</v>
      </c>
      <c r="B663" s="1" t="s">
        <v>329</v>
      </c>
      <c r="C663" s="1" t="s">
        <v>14</v>
      </c>
      <c r="D663" s="1" t="s">
        <v>398</v>
      </c>
      <c r="E663" s="1" t="s">
        <v>645</v>
      </c>
    </row>
    <row r="664">
      <c r="A664" s="2">
        <v>45390.17152777778</v>
      </c>
      <c r="B664" s="1" t="s">
        <v>406</v>
      </c>
      <c r="C664" s="1" t="s">
        <v>14</v>
      </c>
      <c r="D664" s="1" t="s">
        <v>407</v>
      </c>
      <c r="E664" s="1" t="s">
        <v>408</v>
      </c>
    </row>
    <row r="665">
      <c r="A665" s="2">
        <v>45391.139814814815</v>
      </c>
      <c r="B665" s="1" t="s">
        <v>315</v>
      </c>
      <c r="C665" s="1" t="s">
        <v>14</v>
      </c>
      <c r="D665" s="1" t="s">
        <v>316</v>
      </c>
      <c r="E665" s="1" t="s">
        <v>646</v>
      </c>
    </row>
    <row r="666">
      <c r="A666" s="2">
        <v>45391.53969907408</v>
      </c>
      <c r="B666" s="1" t="s">
        <v>647</v>
      </c>
      <c r="C666" s="1" t="s">
        <v>423</v>
      </c>
      <c r="D666" s="1" t="s">
        <v>435</v>
      </c>
      <c r="E666" s="1" t="s">
        <v>436</v>
      </c>
    </row>
    <row r="667">
      <c r="A667" s="2">
        <v>45392.40798611111</v>
      </c>
      <c r="B667" s="1" t="s">
        <v>508</v>
      </c>
      <c r="C667" s="1" t="s">
        <v>423</v>
      </c>
      <c r="D667" s="1" t="s">
        <v>295</v>
      </c>
      <c r="E667" s="1" t="s">
        <v>279</v>
      </c>
    </row>
    <row r="668">
      <c r="A668" s="2">
        <v>45392.52452546296</v>
      </c>
      <c r="B668" s="1" t="s">
        <v>294</v>
      </c>
      <c r="C668" s="1" t="s">
        <v>6</v>
      </c>
      <c r="D668" s="1" t="s">
        <v>295</v>
      </c>
      <c r="E668" s="1" t="s">
        <v>279</v>
      </c>
    </row>
    <row r="669">
      <c r="A669" s="2">
        <v>45392.730891203704</v>
      </c>
      <c r="B669" s="1" t="s">
        <v>319</v>
      </c>
      <c r="C669" s="1" t="s">
        <v>14</v>
      </c>
      <c r="D669" s="1" t="s">
        <v>517</v>
      </c>
      <c r="E669" s="1" t="s">
        <v>518</v>
      </c>
    </row>
    <row r="670">
      <c r="A670" s="2">
        <v>45392.730891203704</v>
      </c>
      <c r="B670" s="1" t="s">
        <v>325</v>
      </c>
      <c r="C670" s="1" t="s">
        <v>14</v>
      </c>
      <c r="D670" s="1" t="s">
        <v>515</v>
      </c>
      <c r="E670" s="1" t="s">
        <v>648</v>
      </c>
    </row>
    <row r="671">
      <c r="A671" s="2">
        <v>45393.04298611111</v>
      </c>
      <c r="B671" s="1" t="s">
        <v>319</v>
      </c>
      <c r="C671" s="1" t="s">
        <v>14</v>
      </c>
      <c r="D671" s="3" t="str">
        <f>?ISO-8859-1?Q?Your_Apple_ID_was_used_to_sign?=
 =?ISO-8859-1?Q?_in_to_iCloud_on_an=A0iPhone=A0XR.?=</f>
        <v>#ERROR!</v>
      </c>
      <c r="E671" s="1" t="s">
        <v>649</v>
      </c>
    </row>
    <row r="672">
      <c r="A672" s="2">
        <v>45393.70392361111</v>
      </c>
      <c r="B672" s="1" t="s">
        <v>329</v>
      </c>
      <c r="C672" s="1" t="s">
        <v>14</v>
      </c>
      <c r="D672" s="1" t="s">
        <v>650</v>
      </c>
      <c r="E672" s="1" t="s">
        <v>651</v>
      </c>
    </row>
    <row r="673">
      <c r="A673" s="2">
        <v>45393.72372685185</v>
      </c>
      <c r="B673" s="1" t="s">
        <v>325</v>
      </c>
      <c r="C673" s="1" t="s">
        <v>14</v>
      </c>
      <c r="D673" s="1" t="s">
        <v>652</v>
      </c>
      <c r="E673" s="1" t="s">
        <v>653</v>
      </c>
    </row>
    <row r="674">
      <c r="A674" s="2">
        <v>45393.756574074076</v>
      </c>
      <c r="B674" s="1" t="s">
        <v>329</v>
      </c>
      <c r="C674" s="1" t="s">
        <v>14</v>
      </c>
      <c r="D674" s="1" t="s">
        <v>330</v>
      </c>
      <c r="E674" s="1" t="s">
        <v>654</v>
      </c>
    </row>
    <row r="675">
      <c r="A675" s="2">
        <v>45394.139872685184</v>
      </c>
      <c r="B675" s="1" t="s">
        <v>329</v>
      </c>
      <c r="C675" s="1" t="s">
        <v>14</v>
      </c>
      <c r="D675" s="1" t="s">
        <v>330</v>
      </c>
      <c r="E675" s="1" t="s">
        <v>655</v>
      </c>
    </row>
    <row r="676">
      <c r="A676" s="2">
        <v>45394.69954861111</v>
      </c>
      <c r="B676" s="1" t="s">
        <v>259</v>
      </c>
      <c r="C676" s="1" t="s">
        <v>6</v>
      </c>
      <c r="D676" s="3" t="str">
        <f>?utf-8?B?4pqhWW91ciBGTEFTSCBPRkZFUlMgYXJlIGhlcmUhIPCfmqg=?=</f>
        <v>#ERROR!</v>
      </c>
      <c r="E676" s="1" t="s">
        <v>279</v>
      </c>
    </row>
    <row r="677">
      <c r="A677" s="2">
        <v>45395.92259259259</v>
      </c>
      <c r="B677" s="1" t="s">
        <v>319</v>
      </c>
      <c r="C677" s="1" t="s">
        <v>14</v>
      </c>
      <c r="D677" s="3" t="str">
        <f>?ISO-8859-1?Q?You_are_no_longer_participating_in_Family=A0Sharing.?=</f>
        <v>#ERROR!</v>
      </c>
      <c r="E677" s="1" t="s">
        <v>559</v>
      </c>
    </row>
    <row r="678">
      <c r="A678" s="2">
        <v>45397.718981481485</v>
      </c>
      <c r="B678" s="1" t="s">
        <v>508</v>
      </c>
      <c r="C678" s="1" t="s">
        <v>423</v>
      </c>
      <c r="D678" s="3" t="str">
        <f>?utf-8?B?8J+OiSBHZXQgdXAgdG8gMTAwIEJvbnVzIE1pbGVzIGF0IFNoZQ==?=
 =?utf-8?B?bGwg8J+OiQ==?=</f>
        <v>#ERROR!</v>
      </c>
      <c r="E678" s="1" t="s">
        <v>279</v>
      </c>
    </row>
    <row r="679">
      <c r="A679" s="2">
        <v>45397.96488425926</v>
      </c>
      <c r="B679" s="1" t="s">
        <v>633</v>
      </c>
      <c r="C679" s="1" t="s">
        <v>421</v>
      </c>
      <c r="D679" s="3" t="str">
        <f>?utf-8?B?8J+OiSBQdW1wIFVwIFlvdXIgTWlsZXMgd2l0aCB1cCB0byAxMA==?=
 =?utf-8?B?MCBCb251cyBNaWxlcyDwn46J?=</f>
        <v>#ERROR!</v>
      </c>
      <c r="E679" s="1" t="s">
        <v>279</v>
      </c>
    </row>
    <row r="680">
      <c r="A680" s="2">
        <v>45397.96527777778</v>
      </c>
      <c r="B680" s="1" t="s">
        <v>294</v>
      </c>
      <c r="C680" s="1" t="s">
        <v>6</v>
      </c>
      <c r="D680" s="3" t="str">
        <f>?utf-8?B?8J+OiSBQdW1wIFVwIFlvdXIgTWlsZXMgd2l0aCB1cCB0byAxMA==?=
 =?utf-8?B?MCBCb251cyBNaWxlcyDwn46J?=</f>
        <v>#ERROR!</v>
      </c>
      <c r="E680" s="1" t="s">
        <v>279</v>
      </c>
    </row>
    <row r="681">
      <c r="A681" s="2">
        <v>45398.46199074074</v>
      </c>
      <c r="B681" s="1" t="s">
        <v>639</v>
      </c>
      <c r="C681" s="1" t="s">
        <v>471</v>
      </c>
      <c r="D681" s="1" t="s">
        <v>644</v>
      </c>
      <c r="E681" s="1" t="s">
        <v>260</v>
      </c>
    </row>
    <row r="682">
      <c r="A682" s="2">
        <v>45398.679872685185</v>
      </c>
      <c r="B682" s="1" t="s">
        <v>319</v>
      </c>
      <c r="C682" s="1" t="s">
        <v>14</v>
      </c>
      <c r="D682" s="1" t="s">
        <v>517</v>
      </c>
      <c r="E682" s="1" t="s">
        <v>518</v>
      </c>
    </row>
    <row r="683">
      <c r="A683" s="2">
        <v>45398.679872685185</v>
      </c>
      <c r="B683" s="1" t="s">
        <v>325</v>
      </c>
      <c r="C683" s="1" t="s">
        <v>14</v>
      </c>
      <c r="D683" s="1" t="s">
        <v>515</v>
      </c>
      <c r="E683" s="1" t="s">
        <v>648</v>
      </c>
    </row>
    <row r="684">
      <c r="A684" s="2">
        <v>45399.64791666667</v>
      </c>
      <c r="B684" s="1" t="s">
        <v>538</v>
      </c>
      <c r="C684" s="1" t="s">
        <v>14</v>
      </c>
      <c r="D684" s="1" t="s">
        <v>656</v>
      </c>
      <c r="E684" s="1" t="s">
        <v>657</v>
      </c>
    </row>
    <row r="685">
      <c r="A685" s="2">
        <v>45399.756157407406</v>
      </c>
      <c r="B685" s="1" t="s">
        <v>478</v>
      </c>
      <c r="C685" s="1" t="s">
        <v>6</v>
      </c>
      <c r="D685" s="1" t="s">
        <v>417</v>
      </c>
      <c r="E685" s="1" t="s">
        <v>260</v>
      </c>
    </row>
    <row r="686">
      <c r="A686" s="2">
        <v>45400.41107638889</v>
      </c>
      <c r="B686" s="1" t="s">
        <v>319</v>
      </c>
      <c r="C686" s="1" t="s">
        <v>14</v>
      </c>
      <c r="D686" s="3" t="str">
        <f>?ISO-8859-1?Q?You_are_no_longer_participating_in_Family=A0Sharing.?=</f>
        <v>#ERROR!</v>
      </c>
      <c r="E686" s="1" t="s">
        <v>559</v>
      </c>
    </row>
    <row r="687">
      <c r="A687" s="2">
        <v>45400.495844907404</v>
      </c>
      <c r="B687" s="1" t="s">
        <v>658</v>
      </c>
      <c r="C687" s="1" t="s">
        <v>14</v>
      </c>
      <c r="D687" s="3" t="str">
        <f>?utf-8?Q?=F0=9F=A4=A9_Perfect_lighting_for_every_space?=</f>
        <v>#ERROR!</v>
      </c>
      <c r="E687" s="1" t="s">
        <v>659</v>
      </c>
    </row>
    <row r="688">
      <c r="A688" s="2">
        <v>45400.61951388889</v>
      </c>
      <c r="B688" s="1" t="s">
        <v>325</v>
      </c>
      <c r="C688" s="1" t="s">
        <v>14</v>
      </c>
      <c r="D688" s="1" t="s">
        <v>515</v>
      </c>
      <c r="E688" s="1" t="s">
        <v>516</v>
      </c>
    </row>
    <row r="689">
      <c r="A689" s="2">
        <v>45400.507199074076</v>
      </c>
      <c r="B689" s="1" t="s">
        <v>294</v>
      </c>
      <c r="C689" s="1" t="s">
        <v>6</v>
      </c>
      <c r="D689" s="3" t="str">
        <f>?utf-8?B?R2V0IDMwIEJvbnVzIE1pbGVzIHRoZSBlYXN5IHdheSDwn46J?=</f>
        <v>#ERROR!</v>
      </c>
      <c r="E689" s="1" t="s">
        <v>279</v>
      </c>
    </row>
    <row r="690">
      <c r="A690" s="2">
        <v>45400.800833333335</v>
      </c>
      <c r="B690" s="1" t="s">
        <v>319</v>
      </c>
      <c r="C690" s="1" t="s">
        <v>14</v>
      </c>
      <c r="D690" s="1" t="s">
        <v>517</v>
      </c>
      <c r="E690" s="1" t="s">
        <v>518</v>
      </c>
    </row>
    <row r="691">
      <c r="A691" s="2">
        <v>45401.0708912037</v>
      </c>
      <c r="B691" s="1" t="s">
        <v>329</v>
      </c>
      <c r="C691" s="1" t="s">
        <v>14</v>
      </c>
      <c r="D691" s="1" t="s">
        <v>330</v>
      </c>
      <c r="E691" s="1" t="s">
        <v>660</v>
      </c>
    </row>
    <row r="692">
      <c r="A692" s="2">
        <v>45401.585497685184</v>
      </c>
      <c r="B692" s="1" t="s">
        <v>259</v>
      </c>
      <c r="C692" s="1" t="s">
        <v>6</v>
      </c>
      <c r="D692" s="3" t="str">
        <f>?utf-8?B?8J+Mt1RoZXNlIG9mZmVycyBhcmUgaW4gYmxvb20g8J+Mtw==?=</f>
        <v>#ERROR!</v>
      </c>
      <c r="E692" s="1" t="s">
        <v>279</v>
      </c>
    </row>
    <row r="693">
      <c r="A693" s="2">
        <v>45401.6690625</v>
      </c>
      <c r="B693" s="1" t="s">
        <v>430</v>
      </c>
      <c r="C693" s="1" t="s">
        <v>421</v>
      </c>
      <c r="D693" s="1" t="s">
        <v>493</v>
      </c>
      <c r="E693" s="1" t="s">
        <v>279</v>
      </c>
    </row>
    <row r="694">
      <c r="A694" s="2">
        <v>45401.71601851852</v>
      </c>
      <c r="B694" s="1" t="s">
        <v>633</v>
      </c>
      <c r="C694" s="1" t="s">
        <v>421</v>
      </c>
      <c r="D694" s="1" t="s">
        <v>495</v>
      </c>
      <c r="E694" s="1" t="s">
        <v>279</v>
      </c>
    </row>
    <row r="695">
      <c r="A695" s="2">
        <v>45401.717511574076</v>
      </c>
      <c r="B695" s="1" t="s">
        <v>294</v>
      </c>
      <c r="C695" s="1" t="s">
        <v>6</v>
      </c>
      <c r="D695" s="1" t="s">
        <v>495</v>
      </c>
      <c r="E695" s="1" t="s">
        <v>279</v>
      </c>
    </row>
    <row r="696">
      <c r="A696" s="2">
        <v>45404.00717592592</v>
      </c>
      <c r="B696" s="1" t="s">
        <v>329</v>
      </c>
      <c r="C696" s="1" t="s">
        <v>14</v>
      </c>
      <c r="D696" s="1" t="s">
        <v>661</v>
      </c>
      <c r="E696" s="1" t="s">
        <v>662</v>
      </c>
    </row>
    <row r="697">
      <c r="A697" s="2">
        <v>45404.08694444445</v>
      </c>
      <c r="B697" s="1" t="s">
        <v>319</v>
      </c>
      <c r="C697" s="1" t="s">
        <v>14</v>
      </c>
      <c r="D697" s="1" t="s">
        <v>320</v>
      </c>
      <c r="E697" s="1" t="s">
        <v>333</v>
      </c>
    </row>
    <row r="698">
      <c r="A698" s="2">
        <v>45404.089270833334</v>
      </c>
      <c r="B698" s="1" t="s">
        <v>319</v>
      </c>
      <c r="C698" s="1" t="s">
        <v>14</v>
      </c>
      <c r="D698" s="1" t="s">
        <v>320</v>
      </c>
      <c r="E698" s="1" t="s">
        <v>333</v>
      </c>
    </row>
    <row r="699">
      <c r="A699" s="2">
        <v>45404.32844907408</v>
      </c>
      <c r="B699" s="1" t="s">
        <v>329</v>
      </c>
      <c r="C699" s="1" t="s">
        <v>14</v>
      </c>
      <c r="D699" s="3" t="str">
        <f>?UTF-8?Q?Your_receipt_from_Apple_/_Votre_re=C3=A7u_d=E2=80=99Apple?=</f>
        <v>#ERROR!</v>
      </c>
      <c r="E699" s="1" t="s">
        <v>663</v>
      </c>
    </row>
    <row r="700">
      <c r="A700" s="2">
        <v>45405.57488425926</v>
      </c>
      <c r="B700" s="1" t="s">
        <v>259</v>
      </c>
      <c r="C700" s="1" t="s">
        <v>6</v>
      </c>
      <c r="D700" s="3" t="str">
        <f>?utf-8?B?RXVyb3BlIGlzIGNhbGxpbmcuIEdldCBkZWFscyBvbiB0cmF2ZQ==?=
 =?utf-8?B?bCDinIjvuI8=?=</f>
        <v>#ERROR!</v>
      </c>
      <c r="E700" s="1" t="s">
        <v>279</v>
      </c>
    </row>
    <row r="701">
      <c r="A701" s="2">
        <v>45406.64813657408</v>
      </c>
      <c r="B701" s="1" t="s">
        <v>315</v>
      </c>
      <c r="C701" s="1" t="s">
        <v>14</v>
      </c>
      <c r="D701" s="1" t="s">
        <v>316</v>
      </c>
      <c r="E701" s="1" t="s">
        <v>664</v>
      </c>
    </row>
    <row r="702">
      <c r="A702" s="2">
        <v>45407.183587962965</v>
      </c>
      <c r="B702" s="1" t="s">
        <v>325</v>
      </c>
      <c r="C702" s="1" t="s">
        <v>14</v>
      </c>
      <c r="D702" s="1" t="s">
        <v>665</v>
      </c>
      <c r="E702" s="1" t="s">
        <v>666</v>
      </c>
    </row>
    <row r="703">
      <c r="A703" s="2">
        <v>45407.607094907406</v>
      </c>
      <c r="B703" s="1" t="s">
        <v>329</v>
      </c>
      <c r="C703" s="1" t="s">
        <v>14</v>
      </c>
      <c r="D703" s="3" t="str">
        <f>?ISO-8859-1?Q?Your_recent_purchase_with_your_Apple=A0ID?=</f>
        <v>#ERROR!</v>
      </c>
      <c r="E703" s="1" t="s">
        <v>667</v>
      </c>
    </row>
    <row r="704">
      <c r="A704" s="2">
        <v>45408.50898148148</v>
      </c>
      <c r="B704" s="1" t="s">
        <v>259</v>
      </c>
      <c r="C704" s="1" t="s">
        <v>6</v>
      </c>
      <c r="D704" s="3" t="str">
        <f>?utf-8?B?8J+al+KaoVNIRUxMIEZMQVNIIE9GRkVSOiBBcHJpbCAzMCBvbg==?=
 =?utf-8?B?bHkhIFNhdmUgMTXCoiBwZXIgbGl0cmUuIE9wdCBpbiBub3c=?=</f>
        <v>#ERROR!</v>
      </c>
      <c r="E704" s="1" t="s">
        <v>279</v>
      </c>
    </row>
    <row r="705">
      <c r="A705" s="2">
        <v>45408.76430555555</v>
      </c>
      <c r="B705" s="1" t="s">
        <v>259</v>
      </c>
      <c r="C705" s="1" t="s">
        <v>6</v>
      </c>
      <c r="D705" s="3" t="str">
        <f>?utf-8?B?RWFybiBtb3JlIE1pbGVzIG9uIGdyb2NlcmllcyB3aGVyZSB5bw==?=
 =?utf-8?B?dSBhbHJlYWR5IHNob3AhIPCfjonwn5uS?=</f>
        <v>#ERROR!</v>
      </c>
      <c r="E705" s="1" t="s">
        <v>279</v>
      </c>
    </row>
    <row r="706">
      <c r="A706" s="2">
        <v>45411.0490162037</v>
      </c>
      <c r="B706" s="1" t="s">
        <v>325</v>
      </c>
      <c r="C706" s="1" t="s">
        <v>14</v>
      </c>
      <c r="D706" s="1" t="s">
        <v>668</v>
      </c>
      <c r="E706" s="1" t="s">
        <v>669</v>
      </c>
    </row>
    <row r="707">
      <c r="A707" s="2">
        <v>45411.0874537037</v>
      </c>
      <c r="B707" s="1" t="s">
        <v>329</v>
      </c>
      <c r="C707" s="1" t="s">
        <v>14</v>
      </c>
      <c r="D707" s="1" t="s">
        <v>330</v>
      </c>
      <c r="E707" s="1" t="s">
        <v>670</v>
      </c>
    </row>
    <row r="708">
      <c r="A708" s="2">
        <v>45411.58925925926</v>
      </c>
      <c r="B708" s="1" t="s">
        <v>671</v>
      </c>
      <c r="C708" s="1" t="s">
        <v>672</v>
      </c>
      <c r="D708" s="1" t="s">
        <v>673</v>
      </c>
      <c r="E708" s="1" t="s">
        <v>674</v>
      </c>
    </row>
    <row r="709">
      <c r="A709" s="2">
        <v>45412.56146990741</v>
      </c>
      <c r="B709" s="1" t="s">
        <v>675</v>
      </c>
      <c r="C709" s="1" t="s">
        <v>14</v>
      </c>
      <c r="D709" s="3" t="str">
        <f>?UTF-8?Q?Don=E2=80=99t_miss_out:_Save_20%_on_150GB_with_TELUS?=</f>
        <v>#ERROR!</v>
      </c>
      <c r="E709" s="1" t="s">
        <v>676</v>
      </c>
    </row>
    <row r="710">
      <c r="A710" s="2">
        <v>45413.46189814815</v>
      </c>
      <c r="B710" s="1" t="s">
        <v>508</v>
      </c>
      <c r="C710" s="1" t="s">
        <v>423</v>
      </c>
      <c r="D710" s="3" t="str">
        <f>?utf-8?B?R2V0IDc1IEJvbnVzIE1pbGVzIG9uIHByb2plY3RzIGJpZyBhbg==?=
 =?utf-8?B?ZCBzbWFsbCDvuI8=?=</f>
        <v>#ERROR!</v>
      </c>
      <c r="E710" s="1" t="s">
        <v>279</v>
      </c>
    </row>
    <row r="711">
      <c r="A711" s="2">
        <v>45413.5681712963</v>
      </c>
      <c r="B711" s="1" t="s">
        <v>671</v>
      </c>
      <c r="C711" s="1" t="s">
        <v>672</v>
      </c>
      <c r="D711" s="1" t="s">
        <v>677</v>
      </c>
      <c r="E711" s="1" t="s">
        <v>674</v>
      </c>
    </row>
    <row r="712">
      <c r="A712" s="2">
        <v>45413.578726851854</v>
      </c>
      <c r="B712" s="1" t="s">
        <v>671</v>
      </c>
      <c r="C712" s="1" t="s">
        <v>672</v>
      </c>
      <c r="D712" s="1" t="s">
        <v>677</v>
      </c>
      <c r="E712" s="1" t="s">
        <v>674</v>
      </c>
    </row>
    <row r="713">
      <c r="A713" s="2">
        <v>45413.756053240744</v>
      </c>
      <c r="B713" s="1" t="s">
        <v>633</v>
      </c>
      <c r="C713" s="1" t="s">
        <v>421</v>
      </c>
      <c r="D713" s="3" t="str">
        <f>?windows-1252?Q?Here=92s_your_exclusive_bonus_offer_from_Irving!?=</f>
        <v>#ERROR!</v>
      </c>
      <c r="E713" s="1" t="s">
        <v>279</v>
      </c>
    </row>
    <row r="714">
      <c r="A714" s="2">
        <v>45413.79387731481</v>
      </c>
      <c r="B714" s="1" t="s">
        <v>633</v>
      </c>
      <c r="C714" s="1" t="s">
        <v>421</v>
      </c>
      <c r="D714" s="3" t="str">
        <f>?utf-8?B?R2V0IFJld2FyZCBNaWxlcyAxMHggZmFzdGVyIHdpdGggQk1P?=
 =?utf-8?B?8J+Ssw==?=</f>
        <v>#ERROR!</v>
      </c>
      <c r="E714" s="1" t="s">
        <v>279</v>
      </c>
    </row>
    <row r="715">
      <c r="A715" s="2">
        <v>45414.4865625</v>
      </c>
      <c r="B715" s="1" t="s">
        <v>294</v>
      </c>
      <c r="C715" s="1" t="s">
        <v>6</v>
      </c>
      <c r="D715" s="1" t="s">
        <v>678</v>
      </c>
      <c r="E715" s="1" t="s">
        <v>279</v>
      </c>
    </row>
    <row r="716">
      <c r="A716" s="2">
        <v>45414.6</v>
      </c>
      <c r="B716" s="1" t="s">
        <v>294</v>
      </c>
      <c r="C716" s="1" t="s">
        <v>6</v>
      </c>
      <c r="D716" s="1" t="s">
        <v>322</v>
      </c>
      <c r="E716" s="1" t="s">
        <v>279</v>
      </c>
    </row>
    <row r="717">
      <c r="A717" s="2">
        <v>45414.60039351852</v>
      </c>
      <c r="B717" s="1" t="s">
        <v>633</v>
      </c>
      <c r="C717" s="1" t="s">
        <v>421</v>
      </c>
      <c r="D717" s="1" t="s">
        <v>322</v>
      </c>
      <c r="E717" s="1" t="s">
        <v>279</v>
      </c>
    </row>
    <row r="718">
      <c r="A718" s="2">
        <v>45415.70710648148</v>
      </c>
      <c r="B718" s="1" t="s">
        <v>259</v>
      </c>
      <c r="C718" s="1" t="s">
        <v>6</v>
      </c>
      <c r="D718" s="3" t="str">
        <f>?utf-8?B?TWFrZSBtb20ncyBkYXk6IPCfm43vuI8gN3ggTWlsZXMgdGhybw==?=
 =?utf-8?B?dWdoIGFpcm1pbGVzc2hvcHMuY2EgKyDimqEgU3ByaW5nIFJld2FyZCBGbA==?=
 =?utf-8?B?YXNoIE9mZmVy?=</f>
        <v>#ERROR!</v>
      </c>
      <c r="E718" s="1" t="s">
        <v>279</v>
      </c>
    </row>
    <row r="719">
      <c r="A719" s="2">
        <v>45418.335856481484</v>
      </c>
      <c r="B719" s="1" t="s">
        <v>671</v>
      </c>
      <c r="C719" s="1" t="s">
        <v>672</v>
      </c>
      <c r="D719" s="1" t="s">
        <v>679</v>
      </c>
      <c r="E719" s="1" t="s">
        <v>674</v>
      </c>
    </row>
    <row r="720">
      <c r="A720" s="2">
        <v>45419.05637731482</v>
      </c>
      <c r="B720" s="1" t="s">
        <v>325</v>
      </c>
      <c r="C720" s="1" t="s">
        <v>14</v>
      </c>
      <c r="D720" s="1" t="s">
        <v>680</v>
      </c>
      <c r="E720" s="1" t="s">
        <v>681</v>
      </c>
    </row>
    <row r="721">
      <c r="A721" s="2">
        <v>45419.56017361111</v>
      </c>
      <c r="B721" s="1" t="s">
        <v>329</v>
      </c>
      <c r="C721" s="1" t="s">
        <v>14</v>
      </c>
      <c r="D721" s="1" t="s">
        <v>330</v>
      </c>
      <c r="E721" s="1" t="s">
        <v>682</v>
      </c>
    </row>
    <row r="722">
      <c r="A722" s="2">
        <v>45420.025185185186</v>
      </c>
      <c r="B722" s="1" t="s">
        <v>420</v>
      </c>
      <c r="C722" s="1" t="s">
        <v>421</v>
      </c>
      <c r="D722" s="1" t="s">
        <v>416</v>
      </c>
      <c r="E722" s="1" t="s">
        <v>260</v>
      </c>
    </row>
    <row r="723">
      <c r="A723" s="2">
        <v>45420.025358796294</v>
      </c>
      <c r="B723" s="1" t="s">
        <v>420</v>
      </c>
      <c r="C723" s="1" t="s">
        <v>421</v>
      </c>
      <c r="D723" s="1" t="s">
        <v>417</v>
      </c>
      <c r="E723" s="1" t="s">
        <v>260</v>
      </c>
    </row>
    <row r="724">
      <c r="A724" s="2">
        <v>45420.560844907406</v>
      </c>
      <c r="B724" s="1" t="s">
        <v>329</v>
      </c>
      <c r="C724" s="1" t="s">
        <v>14</v>
      </c>
      <c r="D724" s="1" t="s">
        <v>383</v>
      </c>
      <c r="E724" s="1" t="s">
        <v>683</v>
      </c>
    </row>
    <row r="725">
      <c r="A725" s="2">
        <v>45420.869409722225</v>
      </c>
      <c r="B725" s="1" t="s">
        <v>319</v>
      </c>
      <c r="C725" s="1" t="s">
        <v>14</v>
      </c>
      <c r="D725" s="3" t="str">
        <f>?ISO-8859-1?Q?You_are_no_longer_participating_in_Family=A0Sharing.?=</f>
        <v>#ERROR!</v>
      </c>
      <c r="E725" s="1" t="s">
        <v>559</v>
      </c>
    </row>
    <row r="726">
      <c r="A726" s="2">
        <v>45420.90829861111</v>
      </c>
      <c r="B726" s="1" t="s">
        <v>422</v>
      </c>
      <c r="C726" s="1" t="s">
        <v>423</v>
      </c>
      <c r="D726" s="1" t="s">
        <v>416</v>
      </c>
      <c r="E726" s="1" t="s">
        <v>260</v>
      </c>
    </row>
    <row r="727">
      <c r="A727" s="2">
        <v>45420.90834490741</v>
      </c>
      <c r="B727" s="1" t="s">
        <v>422</v>
      </c>
      <c r="C727" s="1" t="s">
        <v>423</v>
      </c>
      <c r="D727" s="1" t="s">
        <v>417</v>
      </c>
      <c r="E727" s="1" t="s">
        <v>260</v>
      </c>
    </row>
    <row r="728">
      <c r="A728" s="2">
        <v>45421.6081712963</v>
      </c>
      <c r="B728" s="1" t="s">
        <v>319</v>
      </c>
      <c r="C728" s="1" t="s">
        <v>14</v>
      </c>
      <c r="D728" s="1" t="s">
        <v>517</v>
      </c>
      <c r="E728" s="1" t="s">
        <v>518</v>
      </c>
    </row>
    <row r="729">
      <c r="A729" s="2">
        <v>45421.61680555555</v>
      </c>
      <c r="B729" s="1" t="s">
        <v>315</v>
      </c>
      <c r="C729" s="1" t="s">
        <v>14</v>
      </c>
      <c r="D729" s="1" t="s">
        <v>316</v>
      </c>
      <c r="E729" s="1" t="s">
        <v>684</v>
      </c>
    </row>
    <row r="730">
      <c r="A730" s="2">
        <v>45421.752488425926</v>
      </c>
      <c r="B730" s="1" t="s">
        <v>319</v>
      </c>
      <c r="C730" s="1" t="s">
        <v>14</v>
      </c>
      <c r="D730" s="3" t="str">
        <f>?ISO-8859-1?Q?You_are_no_longer_participating_in_Family=A0Sharing.?=</f>
        <v>#ERROR!</v>
      </c>
      <c r="E730" s="1" t="s">
        <v>559</v>
      </c>
    </row>
    <row r="731">
      <c r="A731" s="2">
        <v>45422.56108796296</v>
      </c>
      <c r="B731" s="1" t="s">
        <v>329</v>
      </c>
      <c r="C731" s="1" t="s">
        <v>14</v>
      </c>
      <c r="D731" s="1" t="s">
        <v>398</v>
      </c>
      <c r="E731" s="1" t="s">
        <v>685</v>
      </c>
    </row>
    <row r="732">
      <c r="A732" s="2">
        <v>45422.69972222222</v>
      </c>
      <c r="B732" s="1" t="s">
        <v>259</v>
      </c>
      <c r="C732" s="1" t="s">
        <v>6</v>
      </c>
      <c r="D732" s="3" t="str">
        <f>?utf-8?B?8J+aqFRoaXMgd2VlaydzIEZMQVNIIE9GRkVSOiBHZXQgOTUgQg==?=
 =?utf-8?B?b251cyBNaWxlcyB3aXRoIFNoZWxsIFYtUG93ZXI=?=</f>
        <v>#ERROR!</v>
      </c>
      <c r="E732" s="1" t="s">
        <v>279</v>
      </c>
    </row>
    <row r="733">
      <c r="A733" s="2">
        <v>45423.47002314815</v>
      </c>
      <c r="B733" s="1" t="s">
        <v>525</v>
      </c>
      <c r="C733" s="1" t="s">
        <v>526</v>
      </c>
      <c r="D733" s="1" t="s">
        <v>416</v>
      </c>
      <c r="E733" s="1" t="s">
        <v>260</v>
      </c>
    </row>
    <row r="734">
      <c r="A734" s="2">
        <v>45423.470729166664</v>
      </c>
      <c r="B734" s="1" t="s">
        <v>525</v>
      </c>
      <c r="C734" s="1" t="s">
        <v>526</v>
      </c>
      <c r="D734" s="1" t="s">
        <v>417</v>
      </c>
      <c r="E734" s="1" t="s">
        <v>260</v>
      </c>
    </row>
    <row r="735">
      <c r="A735" s="2">
        <v>45423.69813657407</v>
      </c>
      <c r="B735" s="1" t="s">
        <v>686</v>
      </c>
      <c r="C735" s="1" t="s">
        <v>14</v>
      </c>
      <c r="D735" s="1" t="s">
        <v>687</v>
      </c>
      <c r="E735" s="1" t="s">
        <v>688</v>
      </c>
    </row>
    <row r="736">
      <c r="A736" s="2">
        <v>45425.20854166667</v>
      </c>
      <c r="B736" s="1" t="s">
        <v>689</v>
      </c>
      <c r="C736" s="1" t="s">
        <v>14</v>
      </c>
      <c r="D736" s="1" t="s">
        <v>690</v>
      </c>
      <c r="E736" s="1" t="s">
        <v>691</v>
      </c>
    </row>
    <row r="737">
      <c r="A737" s="2">
        <v>45425.562569444446</v>
      </c>
      <c r="B737" s="1" t="s">
        <v>329</v>
      </c>
      <c r="C737" s="1" t="s">
        <v>14</v>
      </c>
      <c r="D737" s="1" t="s">
        <v>383</v>
      </c>
      <c r="E737" s="1" t="s">
        <v>692</v>
      </c>
    </row>
    <row r="738">
      <c r="A738" s="2">
        <v>45425.56261574074</v>
      </c>
      <c r="B738" s="1" t="s">
        <v>329</v>
      </c>
      <c r="C738" s="1" t="s">
        <v>14</v>
      </c>
      <c r="D738" s="1" t="s">
        <v>383</v>
      </c>
      <c r="E738" s="1" t="s">
        <v>693</v>
      </c>
    </row>
    <row r="739">
      <c r="A739" s="2">
        <v>45425.75056712963</v>
      </c>
      <c r="B739" s="1" t="s">
        <v>329</v>
      </c>
      <c r="C739" s="1" t="s">
        <v>14</v>
      </c>
      <c r="D739" s="1" t="s">
        <v>330</v>
      </c>
      <c r="E739" s="1" t="s">
        <v>694</v>
      </c>
    </row>
    <row r="740">
      <c r="A740" s="2">
        <v>45425.66862268518</v>
      </c>
      <c r="B740" s="1" t="s">
        <v>533</v>
      </c>
      <c r="C740" s="1" t="s">
        <v>526</v>
      </c>
      <c r="D740" s="1" t="s">
        <v>493</v>
      </c>
      <c r="E740" s="1" t="s">
        <v>279</v>
      </c>
    </row>
    <row r="741">
      <c r="A741" s="2">
        <v>45425.750127314815</v>
      </c>
      <c r="B741" s="1" t="s">
        <v>422</v>
      </c>
      <c r="C741" s="1" t="s">
        <v>423</v>
      </c>
      <c r="D741" s="1" t="s">
        <v>580</v>
      </c>
      <c r="E741" s="1" t="s">
        <v>260</v>
      </c>
    </row>
    <row r="742">
      <c r="A742" s="2">
        <v>45427.52556712963</v>
      </c>
      <c r="B742" s="1" t="s">
        <v>294</v>
      </c>
      <c r="C742" s="1" t="s">
        <v>6</v>
      </c>
      <c r="D742" s="3" t="str">
        <f>?windows-1252?Q?Save_up_to_7=A2/L_with_BMO?=</f>
        <v>#ERROR!</v>
      </c>
      <c r="E742" s="1" t="s">
        <v>279</v>
      </c>
    </row>
    <row r="743">
      <c r="A743" s="2">
        <v>45427.60155092592</v>
      </c>
      <c r="B743" s="1" t="s">
        <v>671</v>
      </c>
      <c r="C743" s="1" t="s">
        <v>672</v>
      </c>
      <c r="D743" s="1" t="s">
        <v>673</v>
      </c>
      <c r="E743" s="1" t="s">
        <v>674</v>
      </c>
    </row>
    <row r="744">
      <c r="A744" s="2">
        <v>45427.616689814815</v>
      </c>
      <c r="B744" s="1" t="s">
        <v>523</v>
      </c>
      <c r="C744" s="1" t="s">
        <v>524</v>
      </c>
      <c r="D744" s="1" t="s">
        <v>416</v>
      </c>
      <c r="E744" s="1" t="s">
        <v>260</v>
      </c>
    </row>
    <row r="745">
      <c r="A745" s="2">
        <v>45427.61748842592</v>
      </c>
      <c r="B745" s="1" t="s">
        <v>523</v>
      </c>
      <c r="C745" s="1" t="s">
        <v>524</v>
      </c>
      <c r="D745" s="1" t="s">
        <v>417</v>
      </c>
      <c r="E745" s="1" t="s">
        <v>260</v>
      </c>
    </row>
    <row r="746">
      <c r="A746" s="2">
        <v>45427.61802083333</v>
      </c>
      <c r="B746" s="1" t="s">
        <v>478</v>
      </c>
      <c r="C746" s="1" t="s">
        <v>89</v>
      </c>
      <c r="D746" s="1" t="s">
        <v>416</v>
      </c>
      <c r="E746" s="1" t="s">
        <v>260</v>
      </c>
    </row>
    <row r="747">
      <c r="A747" s="2">
        <v>45427.6180787037</v>
      </c>
      <c r="B747" s="1" t="s">
        <v>478</v>
      </c>
      <c r="C747" s="1" t="s">
        <v>89</v>
      </c>
      <c r="D747" s="1" t="s">
        <v>417</v>
      </c>
      <c r="E747" s="1" t="s">
        <v>260</v>
      </c>
    </row>
    <row r="748">
      <c r="A748" s="2">
        <v>45427.62021990741</v>
      </c>
      <c r="B748" s="1" t="s">
        <v>671</v>
      </c>
      <c r="C748" s="1" t="s">
        <v>672</v>
      </c>
      <c r="D748" s="1" t="s">
        <v>673</v>
      </c>
      <c r="E748" s="1" t="s">
        <v>674</v>
      </c>
    </row>
    <row r="749">
      <c r="A749" s="2">
        <v>45428.66327546296</v>
      </c>
      <c r="B749" s="1" t="s">
        <v>259</v>
      </c>
      <c r="C749" s="1" t="s">
        <v>6</v>
      </c>
      <c r="D749" s="3" t="str">
        <f>?utf-8?B?Um9hZCB0cmlwIHNlYXNvbiBpcyBvZmZpY2lhbGx5IG9uISA=?=
 =?utf-8?B?8J+boyAg?=</f>
        <v>#ERROR!</v>
      </c>
      <c r="E749" s="1" t="s">
        <v>279</v>
      </c>
    </row>
    <row r="750">
      <c r="A750" s="2">
        <v>45428.74760416667</v>
      </c>
      <c r="B750" s="1" t="s">
        <v>422</v>
      </c>
      <c r="C750" s="1" t="s">
        <v>423</v>
      </c>
      <c r="D750" s="1" t="s">
        <v>417</v>
      </c>
      <c r="E750" s="1" t="s">
        <v>260</v>
      </c>
    </row>
    <row r="751">
      <c r="A751" s="2">
        <v>45428.747662037036</v>
      </c>
      <c r="B751" s="1" t="s">
        <v>422</v>
      </c>
      <c r="C751" s="1" t="s">
        <v>423</v>
      </c>
      <c r="D751" s="1" t="s">
        <v>416</v>
      </c>
      <c r="E751" s="1" t="s">
        <v>260</v>
      </c>
    </row>
    <row r="752">
      <c r="A752" s="2">
        <v>45429.35141203704</v>
      </c>
      <c r="B752" s="1" t="s">
        <v>259</v>
      </c>
      <c r="C752" s="1" t="s">
        <v>6</v>
      </c>
      <c r="D752" s="3" t="str">
        <f>?utf-8?B?SGFwcHkgbG9uZyB3ZWVrZW5kISBDZWxlYnJhdGUgd2l0aCB0aA==?=
 =?utf-8?B?ZXNlIG9mZmVycyDwn5mM?=</f>
        <v>#ERROR!</v>
      </c>
      <c r="E752" s="1" t="s">
        <v>279</v>
      </c>
    </row>
    <row r="753">
      <c r="A753" s="2">
        <v>45429.377488425926</v>
      </c>
      <c r="B753" s="1" t="s">
        <v>296</v>
      </c>
      <c r="C753" s="1" t="s">
        <v>297</v>
      </c>
      <c r="D753" s="1" t="s">
        <v>643</v>
      </c>
      <c r="E753" s="1" t="s">
        <v>299</v>
      </c>
    </row>
    <row r="754">
      <c r="A754" s="2">
        <v>45429.52130787037</v>
      </c>
      <c r="B754" s="1" t="s">
        <v>391</v>
      </c>
      <c r="C754" s="1" t="s">
        <v>392</v>
      </c>
      <c r="D754" s="1" t="s">
        <v>416</v>
      </c>
      <c r="E754" s="1" t="s">
        <v>260</v>
      </c>
    </row>
    <row r="755">
      <c r="A755" s="2">
        <v>45429.521319444444</v>
      </c>
      <c r="B755" s="1" t="s">
        <v>391</v>
      </c>
      <c r="C755" s="1" t="s">
        <v>392</v>
      </c>
      <c r="D755" s="1" t="s">
        <v>417</v>
      </c>
      <c r="E755" s="1" t="s">
        <v>260</v>
      </c>
    </row>
    <row r="756">
      <c r="A756" s="2">
        <v>45429.58060185185</v>
      </c>
      <c r="B756" s="1" t="s">
        <v>671</v>
      </c>
      <c r="C756" s="1" t="s">
        <v>672</v>
      </c>
      <c r="D756" s="1" t="s">
        <v>677</v>
      </c>
      <c r="E756" s="1" t="s">
        <v>674</v>
      </c>
    </row>
    <row r="757">
      <c r="A757" s="2">
        <v>45429.59100694444</v>
      </c>
      <c r="B757" s="1" t="s">
        <v>671</v>
      </c>
      <c r="C757" s="1" t="s">
        <v>672</v>
      </c>
      <c r="D757" s="1" t="s">
        <v>677</v>
      </c>
      <c r="E757" s="1" t="s">
        <v>674</v>
      </c>
    </row>
    <row r="758">
      <c r="A758" s="2">
        <v>45429.59954861111</v>
      </c>
      <c r="B758" s="1" t="s">
        <v>671</v>
      </c>
      <c r="C758" s="1" t="s">
        <v>672</v>
      </c>
      <c r="D758" s="1" t="s">
        <v>677</v>
      </c>
      <c r="E758" s="1" t="s">
        <v>674</v>
      </c>
    </row>
    <row r="759">
      <c r="A759" s="2">
        <v>45429.61006944445</v>
      </c>
      <c r="B759" s="1" t="s">
        <v>671</v>
      </c>
      <c r="C759" s="1" t="s">
        <v>672</v>
      </c>
      <c r="D759" s="1" t="s">
        <v>677</v>
      </c>
      <c r="E759" s="1" t="s">
        <v>674</v>
      </c>
    </row>
    <row r="760">
      <c r="A760" s="2">
        <v>45429.66826388889</v>
      </c>
      <c r="B760" s="1" t="s">
        <v>259</v>
      </c>
      <c r="C760" s="1" t="s">
        <v>6</v>
      </c>
      <c r="D760" s="1" t="s">
        <v>493</v>
      </c>
      <c r="E760" s="1" t="s">
        <v>279</v>
      </c>
    </row>
    <row r="761">
      <c r="A761" s="2">
        <v>45433.4034375</v>
      </c>
      <c r="B761" s="1" t="s">
        <v>294</v>
      </c>
      <c r="C761" s="1" t="s">
        <v>6</v>
      </c>
      <c r="D761" s="1" t="s">
        <v>495</v>
      </c>
      <c r="E761" s="1" t="s">
        <v>279</v>
      </c>
    </row>
    <row r="762">
      <c r="A762" s="2">
        <v>45433.70266203704</v>
      </c>
      <c r="B762" s="1" t="s">
        <v>259</v>
      </c>
      <c r="C762" s="1" t="s">
        <v>6</v>
      </c>
      <c r="D762" s="1" t="s">
        <v>695</v>
      </c>
      <c r="E762" s="1" t="s">
        <v>279</v>
      </c>
    </row>
    <row r="763">
      <c r="A763" s="2">
        <v>45433.76609953704</v>
      </c>
      <c r="B763" s="1" t="s">
        <v>294</v>
      </c>
      <c r="C763" s="1" t="s">
        <v>6</v>
      </c>
      <c r="D763" s="3" t="str">
        <f>?utf-8?B?8J+OiVB1bXAgVXAgWW91ciBNaWxlcyB3aXRoIHVwIHRvIDEwMA==?=
 =?utf-8?B?IEJvbnVzIE1pbGVz8J+OiQ==?=</f>
        <v>#ERROR!</v>
      </c>
      <c r="E763" s="1" t="s">
        <v>279</v>
      </c>
    </row>
    <row r="764">
      <c r="A764" s="2">
        <v>45434.823796296296</v>
      </c>
      <c r="B764" s="1" t="s">
        <v>696</v>
      </c>
      <c r="C764" s="1" t="s">
        <v>231</v>
      </c>
      <c r="D764" s="1" t="s">
        <v>697</v>
      </c>
      <c r="E764" s="1" t="s">
        <v>698</v>
      </c>
    </row>
    <row r="765">
      <c r="A765" s="2">
        <v>45435.0462962963</v>
      </c>
      <c r="B765" s="1" t="s">
        <v>319</v>
      </c>
      <c r="C765" s="1" t="s">
        <v>14</v>
      </c>
      <c r="D765" s="1" t="s">
        <v>320</v>
      </c>
      <c r="E765" s="1" t="s">
        <v>333</v>
      </c>
    </row>
    <row r="766">
      <c r="A766" s="2">
        <v>45435.34819444444</v>
      </c>
      <c r="B766" s="1" t="s">
        <v>671</v>
      </c>
      <c r="C766" s="1" t="s">
        <v>672</v>
      </c>
      <c r="D766" s="1" t="s">
        <v>679</v>
      </c>
      <c r="E766" s="1" t="s">
        <v>674</v>
      </c>
    </row>
    <row r="767">
      <c r="A767" s="2">
        <v>45435.36699074074</v>
      </c>
      <c r="B767" s="1" t="s">
        <v>671</v>
      </c>
      <c r="C767" s="1" t="s">
        <v>672</v>
      </c>
      <c r="D767" s="1" t="s">
        <v>679</v>
      </c>
      <c r="E767" s="1" t="s">
        <v>674</v>
      </c>
    </row>
    <row r="768">
      <c r="A768" s="2">
        <v>45435.498460648145</v>
      </c>
      <c r="B768" s="1" t="s">
        <v>294</v>
      </c>
      <c r="C768" s="1" t="s">
        <v>6</v>
      </c>
      <c r="D768" s="1" t="s">
        <v>699</v>
      </c>
      <c r="E768" s="1" t="s">
        <v>279</v>
      </c>
    </row>
    <row r="769">
      <c r="A769" s="2">
        <v>45435.55386574074</v>
      </c>
      <c r="B769" s="1" t="s">
        <v>633</v>
      </c>
      <c r="C769" s="1" t="s">
        <v>421</v>
      </c>
      <c r="D769" s="1" t="s">
        <v>699</v>
      </c>
      <c r="E769" s="1" t="s">
        <v>279</v>
      </c>
    </row>
    <row r="770">
      <c r="A770" s="2">
        <v>45435.9637037037</v>
      </c>
      <c r="B770" s="1" t="s">
        <v>259</v>
      </c>
      <c r="C770" s="1" t="s">
        <v>6</v>
      </c>
      <c r="D770" s="3" t="str">
        <f>?utf-8?B?4pyoIEdldCByZWFkeeKAlDIweCBNaWxlcyBpcyBjb21pbmcgZg==?=
 =?utf-8?B?b3IgMSBkYXkgb25seSEg4pyo?=</f>
        <v>#ERROR!</v>
      </c>
      <c r="E770" s="1" t="s">
        <v>279</v>
      </c>
    </row>
    <row r="771">
      <c r="A771" s="2">
        <v>45436.463368055556</v>
      </c>
      <c r="B771" s="1" t="s">
        <v>259</v>
      </c>
      <c r="C771" s="1" t="s">
        <v>6</v>
      </c>
      <c r="D771" s="3" t="str">
        <f>?utf-8?B?8J+bje+4jyBHRVQgUkVBRFk6IDIweCBNaWxlcyB0b21vcnJvdw==?=
 =?utf-8?B?IG9ubHkhIPCfm43vuI8=?=</f>
        <v>#ERROR!</v>
      </c>
      <c r="E771" s="1" t="s">
        <v>279</v>
      </c>
    </row>
    <row r="772">
      <c r="A772" s="2">
        <v>45436.75413194444</v>
      </c>
      <c r="B772" s="1" t="s">
        <v>329</v>
      </c>
      <c r="C772" s="1" t="s">
        <v>14</v>
      </c>
      <c r="D772" s="1" t="s">
        <v>398</v>
      </c>
      <c r="E772" s="1" t="s">
        <v>685</v>
      </c>
    </row>
    <row r="773">
      <c r="A773" s="2">
        <v>45436.71152777778</v>
      </c>
      <c r="B773" s="1" t="s">
        <v>294</v>
      </c>
      <c r="C773" s="1" t="s">
        <v>6</v>
      </c>
      <c r="D773" s="3" t="str">
        <f>?utf-8?B?8J+OiVB1bXAgVXAgWW91ciBNaWxlcyB3aXRoIHVwIHRvIDEwMA==?=
 =?utf-8?B?IEJvbnVzIE1pbGVz8J+OiQ==?=</f>
        <v>#ERROR!</v>
      </c>
      <c r="E773" s="1" t="s">
        <v>279</v>
      </c>
    </row>
    <row r="774">
      <c r="A774" s="2">
        <v>45437.04204861111</v>
      </c>
      <c r="B774" s="1" t="s">
        <v>595</v>
      </c>
      <c r="C774" s="1" t="s">
        <v>14</v>
      </c>
      <c r="D774" s="1" t="s">
        <v>700</v>
      </c>
      <c r="E774" s="1" t="s">
        <v>701</v>
      </c>
    </row>
    <row r="775">
      <c r="A775" s="2">
        <v>45438.5856712963</v>
      </c>
      <c r="B775" s="1" t="s">
        <v>393</v>
      </c>
      <c r="C775" s="1" t="s">
        <v>392</v>
      </c>
      <c r="D775" s="1" t="s">
        <v>702</v>
      </c>
      <c r="E775" s="1" t="s">
        <v>279</v>
      </c>
    </row>
    <row r="776">
      <c r="A776" s="2">
        <v>45439.05596064815</v>
      </c>
      <c r="B776" s="1" t="s">
        <v>319</v>
      </c>
      <c r="C776" s="1" t="s">
        <v>14</v>
      </c>
      <c r="D776" s="1" t="s">
        <v>517</v>
      </c>
      <c r="E776" s="1" t="s">
        <v>518</v>
      </c>
    </row>
    <row r="777">
      <c r="A777" s="2">
        <v>45439.05596064815</v>
      </c>
      <c r="B777" s="1" t="s">
        <v>325</v>
      </c>
      <c r="C777" s="1" t="s">
        <v>14</v>
      </c>
      <c r="D777" s="1" t="s">
        <v>515</v>
      </c>
      <c r="E777" s="1" t="s">
        <v>648</v>
      </c>
    </row>
    <row r="778">
      <c r="A778" s="2">
        <v>45439.62546296296</v>
      </c>
      <c r="B778" s="1" t="s">
        <v>319</v>
      </c>
      <c r="C778" s="1" t="s">
        <v>14</v>
      </c>
      <c r="D778" s="1" t="s">
        <v>320</v>
      </c>
      <c r="E778" s="1" t="s">
        <v>333</v>
      </c>
    </row>
    <row r="779">
      <c r="A779" s="2">
        <v>45439.505694444444</v>
      </c>
      <c r="B779" s="1" t="s">
        <v>521</v>
      </c>
      <c r="C779" s="1" t="s">
        <v>522</v>
      </c>
      <c r="D779" s="1" t="s">
        <v>416</v>
      </c>
      <c r="E779" s="1" t="s">
        <v>260</v>
      </c>
    </row>
    <row r="780">
      <c r="A780" s="2">
        <v>45439.50679398148</v>
      </c>
      <c r="B780" s="1" t="s">
        <v>521</v>
      </c>
      <c r="C780" s="1" t="s">
        <v>522</v>
      </c>
      <c r="D780" s="1" t="s">
        <v>417</v>
      </c>
      <c r="E780" s="1" t="s">
        <v>260</v>
      </c>
    </row>
    <row r="781">
      <c r="A781" s="2">
        <v>45439.51274305556</v>
      </c>
      <c r="B781" s="1" t="s">
        <v>420</v>
      </c>
      <c r="C781" s="1" t="s">
        <v>421</v>
      </c>
      <c r="D781" s="1" t="s">
        <v>417</v>
      </c>
      <c r="E781" s="1" t="s">
        <v>260</v>
      </c>
    </row>
    <row r="782">
      <c r="A782" s="2">
        <v>45439.51275462963</v>
      </c>
      <c r="B782" s="1" t="s">
        <v>420</v>
      </c>
      <c r="C782" s="1" t="s">
        <v>421</v>
      </c>
      <c r="D782" s="1" t="s">
        <v>416</v>
      </c>
      <c r="E782" s="1" t="s">
        <v>260</v>
      </c>
    </row>
    <row r="783">
      <c r="A783" s="2">
        <v>45440.52552083333</v>
      </c>
      <c r="B783" s="1" t="s">
        <v>478</v>
      </c>
      <c r="C783" s="1" t="s">
        <v>89</v>
      </c>
      <c r="D783" s="1" t="s">
        <v>580</v>
      </c>
      <c r="E783" s="1" t="s">
        <v>260</v>
      </c>
    </row>
    <row r="784">
      <c r="A784" s="2">
        <v>45441.60076388889</v>
      </c>
      <c r="B784" s="1" t="s">
        <v>329</v>
      </c>
      <c r="C784" s="1" t="s">
        <v>14</v>
      </c>
      <c r="D784" s="1" t="s">
        <v>398</v>
      </c>
      <c r="E784" s="1" t="s">
        <v>685</v>
      </c>
    </row>
    <row r="785">
      <c r="A785" s="2">
        <v>45442.68498842593</v>
      </c>
      <c r="B785" s="1" t="s">
        <v>259</v>
      </c>
      <c r="C785" s="1" t="s">
        <v>6</v>
      </c>
      <c r="D785" s="3" t="str">
        <f>?utf-8?B?4pqhIEZsYXNoIG9mZmVyIGFsZXJ0OiBBSVIgTUlMRVMgUmVjZQ==?=
 =?utf-8?B?aXB0cyEg4pqh?=</f>
        <v>#ERROR!</v>
      </c>
      <c r="E785" s="1" t="s">
        <v>279</v>
      </c>
    </row>
    <row r="786">
      <c r="A786" s="2">
        <v>45443.66519675926</v>
      </c>
      <c r="B786" s="1" t="s">
        <v>259</v>
      </c>
      <c r="C786" s="1" t="s">
        <v>6</v>
      </c>
      <c r="D786" s="1" t="s">
        <v>703</v>
      </c>
      <c r="E786" s="1" t="s">
        <v>279</v>
      </c>
    </row>
    <row r="787">
      <c r="A787" s="2">
        <v>45444.36613425926</v>
      </c>
      <c r="B787" s="1" t="s">
        <v>508</v>
      </c>
      <c r="C787" s="1" t="s">
        <v>423</v>
      </c>
      <c r="D787" s="1" t="s">
        <v>704</v>
      </c>
      <c r="E787" s="1" t="s">
        <v>279</v>
      </c>
    </row>
    <row r="788">
      <c r="A788" s="2">
        <v>45446.65603009259</v>
      </c>
      <c r="B788" s="1" t="s">
        <v>633</v>
      </c>
      <c r="C788" s="1" t="s">
        <v>421</v>
      </c>
      <c r="D788" s="1" t="s">
        <v>705</v>
      </c>
      <c r="E788" s="1" t="s">
        <v>279</v>
      </c>
    </row>
    <row r="789">
      <c r="A789" s="2">
        <v>45446.65604166667</v>
      </c>
      <c r="B789" s="1" t="s">
        <v>294</v>
      </c>
      <c r="C789" s="1" t="s">
        <v>6</v>
      </c>
      <c r="D789" s="1" t="s">
        <v>705</v>
      </c>
      <c r="E789" s="1" t="s">
        <v>279</v>
      </c>
    </row>
    <row r="790">
      <c r="A790" s="2">
        <v>45446.839953703704</v>
      </c>
      <c r="B790" s="1" t="s">
        <v>706</v>
      </c>
      <c r="C790" s="1" t="s">
        <v>14</v>
      </c>
      <c r="D790" s="1" t="s">
        <v>707</v>
      </c>
      <c r="E790" s="1" t="s">
        <v>708</v>
      </c>
    </row>
    <row r="791">
      <c r="A791" s="2">
        <v>45448.65962962963</v>
      </c>
      <c r="B791" s="1" t="s">
        <v>294</v>
      </c>
      <c r="C791" s="1" t="s">
        <v>6</v>
      </c>
      <c r="D791" s="1" t="s">
        <v>709</v>
      </c>
      <c r="E791" s="1" t="s">
        <v>279</v>
      </c>
    </row>
    <row r="792">
      <c r="A792" s="2">
        <v>45448.65982638889</v>
      </c>
      <c r="B792" s="1" t="s">
        <v>633</v>
      </c>
      <c r="C792" s="1" t="s">
        <v>421</v>
      </c>
      <c r="D792" s="1" t="s">
        <v>709</v>
      </c>
      <c r="E792" s="1" t="s">
        <v>279</v>
      </c>
    </row>
    <row r="793">
      <c r="A793" s="2">
        <v>45448.836539351854</v>
      </c>
      <c r="B793" s="1" t="s">
        <v>706</v>
      </c>
      <c r="C793" s="1" t="s">
        <v>14</v>
      </c>
      <c r="D793" s="1" t="s">
        <v>710</v>
      </c>
      <c r="E793" s="1" t="s">
        <v>708</v>
      </c>
    </row>
    <row r="794">
      <c r="A794" s="2">
        <v>45449.408125</v>
      </c>
      <c r="B794" s="1" t="s">
        <v>658</v>
      </c>
      <c r="C794" s="1" t="s">
        <v>14</v>
      </c>
      <c r="D794" s="3" t="str">
        <f>?utf-8?Q?Rugs_and_decor_galore=E2=80=94need_we_say_more=3F?=</f>
        <v>#ERROR!</v>
      </c>
      <c r="E794" s="1" t="s">
        <v>711</v>
      </c>
    </row>
    <row r="795">
      <c r="A795" s="2">
        <v>45449.62564814815</v>
      </c>
      <c r="B795" s="1" t="s">
        <v>259</v>
      </c>
      <c r="C795" s="1" t="s">
        <v>6</v>
      </c>
      <c r="D795" s="3" t="str">
        <f>?utf-8?B?8J+OiSBEYWQgYXBwcm92ZWQgZGVhbHMgdGhyb3VnaCBhaXJtaQ==?=
 =?utf-8?B?bGVzc2hvcHMuY2EgKyBQaGFybWFzYXZlIEZsYXNoIE9mZmVyIOKaoQ==?=</f>
        <v>#ERROR!</v>
      </c>
      <c r="E795" s="1" t="s">
        <v>279</v>
      </c>
    </row>
    <row r="796">
      <c r="A796" s="2">
        <v>45449.98825231481</v>
      </c>
      <c r="B796" s="1" t="s">
        <v>329</v>
      </c>
      <c r="C796" s="1" t="s">
        <v>14</v>
      </c>
      <c r="D796" s="1" t="s">
        <v>398</v>
      </c>
      <c r="E796" s="1" t="s">
        <v>712</v>
      </c>
    </row>
    <row r="797">
      <c r="A797" s="2">
        <v>45449.98831018519</v>
      </c>
      <c r="B797" s="1" t="s">
        <v>329</v>
      </c>
      <c r="C797" s="1" t="s">
        <v>14</v>
      </c>
      <c r="D797" s="1" t="s">
        <v>330</v>
      </c>
      <c r="E797" s="1" t="s">
        <v>713</v>
      </c>
    </row>
    <row r="798">
      <c r="A798" s="2">
        <v>45452.989432870374</v>
      </c>
      <c r="B798" s="1" t="s">
        <v>329</v>
      </c>
      <c r="C798" s="1" t="s">
        <v>14</v>
      </c>
      <c r="D798" s="1" t="s">
        <v>383</v>
      </c>
      <c r="E798" s="1" t="s">
        <v>714</v>
      </c>
    </row>
    <row r="799">
      <c r="A799" s="2">
        <v>45453.456412037034</v>
      </c>
      <c r="B799" s="1" t="s">
        <v>658</v>
      </c>
      <c r="C799" s="1" t="s">
        <v>14</v>
      </c>
      <c r="D799" s="3" t="str">
        <f>?utf-8?Q?Room-tying_pieces_we_know_you=E2=80=99ll_love?=</f>
        <v>#ERROR!</v>
      </c>
      <c r="E799" s="1" t="s">
        <v>715</v>
      </c>
    </row>
    <row r="800">
      <c r="A800" s="2">
        <v>45454.99055555555</v>
      </c>
      <c r="B800" s="1" t="s">
        <v>329</v>
      </c>
      <c r="C800" s="1" t="s">
        <v>14</v>
      </c>
      <c r="D800" s="1" t="s">
        <v>383</v>
      </c>
      <c r="E800" s="1" t="s">
        <v>716</v>
      </c>
    </row>
    <row r="801">
      <c r="A801" s="2">
        <v>45456.68914351852</v>
      </c>
      <c r="B801" s="1" t="s">
        <v>259</v>
      </c>
      <c r="C801" s="1" t="s">
        <v>6</v>
      </c>
      <c r="D801" s="3" t="str">
        <f>?utf-8?B?SlVTVCBJTjogVG9wIG9mZmVycyBqdXN0IGZvciB5b3Ug8J+RgA==?=</f>
        <v>#ERROR!</v>
      </c>
      <c r="E801" s="1" t="s">
        <v>279</v>
      </c>
    </row>
    <row r="802">
      <c r="A802" s="2">
        <v>45457.79510416667</v>
      </c>
      <c r="B802" s="1" t="s">
        <v>315</v>
      </c>
      <c r="C802" s="1" t="s">
        <v>14</v>
      </c>
      <c r="D802" s="1" t="s">
        <v>323</v>
      </c>
      <c r="E802" s="1" t="s">
        <v>717</v>
      </c>
    </row>
    <row r="803">
      <c r="A803" s="2">
        <v>45457.79601851852</v>
      </c>
      <c r="B803" s="1" t="s">
        <v>329</v>
      </c>
      <c r="C803" s="1" t="s">
        <v>14</v>
      </c>
      <c r="D803" s="1" t="s">
        <v>330</v>
      </c>
      <c r="E803" s="1" t="s">
        <v>718</v>
      </c>
    </row>
    <row r="804">
      <c r="A804" s="2">
        <v>45457.79603009259</v>
      </c>
      <c r="B804" s="1" t="s">
        <v>329</v>
      </c>
      <c r="C804" s="1" t="s">
        <v>14</v>
      </c>
      <c r="D804" s="1" t="s">
        <v>398</v>
      </c>
      <c r="E804" s="1" t="s">
        <v>712</v>
      </c>
    </row>
    <row r="805">
      <c r="A805" s="2">
        <v>45459.52887731481</v>
      </c>
      <c r="B805" s="1" t="s">
        <v>478</v>
      </c>
      <c r="C805" s="1" t="s">
        <v>89</v>
      </c>
      <c r="D805" s="1" t="s">
        <v>580</v>
      </c>
      <c r="E805" s="1" t="s">
        <v>260</v>
      </c>
    </row>
    <row r="806">
      <c r="A806" s="2">
        <v>45460.057708333334</v>
      </c>
      <c r="B806" s="1" t="s">
        <v>319</v>
      </c>
      <c r="C806" s="1" t="s">
        <v>14</v>
      </c>
      <c r="D806" s="1" t="s">
        <v>320</v>
      </c>
      <c r="E806" s="1" t="s">
        <v>333</v>
      </c>
    </row>
    <row r="807">
      <c r="A807" s="2">
        <v>45460.72609953704</v>
      </c>
      <c r="B807" s="1" t="s">
        <v>259</v>
      </c>
      <c r="C807" s="1" t="s">
        <v>6</v>
      </c>
      <c r="D807" s="1" t="s">
        <v>719</v>
      </c>
      <c r="E807" s="1" t="s">
        <v>279</v>
      </c>
    </row>
    <row r="808">
      <c r="A808" s="2">
        <v>45460.76181712963</v>
      </c>
      <c r="B808" s="1" t="s">
        <v>391</v>
      </c>
      <c r="C808" s="1" t="s">
        <v>392</v>
      </c>
      <c r="D808" s="1" t="s">
        <v>580</v>
      </c>
      <c r="E808" s="1" t="s">
        <v>260</v>
      </c>
    </row>
    <row r="809">
      <c r="A809" s="2">
        <v>45461.79505787037</v>
      </c>
      <c r="B809" s="1" t="s">
        <v>720</v>
      </c>
      <c r="C809" s="1" t="s">
        <v>421</v>
      </c>
      <c r="D809" s="1" t="s">
        <v>721</v>
      </c>
      <c r="E809" s="1" t="s">
        <v>722</v>
      </c>
    </row>
    <row r="810">
      <c r="A810" s="2">
        <v>45462.60666666667</v>
      </c>
      <c r="B810" s="1" t="s">
        <v>633</v>
      </c>
      <c r="C810" s="1" t="s">
        <v>421</v>
      </c>
      <c r="D810" s="3" t="str">
        <f>?windows-1252?Q?Don=92t_forget!_Get_up_to_3=2C000_Welcome_Bonus_M?=
 =?windows-1252?Q?iles?=</f>
        <v>#ERROR!</v>
      </c>
      <c r="E810" s="1" t="s">
        <v>279</v>
      </c>
    </row>
    <row r="811">
      <c r="A811" s="2">
        <v>45462.60697916667</v>
      </c>
      <c r="B811" s="1" t="s">
        <v>294</v>
      </c>
      <c r="C811" s="1" t="s">
        <v>6</v>
      </c>
      <c r="D811" s="3" t="str">
        <f>?windows-1252?Q?Don=92t_forget!_Get_up_to_3=2C000_Welcome_Bonus_M?=
 =?windows-1252?Q?iles?=</f>
        <v>#ERROR!</v>
      </c>
      <c r="E811" s="1" t="s">
        <v>279</v>
      </c>
    </row>
    <row r="812">
      <c r="A812" s="2">
        <v>45463.799375</v>
      </c>
      <c r="B812" s="1" t="s">
        <v>319</v>
      </c>
      <c r="C812" s="1" t="s">
        <v>14</v>
      </c>
      <c r="D812" s="3" t="str">
        <f>?ISO-8859-1?Q?You_are_no_longer_participating_in_Family=A0Sharing.?=</f>
        <v>#ERROR!</v>
      </c>
      <c r="E812" s="1" t="s">
        <v>559</v>
      </c>
    </row>
    <row r="813">
      <c r="A813" s="2">
        <v>45463.66724537037</v>
      </c>
      <c r="B813" s="1" t="s">
        <v>259</v>
      </c>
      <c r="C813" s="1" t="s">
        <v>6</v>
      </c>
      <c r="D813" s="3" t="str">
        <f>?utf-8?B?U3Vubnkgd2l0aCBhIGNoYW5jZSBvZiBCT05VUyBNaWxlcyBhdA==?=
 =?utf-8?B?IElydmluZywgVGltYmVyIE1hcnQsIGFuZCBtb3JlIPCfmI4=?=</f>
        <v>#ERROR!</v>
      </c>
      <c r="E813" s="1" t="s">
        <v>279</v>
      </c>
    </row>
    <row r="814">
      <c r="A814" s="2">
        <v>45465.7009837963</v>
      </c>
      <c r="B814" s="1" t="s">
        <v>723</v>
      </c>
      <c r="C814" s="1" t="s">
        <v>724</v>
      </c>
      <c r="D814" s="1" t="s">
        <v>725</v>
      </c>
      <c r="E814" s="1" t="s">
        <v>726</v>
      </c>
    </row>
    <row r="815">
      <c r="A815" s="2">
        <v>45468.44440972222</v>
      </c>
      <c r="B815" s="1" t="s">
        <v>259</v>
      </c>
      <c r="C815" s="1" t="s">
        <v>6</v>
      </c>
      <c r="D815" s="1" t="s">
        <v>727</v>
      </c>
      <c r="E815" s="1" t="s">
        <v>279</v>
      </c>
    </row>
    <row r="816">
      <c r="A816" s="2">
        <v>45468.799791666665</v>
      </c>
      <c r="B816" s="1" t="s">
        <v>329</v>
      </c>
      <c r="C816" s="1" t="s">
        <v>14</v>
      </c>
      <c r="D816" s="1" t="s">
        <v>398</v>
      </c>
      <c r="E816" s="1" t="s">
        <v>685</v>
      </c>
    </row>
    <row r="817">
      <c r="A817" s="2">
        <v>45469.587696759256</v>
      </c>
      <c r="B817" s="1" t="s">
        <v>728</v>
      </c>
      <c r="C817" s="1" t="s">
        <v>6</v>
      </c>
      <c r="D817" s="3" t="str">
        <f>?UTF-8?B?Q2VsZWJyYXRlIENhbmFkYSB3aXRoIHNhdmluZ3MgYXMgZ3JlYXQg?=
 =?UTF-8?B?YXMgdGhlIE5vcnRoIPCfjYE=?=</f>
        <v>#ERROR!</v>
      </c>
      <c r="E817" s="1" t="s">
        <v>729</v>
      </c>
    </row>
    <row r="818">
      <c r="A818" s="2">
        <v>45469.69846064815</v>
      </c>
      <c r="B818" s="1" t="s">
        <v>633</v>
      </c>
      <c r="C818" s="1" t="s">
        <v>421</v>
      </c>
      <c r="D818" s="3" t="str">
        <f>?utf-8?B?8J+OiVB1bXAgVXAgWW91ciBNaWxlcyB3aXRoIHVwIHRvIDEwMA==?=
 =?utf-8?B?IEJvbnVzIE1pbGVz8J+OiQ==?=</f>
        <v>#ERROR!</v>
      </c>
      <c r="E818" s="1" t="s">
        <v>279</v>
      </c>
    </row>
    <row r="819">
      <c r="A819" s="2">
        <v>45469.70048611111</v>
      </c>
      <c r="B819" s="1" t="s">
        <v>294</v>
      </c>
      <c r="C819" s="1" t="s">
        <v>6</v>
      </c>
      <c r="D819" s="3" t="str">
        <f>?utf-8?B?8J+OiVB1bXAgVXAgWW91ciBNaWxlcyB3aXRoIHVwIHRvIDEwMA==?=
 =?utf-8?B?IEJvbnVzIE1pbGVz8J+OiQ==?=</f>
        <v>#ERROR!</v>
      </c>
      <c r="E819" s="1" t="s">
        <v>279</v>
      </c>
    </row>
    <row r="820">
      <c r="A820" s="2">
        <v>45470.66488425926</v>
      </c>
      <c r="B820" s="1" t="s">
        <v>259</v>
      </c>
      <c r="C820" s="1" t="s">
        <v>6</v>
      </c>
      <c r="D820" s="3" t="str">
        <f>?utf-8?B?UmVhZHkgZm9yIGFuIGVwaWMgc3VtbWVyPyBHZXQgRlJFRSByZQ==?=
 =?utf-8?B?d2FyZHMgKyBtb3JlIPCfmI4=?=</f>
        <v>#ERROR!</v>
      </c>
      <c r="E820" s="1" t="s">
        <v>279</v>
      </c>
    </row>
    <row r="821">
      <c r="A821" s="2">
        <v>45470.64863425926</v>
      </c>
      <c r="B821" s="1" t="s">
        <v>538</v>
      </c>
      <c r="C821" s="1" t="s">
        <v>14</v>
      </c>
      <c r="D821" s="1" t="s">
        <v>730</v>
      </c>
      <c r="E821" s="1" t="s">
        <v>731</v>
      </c>
    </row>
    <row r="822">
      <c r="A822" s="2">
        <v>45470.963472222225</v>
      </c>
      <c r="B822" s="1" t="s">
        <v>319</v>
      </c>
      <c r="C822" s="1" t="s">
        <v>14</v>
      </c>
      <c r="D822" s="1" t="s">
        <v>320</v>
      </c>
      <c r="E822" s="1" t="s">
        <v>333</v>
      </c>
    </row>
    <row r="823">
      <c r="A823" s="2">
        <v>45470.96407407407</v>
      </c>
      <c r="B823" s="1" t="s">
        <v>319</v>
      </c>
      <c r="C823" s="1" t="s">
        <v>14</v>
      </c>
      <c r="D823" s="1" t="s">
        <v>320</v>
      </c>
      <c r="E823" s="1" t="s">
        <v>333</v>
      </c>
    </row>
    <row r="824">
      <c r="A824" s="2">
        <v>45470.96418981482</v>
      </c>
      <c r="B824" s="1" t="s">
        <v>319</v>
      </c>
      <c r="C824" s="1" t="s">
        <v>14</v>
      </c>
      <c r="D824" s="1" t="s">
        <v>320</v>
      </c>
      <c r="E824" s="1" t="s">
        <v>333</v>
      </c>
    </row>
    <row r="825">
      <c r="A825" s="2">
        <v>45470.96502314815</v>
      </c>
      <c r="B825" s="1" t="s">
        <v>319</v>
      </c>
      <c r="C825" s="1" t="s">
        <v>14</v>
      </c>
      <c r="D825" s="1" t="s">
        <v>320</v>
      </c>
      <c r="E825" s="1" t="s">
        <v>333</v>
      </c>
    </row>
    <row r="826">
      <c r="A826" s="2">
        <v>45471.44019675926</v>
      </c>
      <c r="B826" s="1" t="s">
        <v>259</v>
      </c>
      <c r="C826" s="1" t="s">
        <v>6</v>
      </c>
      <c r="D826" s="3" t="str">
        <f>?utf-8?B?R2V0IG1vcmUgcmV3YXJkcyBmYXN0ZXIgd2l0aCBBSVIgTUlMRQ==?=
 =?utf-8?B?UyBUcmF2ZWwg4pyI77iP?=</f>
        <v>#ERROR!</v>
      </c>
      <c r="E826" s="1" t="s">
        <v>279</v>
      </c>
    </row>
    <row r="827">
      <c r="A827" s="2">
        <v>45471.51474537037</v>
      </c>
      <c r="B827" s="1" t="s">
        <v>728</v>
      </c>
      <c r="C827" s="1" t="s">
        <v>6</v>
      </c>
      <c r="D827" s="3" t="str">
        <f>?UTF-8?B?4p2k77iPIEltYWdpbmUgd2lubmluZyogZnJlZSBsdW5jaGVzIGZv?=
 =?UTF-8?B?ciBhIHllYXI=?=</f>
        <v>#ERROR!</v>
      </c>
      <c r="E827" s="1" t="s">
        <v>732</v>
      </c>
    </row>
    <row r="828">
      <c r="A828" s="2">
        <v>45472.67857638889</v>
      </c>
      <c r="B828" s="1" t="s">
        <v>723</v>
      </c>
      <c r="C828" s="1" t="s">
        <v>724</v>
      </c>
      <c r="D828" s="1" t="s">
        <v>733</v>
      </c>
      <c r="E828" s="1" t="s">
        <v>734</v>
      </c>
    </row>
    <row r="829">
      <c r="A829" s="2">
        <v>45472.80194444444</v>
      </c>
      <c r="B829" s="1" t="s">
        <v>329</v>
      </c>
      <c r="C829" s="1" t="s">
        <v>14</v>
      </c>
      <c r="D829" s="1" t="s">
        <v>398</v>
      </c>
      <c r="E829" s="1" t="s">
        <v>685</v>
      </c>
    </row>
    <row r="830">
      <c r="A830" s="2">
        <v>45472.66849537037</v>
      </c>
      <c r="B830" s="1" t="s">
        <v>464</v>
      </c>
      <c r="C830" s="1" t="s">
        <v>423</v>
      </c>
      <c r="D830" s="1" t="s">
        <v>493</v>
      </c>
      <c r="E830" s="1" t="s">
        <v>279</v>
      </c>
    </row>
    <row r="831">
      <c r="A831" s="2">
        <v>45474.807233796295</v>
      </c>
      <c r="B831" s="1" t="s">
        <v>329</v>
      </c>
      <c r="C831" s="1" t="s">
        <v>14</v>
      </c>
      <c r="D831" s="1" t="s">
        <v>398</v>
      </c>
      <c r="E831" s="1" t="s">
        <v>712</v>
      </c>
    </row>
    <row r="832">
      <c r="A832" s="2">
        <v>45474.807233796295</v>
      </c>
      <c r="B832" s="1" t="s">
        <v>329</v>
      </c>
      <c r="C832" s="1" t="s">
        <v>14</v>
      </c>
      <c r="D832" s="1" t="s">
        <v>330</v>
      </c>
      <c r="E832" s="1" t="s">
        <v>718</v>
      </c>
    </row>
    <row r="833">
      <c r="A833" s="2">
        <v>45475.559641203705</v>
      </c>
      <c r="B833" s="1" t="s">
        <v>633</v>
      </c>
      <c r="C833" s="1" t="s">
        <v>421</v>
      </c>
      <c r="D833" s="1" t="s">
        <v>705</v>
      </c>
      <c r="E833" s="1" t="s">
        <v>279</v>
      </c>
    </row>
    <row r="834">
      <c r="A834" s="2">
        <v>45475.55967592593</v>
      </c>
      <c r="B834" s="1" t="s">
        <v>294</v>
      </c>
      <c r="C834" s="1" t="s">
        <v>6</v>
      </c>
      <c r="D834" s="3" t="str">
        <f>?windows-1252?Q?Here=92s_your_exclusive_bonus_offer_from_Irving!?=</f>
        <v>#ERROR!</v>
      </c>
      <c r="E834" s="1" t="s">
        <v>279</v>
      </c>
    </row>
    <row r="835">
      <c r="A835" s="2">
        <v>45475.55980324074</v>
      </c>
      <c r="B835" s="1" t="s">
        <v>735</v>
      </c>
      <c r="C835" s="1" t="s">
        <v>524</v>
      </c>
      <c r="D835" s="3" t="str">
        <f>?windows-1252?Q?Here=92s_your_exclusive_bonus_offer_from_Irving!?=</f>
        <v>#ERROR!</v>
      </c>
      <c r="E835" s="1" t="s">
        <v>279</v>
      </c>
    </row>
    <row r="836">
      <c r="A836" s="2">
        <v>45475.56009259259</v>
      </c>
      <c r="B836" s="1" t="s">
        <v>592</v>
      </c>
      <c r="C836" s="1" t="s">
        <v>392</v>
      </c>
      <c r="D836" s="3" t="str">
        <f>?windows-1252?Q?Here=92s_your_exclusive_bonus_offer_from_Irving!?=</f>
        <v>#ERROR!</v>
      </c>
      <c r="E836" s="1" t="s">
        <v>279</v>
      </c>
    </row>
    <row r="837">
      <c r="A837" s="2">
        <v>45475.98427083333</v>
      </c>
      <c r="B837" s="1" t="s">
        <v>259</v>
      </c>
      <c r="C837" s="1" t="s">
        <v>6</v>
      </c>
      <c r="D837" s="1" t="s">
        <v>736</v>
      </c>
      <c r="E837" s="1" t="s">
        <v>279</v>
      </c>
    </row>
    <row r="838">
      <c r="A838" s="2">
        <v>45476.00525462963</v>
      </c>
      <c r="B838" s="1" t="s">
        <v>535</v>
      </c>
      <c r="C838" s="1" t="s">
        <v>524</v>
      </c>
      <c r="D838" s="1" t="s">
        <v>736</v>
      </c>
      <c r="E838" s="1" t="s">
        <v>279</v>
      </c>
    </row>
    <row r="839">
      <c r="A839" s="2">
        <v>45476.005324074074</v>
      </c>
      <c r="B839" s="1" t="s">
        <v>476</v>
      </c>
      <c r="C839" s="1" t="s">
        <v>471</v>
      </c>
      <c r="D839" s="1" t="s">
        <v>736</v>
      </c>
      <c r="E839" s="1" t="s">
        <v>279</v>
      </c>
    </row>
    <row r="840">
      <c r="A840" s="2">
        <v>45476.0053587963</v>
      </c>
      <c r="B840" s="1" t="s">
        <v>430</v>
      </c>
      <c r="C840" s="1" t="s">
        <v>421</v>
      </c>
      <c r="D840" s="1" t="s">
        <v>736</v>
      </c>
      <c r="E840" s="1" t="s">
        <v>279</v>
      </c>
    </row>
    <row r="841">
      <c r="A841" s="2">
        <v>45476.70972222222</v>
      </c>
      <c r="B841" s="1" t="s">
        <v>294</v>
      </c>
      <c r="C841" s="1" t="s">
        <v>6</v>
      </c>
      <c r="D841" s="1" t="s">
        <v>737</v>
      </c>
      <c r="E841" s="1" t="s">
        <v>279</v>
      </c>
    </row>
    <row r="842">
      <c r="A842" s="2">
        <v>45477.898194444446</v>
      </c>
      <c r="B842" s="1" t="s">
        <v>738</v>
      </c>
      <c r="C842" s="1" t="s">
        <v>14</v>
      </c>
      <c r="D842" s="1" t="s">
        <v>739</v>
      </c>
      <c r="E842" s="1" t="s">
        <v>740</v>
      </c>
    </row>
    <row r="843">
      <c r="A843" s="2">
        <v>45478.51217592593</v>
      </c>
      <c r="B843" s="1" t="s">
        <v>533</v>
      </c>
      <c r="C843" s="1" t="s">
        <v>526</v>
      </c>
      <c r="D843" s="3" t="str">
        <f>?utf-8?B?Tm93IHNlcnZpbmcgMTV4IHRoZSBtaWxlcyB0aHJvdWdoIGFpcg==?=
 =?utf-8?B?bWlsZXNzaG9wcy5jYSDwn42m4piA77iP?=</f>
        <v>#ERROR!</v>
      </c>
      <c r="E843" s="1" t="s">
        <v>279</v>
      </c>
    </row>
    <row r="844">
      <c r="A844" s="2">
        <v>45478.51224537037</v>
      </c>
      <c r="B844" s="1" t="s">
        <v>259</v>
      </c>
      <c r="C844" s="1" t="s">
        <v>6</v>
      </c>
      <c r="D844" s="3" t="str">
        <f>?utf-8?B?Tm93IHNlcnZpbmcgMTV4IHRoZSBtaWxlcyB0aHJvdWdoIGFpcg==?=
 =?utf-8?B?bWlsZXNzaG9wcy5jYSDwn42m4piA77iP?=</f>
        <v>#ERROR!</v>
      </c>
      <c r="E844" s="1" t="s">
        <v>279</v>
      </c>
    </row>
    <row r="845">
      <c r="A845" s="2">
        <v>45485.49199074074</v>
      </c>
      <c r="B845" s="1" t="s">
        <v>259</v>
      </c>
      <c r="C845" s="1" t="s">
        <v>6</v>
      </c>
      <c r="D845" s="3" t="str">
        <f>?utf-8?B?TWFrZSB0aGUgbW9zdCBvZiB5b3VyIHN1bW1lciB3aXRoIHRoZQ==?=
 =?utf-8?B?c2UgaW5jcmVkaWJsZSBvZmZlcnMg4pux77iP?=</f>
        <v>#ERROR!</v>
      </c>
      <c r="E845" s="1" t="s">
        <v>279</v>
      </c>
    </row>
    <row r="846">
      <c r="A846" s="2">
        <v>45485.52442129629</v>
      </c>
      <c r="B846" s="1" t="s">
        <v>549</v>
      </c>
      <c r="C846" s="1" t="s">
        <v>528</v>
      </c>
      <c r="D846" s="3" t="str">
        <f>?utf-8?B?TWFrZSB0aGUgbW9zdCBvZiB5b3VyIHN1bW1lciB3aXRoIHRoZQ==?=
 =?utf-8?B?c2UgaW5jcmVkaWJsZSBvZmZlcnMg4pux77iP?=</f>
        <v>#ERROR!</v>
      </c>
      <c r="E846" s="1" t="s">
        <v>279</v>
      </c>
    </row>
    <row r="847">
      <c r="A847" s="2">
        <v>45485.817407407405</v>
      </c>
      <c r="B847" s="1" t="s">
        <v>329</v>
      </c>
      <c r="C847" s="1" t="s">
        <v>14</v>
      </c>
      <c r="D847" s="1" t="s">
        <v>398</v>
      </c>
      <c r="E847" s="1" t="s">
        <v>685</v>
      </c>
    </row>
    <row r="848">
      <c r="A848" s="2">
        <v>45486.67747685185</v>
      </c>
      <c r="B848" s="1" t="s">
        <v>723</v>
      </c>
      <c r="C848" s="1" t="s">
        <v>724</v>
      </c>
      <c r="D848" s="1" t="s">
        <v>741</v>
      </c>
      <c r="E848" s="1" t="s">
        <v>742</v>
      </c>
    </row>
    <row r="849">
      <c r="A849" s="2">
        <v>45488.725277777776</v>
      </c>
      <c r="B849" s="1" t="s">
        <v>319</v>
      </c>
      <c r="C849" s="1" t="s">
        <v>14</v>
      </c>
      <c r="D849" s="1" t="s">
        <v>320</v>
      </c>
      <c r="E849" s="1" t="s">
        <v>333</v>
      </c>
    </row>
    <row r="850">
      <c r="A850" s="2">
        <v>45489.817974537036</v>
      </c>
      <c r="B850" s="1" t="s">
        <v>329</v>
      </c>
      <c r="C850" s="1" t="s">
        <v>14</v>
      </c>
      <c r="D850" s="1" t="s">
        <v>398</v>
      </c>
      <c r="E850" s="1" t="s">
        <v>685</v>
      </c>
    </row>
    <row r="851">
      <c r="A851" s="2">
        <v>45489.67119212963</v>
      </c>
      <c r="B851" s="1" t="s">
        <v>464</v>
      </c>
      <c r="C851" s="1" t="s">
        <v>423</v>
      </c>
      <c r="D851" s="1" t="s">
        <v>743</v>
      </c>
      <c r="E851" s="1" t="s">
        <v>279</v>
      </c>
    </row>
    <row r="852">
      <c r="A852" s="2">
        <v>45490.953888888886</v>
      </c>
      <c r="B852" s="1" t="s">
        <v>422</v>
      </c>
      <c r="C852" s="1" t="s">
        <v>423</v>
      </c>
      <c r="D852" s="1" t="s">
        <v>744</v>
      </c>
      <c r="E852" s="1" t="s">
        <v>260</v>
      </c>
    </row>
    <row r="853">
      <c r="A853" s="2">
        <v>45491.62571759259</v>
      </c>
      <c r="B853" s="1" t="s">
        <v>422</v>
      </c>
      <c r="C853" s="1" t="s">
        <v>423</v>
      </c>
      <c r="D853" s="1" t="s">
        <v>416</v>
      </c>
      <c r="E853" s="1" t="s">
        <v>260</v>
      </c>
    </row>
    <row r="854">
      <c r="A854" s="2">
        <v>45491.62582175926</v>
      </c>
      <c r="B854" s="1" t="s">
        <v>422</v>
      </c>
      <c r="C854" s="1" t="s">
        <v>423</v>
      </c>
      <c r="D854" s="1" t="s">
        <v>417</v>
      </c>
      <c r="E854" s="1" t="s">
        <v>260</v>
      </c>
    </row>
    <row r="855">
      <c r="A855" s="2">
        <v>45491.63821759259</v>
      </c>
      <c r="B855" s="1" t="s">
        <v>259</v>
      </c>
      <c r="C855" s="1" t="s">
        <v>6</v>
      </c>
      <c r="D855" s="3" t="str">
        <f>?utf-8?B?R2V0IGEganVtcCBvbiBiYWNrLXRvLXNjaG9vbCB3aXRoIHRoZQ==?=
 =?utf-8?B?c2Ugb2ZmZXJzIPCfk5rinKg=?=</f>
        <v>#ERROR!</v>
      </c>
      <c r="E855" s="1" t="s">
        <v>279</v>
      </c>
    </row>
    <row r="856">
      <c r="A856" s="2">
        <v>45491.67017361111</v>
      </c>
      <c r="B856" s="1" t="s">
        <v>430</v>
      </c>
      <c r="C856" s="1" t="s">
        <v>421</v>
      </c>
      <c r="D856" s="3" t="str">
        <f>?utf-8?B?R2V0IGEganVtcCBvbiBiYWNrLXRvLXNjaG9vbCB3aXRoIHRoZQ==?=
 =?utf-8?B?c2Ugb2ZmZXJzIPCfk5rinKg=?=</f>
        <v>#ERROR!</v>
      </c>
      <c r="E856" s="1" t="s">
        <v>279</v>
      </c>
    </row>
    <row r="857">
      <c r="A857" s="2">
        <v>45491.8374537037</v>
      </c>
      <c r="B857" s="1" t="s">
        <v>325</v>
      </c>
      <c r="C857" s="1" t="s">
        <v>14</v>
      </c>
      <c r="D857" s="1" t="s">
        <v>515</v>
      </c>
      <c r="E857" s="1" t="s">
        <v>516</v>
      </c>
    </row>
    <row r="858">
      <c r="A858" s="2">
        <v>45492.26851851852</v>
      </c>
      <c r="B858" s="1" t="s">
        <v>478</v>
      </c>
      <c r="C858" s="1" t="s">
        <v>89</v>
      </c>
      <c r="D858" s="1" t="s">
        <v>416</v>
      </c>
      <c r="E858" s="1" t="s">
        <v>260</v>
      </c>
    </row>
    <row r="859">
      <c r="A859" s="2">
        <v>45492.268587962964</v>
      </c>
      <c r="B859" s="1" t="s">
        <v>478</v>
      </c>
      <c r="C859" s="1" t="s">
        <v>89</v>
      </c>
      <c r="D859" s="1" t="s">
        <v>417</v>
      </c>
      <c r="E859" s="1" t="s">
        <v>260</v>
      </c>
    </row>
    <row r="860">
      <c r="A860" s="2">
        <v>45492.84894675926</v>
      </c>
      <c r="B860" s="1" t="s">
        <v>259</v>
      </c>
      <c r="C860" s="1" t="s">
        <v>6</v>
      </c>
      <c r="D860" s="3" t="str">
        <f>?utf-8?B?U2ltcGxlIGhhY2sgZm9yIG1vcmUgTWlsZXMgZmFzdGVyIA==?=
 =?utf-8?B?8J+Ssw==?=</f>
        <v>#ERROR!</v>
      </c>
      <c r="E860" s="1" t="s">
        <v>279</v>
      </c>
    </row>
    <row r="861">
      <c r="A861" s="2">
        <v>45493.035995370374</v>
      </c>
      <c r="B861" s="1" t="s">
        <v>533</v>
      </c>
      <c r="C861" s="1" t="s">
        <v>526</v>
      </c>
      <c r="D861" s="3" t="str">
        <f>?windows-1252?Q?Don=92t_miss_our_BIGGEST_Redemption_Event_EVER!?=</f>
        <v>#ERROR!</v>
      </c>
      <c r="E861" s="1" t="s">
        <v>279</v>
      </c>
    </row>
    <row r="862">
      <c r="A862" s="2">
        <v>45493.036041666666</v>
      </c>
      <c r="B862" s="1" t="s">
        <v>476</v>
      </c>
      <c r="C862" s="1" t="s">
        <v>471</v>
      </c>
      <c r="D862" s="3" t="str">
        <f>?windows-1252?Q?Don=92t_miss_our_BIGGEST_Redemption_Event_EVER!?=</f>
        <v>#ERROR!</v>
      </c>
      <c r="E862" s="1" t="s">
        <v>279</v>
      </c>
    </row>
    <row r="863">
      <c r="A863" s="2">
        <v>45493.036087962966</v>
      </c>
      <c r="B863" s="1" t="s">
        <v>430</v>
      </c>
      <c r="C863" s="1" t="s">
        <v>421</v>
      </c>
      <c r="D863" s="3" t="str">
        <f>?windows-1252?Q?Don=92t_miss_our_BIGGEST_Redemption_Event_EVER!?=</f>
        <v>#ERROR!</v>
      </c>
      <c r="E863" s="1" t="s">
        <v>279</v>
      </c>
    </row>
    <row r="864">
      <c r="A864" s="2">
        <v>45493.036574074074</v>
      </c>
      <c r="B864" s="1" t="s">
        <v>259</v>
      </c>
      <c r="C864" s="1" t="s">
        <v>6</v>
      </c>
      <c r="D864" s="3" t="str">
        <f>?windows-1252?Q?Don=92t_miss_our_BIGGEST_Redemption_Event_EVER!?=</f>
        <v>#ERROR!</v>
      </c>
      <c r="E864" s="1" t="s">
        <v>279</v>
      </c>
    </row>
    <row r="865">
      <c r="A865" s="2">
        <v>45493.253020833334</v>
      </c>
      <c r="B865" s="1" t="s">
        <v>525</v>
      </c>
      <c r="C865" s="1" t="s">
        <v>526</v>
      </c>
      <c r="D865" s="1" t="s">
        <v>744</v>
      </c>
      <c r="E865" s="1" t="s">
        <v>260</v>
      </c>
    </row>
    <row r="866">
      <c r="A866" s="2">
        <v>45493.255578703705</v>
      </c>
      <c r="B866" s="1" t="s">
        <v>422</v>
      </c>
      <c r="C866" s="1" t="s">
        <v>423</v>
      </c>
      <c r="D866" s="1" t="s">
        <v>744</v>
      </c>
      <c r="E866" s="1" t="s">
        <v>260</v>
      </c>
    </row>
    <row r="867">
      <c r="A867" s="2">
        <v>45493.25666666667</v>
      </c>
      <c r="B867" s="1" t="s">
        <v>422</v>
      </c>
      <c r="C867" s="1" t="s">
        <v>423</v>
      </c>
      <c r="D867" s="1" t="s">
        <v>744</v>
      </c>
      <c r="E867" s="1" t="s">
        <v>260</v>
      </c>
    </row>
    <row r="868">
      <c r="A868" s="2">
        <v>45494.084027777775</v>
      </c>
      <c r="B868" s="1" t="s">
        <v>422</v>
      </c>
      <c r="C868" s="1" t="s">
        <v>423</v>
      </c>
      <c r="D868" s="1" t="s">
        <v>744</v>
      </c>
      <c r="E868" s="1" t="s">
        <v>260</v>
      </c>
    </row>
    <row r="869">
      <c r="A869" s="2">
        <v>45494.39295138889</v>
      </c>
      <c r="B869" s="1" t="s">
        <v>525</v>
      </c>
      <c r="C869" s="1" t="s">
        <v>526</v>
      </c>
      <c r="D869" s="1" t="s">
        <v>744</v>
      </c>
      <c r="E869" s="1" t="s">
        <v>260</v>
      </c>
    </row>
    <row r="870">
      <c r="A870" s="2">
        <v>45494.41521990741</v>
      </c>
      <c r="B870" s="1" t="s">
        <v>478</v>
      </c>
      <c r="C870" s="1" t="s">
        <v>89</v>
      </c>
      <c r="D870" s="1" t="s">
        <v>744</v>
      </c>
      <c r="E870" s="1" t="s">
        <v>260</v>
      </c>
    </row>
    <row r="871">
      <c r="A871" s="2">
        <v>45494.41541666666</v>
      </c>
      <c r="B871" s="1" t="s">
        <v>478</v>
      </c>
      <c r="C871" s="1" t="s">
        <v>89</v>
      </c>
      <c r="D871" s="1" t="s">
        <v>744</v>
      </c>
      <c r="E871" s="1" t="s">
        <v>260</v>
      </c>
    </row>
    <row r="872">
      <c r="A872" s="2">
        <v>45494.599965277775</v>
      </c>
      <c r="B872" s="1" t="s">
        <v>478</v>
      </c>
      <c r="C872" s="1" t="s">
        <v>89</v>
      </c>
      <c r="D872" s="1" t="s">
        <v>416</v>
      </c>
      <c r="E872" s="1" t="s">
        <v>260</v>
      </c>
    </row>
    <row r="873">
      <c r="A873" s="2">
        <v>45494.63722222222</v>
      </c>
      <c r="B873" s="1" t="s">
        <v>391</v>
      </c>
      <c r="C873" s="1" t="s">
        <v>392</v>
      </c>
      <c r="D873" s="1" t="s">
        <v>744</v>
      </c>
      <c r="E873" s="1" t="s">
        <v>260</v>
      </c>
    </row>
    <row r="874">
      <c r="A874" s="2">
        <v>45494.63768518518</v>
      </c>
      <c r="B874" s="1" t="s">
        <v>391</v>
      </c>
      <c r="C874" s="1" t="s">
        <v>392</v>
      </c>
      <c r="D874" s="1" t="s">
        <v>744</v>
      </c>
      <c r="E874" s="1" t="s">
        <v>260</v>
      </c>
    </row>
    <row r="875">
      <c r="A875" s="2">
        <v>45494.63804398148</v>
      </c>
      <c r="B875" s="1" t="s">
        <v>391</v>
      </c>
      <c r="C875" s="1" t="s">
        <v>392</v>
      </c>
      <c r="D875" s="1" t="s">
        <v>744</v>
      </c>
      <c r="E875" s="1" t="s">
        <v>260</v>
      </c>
    </row>
    <row r="876">
      <c r="A876" s="2">
        <v>45494.63832175926</v>
      </c>
      <c r="B876" s="1" t="s">
        <v>391</v>
      </c>
      <c r="C876" s="1" t="s">
        <v>392</v>
      </c>
      <c r="D876" s="1" t="s">
        <v>744</v>
      </c>
      <c r="E876" s="1" t="s">
        <v>260</v>
      </c>
    </row>
    <row r="877">
      <c r="A877" s="2">
        <v>45494.64445601852</v>
      </c>
      <c r="B877" s="1" t="s">
        <v>391</v>
      </c>
      <c r="C877" s="1" t="s">
        <v>392</v>
      </c>
      <c r="D877" s="1" t="s">
        <v>744</v>
      </c>
      <c r="E877" s="1" t="s">
        <v>260</v>
      </c>
    </row>
    <row r="878">
      <c r="A878" s="2">
        <v>45494.657534722224</v>
      </c>
      <c r="B878" s="1" t="s">
        <v>470</v>
      </c>
      <c r="C878" s="1" t="s">
        <v>471</v>
      </c>
      <c r="D878" s="1" t="s">
        <v>744</v>
      </c>
      <c r="E878" s="1" t="s">
        <v>260</v>
      </c>
    </row>
    <row r="879">
      <c r="A879" s="2">
        <v>45494.662523148145</v>
      </c>
      <c r="B879" s="1" t="s">
        <v>478</v>
      </c>
      <c r="C879" s="1" t="s">
        <v>89</v>
      </c>
      <c r="D879" s="1" t="s">
        <v>744</v>
      </c>
      <c r="E879" s="1" t="s">
        <v>260</v>
      </c>
    </row>
    <row r="880">
      <c r="A880" s="2">
        <v>45494.67009259259</v>
      </c>
      <c r="B880" s="1" t="s">
        <v>525</v>
      </c>
      <c r="C880" s="1" t="s">
        <v>526</v>
      </c>
      <c r="D880" s="1" t="s">
        <v>744</v>
      </c>
      <c r="E880" s="1" t="s">
        <v>260</v>
      </c>
    </row>
    <row r="881">
      <c r="A881" s="2">
        <v>45494.67034722222</v>
      </c>
      <c r="B881" s="1" t="s">
        <v>525</v>
      </c>
      <c r="C881" s="1" t="s">
        <v>526</v>
      </c>
      <c r="D881" s="1" t="s">
        <v>744</v>
      </c>
      <c r="E881" s="1" t="s">
        <v>260</v>
      </c>
    </row>
    <row r="882">
      <c r="A882" s="2">
        <v>45494.671122685184</v>
      </c>
      <c r="B882" s="1" t="s">
        <v>525</v>
      </c>
      <c r="C882" s="1" t="s">
        <v>526</v>
      </c>
      <c r="D882" s="1" t="s">
        <v>744</v>
      </c>
      <c r="E882" s="1" t="s">
        <v>260</v>
      </c>
    </row>
    <row r="883">
      <c r="A883" s="2">
        <v>45494.671423611115</v>
      </c>
      <c r="B883" s="1" t="s">
        <v>525</v>
      </c>
      <c r="C883" s="1" t="s">
        <v>526</v>
      </c>
      <c r="D883" s="1" t="s">
        <v>744</v>
      </c>
      <c r="E883" s="1" t="s">
        <v>260</v>
      </c>
    </row>
    <row r="884">
      <c r="A884" s="2">
        <v>45494.672638888886</v>
      </c>
      <c r="B884" s="1" t="s">
        <v>470</v>
      </c>
      <c r="C884" s="1" t="s">
        <v>471</v>
      </c>
      <c r="D884" s="1" t="s">
        <v>744</v>
      </c>
      <c r="E884" s="1" t="s">
        <v>260</v>
      </c>
    </row>
    <row r="885">
      <c r="A885" s="2">
        <v>45495.691342592596</v>
      </c>
      <c r="B885" s="1" t="s">
        <v>508</v>
      </c>
      <c r="C885" s="1" t="s">
        <v>423</v>
      </c>
      <c r="D885" s="3" t="str">
        <f>?utf-8?B?IPCfjolHZXQgdXAgdG8gMTAwIEJvbnVzIE1pbGVzIGF0IFNoZQ==?=
 =?utf-8?B?bGzwn46J?=</f>
        <v>#ERROR!</v>
      </c>
      <c r="E885" s="1" t="s">
        <v>279</v>
      </c>
    </row>
    <row r="886">
      <c r="A886" s="2">
        <v>45495.836597222224</v>
      </c>
      <c r="B886" s="1" t="s">
        <v>391</v>
      </c>
      <c r="C886" s="1" t="s">
        <v>392</v>
      </c>
      <c r="D886" s="1" t="s">
        <v>744</v>
      </c>
      <c r="E886" s="1" t="s">
        <v>260</v>
      </c>
    </row>
    <row r="887">
      <c r="A887" s="2">
        <v>45495.83728009259</v>
      </c>
      <c r="B887" s="1" t="s">
        <v>391</v>
      </c>
      <c r="C887" s="1" t="s">
        <v>392</v>
      </c>
      <c r="D887" s="1" t="s">
        <v>744</v>
      </c>
      <c r="E887" s="1" t="s">
        <v>260</v>
      </c>
    </row>
    <row r="888">
      <c r="A888" s="2">
        <v>45495.83892361111</v>
      </c>
      <c r="B888" s="1" t="s">
        <v>478</v>
      </c>
      <c r="C888" s="1" t="s">
        <v>89</v>
      </c>
      <c r="D888" s="1" t="s">
        <v>744</v>
      </c>
      <c r="E888" s="1" t="s">
        <v>260</v>
      </c>
    </row>
    <row r="889">
      <c r="A889" s="2">
        <v>45496.00871527778</v>
      </c>
      <c r="B889" s="1" t="s">
        <v>633</v>
      </c>
      <c r="C889" s="1" t="s">
        <v>421</v>
      </c>
      <c r="D889" s="3" t="str">
        <f>?utf-8?B?IPCfjolHZXQgdXAgdG8gMTAwIEJvbnVzIE1pbGVzIGF0IFNoZQ==?=
 =?utf-8?B?bGzwn46J?=</f>
        <v>#ERROR!</v>
      </c>
      <c r="E889" s="1" t="s">
        <v>279</v>
      </c>
    </row>
    <row r="890">
      <c r="A890" s="2">
        <v>45496.00876157408</v>
      </c>
      <c r="B890" s="1" t="s">
        <v>592</v>
      </c>
      <c r="C890" s="1" t="s">
        <v>392</v>
      </c>
      <c r="D890" s="3" t="str">
        <f>?utf-8?B?IPCfjolHZXQgdXAgdG8gMTAwIEJvbnVzIE1pbGVzIGF0IFNoZQ==?=
 =?utf-8?B?bGzwn46J?=</f>
        <v>#ERROR!</v>
      </c>
      <c r="E890" s="1" t="s">
        <v>279</v>
      </c>
    </row>
    <row r="891">
      <c r="A891" s="2">
        <v>45496.00921296296</v>
      </c>
      <c r="B891" s="1" t="s">
        <v>735</v>
      </c>
      <c r="C891" s="1" t="s">
        <v>524</v>
      </c>
      <c r="D891" s="3" t="str">
        <f>?utf-8?B?IPCfjolHZXQgdXAgdG8gMTAwIEJvbnVzIE1pbGVzIGF0IFNoZQ==?=
 =?utf-8?B?bGzwn46J?=</f>
        <v>#ERROR!</v>
      </c>
      <c r="E891" s="1" t="s">
        <v>279</v>
      </c>
    </row>
    <row r="892">
      <c r="A892" s="2">
        <v>45496.00921296296</v>
      </c>
      <c r="B892" s="1" t="s">
        <v>745</v>
      </c>
      <c r="C892" s="1" t="s">
        <v>526</v>
      </c>
      <c r="D892" s="3" t="str">
        <f>?utf-8?B?IPCfjolHZXQgdXAgdG8gMTAwIEJvbnVzIE1pbGVzIGF0IFNoZQ==?=
 =?utf-8?B?bGzwn46J?=</f>
        <v>#ERROR!</v>
      </c>
      <c r="E892" s="1" t="s">
        <v>279</v>
      </c>
    </row>
    <row r="893">
      <c r="A893" s="2">
        <v>45496.00921296296</v>
      </c>
      <c r="B893" s="1" t="s">
        <v>746</v>
      </c>
      <c r="C893" s="1" t="s">
        <v>528</v>
      </c>
      <c r="D893" s="3" t="str">
        <f>?utf-8?B?IPCfjolHZXQgdXAgdG8gMTAwIEJvbnVzIE1pbGVzIGF0IFNoZQ==?=
 =?utf-8?B?bGzwn46J?=</f>
        <v>#ERROR!</v>
      </c>
      <c r="E893" s="1" t="s">
        <v>279</v>
      </c>
    </row>
    <row r="894">
      <c r="A894" s="2">
        <v>45496.00923611111</v>
      </c>
      <c r="B894" s="1" t="s">
        <v>747</v>
      </c>
      <c r="C894" s="1" t="s">
        <v>471</v>
      </c>
      <c r="D894" s="3" t="str">
        <f>?utf-8?B?IPCfjolHZXQgdXAgdG8gMTAwIEJvbnVzIE1pbGVzIGF0IFNoZQ==?=
 =?utf-8?B?bGzwn46J?=</f>
        <v>#ERROR!</v>
      </c>
      <c r="E894" s="1" t="s">
        <v>279</v>
      </c>
    </row>
    <row r="895">
      <c r="A895" s="2">
        <v>45496.00959490741</v>
      </c>
      <c r="B895" s="1" t="s">
        <v>294</v>
      </c>
      <c r="C895" s="1" t="s">
        <v>6</v>
      </c>
      <c r="D895" s="3" t="str">
        <f>?utf-8?B?IPCfjolHZXQgdXAgdG8gMTAwIEJvbnVzIE1pbGVzIGF0IFNoZQ==?=
 =?utf-8?B?bGzwn46J?=</f>
        <v>#ERROR!</v>
      </c>
      <c r="E895" s="1" t="s">
        <v>279</v>
      </c>
    </row>
    <row r="896">
      <c r="A896" s="2">
        <v>45496.59863425926</v>
      </c>
      <c r="B896" s="1" t="s">
        <v>422</v>
      </c>
      <c r="C896" s="1" t="s">
        <v>423</v>
      </c>
      <c r="D896" s="1" t="s">
        <v>744</v>
      </c>
      <c r="E896" s="1" t="s">
        <v>260</v>
      </c>
    </row>
    <row r="897">
      <c r="A897" s="2">
        <v>45498.45953703704</v>
      </c>
      <c r="B897" s="1" t="s">
        <v>748</v>
      </c>
      <c r="C897" s="1" t="s">
        <v>6</v>
      </c>
      <c r="D897" s="3" t="str">
        <f>?utf-8?B?8J+ZjCBTY29yZSBtb3JlIHBvaW50cywgQ3JhaWcg8J+ZjA==?=</f>
        <v>#ERROR!</v>
      </c>
      <c r="E897" s="1" t="s">
        <v>749</v>
      </c>
    </row>
    <row r="898">
      <c r="A898" s="2">
        <v>45498.50016203704</v>
      </c>
      <c r="B898" s="1" t="s">
        <v>748</v>
      </c>
      <c r="C898" s="1" t="s">
        <v>6</v>
      </c>
      <c r="D898" s="1" t="s">
        <v>750</v>
      </c>
      <c r="E898" s="1" t="s">
        <v>749</v>
      </c>
    </row>
    <row r="899">
      <c r="A899" s="2">
        <v>45498.9308912037</v>
      </c>
      <c r="B899" s="1" t="s">
        <v>406</v>
      </c>
      <c r="C899" s="1" t="s">
        <v>14</v>
      </c>
      <c r="D899" s="1" t="s">
        <v>407</v>
      </c>
      <c r="E899" s="1" t="s">
        <v>408</v>
      </c>
    </row>
    <row r="900">
      <c r="A900" s="2">
        <v>45499.12414351852</v>
      </c>
      <c r="B900" s="1" t="s">
        <v>751</v>
      </c>
      <c r="C900" s="1" t="s">
        <v>6</v>
      </c>
      <c r="D900" s="1" t="s">
        <v>752</v>
      </c>
      <c r="E900" s="1" t="s">
        <v>753</v>
      </c>
    </row>
    <row r="901">
      <c r="A901" s="2">
        <v>45498.9984375</v>
      </c>
      <c r="B901" s="1" t="s">
        <v>259</v>
      </c>
      <c r="C901" s="1" t="s">
        <v>6</v>
      </c>
      <c r="D901" s="3" t="str">
        <f>?windows-1252?Q?Don=92t_miss_our_BIGGEST_Redemption_Event_EVER!?=</f>
        <v>#ERROR!</v>
      </c>
      <c r="E901" s="1" t="s">
        <v>279</v>
      </c>
    </row>
    <row r="902">
      <c r="A902" s="2">
        <v>45499.01912037037</v>
      </c>
      <c r="B902" s="1" t="s">
        <v>430</v>
      </c>
      <c r="C902" s="1" t="s">
        <v>421</v>
      </c>
      <c r="D902" s="3" t="str">
        <f>?windows-1252?Q?Don=92t_miss_our_BIGGEST_Redemption_Event_EVER!?=</f>
        <v>#ERROR!</v>
      </c>
      <c r="E902" s="1" t="s">
        <v>279</v>
      </c>
    </row>
    <row r="903">
      <c r="A903" s="2">
        <v>45499.60460648148</v>
      </c>
      <c r="B903" s="1" t="s">
        <v>259</v>
      </c>
      <c r="C903" s="1" t="s">
        <v>6</v>
      </c>
      <c r="D903" s="3" t="str">
        <f>?utf-8?B?RklOQUwgREFZIHRvIHJlZGVlbSBCSUcgKyBsaW1pdGVkLXRpbQ==?=
 =?utf-8?B?ZSBvZmZlcnMg8J+RgA==?=</f>
        <v>#ERROR!</v>
      </c>
      <c r="E903" s="1" t="s">
        <v>279</v>
      </c>
    </row>
    <row r="904">
      <c r="A904" s="2">
        <v>45499.60518518519</v>
      </c>
      <c r="B904" s="1" t="s">
        <v>476</v>
      </c>
      <c r="C904" s="1" t="s">
        <v>471</v>
      </c>
      <c r="D904" s="3" t="str">
        <f>?utf-8?B?RklOQUwgREFZIHRvIHJlZGVlbSBCSUcgKyBsaW1pdGVkLXRpbQ==?=
 =?utf-8?B?ZSBvZmZlcnMg8J+RgA==?=</f>
        <v>#ERROR!</v>
      </c>
      <c r="E904" s="1" t="s">
        <v>279</v>
      </c>
    </row>
    <row r="905">
      <c r="A905" s="2">
        <v>45499.60519675926</v>
      </c>
      <c r="B905" s="1" t="s">
        <v>393</v>
      </c>
      <c r="C905" s="1" t="s">
        <v>392</v>
      </c>
      <c r="D905" s="3" t="str">
        <f>?utf-8?B?RklOQUwgREFZIHRvIHJlZGVlbSBCSUcgKyBsaW1pdGVkLXRpbQ==?=
 =?utf-8?B?ZSBvZmZlcnMg8J+RgA==?=</f>
        <v>#ERROR!</v>
      </c>
      <c r="E905" s="1" t="s">
        <v>279</v>
      </c>
    </row>
    <row r="906">
      <c r="A906" s="2">
        <v>45499.63626157407</v>
      </c>
      <c r="B906" s="1" t="s">
        <v>549</v>
      </c>
      <c r="C906" s="1" t="s">
        <v>528</v>
      </c>
      <c r="D906" s="3" t="str">
        <f>?utf-8?B?RklOQUwgREFZIHRvIHJlZGVlbSBCSUcgKyBsaW1pdGVkLXRpbQ==?=
 =?utf-8?B?ZSBvZmZlcnMg8J+RgA==?=</f>
        <v>#ERROR!</v>
      </c>
      <c r="E906" s="1" t="s">
        <v>279</v>
      </c>
    </row>
    <row r="907">
      <c r="A907" s="2">
        <v>45499.98780092593</v>
      </c>
      <c r="B907" s="1" t="s">
        <v>325</v>
      </c>
      <c r="C907" s="1" t="s">
        <v>14</v>
      </c>
      <c r="D907" s="1" t="s">
        <v>515</v>
      </c>
      <c r="E907" s="1" t="s">
        <v>648</v>
      </c>
    </row>
    <row r="908">
      <c r="A908" s="2">
        <v>45499.98780092593</v>
      </c>
      <c r="B908" s="1" t="s">
        <v>319</v>
      </c>
      <c r="C908" s="1" t="s">
        <v>14</v>
      </c>
      <c r="D908" s="1" t="s">
        <v>517</v>
      </c>
      <c r="E908" s="1" t="s">
        <v>518</v>
      </c>
    </row>
    <row r="909">
      <c r="A909" s="2">
        <v>45500.04491898148</v>
      </c>
      <c r="B909" s="1" t="s">
        <v>325</v>
      </c>
      <c r="C909" s="1" t="s">
        <v>14</v>
      </c>
      <c r="D909" s="1" t="s">
        <v>754</v>
      </c>
      <c r="E909" s="1" t="s">
        <v>755</v>
      </c>
    </row>
    <row r="910">
      <c r="A910" s="2">
        <v>45500.67704861111</v>
      </c>
      <c r="B910" s="1" t="s">
        <v>723</v>
      </c>
      <c r="C910" s="1" t="s">
        <v>724</v>
      </c>
      <c r="D910" s="1" t="s">
        <v>756</v>
      </c>
      <c r="E910" s="1" t="s">
        <v>757</v>
      </c>
    </row>
    <row r="911">
      <c r="A911" s="2">
        <v>45500.761412037034</v>
      </c>
      <c r="B911" s="1" t="s">
        <v>406</v>
      </c>
      <c r="C911" s="1" t="s">
        <v>14</v>
      </c>
      <c r="D911" s="3" t="str">
        <f>?UTF-8?Q?Find_My_has_been_disabled_on_Craig=E2=80=99s_iPhone.?=</f>
        <v>#ERROR!</v>
      </c>
      <c r="E911" s="1" t="s">
        <v>758</v>
      </c>
    </row>
    <row r="912">
      <c r="A912" s="2">
        <v>45501.65267361111</v>
      </c>
      <c r="B912" s="1" t="s">
        <v>329</v>
      </c>
      <c r="C912" s="1" t="s">
        <v>14</v>
      </c>
      <c r="D912" s="1" t="s">
        <v>379</v>
      </c>
      <c r="E912" s="1" t="s">
        <v>759</v>
      </c>
    </row>
    <row r="913">
      <c r="A913" s="2">
        <v>45501.65267361111</v>
      </c>
      <c r="B913" s="1" t="s">
        <v>329</v>
      </c>
      <c r="C913" s="1" t="s">
        <v>14</v>
      </c>
      <c r="D913" s="1" t="s">
        <v>398</v>
      </c>
      <c r="E913" s="1" t="s">
        <v>712</v>
      </c>
    </row>
    <row r="914">
      <c r="A914" s="2">
        <v>45501.65275462963</v>
      </c>
      <c r="B914" s="1" t="s">
        <v>329</v>
      </c>
      <c r="C914" s="1" t="s">
        <v>14</v>
      </c>
      <c r="D914" s="1" t="s">
        <v>330</v>
      </c>
      <c r="E914" s="1" t="s">
        <v>760</v>
      </c>
    </row>
    <row r="915">
      <c r="A915" s="2">
        <v>45501.86888888889</v>
      </c>
      <c r="B915" s="1" t="s">
        <v>222</v>
      </c>
      <c r="C915" s="1" t="s">
        <v>14</v>
      </c>
      <c r="D915" s="1" t="s">
        <v>761</v>
      </c>
      <c r="E915" s="1" t="s">
        <v>762</v>
      </c>
    </row>
    <row r="916">
      <c r="A916" s="2">
        <v>45502.04696759259</v>
      </c>
      <c r="B916" s="1" t="s">
        <v>325</v>
      </c>
      <c r="C916" s="1" t="s">
        <v>14</v>
      </c>
      <c r="D916" s="1" t="s">
        <v>763</v>
      </c>
      <c r="E916" s="1" t="s">
        <v>764</v>
      </c>
    </row>
    <row r="917">
      <c r="A917" s="2">
        <v>45502.50052083333</v>
      </c>
      <c r="B917" s="1" t="s">
        <v>748</v>
      </c>
      <c r="C917" s="1" t="s">
        <v>6</v>
      </c>
      <c r="D917" s="1" t="s">
        <v>765</v>
      </c>
      <c r="E917" s="1" t="s">
        <v>749</v>
      </c>
    </row>
    <row r="918">
      <c r="A918" s="2">
        <v>45503.124872685185</v>
      </c>
      <c r="B918" s="1" t="s">
        <v>222</v>
      </c>
      <c r="C918" s="1" t="s">
        <v>14</v>
      </c>
      <c r="D918" s="1" t="s">
        <v>766</v>
      </c>
      <c r="E918" s="1" t="s">
        <v>767</v>
      </c>
    </row>
    <row r="919">
      <c r="A919" s="2">
        <v>45503.420335648145</v>
      </c>
      <c r="B919" s="1" t="s">
        <v>728</v>
      </c>
      <c r="C919" s="1" t="s">
        <v>6</v>
      </c>
      <c r="D919" s="3" t="str">
        <f>?UTF-8?B?SW5jcmVhc2UgeW91ciBjaGFuY2UgdG8gd2luKiB3aXRoIEtyYWZ0?=
 =?UTF-8?B?IEhlaW56IPCfkYA=?=</f>
        <v>#ERROR!</v>
      </c>
      <c r="E919" s="1" t="s">
        <v>768</v>
      </c>
    </row>
    <row r="920">
      <c r="A920" s="2">
        <v>45505.52578703704</v>
      </c>
      <c r="B920" s="1" t="s">
        <v>633</v>
      </c>
      <c r="C920" s="1" t="s">
        <v>421</v>
      </c>
      <c r="D920" s="1" t="s">
        <v>705</v>
      </c>
      <c r="E920" s="1" t="s">
        <v>279</v>
      </c>
    </row>
    <row r="921">
      <c r="A921" s="2">
        <v>45505.52579861111</v>
      </c>
      <c r="B921" s="1" t="s">
        <v>294</v>
      </c>
      <c r="C921" s="1" t="s">
        <v>6</v>
      </c>
      <c r="D921" s="1" t="s">
        <v>705</v>
      </c>
      <c r="E921" s="1" t="s">
        <v>279</v>
      </c>
    </row>
    <row r="922">
      <c r="A922" s="2">
        <v>45505.52652777778</v>
      </c>
      <c r="B922" s="1" t="s">
        <v>592</v>
      </c>
      <c r="C922" s="1" t="s">
        <v>392</v>
      </c>
      <c r="D922" s="1" t="s">
        <v>705</v>
      </c>
      <c r="E922" s="1" t="s">
        <v>279</v>
      </c>
    </row>
    <row r="923">
      <c r="A923" s="2">
        <v>45505.602858796294</v>
      </c>
      <c r="B923" s="1" t="s">
        <v>259</v>
      </c>
      <c r="C923" s="1" t="s">
        <v>6</v>
      </c>
      <c r="D923" s="3" t="str">
        <f>?utf-8?B?8J+MniBMb25nIFdlZWtlbmQgQWN0aXZhdGVkLCBVbmxvY2sgYQ==?=
 =?utf-8?B?IFRyYXZlbCBGbGFzaCBPZmZlciAmIEVwaWMgTW9tZW50cyDwn46J?=</f>
        <v>#ERROR!</v>
      </c>
      <c r="E923" s="1" t="s">
        <v>279</v>
      </c>
    </row>
    <row r="924">
      <c r="A924" s="2">
        <v>45505.697916666664</v>
      </c>
      <c r="B924" s="1" t="s">
        <v>745</v>
      </c>
      <c r="C924" s="1" t="s">
        <v>526</v>
      </c>
      <c r="D924" s="3" t="str">
        <f>?windows-1252?Q?You=92re_pre-approved_to_get_exclusive_BMO_cred?=
 =?windows-1252?Q?it_card_offers?=</f>
        <v>#ERROR!</v>
      </c>
      <c r="E924" s="1" t="s">
        <v>279</v>
      </c>
    </row>
    <row r="925">
      <c r="A925" s="2">
        <v>45505.72287037037</v>
      </c>
      <c r="B925" s="1" t="s">
        <v>633</v>
      </c>
      <c r="C925" s="1" t="s">
        <v>421</v>
      </c>
      <c r="D925" s="3" t="str">
        <f>?windows-1252?Q?You=92re_pre-approved_to_get_exclusive_BMO_cred?=
 =?windows-1252?Q?it_card_offers?=</f>
        <v>#ERROR!</v>
      </c>
      <c r="E925" s="1" t="s">
        <v>279</v>
      </c>
    </row>
    <row r="926">
      <c r="A926" s="2">
        <v>45505.84712962963</v>
      </c>
      <c r="B926" s="1" t="s">
        <v>294</v>
      </c>
      <c r="C926" s="1" t="s">
        <v>6</v>
      </c>
      <c r="D926" s="3" t="str">
        <f>?windows-1252?Q?You=92re_pre-approved_to_get_exclusive_BMO_cred?=
 =?windows-1252?Q?it_card_offers?=</f>
        <v>#ERROR!</v>
      </c>
      <c r="E926" s="1" t="s">
        <v>279</v>
      </c>
    </row>
    <row r="927">
      <c r="A927" s="2">
        <v>45506.11649305555</v>
      </c>
      <c r="B927" s="1" t="s">
        <v>329</v>
      </c>
      <c r="C927" s="1" t="s">
        <v>14</v>
      </c>
      <c r="D927" s="1" t="s">
        <v>398</v>
      </c>
      <c r="E927" s="1" t="s">
        <v>712</v>
      </c>
    </row>
    <row r="928">
      <c r="A928" s="2">
        <v>45506.11655092592</v>
      </c>
      <c r="B928" s="1" t="s">
        <v>329</v>
      </c>
      <c r="C928" s="1" t="s">
        <v>14</v>
      </c>
      <c r="D928" s="1" t="s">
        <v>379</v>
      </c>
      <c r="E928" s="1" t="s">
        <v>769</v>
      </c>
    </row>
    <row r="929">
      <c r="A929" s="2">
        <v>45506.11678240741</v>
      </c>
      <c r="B929" s="1" t="s">
        <v>329</v>
      </c>
      <c r="C929" s="1" t="s">
        <v>14</v>
      </c>
      <c r="D929" s="1" t="s">
        <v>330</v>
      </c>
      <c r="E929" s="1" t="s">
        <v>760</v>
      </c>
    </row>
    <row r="930">
      <c r="A930" s="2">
        <v>45506.949594907404</v>
      </c>
      <c r="B930" s="1" t="s">
        <v>770</v>
      </c>
      <c r="C930" s="1" t="s">
        <v>528</v>
      </c>
      <c r="D930" s="1" t="s">
        <v>771</v>
      </c>
      <c r="E930" s="1" t="s">
        <v>772</v>
      </c>
    </row>
    <row r="931">
      <c r="A931" s="2">
        <v>45506.960694444446</v>
      </c>
      <c r="B931" s="1" t="s">
        <v>770</v>
      </c>
      <c r="C931" s="1" t="s">
        <v>528</v>
      </c>
      <c r="D931" s="1" t="s">
        <v>771</v>
      </c>
      <c r="E931" s="1" t="s">
        <v>773</v>
      </c>
    </row>
    <row r="932">
      <c r="A932" s="2">
        <v>45506.979467592595</v>
      </c>
      <c r="B932" s="1" t="s">
        <v>774</v>
      </c>
      <c r="C932" s="1" t="s">
        <v>526</v>
      </c>
      <c r="D932" s="1" t="s">
        <v>771</v>
      </c>
      <c r="E932" s="1" t="s">
        <v>775</v>
      </c>
    </row>
    <row r="933">
      <c r="A933" s="2">
        <v>45507.57824074074</v>
      </c>
      <c r="B933" s="1" t="s">
        <v>776</v>
      </c>
      <c r="C933" s="1" t="s">
        <v>423</v>
      </c>
      <c r="D933" s="1" t="s">
        <v>771</v>
      </c>
      <c r="E933" s="1" t="s">
        <v>777</v>
      </c>
    </row>
    <row r="934">
      <c r="A934" s="2">
        <v>45507.58045138889</v>
      </c>
      <c r="B934" s="1" t="s">
        <v>778</v>
      </c>
      <c r="C934" s="1" t="s">
        <v>524</v>
      </c>
      <c r="D934" s="1" t="s">
        <v>771</v>
      </c>
      <c r="E934" s="1" t="s">
        <v>779</v>
      </c>
    </row>
    <row r="935">
      <c r="A935" s="2">
        <v>45507.58163194444</v>
      </c>
      <c r="B935" s="1" t="s">
        <v>774</v>
      </c>
      <c r="C935" s="1" t="s">
        <v>526</v>
      </c>
      <c r="D935" s="1" t="s">
        <v>771</v>
      </c>
      <c r="E935" s="1" t="s">
        <v>780</v>
      </c>
    </row>
    <row r="936">
      <c r="A936" s="2">
        <v>45507.58262731481</v>
      </c>
      <c r="B936" s="1" t="s">
        <v>781</v>
      </c>
      <c r="C936" s="1" t="s">
        <v>471</v>
      </c>
      <c r="D936" s="1" t="s">
        <v>771</v>
      </c>
      <c r="E936" s="1" t="s">
        <v>782</v>
      </c>
    </row>
    <row r="937">
      <c r="A937" s="2">
        <v>45507.61199074074</v>
      </c>
      <c r="B937" s="1" t="s">
        <v>770</v>
      </c>
      <c r="C937" s="1" t="s">
        <v>528</v>
      </c>
      <c r="D937" s="1" t="s">
        <v>771</v>
      </c>
      <c r="E937" s="1" t="s">
        <v>783</v>
      </c>
    </row>
    <row r="938">
      <c r="A938" s="2">
        <v>45507.61305555556</v>
      </c>
      <c r="B938" s="1" t="s">
        <v>770</v>
      </c>
      <c r="C938" s="1" t="s">
        <v>528</v>
      </c>
      <c r="D938" s="1" t="s">
        <v>771</v>
      </c>
      <c r="E938" s="1" t="s">
        <v>783</v>
      </c>
    </row>
    <row r="939">
      <c r="A939" s="2">
        <v>45507.67731481481</v>
      </c>
      <c r="B939" s="1" t="s">
        <v>723</v>
      </c>
      <c r="C939" s="1" t="s">
        <v>724</v>
      </c>
      <c r="D939" s="1" t="s">
        <v>784</v>
      </c>
      <c r="E939" s="1" t="s">
        <v>785</v>
      </c>
    </row>
    <row r="940">
      <c r="A940" s="2">
        <v>45507.68729166667</v>
      </c>
      <c r="B940" s="1" t="s">
        <v>422</v>
      </c>
      <c r="C940" s="1" t="s">
        <v>423</v>
      </c>
      <c r="D940" s="1" t="s">
        <v>744</v>
      </c>
      <c r="E940" s="1" t="s">
        <v>260</v>
      </c>
    </row>
    <row r="941">
      <c r="A941" s="2">
        <v>45509.555914351855</v>
      </c>
      <c r="B941" s="1" t="s">
        <v>391</v>
      </c>
      <c r="C941" s="1" t="s">
        <v>392</v>
      </c>
      <c r="D941" s="1" t="s">
        <v>744</v>
      </c>
      <c r="E941" s="1" t="s">
        <v>260</v>
      </c>
    </row>
    <row r="942">
      <c r="A942" s="2">
        <v>45509.563263888886</v>
      </c>
      <c r="B942" s="1" t="s">
        <v>478</v>
      </c>
      <c r="C942" s="1" t="s">
        <v>89</v>
      </c>
      <c r="D942" s="1" t="s">
        <v>744</v>
      </c>
      <c r="E942" s="1" t="s">
        <v>260</v>
      </c>
    </row>
    <row r="943">
      <c r="A943" s="2">
        <v>45510.5971412037</v>
      </c>
      <c r="B943" s="1" t="s">
        <v>770</v>
      </c>
      <c r="C943" s="1" t="s">
        <v>528</v>
      </c>
      <c r="D943" s="1" t="s">
        <v>771</v>
      </c>
      <c r="E943" s="1" t="s">
        <v>786</v>
      </c>
    </row>
    <row r="944">
      <c r="A944" s="2">
        <v>45510.605104166665</v>
      </c>
      <c r="B944" s="1" t="s">
        <v>776</v>
      </c>
      <c r="C944" s="1" t="s">
        <v>423</v>
      </c>
      <c r="D944" s="1" t="s">
        <v>771</v>
      </c>
      <c r="E944" s="1" t="s">
        <v>787</v>
      </c>
    </row>
    <row r="945">
      <c r="A945" s="2">
        <v>45510.646469907406</v>
      </c>
      <c r="B945" s="1" t="s">
        <v>776</v>
      </c>
      <c r="C945" s="1" t="s">
        <v>423</v>
      </c>
      <c r="D945" s="1" t="s">
        <v>771</v>
      </c>
      <c r="E945" s="1" t="s">
        <v>788</v>
      </c>
    </row>
    <row r="946">
      <c r="A946" s="2">
        <v>45510.68449074074</v>
      </c>
      <c r="B946" s="1" t="s">
        <v>781</v>
      </c>
      <c r="C946" s="1" t="s">
        <v>471</v>
      </c>
      <c r="D946" s="1" t="s">
        <v>771</v>
      </c>
      <c r="E946" s="1" t="s">
        <v>789</v>
      </c>
    </row>
    <row r="947">
      <c r="A947" s="2">
        <v>45510.706724537034</v>
      </c>
      <c r="B947" s="1" t="s">
        <v>776</v>
      </c>
      <c r="C947" s="1" t="s">
        <v>423</v>
      </c>
      <c r="D947" s="1" t="s">
        <v>771</v>
      </c>
      <c r="E947" s="1" t="s">
        <v>790</v>
      </c>
    </row>
    <row r="948">
      <c r="A948" s="2">
        <v>45510.730405092596</v>
      </c>
      <c r="B948" s="1" t="s">
        <v>781</v>
      </c>
      <c r="C948" s="1" t="s">
        <v>471</v>
      </c>
      <c r="D948" s="1" t="s">
        <v>771</v>
      </c>
      <c r="E948" s="1" t="s">
        <v>791</v>
      </c>
    </row>
    <row r="949">
      <c r="A949" s="2">
        <v>45510.70642361111</v>
      </c>
      <c r="B949" s="1" t="s">
        <v>259</v>
      </c>
      <c r="C949" s="1" t="s">
        <v>6</v>
      </c>
      <c r="D949" s="1" t="s">
        <v>792</v>
      </c>
      <c r="E949" s="1" t="s">
        <v>279</v>
      </c>
    </row>
    <row r="950">
      <c r="A950" s="2">
        <v>45511.85506944444</v>
      </c>
      <c r="B950" s="1" t="s">
        <v>770</v>
      </c>
      <c r="C950" s="1" t="s">
        <v>528</v>
      </c>
      <c r="D950" s="1" t="s">
        <v>771</v>
      </c>
      <c r="E950" s="1" t="s">
        <v>793</v>
      </c>
    </row>
    <row r="951">
      <c r="A951" s="2">
        <v>45511.61077546296</v>
      </c>
      <c r="B951" s="1" t="s">
        <v>728</v>
      </c>
      <c r="C951" s="1" t="s">
        <v>6</v>
      </c>
      <c r="D951" s="3" t="str">
        <f>?UTF-8?B?Q3JhaWcsIHNhdm91ciBzdW1tZXIgd2l0aCB5b3VyIGZhdm91cml0?=
 =?UTF-8?B?ZSBnby10byBwcm9kdWN0cyDimIDvuI8=?=</f>
        <v>#ERROR!</v>
      </c>
      <c r="E951" s="1" t="s">
        <v>794</v>
      </c>
    </row>
    <row r="952">
      <c r="A952" s="2">
        <v>45511.88837962963</v>
      </c>
      <c r="B952" s="1" t="s">
        <v>776</v>
      </c>
      <c r="C952" s="1" t="s">
        <v>423</v>
      </c>
      <c r="D952" s="1" t="s">
        <v>771</v>
      </c>
      <c r="E952" s="1" t="s">
        <v>795</v>
      </c>
    </row>
    <row r="953">
      <c r="A953" s="2">
        <v>45512.53627314815</v>
      </c>
      <c r="B953" s="1" t="s">
        <v>508</v>
      </c>
      <c r="C953" s="1" t="s">
        <v>423</v>
      </c>
      <c r="D953" s="3" t="str">
        <f>?windows-1252?Q?Save_up_to_32=A2/L_at_Shell?=</f>
        <v>#ERROR!</v>
      </c>
      <c r="E953" s="1" t="s">
        <v>279</v>
      </c>
    </row>
    <row r="954">
      <c r="A954" s="2">
        <v>45512.76310185185</v>
      </c>
      <c r="B954" s="1" t="s">
        <v>776</v>
      </c>
      <c r="C954" s="1" t="s">
        <v>423</v>
      </c>
      <c r="D954" s="1" t="s">
        <v>796</v>
      </c>
      <c r="E954" s="1" t="s">
        <v>797</v>
      </c>
    </row>
    <row r="955">
      <c r="A955" s="2">
        <v>45512.61613425926</v>
      </c>
      <c r="B955" s="1" t="s">
        <v>735</v>
      </c>
      <c r="C955" s="1" t="s">
        <v>524</v>
      </c>
      <c r="D955" s="3" t="str">
        <f>?windows-1252?Q?Save_up_to_32=A2/L_at_Shell?=</f>
        <v>#ERROR!</v>
      </c>
      <c r="E955" s="1" t="s">
        <v>279</v>
      </c>
    </row>
    <row r="956">
      <c r="A956" s="2">
        <v>45512.61613425926</v>
      </c>
      <c r="B956" s="1" t="s">
        <v>746</v>
      </c>
      <c r="C956" s="1" t="s">
        <v>528</v>
      </c>
      <c r="D956" s="3" t="str">
        <f>?windows-1252?Q?Save_up_to_32=A2/L_at_Shell?=</f>
        <v>#ERROR!</v>
      </c>
      <c r="E956" s="1" t="s">
        <v>279</v>
      </c>
    </row>
    <row r="957">
      <c r="A957" s="2">
        <v>45512.61619212963</v>
      </c>
      <c r="B957" s="1" t="s">
        <v>747</v>
      </c>
      <c r="C957" s="1" t="s">
        <v>471</v>
      </c>
      <c r="D957" s="3" t="str">
        <f>?windows-1252?Q?Save_up_to_32=A2/L_at_Shell?=</f>
        <v>#ERROR!</v>
      </c>
      <c r="E957" s="1" t="s">
        <v>279</v>
      </c>
    </row>
    <row r="958">
      <c r="A958" s="2">
        <v>45512.616273148145</v>
      </c>
      <c r="B958" s="1" t="s">
        <v>633</v>
      </c>
      <c r="C958" s="1" t="s">
        <v>421</v>
      </c>
      <c r="D958" s="3" t="str">
        <f>?windows-1252?Q?Save_up_to_32=A2/L_at_Shell?=</f>
        <v>#ERROR!</v>
      </c>
      <c r="E958" s="1" t="s">
        <v>279</v>
      </c>
    </row>
    <row r="959">
      <c r="A959" s="2">
        <v>45512.616319444445</v>
      </c>
      <c r="B959" s="1" t="s">
        <v>592</v>
      </c>
      <c r="C959" s="1" t="s">
        <v>392</v>
      </c>
      <c r="D959" s="3" t="str">
        <f>?windows-1252?Q?Save_up_to_32=A2/L_at_Shell?=</f>
        <v>#ERROR!</v>
      </c>
      <c r="E959" s="1" t="s">
        <v>279</v>
      </c>
    </row>
    <row r="960">
      <c r="A960" s="2">
        <v>45512.616574074076</v>
      </c>
      <c r="B960" s="1" t="s">
        <v>294</v>
      </c>
      <c r="C960" s="1" t="s">
        <v>6</v>
      </c>
      <c r="D960" s="3" t="str">
        <f>?windows-1252?Q?Save_up_to_32=A2/L_at_Shell?=</f>
        <v>#ERROR!</v>
      </c>
      <c r="E960" s="1" t="s">
        <v>279</v>
      </c>
    </row>
    <row r="961">
      <c r="A961" s="2">
        <v>45512.689791666664</v>
      </c>
      <c r="B961" s="1" t="s">
        <v>259</v>
      </c>
      <c r="C961" s="1" t="s">
        <v>6</v>
      </c>
      <c r="D961" s="3" t="str">
        <f>?utf-8?B?WW91ciB3ZWVrbHkgb2ZmZXJzIGFyZSBoZWF0aW5nIHVwIA==?=
 =?utf-8?B?8J+UpQ==?=</f>
        <v>#ERROR!</v>
      </c>
      <c r="E961" s="1" t="s">
        <v>279</v>
      </c>
    </row>
    <row r="962">
      <c r="A962" s="2">
        <v>45512.719618055555</v>
      </c>
      <c r="B962" s="1" t="s">
        <v>430</v>
      </c>
      <c r="C962" s="1" t="s">
        <v>421</v>
      </c>
      <c r="D962" s="3" t="str">
        <f>?utf-8?B?WW91ciB3ZWVrbHkgb2ZmZXJzIGFyZSBoZWF0aW5nIHVwIA==?=
 =?utf-8?B?8J+UpQ==?=</f>
        <v>#ERROR!</v>
      </c>
      <c r="E962" s="1" t="s">
        <v>279</v>
      </c>
    </row>
    <row r="963">
      <c r="A963" s="2">
        <v>45512.88730324074</v>
      </c>
      <c r="B963" s="1" t="s">
        <v>776</v>
      </c>
      <c r="C963" s="1" t="s">
        <v>423</v>
      </c>
      <c r="D963" s="1" t="s">
        <v>798</v>
      </c>
      <c r="E963" s="1" t="s">
        <v>799</v>
      </c>
    </row>
    <row r="964">
      <c r="A964" s="2">
        <v>45513.517430555556</v>
      </c>
      <c r="B964" s="1" t="s">
        <v>781</v>
      </c>
      <c r="C964" s="1" t="s">
        <v>471</v>
      </c>
      <c r="D964" s="1" t="s">
        <v>771</v>
      </c>
      <c r="E964" s="1" t="s">
        <v>800</v>
      </c>
    </row>
    <row r="965">
      <c r="A965" s="2">
        <v>45513.52878472222</v>
      </c>
      <c r="B965" s="1" t="s">
        <v>801</v>
      </c>
      <c r="C965" s="1" t="s">
        <v>297</v>
      </c>
      <c r="D965" s="1" t="s">
        <v>771</v>
      </c>
      <c r="E965" s="1" t="s">
        <v>802</v>
      </c>
    </row>
    <row r="966">
      <c r="A966" s="2">
        <v>45513.535046296296</v>
      </c>
      <c r="B966" s="1" t="s">
        <v>774</v>
      </c>
      <c r="C966" s="1" t="s">
        <v>526</v>
      </c>
      <c r="D966" s="1" t="s">
        <v>771</v>
      </c>
      <c r="E966" s="1" t="s">
        <v>800</v>
      </c>
    </row>
    <row r="967">
      <c r="A967" s="2">
        <v>45513.53925925926</v>
      </c>
      <c r="B967" s="1" t="s">
        <v>774</v>
      </c>
      <c r="C967" s="1" t="s">
        <v>526</v>
      </c>
      <c r="D967" s="1" t="s">
        <v>771</v>
      </c>
      <c r="E967" s="1" t="s">
        <v>800</v>
      </c>
    </row>
    <row r="968">
      <c r="A968" s="2">
        <v>45513.544537037036</v>
      </c>
      <c r="B968" s="1" t="s">
        <v>774</v>
      </c>
      <c r="C968" s="1" t="s">
        <v>526</v>
      </c>
      <c r="D968" s="1" t="s">
        <v>771</v>
      </c>
      <c r="E968" s="1" t="s">
        <v>803</v>
      </c>
    </row>
    <row r="969">
      <c r="A969" s="2">
        <v>45513.54686342592</v>
      </c>
      <c r="B969" s="1" t="s">
        <v>774</v>
      </c>
      <c r="C969" s="1" t="s">
        <v>526</v>
      </c>
      <c r="D969" s="1" t="s">
        <v>771</v>
      </c>
      <c r="E969" s="1" t="s">
        <v>804</v>
      </c>
    </row>
    <row r="970">
      <c r="A970" s="2">
        <v>45513.54881944445</v>
      </c>
      <c r="B970" s="1" t="s">
        <v>781</v>
      </c>
      <c r="C970" s="1" t="s">
        <v>471</v>
      </c>
      <c r="D970" s="1" t="s">
        <v>771</v>
      </c>
      <c r="E970" s="1" t="s">
        <v>805</v>
      </c>
    </row>
    <row r="971">
      <c r="A971" s="2">
        <v>45513.55986111111</v>
      </c>
      <c r="B971" s="1" t="s">
        <v>806</v>
      </c>
      <c r="C971" s="1" t="s">
        <v>421</v>
      </c>
      <c r="D971" s="1" t="s">
        <v>771</v>
      </c>
      <c r="E971" s="1" t="s">
        <v>807</v>
      </c>
    </row>
    <row r="972">
      <c r="A972" s="2">
        <v>45513.96113425926</v>
      </c>
      <c r="B972" s="1" t="s">
        <v>470</v>
      </c>
      <c r="C972" s="1" t="s">
        <v>471</v>
      </c>
      <c r="D972" s="1" t="s">
        <v>744</v>
      </c>
      <c r="E972" s="1" t="s">
        <v>260</v>
      </c>
    </row>
    <row r="973">
      <c r="A973" s="2">
        <v>45513.96239583333</v>
      </c>
      <c r="B973" s="1" t="s">
        <v>478</v>
      </c>
      <c r="C973" s="1" t="s">
        <v>89</v>
      </c>
      <c r="D973" s="1" t="s">
        <v>744</v>
      </c>
      <c r="E973" s="1" t="s">
        <v>260</v>
      </c>
    </row>
    <row r="974">
      <c r="A974" s="2">
        <v>45514.349224537036</v>
      </c>
      <c r="B974" s="1" t="s">
        <v>728</v>
      </c>
      <c r="C974" s="1" t="s">
        <v>6</v>
      </c>
      <c r="D974" s="3" t="str">
        <f>?UTF-8?B?SW5jcmVhc2UgeW91ciBjaGFuY2UgdG8gd2luKiB3aXRoIEdlbmVy?=
 =?UTF-8?B?YWwgTWlsbHMg8J+RgA==?=</f>
        <v>#ERROR!</v>
      </c>
      <c r="E974" s="1" t="s">
        <v>768</v>
      </c>
    </row>
    <row r="975">
      <c r="A975" s="2">
        <v>45514.67638888889</v>
      </c>
      <c r="B975" s="1" t="s">
        <v>723</v>
      </c>
      <c r="C975" s="1" t="s">
        <v>724</v>
      </c>
      <c r="D975" s="1" t="s">
        <v>808</v>
      </c>
      <c r="E975" s="1" t="s">
        <v>809</v>
      </c>
    </row>
    <row r="976">
      <c r="A976" s="2">
        <v>45514.75287037037</v>
      </c>
      <c r="B976" s="1" t="s">
        <v>810</v>
      </c>
      <c r="C976" s="1" t="s">
        <v>392</v>
      </c>
      <c r="D976" s="1" t="s">
        <v>771</v>
      </c>
      <c r="E976" s="1" t="s">
        <v>811</v>
      </c>
    </row>
    <row r="977">
      <c r="A977" s="2">
        <v>45514.77238425926</v>
      </c>
      <c r="B977" s="1" t="s">
        <v>801</v>
      </c>
      <c r="C977" s="1" t="s">
        <v>297</v>
      </c>
      <c r="D977" s="1" t="s">
        <v>771</v>
      </c>
      <c r="E977" s="1" t="s">
        <v>812</v>
      </c>
    </row>
    <row r="978">
      <c r="A978" s="2">
        <v>45516.431921296295</v>
      </c>
      <c r="B978" s="1" t="s">
        <v>319</v>
      </c>
      <c r="C978" s="1" t="s">
        <v>14</v>
      </c>
      <c r="D978" s="1" t="s">
        <v>320</v>
      </c>
      <c r="E978" s="1" t="s">
        <v>333</v>
      </c>
    </row>
    <row r="979">
      <c r="A979" s="2">
        <v>45516.43369212963</v>
      </c>
      <c r="B979" s="1" t="s">
        <v>315</v>
      </c>
      <c r="C979" s="1" t="s">
        <v>14</v>
      </c>
      <c r="D979" s="1" t="s">
        <v>316</v>
      </c>
      <c r="E979" s="1" t="s">
        <v>813</v>
      </c>
    </row>
    <row r="980">
      <c r="A980" s="2">
        <v>45516.63199074074</v>
      </c>
      <c r="B980" s="1" t="s">
        <v>806</v>
      </c>
      <c r="C980" s="1" t="s">
        <v>421</v>
      </c>
      <c r="D980" s="1" t="s">
        <v>771</v>
      </c>
      <c r="E980" s="1" t="s">
        <v>807</v>
      </c>
    </row>
    <row r="981">
      <c r="A981" s="2">
        <v>45516.634097222224</v>
      </c>
      <c r="B981" s="1" t="s">
        <v>776</v>
      </c>
      <c r="C981" s="1" t="s">
        <v>423</v>
      </c>
      <c r="D981" s="1" t="s">
        <v>771</v>
      </c>
      <c r="E981" s="1" t="s">
        <v>814</v>
      </c>
    </row>
    <row r="982">
      <c r="A982" s="2">
        <v>45516.77533564815</v>
      </c>
      <c r="B982" s="1" t="s">
        <v>259</v>
      </c>
      <c r="C982" s="1" t="s">
        <v>6</v>
      </c>
      <c r="D982" s="3" t="str">
        <f>?utf-8?B?TW9yZSBNaWxlcyBvbiBtb3JlIGJyYW5kcz8gWWVhaCB5b3UgYw==?=
 =?utf-8?B?YW4hIPCfkrM=?=</f>
        <v>#ERROR!</v>
      </c>
      <c r="E982" s="1" t="s">
        <v>279</v>
      </c>
    </row>
    <row r="983">
      <c r="A983" s="2">
        <v>45517.06523148148</v>
      </c>
      <c r="B983" s="1" t="s">
        <v>315</v>
      </c>
      <c r="C983" s="1" t="s">
        <v>14</v>
      </c>
      <c r="D983" s="1" t="s">
        <v>316</v>
      </c>
      <c r="E983" s="1" t="s">
        <v>815</v>
      </c>
    </row>
    <row r="984">
      <c r="A984" s="2">
        <v>45519.775034722225</v>
      </c>
      <c r="B984" s="1" t="s">
        <v>259</v>
      </c>
      <c r="C984" s="1" t="s">
        <v>6</v>
      </c>
      <c r="D984" s="1" t="s">
        <v>816</v>
      </c>
      <c r="E984" s="1" t="s">
        <v>279</v>
      </c>
    </row>
    <row r="985">
      <c r="A985" s="2">
        <v>45520.05563657408</v>
      </c>
      <c r="B985" s="1" t="s">
        <v>315</v>
      </c>
      <c r="C985" s="1" t="s">
        <v>14</v>
      </c>
      <c r="D985" s="1" t="s">
        <v>316</v>
      </c>
      <c r="E985" s="1" t="s">
        <v>817</v>
      </c>
    </row>
    <row r="986">
      <c r="A986" s="2">
        <v>45520.695555555554</v>
      </c>
      <c r="B986" s="1" t="s">
        <v>525</v>
      </c>
      <c r="C986" s="1" t="s">
        <v>526</v>
      </c>
      <c r="D986" s="1" t="s">
        <v>744</v>
      </c>
      <c r="E986" s="1" t="s">
        <v>260</v>
      </c>
    </row>
    <row r="987">
      <c r="A987" s="2">
        <v>45520.6983912037</v>
      </c>
      <c r="B987" s="1" t="s">
        <v>422</v>
      </c>
      <c r="C987" s="1" t="s">
        <v>423</v>
      </c>
      <c r="D987" s="1" t="s">
        <v>744</v>
      </c>
      <c r="E987" s="1" t="s">
        <v>260</v>
      </c>
    </row>
    <row r="988">
      <c r="A988" s="2">
        <v>45520.70883101852</v>
      </c>
      <c r="B988" s="1" t="s">
        <v>391</v>
      </c>
      <c r="C988" s="1" t="s">
        <v>392</v>
      </c>
      <c r="D988" s="1" t="s">
        <v>744</v>
      </c>
      <c r="E988" s="1" t="s">
        <v>260</v>
      </c>
    </row>
    <row r="989">
      <c r="A989" s="2">
        <v>45520.71928240741</v>
      </c>
      <c r="B989" s="1" t="s">
        <v>391</v>
      </c>
      <c r="C989" s="1" t="s">
        <v>392</v>
      </c>
      <c r="D989" s="1" t="s">
        <v>416</v>
      </c>
      <c r="E989" s="1" t="s">
        <v>260</v>
      </c>
    </row>
    <row r="990">
      <c r="A990" s="2">
        <v>45520.71934027778</v>
      </c>
      <c r="B990" s="1" t="s">
        <v>391</v>
      </c>
      <c r="C990" s="1" t="s">
        <v>392</v>
      </c>
      <c r="D990" s="1" t="s">
        <v>417</v>
      </c>
      <c r="E990" s="1" t="s">
        <v>260</v>
      </c>
    </row>
    <row r="991">
      <c r="A991" s="2">
        <v>45520.72008101852</v>
      </c>
      <c r="B991" s="1" t="s">
        <v>391</v>
      </c>
      <c r="C991" s="1" t="s">
        <v>392</v>
      </c>
      <c r="D991" s="1" t="s">
        <v>744</v>
      </c>
      <c r="E991" s="1" t="s">
        <v>260</v>
      </c>
    </row>
    <row r="992">
      <c r="A992" s="2">
        <v>45520.77130787037</v>
      </c>
      <c r="B992" s="1" t="s">
        <v>525</v>
      </c>
      <c r="C992" s="1" t="s">
        <v>526</v>
      </c>
      <c r="D992" s="1" t="s">
        <v>744</v>
      </c>
      <c r="E992" s="1" t="s">
        <v>260</v>
      </c>
    </row>
    <row r="993">
      <c r="A993" s="2">
        <v>45521.791400462964</v>
      </c>
      <c r="B993" s="1" t="s">
        <v>422</v>
      </c>
      <c r="C993" s="1" t="s">
        <v>423</v>
      </c>
      <c r="D993" s="1" t="s">
        <v>744</v>
      </c>
      <c r="E993" s="1" t="s">
        <v>260</v>
      </c>
    </row>
    <row r="994">
      <c r="A994" s="2">
        <v>45522.58341435185</v>
      </c>
      <c r="B994" s="1" t="s">
        <v>818</v>
      </c>
      <c r="C994" s="1" t="s">
        <v>14</v>
      </c>
      <c r="D994" s="1" t="s">
        <v>819</v>
      </c>
      <c r="E994" s="1" t="s">
        <v>820</v>
      </c>
    </row>
    <row r="995">
      <c r="A995" s="2">
        <v>45522.576574074075</v>
      </c>
      <c r="B995" s="1" t="s">
        <v>523</v>
      </c>
      <c r="C995" s="1" t="s">
        <v>524</v>
      </c>
      <c r="D995" s="3" t="str">
        <f>?windows-1252?Q?Here=92s_your_code_to_complete_your_order?=</f>
        <v>#ERROR!</v>
      </c>
      <c r="E995" s="1" t="s">
        <v>260</v>
      </c>
    </row>
    <row r="996">
      <c r="A996" s="2">
        <v>45523.72721064815</v>
      </c>
      <c r="B996" s="1" t="s">
        <v>391</v>
      </c>
      <c r="C996" s="1" t="s">
        <v>392</v>
      </c>
      <c r="D996" s="1" t="s">
        <v>744</v>
      </c>
      <c r="E996" s="1" t="s">
        <v>260</v>
      </c>
    </row>
    <row r="997">
      <c r="A997" s="2">
        <v>45524.50696759259</v>
      </c>
      <c r="B997" s="1" t="s">
        <v>464</v>
      </c>
      <c r="C997" s="1" t="s">
        <v>423</v>
      </c>
      <c r="D997" s="1" t="s">
        <v>821</v>
      </c>
      <c r="E997" s="1" t="s">
        <v>279</v>
      </c>
    </row>
    <row r="998">
      <c r="A998" s="2">
        <v>45524.54074074074</v>
      </c>
      <c r="B998" s="1" t="s">
        <v>391</v>
      </c>
      <c r="C998" s="1" t="s">
        <v>392</v>
      </c>
      <c r="D998" s="1" t="s">
        <v>744</v>
      </c>
      <c r="E998" s="1" t="s">
        <v>260</v>
      </c>
    </row>
    <row r="999">
      <c r="A999" s="2">
        <v>45524.554236111115</v>
      </c>
      <c r="B999" s="1" t="s">
        <v>420</v>
      </c>
      <c r="C999" s="1" t="s">
        <v>421</v>
      </c>
      <c r="D999" s="1" t="s">
        <v>416</v>
      </c>
      <c r="E999" s="1" t="s">
        <v>260</v>
      </c>
    </row>
    <row r="1000">
      <c r="A1000" s="2">
        <v>45524.55452546296</v>
      </c>
      <c r="B1000" s="1" t="s">
        <v>420</v>
      </c>
      <c r="C1000" s="1" t="s">
        <v>421</v>
      </c>
      <c r="D1000" s="1" t="s">
        <v>417</v>
      </c>
      <c r="E1000" s="1" t="s">
        <v>260</v>
      </c>
    </row>
    <row r="1001">
      <c r="A1001" s="2">
        <v>45524.55454861111</v>
      </c>
      <c r="B1001" s="1" t="s">
        <v>420</v>
      </c>
      <c r="C1001" s="1" t="s">
        <v>421</v>
      </c>
      <c r="D1001" s="1" t="s">
        <v>744</v>
      </c>
      <c r="E1001" s="1" t="s">
        <v>260</v>
      </c>
    </row>
    <row r="1002">
      <c r="A1002" s="2">
        <v>45524.57009259259</v>
      </c>
      <c r="B1002" s="1" t="s">
        <v>523</v>
      </c>
      <c r="C1002" s="1" t="s">
        <v>524</v>
      </c>
      <c r="D1002" s="1" t="s">
        <v>416</v>
      </c>
      <c r="E1002" s="1" t="s">
        <v>260</v>
      </c>
    </row>
    <row r="1003">
      <c r="A1003" s="2">
        <v>45524.57015046296</v>
      </c>
      <c r="B1003" s="1" t="s">
        <v>523</v>
      </c>
      <c r="C1003" s="1" t="s">
        <v>524</v>
      </c>
      <c r="D1003" s="1" t="s">
        <v>417</v>
      </c>
      <c r="E1003" s="1" t="s">
        <v>260</v>
      </c>
    </row>
    <row r="1004">
      <c r="A1004" s="2">
        <v>45524.62021990741</v>
      </c>
      <c r="B1004" s="1" t="s">
        <v>294</v>
      </c>
      <c r="C1004" s="1" t="s">
        <v>6</v>
      </c>
      <c r="D1004" s="3" t="str">
        <f>?utf-8?B?U2F2ZSB1cCB0byA3wqIvTCBhdCBTaGVsbCBldmVyeSB0aW1lIA==?=
 =?utf-8?B?eW91IGZpbGwgdXAg4pu9?=</f>
        <v>#ERROR!</v>
      </c>
      <c r="E1004" s="1" t="s">
        <v>279</v>
      </c>
    </row>
    <row r="1005">
      <c r="A1005" s="2">
        <v>45524.66138888889</v>
      </c>
      <c r="B1005" s="1" t="s">
        <v>745</v>
      </c>
      <c r="C1005" s="1" t="s">
        <v>526</v>
      </c>
      <c r="D1005" s="3" t="str">
        <f>?utf-8?B?U2F2ZSB1cCB0byA3wqIvTCBhdCBTaGVsbCBldmVyeSB0aW1lIA==?=
 =?utf-8?B?eW91IGZpbGwgdXAg4pu9?=</f>
        <v>#ERROR!</v>
      </c>
      <c r="E1005" s="1" t="s">
        <v>279</v>
      </c>
    </row>
    <row r="1006">
      <c r="A1006" s="2">
        <v>45524.66138888889</v>
      </c>
      <c r="B1006" s="1" t="s">
        <v>746</v>
      </c>
      <c r="C1006" s="1" t="s">
        <v>528</v>
      </c>
      <c r="D1006" s="3" t="str">
        <f>?utf-8?B?U2F2ZSB1cCB0byA3wqIvTCBhdCBTaGVsbCBldmVyeSB0aW1lIA==?=
 =?utf-8?B?eW91IGZpbGwgdXAg4pu9?=</f>
        <v>#ERROR!</v>
      </c>
      <c r="E1006" s="1" t="s">
        <v>279</v>
      </c>
    </row>
    <row r="1007">
      <c r="A1007" s="2">
        <v>45524.661527777775</v>
      </c>
      <c r="B1007" s="1" t="s">
        <v>747</v>
      </c>
      <c r="C1007" s="1" t="s">
        <v>471</v>
      </c>
      <c r="D1007" s="3" t="str">
        <f>?utf-8?B?U2F2ZSB1cCB0byA3wqIvTCBhdCBTaGVsbCBldmVyeSB0aW1lIA==?=
 =?utf-8?B?eW91IGZpbGwgdXAg4pu9?=</f>
        <v>#ERROR!</v>
      </c>
      <c r="E1007" s="1" t="s">
        <v>279</v>
      </c>
    </row>
    <row r="1008">
      <c r="A1008" s="2">
        <v>45524.66153935185</v>
      </c>
      <c r="B1008" s="1" t="s">
        <v>633</v>
      </c>
      <c r="C1008" s="1" t="s">
        <v>421</v>
      </c>
      <c r="D1008" s="3" t="str">
        <f>?utf-8?B?U2F2ZSB1cCB0byA3wqIvTCBhdCBTaGVsbCBldmVyeSB0aW1lIA==?=
 =?utf-8?B?eW91IGZpbGwgdXAg4pu9?=</f>
        <v>#ERROR!</v>
      </c>
      <c r="E1008" s="1" t="s">
        <v>279</v>
      </c>
    </row>
    <row r="1009">
      <c r="A1009" s="2">
        <v>45524.92239583333</v>
      </c>
      <c r="B1009" s="1" t="s">
        <v>393</v>
      </c>
      <c r="C1009" s="1" t="s">
        <v>392</v>
      </c>
      <c r="D1009" s="1" t="s">
        <v>821</v>
      </c>
      <c r="E1009" s="1" t="s">
        <v>279</v>
      </c>
    </row>
    <row r="1010">
      <c r="A1010" s="2">
        <v>45524.92275462963</v>
      </c>
      <c r="B1010" s="1" t="s">
        <v>259</v>
      </c>
      <c r="C1010" s="1" t="s">
        <v>6</v>
      </c>
      <c r="D1010" s="1" t="s">
        <v>821</v>
      </c>
      <c r="E1010" s="1" t="s">
        <v>279</v>
      </c>
    </row>
    <row r="1011">
      <c r="A1011" s="2">
        <v>45524.96456018519</v>
      </c>
      <c r="B1011" s="1" t="s">
        <v>549</v>
      </c>
      <c r="C1011" s="1" t="s">
        <v>528</v>
      </c>
      <c r="D1011" s="1" t="s">
        <v>821</v>
      </c>
      <c r="E1011" s="1" t="s">
        <v>279</v>
      </c>
    </row>
    <row r="1012">
      <c r="A1012" s="2">
        <v>45524.96456018519</v>
      </c>
      <c r="B1012" s="1" t="s">
        <v>535</v>
      </c>
      <c r="C1012" s="1" t="s">
        <v>524</v>
      </c>
      <c r="D1012" s="1" t="s">
        <v>821</v>
      </c>
      <c r="E1012" s="1" t="s">
        <v>279</v>
      </c>
    </row>
    <row r="1013">
      <c r="A1013" s="2">
        <v>45524.96456018519</v>
      </c>
      <c r="B1013" s="1" t="s">
        <v>533</v>
      </c>
      <c r="C1013" s="1" t="s">
        <v>526</v>
      </c>
      <c r="D1013" s="1" t="s">
        <v>821</v>
      </c>
      <c r="E1013" s="1" t="s">
        <v>279</v>
      </c>
    </row>
    <row r="1014">
      <c r="A1014" s="2">
        <v>45524.96460648148</v>
      </c>
      <c r="B1014" s="1" t="s">
        <v>476</v>
      </c>
      <c r="C1014" s="1" t="s">
        <v>471</v>
      </c>
      <c r="D1014" s="1" t="s">
        <v>821</v>
      </c>
      <c r="E1014" s="1" t="s">
        <v>279</v>
      </c>
    </row>
    <row r="1015">
      <c r="A1015" s="2">
        <v>45524.964641203704</v>
      </c>
      <c r="B1015" s="1" t="s">
        <v>430</v>
      </c>
      <c r="C1015" s="1" t="s">
        <v>421</v>
      </c>
      <c r="D1015" s="1" t="s">
        <v>821</v>
      </c>
      <c r="E1015" s="1" t="s">
        <v>279</v>
      </c>
    </row>
    <row r="1016">
      <c r="A1016" s="2">
        <v>45524.995208333334</v>
      </c>
      <c r="B1016" s="1" t="s">
        <v>470</v>
      </c>
      <c r="C1016" s="1" t="s">
        <v>471</v>
      </c>
      <c r="D1016" s="1" t="s">
        <v>416</v>
      </c>
      <c r="E1016" s="1" t="s">
        <v>260</v>
      </c>
    </row>
    <row r="1017">
      <c r="A1017" s="2">
        <v>45524.9953125</v>
      </c>
      <c r="B1017" s="1" t="s">
        <v>470</v>
      </c>
      <c r="C1017" s="1" t="s">
        <v>471</v>
      </c>
      <c r="D1017" s="1" t="s">
        <v>417</v>
      </c>
      <c r="E1017" s="1" t="s">
        <v>260</v>
      </c>
    </row>
    <row r="1018">
      <c r="A1018" s="2">
        <v>45526.38390046296</v>
      </c>
      <c r="B1018" s="1" t="s">
        <v>822</v>
      </c>
      <c r="C1018" s="1" t="s">
        <v>6</v>
      </c>
      <c r="D1018" s="3" t="str">
        <f>?windows-1252?Q?_____Gear_up_with_savings_on=A0back-to-school?=
 =?windows-1252?Q?=A0essentials?=</f>
        <v>#ERROR!</v>
      </c>
      <c r="E1018" s="1" t="s">
        <v>823</v>
      </c>
    </row>
    <row r="1019">
      <c r="A1019" s="2">
        <v>45526.668587962966</v>
      </c>
      <c r="B1019" s="1" t="s">
        <v>535</v>
      </c>
      <c r="C1019" s="1" t="s">
        <v>524</v>
      </c>
      <c r="D1019" s="1" t="s">
        <v>493</v>
      </c>
      <c r="E1019" s="1" t="s">
        <v>279</v>
      </c>
    </row>
    <row r="1020">
      <c r="A1020" s="2">
        <v>45526.668587962966</v>
      </c>
      <c r="B1020" s="1" t="s">
        <v>430</v>
      </c>
      <c r="C1020" s="1" t="s">
        <v>421</v>
      </c>
      <c r="D1020" s="1" t="s">
        <v>493</v>
      </c>
      <c r="E1020" s="1" t="s">
        <v>279</v>
      </c>
    </row>
    <row r="1021">
      <c r="A1021" s="2">
        <v>45526.67395833333</v>
      </c>
      <c r="B1021" s="1" t="s">
        <v>535</v>
      </c>
      <c r="C1021" s="1" t="s">
        <v>524</v>
      </c>
      <c r="D1021" s="3" t="str">
        <f>?utf-8?B?RW5kLW9mLXN1bW1lciBvZmZlcnMgYXJlIGhlcmUg8J+Npg==?=</f>
        <v>#ERROR!</v>
      </c>
      <c r="E1021" s="1" t="s">
        <v>279</v>
      </c>
    </row>
    <row r="1022">
      <c r="A1022" s="2">
        <v>45526.69699074074</v>
      </c>
      <c r="B1022" s="1" t="s">
        <v>508</v>
      </c>
      <c r="C1022" s="1" t="s">
        <v>423</v>
      </c>
      <c r="D1022" s="3" t="str">
        <f>?utf-8?B?8J+OiUdldCB1cCB0byAxMDAgQm9udXMgTWlsZXMgYXQgU2hlbA==?=
 =?utf-8?B?bPCfjok=?=</f>
        <v>#ERROR!</v>
      </c>
      <c r="E1022" s="1" t="s">
        <v>279</v>
      </c>
    </row>
    <row r="1023">
      <c r="A1023" s="2">
        <v>45526.70664351852</v>
      </c>
      <c r="B1023" s="1" t="s">
        <v>430</v>
      </c>
      <c r="C1023" s="1" t="s">
        <v>421</v>
      </c>
      <c r="D1023" s="3" t="str">
        <f>?utf-8?B?RW5kLW9mLXN1bW1lciBvZmZlcnMgYXJlIGhlcmUg8J+Npg==?=</f>
        <v>#ERROR!</v>
      </c>
      <c r="E1023" s="1" t="s">
        <v>279</v>
      </c>
    </row>
    <row r="1024">
      <c r="A1024" s="2">
        <v>45526.950324074074</v>
      </c>
      <c r="B1024" s="1" t="s">
        <v>294</v>
      </c>
      <c r="C1024" s="1" t="s">
        <v>6</v>
      </c>
      <c r="D1024" s="3" t="str">
        <f>?utf-8?B?8J+OiVB1bXAgVXAgWW91ciBNaWxlcyB3aXRoIHVwIHRvIDEwMA==?=
 =?utf-8?B?IEJvbnVzIE1pbGVz8J+OiQ==?=</f>
        <v>#ERROR!</v>
      </c>
      <c r="E1024" s="1" t="s">
        <v>279</v>
      </c>
    </row>
    <row r="1025">
      <c r="A1025" s="2">
        <v>45526.97136574074</v>
      </c>
      <c r="B1025" s="1" t="s">
        <v>633</v>
      </c>
      <c r="C1025" s="1" t="s">
        <v>421</v>
      </c>
      <c r="D1025" s="3" t="str">
        <f>?utf-8?B?8J+OiVB1bXAgVXAgWW91ciBNaWxlcyB3aXRoIHVwIHRvIDEwMA==?=
 =?utf-8?B?IEJvbnVzIE1pbGVz8J+OiQ==?=</f>
        <v>#ERROR!</v>
      </c>
      <c r="E1025" s="1" t="s">
        <v>279</v>
      </c>
    </row>
    <row r="1026">
      <c r="A1026" s="2">
        <v>45527.188310185185</v>
      </c>
      <c r="B1026" s="1" t="s">
        <v>315</v>
      </c>
      <c r="C1026" s="1" t="s">
        <v>14</v>
      </c>
      <c r="D1026" s="1" t="s">
        <v>316</v>
      </c>
      <c r="E1026" s="1" t="s">
        <v>824</v>
      </c>
    </row>
    <row r="1027">
      <c r="A1027" s="2">
        <v>45527.08263888889</v>
      </c>
      <c r="B1027" s="1" t="s">
        <v>420</v>
      </c>
      <c r="C1027" s="1" t="s">
        <v>421</v>
      </c>
      <c r="D1027" s="1" t="s">
        <v>744</v>
      </c>
      <c r="E1027" s="1" t="s">
        <v>260</v>
      </c>
    </row>
    <row r="1028">
      <c r="A1028" s="2">
        <v>45527.1505787037</v>
      </c>
      <c r="B1028" s="1" t="s">
        <v>825</v>
      </c>
      <c r="C1028" s="1" t="s">
        <v>89</v>
      </c>
      <c r="D1028" s="1" t="s">
        <v>826</v>
      </c>
      <c r="E1028" s="1" t="s">
        <v>827</v>
      </c>
    </row>
    <row r="1029">
      <c r="A1029" s="2">
        <v>45527.43672453704</v>
      </c>
      <c r="B1029" s="1" t="s">
        <v>825</v>
      </c>
      <c r="C1029" s="1" t="s">
        <v>672</v>
      </c>
      <c r="D1029" s="1" t="s">
        <v>828</v>
      </c>
      <c r="E1029" s="1" t="s">
        <v>829</v>
      </c>
    </row>
    <row r="1030">
      <c r="A1030" s="2">
        <v>45527.478900462964</v>
      </c>
      <c r="B1030" s="1" t="s">
        <v>549</v>
      </c>
      <c r="C1030" s="1" t="s">
        <v>528</v>
      </c>
      <c r="D1030" s="3" t="str">
        <f>?utf-8?B?UmVhZHkgZm9yIHlvdXIgbmV4dCBnZXRhd2F5PyBXZeKAmXZlIA==?=
 =?utf-8?B?Z290IHRoZSBvZmZlcnMg4pyI77iP?=</f>
        <v>#ERROR!</v>
      </c>
      <c r="E1030" s="1" t="s">
        <v>279</v>
      </c>
    </row>
    <row r="1031">
      <c r="A1031" s="2">
        <v>45527.479525462964</v>
      </c>
      <c r="B1031" s="1" t="s">
        <v>464</v>
      </c>
      <c r="C1031" s="1" t="s">
        <v>423</v>
      </c>
      <c r="D1031" s="3" t="str">
        <f>?utf-8?B?UmVhZHkgZm9yIHlvdXIgbmV4dCBnZXRhd2F5PyBXZeKAmXZlIA==?=
 =?utf-8?B?Z290IHRoZSBvZmZlcnMg4pyI77iP?=</f>
        <v>#ERROR!</v>
      </c>
      <c r="E1031" s="1" t="s">
        <v>279</v>
      </c>
    </row>
    <row r="1032">
      <c r="A1032" s="2">
        <v>45527.69975694444</v>
      </c>
      <c r="B1032" s="3" t="str">
        <f>?Windows-1252?Q?Simplii_Financial_=96_Application_Process=2C_Mailbox?=
	&lt;confirm_ID@simplii.com&gt;</f>
        <v>#ERROR!</v>
      </c>
      <c r="C1032" s="1" t="s">
        <v>830</v>
      </c>
      <c r="D1032" s="1" t="s">
        <v>831</v>
      </c>
      <c r="E1032" s="1" t="s">
        <v>832</v>
      </c>
    </row>
    <row r="1033">
      <c r="A1033" s="2">
        <v>45527.709502314814</v>
      </c>
      <c r="B1033" s="1" t="s">
        <v>833</v>
      </c>
      <c r="C1033" s="1" t="s">
        <v>14</v>
      </c>
      <c r="D1033" s="1" t="s">
        <v>834</v>
      </c>
      <c r="E1033" s="1" t="s">
        <v>138</v>
      </c>
    </row>
    <row r="1034">
      <c r="A1034" s="2">
        <v>45527.64726851852</v>
      </c>
      <c r="B1034" s="1" t="s">
        <v>259</v>
      </c>
      <c r="C1034" s="1" t="s">
        <v>6</v>
      </c>
      <c r="D1034" s="3" t="str">
        <f>?utf-8?B?RW5kLW9mLXN1bW1lciBvZmZlcnMgYXJlIGhlcmUg8J+Npg==?=</f>
        <v>#ERROR!</v>
      </c>
      <c r="E1034" s="1" t="s">
        <v>279</v>
      </c>
    </row>
    <row r="1035">
      <c r="A1035" s="2">
        <v>45529.53836805555</v>
      </c>
      <c r="B1035" s="1" t="s">
        <v>391</v>
      </c>
      <c r="C1035" s="1" t="s">
        <v>392</v>
      </c>
      <c r="D1035" s="1" t="s">
        <v>744</v>
      </c>
      <c r="E1035" s="1" t="s">
        <v>260</v>
      </c>
    </row>
    <row r="1036">
      <c r="A1036" s="2">
        <v>45529.53836805555</v>
      </c>
      <c r="B1036" s="1" t="s">
        <v>391</v>
      </c>
      <c r="C1036" s="1" t="s">
        <v>392</v>
      </c>
      <c r="D1036" s="1" t="s">
        <v>744</v>
      </c>
      <c r="E1036" s="1" t="s">
        <v>260</v>
      </c>
    </row>
    <row r="1037">
      <c r="A1037" s="2">
        <v>45529.538622685184</v>
      </c>
      <c r="B1037" s="1" t="s">
        <v>391</v>
      </c>
      <c r="C1037" s="1" t="s">
        <v>392</v>
      </c>
      <c r="D1037" s="1" t="s">
        <v>744</v>
      </c>
      <c r="E1037" s="1" t="s">
        <v>260</v>
      </c>
    </row>
    <row r="1038">
      <c r="A1038" s="2">
        <v>45529.8403125</v>
      </c>
      <c r="B1038" s="1" t="s">
        <v>406</v>
      </c>
      <c r="C1038" s="1" t="s">
        <v>14</v>
      </c>
      <c r="D1038" s="1" t="s">
        <v>835</v>
      </c>
      <c r="E1038" s="1" t="s">
        <v>836</v>
      </c>
    </row>
    <row r="1039">
      <c r="A1039" s="2">
        <v>45529.8403587963</v>
      </c>
      <c r="B1039" s="1" t="s">
        <v>406</v>
      </c>
      <c r="C1039" s="1" t="s">
        <v>14</v>
      </c>
      <c r="D1039" s="1" t="s">
        <v>835</v>
      </c>
      <c r="E1039" s="1" t="s">
        <v>836</v>
      </c>
    </row>
    <row r="1040">
      <c r="A1040" s="2">
        <v>45530.10859953704</v>
      </c>
      <c r="B1040" s="1" t="s">
        <v>406</v>
      </c>
      <c r="C1040" s="1" t="s">
        <v>14</v>
      </c>
      <c r="D1040" s="1" t="s">
        <v>407</v>
      </c>
      <c r="E1040" s="1" t="s">
        <v>408</v>
      </c>
    </row>
    <row r="1041">
      <c r="A1041" s="2">
        <v>45530.69971064815</v>
      </c>
      <c r="B1041" s="1" t="s">
        <v>406</v>
      </c>
      <c r="C1041" s="1" t="s">
        <v>14</v>
      </c>
      <c r="D1041" s="1" t="s">
        <v>407</v>
      </c>
      <c r="E1041" s="1" t="s">
        <v>408</v>
      </c>
    </row>
    <row r="1042">
      <c r="A1042" s="2">
        <v>45531.484398148146</v>
      </c>
      <c r="B1042" s="1" t="s">
        <v>422</v>
      </c>
      <c r="C1042" s="1" t="s">
        <v>423</v>
      </c>
      <c r="D1042" s="1" t="s">
        <v>580</v>
      </c>
      <c r="E1042" s="1" t="s">
        <v>260</v>
      </c>
    </row>
    <row r="1043">
      <c r="A1043" s="2">
        <v>45531.58310185185</v>
      </c>
      <c r="B1043" s="1" t="s">
        <v>508</v>
      </c>
      <c r="C1043" s="1" t="s">
        <v>423</v>
      </c>
      <c r="D1043" s="1" t="s">
        <v>837</v>
      </c>
      <c r="E1043" s="1" t="s">
        <v>279</v>
      </c>
    </row>
    <row r="1044">
      <c r="A1044" s="2">
        <v>45531.86474537037</v>
      </c>
      <c r="B1044" s="1" t="s">
        <v>810</v>
      </c>
      <c r="C1044" s="1" t="s">
        <v>392</v>
      </c>
      <c r="D1044" s="1" t="s">
        <v>771</v>
      </c>
      <c r="E1044" s="1" t="s">
        <v>838</v>
      </c>
    </row>
    <row r="1045">
      <c r="A1045" s="2">
        <v>45531.87075231481</v>
      </c>
      <c r="B1045" s="1" t="s">
        <v>801</v>
      </c>
      <c r="C1045" s="1" t="s">
        <v>297</v>
      </c>
      <c r="D1045" s="1" t="s">
        <v>771</v>
      </c>
      <c r="E1045" s="1" t="s">
        <v>839</v>
      </c>
    </row>
    <row r="1046">
      <c r="A1046" s="2">
        <v>45531.74958333333</v>
      </c>
      <c r="B1046" s="1" t="s">
        <v>592</v>
      </c>
      <c r="C1046" s="1" t="s">
        <v>392</v>
      </c>
      <c r="D1046" s="1" t="s">
        <v>837</v>
      </c>
      <c r="E1046" s="1" t="s">
        <v>279</v>
      </c>
    </row>
    <row r="1047">
      <c r="A1047" s="2">
        <v>45531.749918981484</v>
      </c>
      <c r="B1047" s="1" t="s">
        <v>294</v>
      </c>
      <c r="C1047" s="1" t="s">
        <v>6</v>
      </c>
      <c r="D1047" s="1" t="s">
        <v>837</v>
      </c>
      <c r="E1047" s="1" t="s">
        <v>279</v>
      </c>
    </row>
    <row r="1048">
      <c r="A1048" s="2">
        <v>45531.74996527778</v>
      </c>
      <c r="B1048" s="1" t="s">
        <v>747</v>
      </c>
      <c r="C1048" s="1" t="s">
        <v>471</v>
      </c>
      <c r="D1048" s="1" t="s">
        <v>837</v>
      </c>
      <c r="E1048" s="1" t="s">
        <v>279</v>
      </c>
    </row>
    <row r="1049">
      <c r="A1049" s="2">
        <v>45531.75</v>
      </c>
      <c r="B1049" s="1" t="s">
        <v>633</v>
      </c>
      <c r="C1049" s="1" t="s">
        <v>421</v>
      </c>
      <c r="D1049" s="1" t="s">
        <v>837</v>
      </c>
      <c r="E1049" s="1" t="s">
        <v>279</v>
      </c>
    </row>
    <row r="1050">
      <c r="A1050" s="2">
        <v>45531.75030092592</v>
      </c>
      <c r="B1050" s="1" t="s">
        <v>735</v>
      </c>
      <c r="C1050" s="1" t="s">
        <v>524</v>
      </c>
      <c r="D1050" s="1" t="s">
        <v>837</v>
      </c>
      <c r="E1050" s="1" t="s">
        <v>279</v>
      </c>
    </row>
    <row r="1051">
      <c r="A1051" s="2">
        <v>45531.75030092592</v>
      </c>
      <c r="B1051" s="1" t="s">
        <v>746</v>
      </c>
      <c r="C1051" s="1" t="s">
        <v>528</v>
      </c>
      <c r="D1051" s="1" t="s">
        <v>837</v>
      </c>
      <c r="E1051" s="1" t="s">
        <v>279</v>
      </c>
    </row>
    <row r="1052">
      <c r="A1052" s="2">
        <v>45531.75030092592</v>
      </c>
      <c r="B1052" s="1" t="s">
        <v>745</v>
      </c>
      <c r="C1052" s="1" t="s">
        <v>526</v>
      </c>
      <c r="D1052" s="1" t="s">
        <v>837</v>
      </c>
      <c r="E1052" s="1" t="s">
        <v>279</v>
      </c>
    </row>
    <row r="1053">
      <c r="A1053" s="2">
        <v>45533.70568287037</v>
      </c>
      <c r="B1053" s="1" t="s">
        <v>549</v>
      </c>
      <c r="C1053" s="1" t="s">
        <v>528</v>
      </c>
      <c r="D1053" s="3" t="str">
        <f>?utf-8?B?SGFwcHkgbG9uZyB3ZWVrZW5kISBDZWxlYnJhdGUgd2l0aCB0aA==?=
 =?utf-8?B?ZXNlIG9mZmVycyDwn5mM?=</f>
        <v>#ERROR!</v>
      </c>
      <c r="E1053" s="1" t="s">
        <v>279</v>
      </c>
    </row>
    <row r="1054">
      <c r="A1054" s="2">
        <v>45533.70569444444</v>
      </c>
      <c r="B1054" s="1" t="s">
        <v>430</v>
      </c>
      <c r="C1054" s="1" t="s">
        <v>421</v>
      </c>
      <c r="D1054" s="3" t="str">
        <f>?utf-8?B?SGFwcHkgbG9uZyB3ZWVrZW5kISBDZWxlYnJhdGUgd2l0aCB0aA==?=
 =?utf-8?B?ZXNlIG9mZmVycyDwn5mM?=</f>
        <v>#ERROR!</v>
      </c>
      <c r="E1054" s="1" t="s">
        <v>279</v>
      </c>
    </row>
    <row r="1055">
      <c r="A1055" s="2">
        <v>45533.76440972222</v>
      </c>
      <c r="B1055" s="1" t="s">
        <v>259</v>
      </c>
      <c r="C1055" s="1" t="s">
        <v>6</v>
      </c>
      <c r="D1055" s="3" t="str">
        <f>?utf-8?B?RG9u4oCZdCBtaXNzIDM1JSBiYWNrIGluIHZhbHVlIGF0IERvbA==?=
 =?utf-8?B?bGFyYW1h8J+Ssw==?=</f>
        <v>#ERROR!</v>
      </c>
      <c r="E1055" s="1" t="s">
        <v>279</v>
      </c>
    </row>
    <row r="1056">
      <c r="A1056" s="2">
        <v>45534.31690972222</v>
      </c>
      <c r="B1056" s="1" t="s">
        <v>319</v>
      </c>
      <c r="C1056" s="1" t="s">
        <v>14</v>
      </c>
      <c r="D1056" s="1" t="s">
        <v>320</v>
      </c>
      <c r="E1056" s="1" t="s">
        <v>840</v>
      </c>
    </row>
    <row r="1057">
      <c r="A1057" s="2">
        <v>45534.607523148145</v>
      </c>
      <c r="B1057" s="1" t="s">
        <v>776</v>
      </c>
      <c r="C1057" s="1" t="s">
        <v>423</v>
      </c>
      <c r="D1057" s="1" t="s">
        <v>771</v>
      </c>
      <c r="E1057" s="1" t="s">
        <v>841</v>
      </c>
    </row>
    <row r="1058">
      <c r="A1058" s="2">
        <v>45534.86137731482</v>
      </c>
      <c r="B1058" s="1" t="s">
        <v>781</v>
      </c>
      <c r="C1058" s="1" t="s">
        <v>471</v>
      </c>
      <c r="D1058" s="1" t="s">
        <v>771</v>
      </c>
      <c r="E1058" s="1" t="s">
        <v>842</v>
      </c>
    </row>
    <row r="1059">
      <c r="A1059" s="2">
        <v>45534.87265046296</v>
      </c>
      <c r="B1059" s="1" t="s">
        <v>801</v>
      </c>
      <c r="C1059" s="1" t="s">
        <v>297</v>
      </c>
      <c r="D1059" s="1" t="s">
        <v>771</v>
      </c>
      <c r="E1059" s="1" t="s">
        <v>839</v>
      </c>
    </row>
    <row r="1060">
      <c r="A1060" s="2">
        <v>45535.338900462964</v>
      </c>
      <c r="B1060" s="1" t="s">
        <v>728</v>
      </c>
      <c r="C1060" s="1" t="s">
        <v>6</v>
      </c>
      <c r="D1060" s="3" t="str">
        <f>?UTF-8?B?SW5jcmVhc2UgeW91ciBjaGFuY2UgdG8gd2luKiB3aXRoIE1vbmRl?=
 =?UTF-8?B?bMSTeiDwn5GA?=</f>
        <v>#ERROR!</v>
      </c>
      <c r="E1060" s="1" t="s">
        <v>768</v>
      </c>
    </row>
    <row r="1061">
      <c r="A1061" s="2">
        <v>45537.63207175926</v>
      </c>
      <c r="B1061" s="1" t="s">
        <v>818</v>
      </c>
      <c r="C1061" s="1" t="s">
        <v>14</v>
      </c>
      <c r="D1061" s="1" t="s">
        <v>843</v>
      </c>
      <c r="E1061" s="1" t="s">
        <v>820</v>
      </c>
    </row>
    <row r="1062">
      <c r="A1062" s="2">
        <v>45547.016168981485</v>
      </c>
      <c r="B1062" s="1" t="s">
        <v>844</v>
      </c>
      <c r="C1062" s="1" t="s">
        <v>845</v>
      </c>
      <c r="D1062" s="1" t="s">
        <v>846</v>
      </c>
      <c r="E1062" s="1" t="s">
        <v>847</v>
      </c>
    </row>
    <row r="1063">
      <c r="A1063" s="2">
        <v>45547.819444444445</v>
      </c>
      <c r="B1063" s="1" t="s">
        <v>848</v>
      </c>
      <c r="C1063" s="1" t="s">
        <v>849</v>
      </c>
      <c r="D1063" s="1" t="s">
        <v>850</v>
      </c>
      <c r="E1063" s="1" t="s">
        <v>851</v>
      </c>
    </row>
    <row r="1064">
      <c r="A1064" s="2">
        <v>45549.677083333336</v>
      </c>
      <c r="B1064" s="1" t="s">
        <v>723</v>
      </c>
      <c r="C1064" s="1" t="s">
        <v>724</v>
      </c>
      <c r="D1064" s="1" t="s">
        <v>852</v>
      </c>
      <c r="E1064" s="1" t="s">
        <v>853</v>
      </c>
    </row>
    <row r="1065">
      <c r="A1065" s="2">
        <v>45550.79545138889</v>
      </c>
      <c r="B1065" s="1" t="s">
        <v>844</v>
      </c>
      <c r="C1065" s="1" t="s">
        <v>845</v>
      </c>
      <c r="D1065" s="1" t="s">
        <v>854</v>
      </c>
      <c r="E1065" s="1" t="s">
        <v>847</v>
      </c>
    </row>
    <row r="1066">
      <c r="A1066" s="2">
        <v>45551.18467592593</v>
      </c>
      <c r="B1066" s="1" t="s">
        <v>855</v>
      </c>
      <c r="C1066" s="1" t="s">
        <v>845</v>
      </c>
      <c r="D1066" s="3" t="str">
        <f>?utf-8?q?What_do_high-end_restaurants_do_if_a_credit_card_is_declined_at_th?=
 =?utf-8?q?e_end_of_a_meal=3F?=</f>
        <v>#ERROR!</v>
      </c>
      <c r="E1066" s="1" t="s">
        <v>856</v>
      </c>
    </row>
    <row r="1067">
      <c r="A1067" s="2">
        <v>45552.819606481484</v>
      </c>
      <c r="B1067" s="1" t="s">
        <v>857</v>
      </c>
      <c r="C1067" s="1" t="s">
        <v>845</v>
      </c>
      <c r="D1067" s="1" t="s">
        <v>858</v>
      </c>
      <c r="E1067" s="1" t="s">
        <v>847</v>
      </c>
    </row>
    <row r="1068">
      <c r="A1068" s="2">
        <v>45552.90871527778</v>
      </c>
      <c r="B1068" s="1" t="s">
        <v>855</v>
      </c>
      <c r="C1068" s="1" t="s">
        <v>845</v>
      </c>
      <c r="D1068" s="3" t="str">
        <f>?utf-8?q?Are_there_any_health_benefits_to_eating_overripe_bananas=3F?=</f>
        <v>#ERROR!</v>
      </c>
      <c r="E1068" s="1" t="s">
        <v>859</v>
      </c>
    </row>
    <row r="1069">
      <c r="A1069" s="2">
        <v>45553.0249537037</v>
      </c>
      <c r="B1069" s="1" t="s">
        <v>860</v>
      </c>
      <c r="C1069" s="1" t="s">
        <v>849</v>
      </c>
      <c r="D1069" s="1" t="s">
        <v>861</v>
      </c>
      <c r="E1069" s="1" t="s">
        <v>851</v>
      </c>
    </row>
    <row r="1070">
      <c r="A1070" s="2">
        <v>45553.49600694444</v>
      </c>
      <c r="B1070" s="1" t="s">
        <v>855</v>
      </c>
      <c r="C1070" s="1" t="s">
        <v>845</v>
      </c>
      <c r="D1070" s="3" t="str">
        <f>?utf-8?q?What_does_a_narcissist_do_when_they_know_they_have_lost_you_and_yo?=
 =?utf-8?q?u_are_not_coming_back=3F?=</f>
        <v>#ERROR!</v>
      </c>
      <c r="E1070" s="1" t="s">
        <v>862</v>
      </c>
    </row>
    <row r="1071">
      <c r="A1071" s="2">
        <v>45554.48679398148</v>
      </c>
      <c r="B1071" s="1" t="s">
        <v>259</v>
      </c>
      <c r="C1071" s="1" t="s">
        <v>6</v>
      </c>
      <c r="D1071" s="3" t="str">
        <f>?utf-8?B?4pqhIEZMQVNIIE9GRkVSIEFMRVJUOiBHZXQgMTAwIEJvbnVzIA==?=
 =?utf-8?B?TWlsZXMgYXQgUGhhcm1hc2F2ZSBhbmQgbW9yZSDimqE=?=</f>
        <v>#ERROR!</v>
      </c>
      <c r="E1071" s="1" t="s">
        <v>279</v>
      </c>
    </row>
    <row r="1072">
      <c r="A1072" s="2">
        <v>45555.82145833333</v>
      </c>
      <c r="B1072" s="1" t="s">
        <v>844</v>
      </c>
      <c r="C1072" s="1" t="s">
        <v>845</v>
      </c>
      <c r="D1072" s="1" t="s">
        <v>863</v>
      </c>
      <c r="E1072" s="1" t="s">
        <v>847</v>
      </c>
    </row>
    <row r="1073">
      <c r="A1073" s="2">
        <v>45555.94664351852</v>
      </c>
      <c r="B1073" s="1" t="s">
        <v>259</v>
      </c>
      <c r="C1073" s="1" t="s">
        <v>6</v>
      </c>
      <c r="D1073" s="3" t="str">
        <f>?windows-1252?Q?Earn_up_to_$85_in_value_with_AIR_MILES=AE_Cash.?=
 =?windows-1252?Q?_It=92s_easy!_?=</f>
        <v>#ERROR!</v>
      </c>
      <c r="E1073" s="1" t="s">
        <v>279</v>
      </c>
    </row>
    <row r="1074">
      <c r="A1074" s="2">
        <v>45556.67585648148</v>
      </c>
      <c r="B1074" s="1" t="s">
        <v>723</v>
      </c>
      <c r="C1074" s="1" t="s">
        <v>724</v>
      </c>
      <c r="D1074" s="3" t="str">
        <f>?utf-8?B?MjcgV2Vla3MgUHJlZ25hbnQ6IENvbnRyYWN0aW9ucz8g8J+Tsllv?=
	=?utf-8?B?dXIgT0IgaWYuLi4=?=</f>
        <v>#ERROR!</v>
      </c>
      <c r="E1074" s="1" t="s">
        <v>864</v>
      </c>
    </row>
    <row r="1075">
      <c r="A1075" s="2">
        <v>45557.795648148145</v>
      </c>
      <c r="B1075" s="1" t="s">
        <v>865</v>
      </c>
      <c r="C1075" s="1" t="s">
        <v>845</v>
      </c>
      <c r="D1075" s="1" t="s">
        <v>866</v>
      </c>
      <c r="E1075" s="1" t="s">
        <v>847</v>
      </c>
    </row>
    <row r="1076">
      <c r="A1076" s="2">
        <v>45558.185625</v>
      </c>
      <c r="B1076" s="1" t="s">
        <v>855</v>
      </c>
      <c r="C1076" s="1" t="s">
        <v>845</v>
      </c>
      <c r="D1076" s="3" t="str">
        <f>?utf-8?q?What_if_I_eat_4_eggs_daily=3F?=</f>
        <v>#ERROR!</v>
      </c>
      <c r="E1076" s="1" t="s">
        <v>867</v>
      </c>
    </row>
    <row r="1077">
      <c r="A1077" s="2">
        <v>45558.58636574074</v>
      </c>
      <c r="B1077" s="1" t="s">
        <v>868</v>
      </c>
      <c r="C1077" s="1" t="s">
        <v>14</v>
      </c>
      <c r="D1077" s="1" t="s">
        <v>869</v>
      </c>
      <c r="E1077" s="1" t="s">
        <v>870</v>
      </c>
    </row>
    <row r="1078">
      <c r="A1078" s="2">
        <v>45558.9790625</v>
      </c>
      <c r="B1078" s="1" t="s">
        <v>857</v>
      </c>
      <c r="C1078" s="1" t="s">
        <v>845</v>
      </c>
      <c r="D1078" s="1" t="s">
        <v>858</v>
      </c>
      <c r="E1078" s="1" t="s">
        <v>847</v>
      </c>
    </row>
    <row r="1079">
      <c r="A1079" s="2">
        <v>45559.33862268519</v>
      </c>
      <c r="B1079" s="1" t="s">
        <v>871</v>
      </c>
      <c r="C1079" s="1" t="s">
        <v>845</v>
      </c>
      <c r="D1079" s="3" t="str">
        <f>?utf-8?q?More_related_to_=22Can_I_connect_an_Android_to_an_iPhone_via_USB?=
 =?utf-8?q?=3F_If_so=2C_what_would_happen=3F=22?=</f>
        <v>#ERROR!</v>
      </c>
      <c r="E1079" s="1" t="s">
        <v>872</v>
      </c>
    </row>
    <row r="1080">
      <c r="A1080" s="2">
        <v>45559.845972222225</v>
      </c>
      <c r="B1080" s="1" t="s">
        <v>855</v>
      </c>
      <c r="C1080" s="1" t="s">
        <v>845</v>
      </c>
      <c r="D1080" s="3" t="str">
        <f>?utf-8?q?What_is_the_most_difficult_building_to_reach_on_the_entire_globe?=
 =?utf-8?q?=3F?=</f>
        <v>#ERROR!</v>
      </c>
      <c r="E1080" s="1" t="s">
        <v>873</v>
      </c>
    </row>
    <row r="1081">
      <c r="A1081" s="2">
        <v>45561.87893518519</v>
      </c>
      <c r="B1081" s="1" t="s">
        <v>874</v>
      </c>
      <c r="C1081" s="1" t="s">
        <v>849</v>
      </c>
      <c r="D1081" s="3" t="str">
        <f>?utf-8?q?You're_so_close_to_earning_=F0=9F=8C=9F?=</f>
        <v>#ERROR!</v>
      </c>
      <c r="E1081" s="1" t="s">
        <v>851</v>
      </c>
    </row>
    <row r="1082">
      <c r="A1082" s="2">
        <v>45562.57277777778</v>
      </c>
      <c r="B1082" s="1" t="s">
        <v>875</v>
      </c>
      <c r="C1082" s="1" t="s">
        <v>845</v>
      </c>
      <c r="D1082" s="1" t="s">
        <v>876</v>
      </c>
      <c r="E1082" s="1" t="s">
        <v>877</v>
      </c>
    </row>
    <row r="1083">
      <c r="A1083" s="2">
        <v>45562.795648148145</v>
      </c>
      <c r="B1083" s="1" t="s">
        <v>865</v>
      </c>
      <c r="C1083" s="1" t="s">
        <v>845</v>
      </c>
      <c r="D1083" s="1" t="s">
        <v>878</v>
      </c>
      <c r="E1083" s="1" t="s">
        <v>847</v>
      </c>
    </row>
    <row r="1084">
      <c r="A1084" s="2">
        <v>45562.814305555556</v>
      </c>
      <c r="B1084" s="1" t="s">
        <v>875</v>
      </c>
      <c r="C1084" s="1" t="s">
        <v>845</v>
      </c>
      <c r="D1084" s="1" t="s">
        <v>879</v>
      </c>
      <c r="E1084" s="1" t="s">
        <v>877</v>
      </c>
    </row>
    <row r="1085">
      <c r="A1085" s="2">
        <v>45562.85197916667</v>
      </c>
      <c r="B1085" s="1" t="s">
        <v>259</v>
      </c>
      <c r="C1085" s="1" t="s">
        <v>849</v>
      </c>
      <c r="D1085" s="3" t="str">
        <f>?utf-8?B?VHJlYXQgeW91cnNlbGYhIENvbWJpbmUgU2hvcCB0aGUgQmxvYw==?=
 =?utf-8?B?ayArIHRoaXMgd2VlaydzIEJvbnVzIG9mZmVycyB0byBlYXJuIGV2ZW4gbQ==?=
 =?utf-8?B?b3JlIPCfjok=?=</f>
        <v>#ERROR!</v>
      </c>
      <c r="E1085" s="1" t="s">
        <v>880</v>
      </c>
    </row>
    <row r="1086">
      <c r="A1086" s="2">
        <v>45563.56130787037</v>
      </c>
      <c r="B1086" s="1" t="s">
        <v>875</v>
      </c>
      <c r="C1086" s="1" t="s">
        <v>845</v>
      </c>
      <c r="D1086" s="1" t="s">
        <v>881</v>
      </c>
      <c r="E1086" s="1" t="s">
        <v>877</v>
      </c>
    </row>
    <row r="1087">
      <c r="A1087" s="2">
        <v>45564.03655092593</v>
      </c>
      <c r="B1087" s="1" t="s">
        <v>844</v>
      </c>
      <c r="C1087" s="1" t="s">
        <v>845</v>
      </c>
      <c r="D1087" s="1" t="s">
        <v>882</v>
      </c>
      <c r="E1087" s="1" t="s">
        <v>847</v>
      </c>
    </row>
    <row r="1088">
      <c r="A1088" s="2">
        <v>45564.94248842593</v>
      </c>
      <c r="B1088" s="1" t="s">
        <v>883</v>
      </c>
      <c r="C1088" s="1" t="s">
        <v>845</v>
      </c>
      <c r="D1088" s="3" t="str">
        <f>?UTF-8?q?Earn_your_way,_Craig_n_Emma_=F0=9F=91=80?=</f>
        <v>#ERROR!</v>
      </c>
      <c r="E1088" s="1" t="s">
        <v>847</v>
      </c>
    </row>
    <row r="1089">
      <c r="A1089" s="2">
        <v>45565.380590277775</v>
      </c>
      <c r="B1089" s="1" t="s">
        <v>884</v>
      </c>
      <c r="C1089" s="1" t="s">
        <v>845</v>
      </c>
      <c r="D1089" s="1" t="s">
        <v>885</v>
      </c>
      <c r="E1089" s="1" t="s">
        <v>886</v>
      </c>
    </row>
    <row r="1090">
      <c r="A1090" s="2">
        <v>45566.58967592593</v>
      </c>
      <c r="B1090" s="1" t="s">
        <v>748</v>
      </c>
      <c r="C1090" s="1" t="s">
        <v>6</v>
      </c>
      <c r="D1090" s="3" t="str">
        <f>?windows-1252?Q?Subway=AE_all_day._Refuel_deliciously=2C_any_time?=
 =?windows-1252?Q?_of_day?=</f>
        <v>#ERROR!</v>
      </c>
      <c r="E1090" s="1" t="s">
        <v>749</v>
      </c>
    </row>
    <row r="1091">
      <c r="A1091" s="2">
        <v>45566.79797453704</v>
      </c>
      <c r="B1091" s="1" t="s">
        <v>860</v>
      </c>
      <c r="C1091" s="1" t="s">
        <v>849</v>
      </c>
      <c r="D1091" s="3" t="str">
        <f>?utf-8?q?BOGO_6pc_wings_from_Mary_Brown=E2=80=99s_Chicken_=F0=9F=90=94?=</f>
        <v>#ERROR!</v>
      </c>
      <c r="E1091" s="1" t="s">
        <v>851</v>
      </c>
    </row>
    <row r="1092">
      <c r="A1092" s="2">
        <v>45566.67695601852</v>
      </c>
      <c r="B1092" s="1" t="s">
        <v>294</v>
      </c>
      <c r="C1092" s="1" t="s">
        <v>6</v>
      </c>
      <c r="D1092" s="1" t="s">
        <v>705</v>
      </c>
      <c r="E1092" s="1" t="s">
        <v>279</v>
      </c>
    </row>
    <row r="1093">
      <c r="A1093" s="2">
        <v>45566.73326388889</v>
      </c>
      <c r="B1093" s="1" t="s">
        <v>259</v>
      </c>
      <c r="C1093" s="1" t="s">
        <v>849</v>
      </c>
      <c r="D1093" s="3" t="str">
        <f>?windows-1252?Q?Earn_up_to_$85_in_value_with_AIR_MILES=AE_Cash.?=
 =?windows-1252?Q?_Don=92t_miss_out!?=</f>
        <v>#ERROR!</v>
      </c>
      <c r="E1093" s="1" t="s">
        <v>887</v>
      </c>
    </row>
    <row r="1094">
      <c r="A1094" s="2">
        <v>45567.02365740741</v>
      </c>
      <c r="B1094" s="1" t="s">
        <v>259</v>
      </c>
      <c r="C1094" s="1" t="s">
        <v>6</v>
      </c>
      <c r="D1094" s="3" t="str">
        <f>?windows-1252?Q?Earn_up_to_$85_in_value_with_AIR_MILES=AE_Cash.?=
 =?windows-1252?Q?_Don=92t_miss_out!?=</f>
        <v>#ERROR!</v>
      </c>
      <c r="E1094" s="1" t="s">
        <v>279</v>
      </c>
    </row>
    <row r="1095">
      <c r="A1095" s="2">
        <v>45567.54231481482</v>
      </c>
      <c r="B1095" s="1" t="s">
        <v>888</v>
      </c>
      <c r="C1095" s="1" t="s">
        <v>14</v>
      </c>
      <c r="D1095" s="1" t="s">
        <v>889</v>
      </c>
      <c r="E1095" s="1" t="s">
        <v>890</v>
      </c>
    </row>
    <row r="1096">
      <c r="A1096" s="2">
        <v>45567.81113425926</v>
      </c>
      <c r="B1096" s="1" t="s">
        <v>857</v>
      </c>
      <c r="C1096" s="1" t="s">
        <v>845</v>
      </c>
      <c r="D1096" s="1" t="s">
        <v>891</v>
      </c>
      <c r="E1096" s="1" t="s">
        <v>847</v>
      </c>
    </row>
    <row r="1097">
      <c r="A1097" s="2">
        <v>45568.64724537037</v>
      </c>
      <c r="B1097" s="1" t="s">
        <v>748</v>
      </c>
      <c r="C1097" s="1" t="s">
        <v>6</v>
      </c>
      <c r="D1097" s="1" t="s">
        <v>892</v>
      </c>
      <c r="E1097" s="1" t="s">
        <v>749</v>
      </c>
    </row>
    <row r="1098">
      <c r="A1098" s="2">
        <v>45568.6628587963</v>
      </c>
      <c r="B1098" s="1" t="s">
        <v>801</v>
      </c>
      <c r="C1098" s="1" t="s">
        <v>297</v>
      </c>
      <c r="D1098" s="1" t="s">
        <v>771</v>
      </c>
      <c r="E1098" s="1" t="s">
        <v>893</v>
      </c>
    </row>
    <row r="1099">
      <c r="A1099" s="2">
        <v>45568.42260416667</v>
      </c>
      <c r="B1099" s="1" t="s">
        <v>894</v>
      </c>
      <c r="C1099" s="1" t="s">
        <v>6</v>
      </c>
      <c r="D1099" s="3" t="str">
        <f>?UTF-8?B?VXAgdG8gNTAlIG9mZiEgVEhFIEJJRyBTQVZFIGlzIG9uIG5vdyA=?=
 =?UTF-8?B?8J+SpQ==?=</f>
        <v>#ERROR!</v>
      </c>
      <c r="E1099" s="1" t="s">
        <v>895</v>
      </c>
    </row>
    <row r="1100">
      <c r="A1100" s="2">
        <v>45568.79644675926</v>
      </c>
      <c r="B1100" s="1" t="s">
        <v>818</v>
      </c>
      <c r="C1100" s="1" t="s">
        <v>14</v>
      </c>
      <c r="D1100" s="1" t="s">
        <v>896</v>
      </c>
      <c r="E1100" s="1" t="s">
        <v>897</v>
      </c>
    </row>
    <row r="1101">
      <c r="A1101" s="2">
        <v>45569.03089120371</v>
      </c>
      <c r="B1101" s="1" t="s">
        <v>857</v>
      </c>
      <c r="C1101" s="1" t="s">
        <v>845</v>
      </c>
      <c r="D1101" s="1" t="s">
        <v>861</v>
      </c>
      <c r="E1101" s="1" t="s">
        <v>847</v>
      </c>
    </row>
    <row r="1102">
      <c r="A1102" s="2">
        <v>45569.437743055554</v>
      </c>
      <c r="B1102" s="1" t="s">
        <v>857</v>
      </c>
      <c r="C1102" s="1" t="s">
        <v>845</v>
      </c>
      <c r="D1102" s="1" t="s">
        <v>858</v>
      </c>
      <c r="E1102" s="1" t="s">
        <v>847</v>
      </c>
    </row>
    <row r="1103">
      <c r="A1103" s="2">
        <v>45569.59813657407</v>
      </c>
      <c r="B1103" s="1" t="s">
        <v>833</v>
      </c>
      <c r="C1103" s="1" t="s">
        <v>14</v>
      </c>
      <c r="D1103" s="1" t="s">
        <v>898</v>
      </c>
      <c r="E1103" s="1" t="s">
        <v>138</v>
      </c>
    </row>
    <row r="1104">
      <c r="A1104" s="2">
        <v>45569.758738425924</v>
      </c>
      <c r="B1104" s="1" t="s">
        <v>801</v>
      </c>
      <c r="C1104" s="1" t="s">
        <v>297</v>
      </c>
      <c r="D1104" s="1" t="s">
        <v>771</v>
      </c>
      <c r="E1104" s="1" t="s">
        <v>899</v>
      </c>
    </row>
    <row r="1105">
      <c r="A1105" s="2">
        <v>45569.80819444444</v>
      </c>
      <c r="B1105" s="1" t="s">
        <v>844</v>
      </c>
      <c r="C1105" s="1" t="s">
        <v>845</v>
      </c>
      <c r="D1105" s="1" t="s">
        <v>900</v>
      </c>
      <c r="E1105" s="1" t="s">
        <v>847</v>
      </c>
    </row>
    <row r="1106">
      <c r="A1106" s="2">
        <v>45570.7946875</v>
      </c>
      <c r="B1106" s="1" t="s">
        <v>844</v>
      </c>
      <c r="C1106" s="1" t="s">
        <v>845</v>
      </c>
      <c r="D1106" s="3" t="str">
        <f>?UTF-8?B?RG9u4oCZdA==?= miss out on savings on your next order.</f>
        <v>#ERROR!</v>
      </c>
      <c r="E1106" s="1" t="s">
        <v>847</v>
      </c>
    </row>
    <row r="1107">
      <c r="A1107" s="2">
        <v>45570.84449074074</v>
      </c>
      <c r="B1107" s="1" t="s">
        <v>855</v>
      </c>
      <c r="C1107" s="1" t="s">
        <v>845</v>
      </c>
      <c r="D1107" s="3" t="str">
        <f>?utf-8?q?Why_are_electric_cars_hard_to_resell=3F_Is_it_mostly_just_the_batt?=
 =?utf-8?q?ery=3F?=</f>
        <v>#ERROR!</v>
      </c>
      <c r="E1107" s="1" t="s">
        <v>901</v>
      </c>
    </row>
    <row r="1108">
      <c r="A1108" s="2">
        <v>45571.542349537034</v>
      </c>
      <c r="B1108" s="1" t="s">
        <v>888</v>
      </c>
      <c r="C1108" s="1" t="s">
        <v>14</v>
      </c>
      <c r="D1108" s="1" t="s">
        <v>902</v>
      </c>
      <c r="E1108" s="1" t="s">
        <v>903</v>
      </c>
    </row>
    <row r="1109">
      <c r="A1109" s="2">
        <v>45572.45756944444</v>
      </c>
      <c r="B1109" s="1" t="s">
        <v>904</v>
      </c>
      <c r="C1109" s="1" t="s">
        <v>14</v>
      </c>
      <c r="D1109" s="1" t="s">
        <v>905</v>
      </c>
      <c r="E1109" s="1" t="s">
        <v>906</v>
      </c>
    </row>
    <row r="1110">
      <c r="A1110" s="2">
        <v>45572.80787037037</v>
      </c>
      <c r="B1110" s="1" t="s">
        <v>865</v>
      </c>
      <c r="C1110" s="1" t="s">
        <v>845</v>
      </c>
      <c r="D1110" s="1" t="s">
        <v>907</v>
      </c>
      <c r="E1110" s="1" t="s">
        <v>908</v>
      </c>
    </row>
    <row r="1111">
      <c r="A1111" s="2">
        <v>45573.50880787037</v>
      </c>
      <c r="B1111" s="1" t="s">
        <v>748</v>
      </c>
      <c r="C1111" s="1" t="s">
        <v>6</v>
      </c>
      <c r="D1111" s="3" t="str">
        <f>?windows-1252?Q?Get_a_6=94_Cold_Cut_Combo_or_Ham_sub_for_only_$?=
 =?windows-1252?Q?4.99.?=</f>
        <v>#ERROR!</v>
      </c>
      <c r="E1111" s="1" t="s">
        <v>749</v>
      </c>
    </row>
    <row r="1112">
      <c r="A1112" s="2">
        <v>45573.844456018516</v>
      </c>
      <c r="B1112" s="1" t="s">
        <v>855</v>
      </c>
      <c r="C1112" s="1" t="s">
        <v>845</v>
      </c>
      <c r="D1112" s="3" t="str">
        <f>?utf-8?q?How_can_we_identify_a_DC_and_AC_motor=3F?=</f>
        <v>#ERROR!</v>
      </c>
      <c r="E1112" s="1" t="s">
        <v>909</v>
      </c>
    </row>
    <row r="1113">
      <c r="A1113" s="2">
        <v>45573.99538194444</v>
      </c>
      <c r="B1113" s="1" t="s">
        <v>857</v>
      </c>
      <c r="C1113" s="1" t="s">
        <v>845</v>
      </c>
      <c r="D1113" s="1" t="s">
        <v>910</v>
      </c>
      <c r="E1113" s="1" t="s">
        <v>847</v>
      </c>
    </row>
    <row r="1114">
      <c r="A1114" s="2">
        <v>45574.1641087963</v>
      </c>
      <c r="B1114" s="1" t="s">
        <v>222</v>
      </c>
      <c r="C1114" s="1" t="s">
        <v>14</v>
      </c>
      <c r="D1114" s="1" t="s">
        <v>911</v>
      </c>
      <c r="E1114" s="1" t="s">
        <v>912</v>
      </c>
    </row>
    <row r="1115">
      <c r="A1115" s="2">
        <v>45574.48753472222</v>
      </c>
      <c r="B1115" s="1" t="s">
        <v>857</v>
      </c>
      <c r="C1115" s="1" t="s">
        <v>845</v>
      </c>
      <c r="D1115" s="1" t="s">
        <v>913</v>
      </c>
      <c r="E1115" s="1" t="s">
        <v>847</v>
      </c>
    </row>
    <row r="1116">
      <c r="A1116" s="2">
        <v>45574.33373842593</v>
      </c>
      <c r="B1116" s="1" t="s">
        <v>914</v>
      </c>
      <c r="C1116" s="1" t="s">
        <v>14</v>
      </c>
      <c r="D1116" s="3" t="str">
        <f>?UTF-8?Q?=F0=9F=93=A3Calling_all_party_animals_-_you're_invited!?=</f>
        <v>#ERROR!</v>
      </c>
      <c r="E1116" s="1" t="s">
        <v>915</v>
      </c>
    </row>
    <row r="1117">
      <c r="A1117" s="2">
        <v>45574.643645833334</v>
      </c>
      <c r="B1117" s="1" t="s">
        <v>855</v>
      </c>
      <c r="C1117" s="1" t="s">
        <v>845</v>
      </c>
      <c r="D1117" s="3" t="str">
        <f>?utf-8?q?Do_smokers_lungs_heal_after_quitting=3F?=</f>
        <v>#ERROR!</v>
      </c>
      <c r="E1117" s="1" t="s">
        <v>916</v>
      </c>
    </row>
    <row r="1118">
      <c r="A1118" s="2">
        <v>45574.83734953704</v>
      </c>
      <c r="B1118" s="1" t="s">
        <v>222</v>
      </c>
      <c r="C1118" s="1" t="s">
        <v>14</v>
      </c>
      <c r="D1118" s="1" t="s">
        <v>917</v>
      </c>
      <c r="E1118" s="1" t="s">
        <v>918</v>
      </c>
    </row>
    <row r="1119">
      <c r="A1119" s="2">
        <v>45575.16446759259</v>
      </c>
      <c r="B1119" s="1" t="s">
        <v>919</v>
      </c>
      <c r="C1119" s="1" t="s">
        <v>920</v>
      </c>
      <c r="D1119" s="1" t="s">
        <v>921</v>
      </c>
      <c r="E1119" s="1" t="s">
        <v>922</v>
      </c>
    </row>
    <row r="1120">
      <c r="A1120" s="2">
        <v>45575.54222222222</v>
      </c>
      <c r="B1120" s="1" t="s">
        <v>888</v>
      </c>
      <c r="C1120" s="1" t="s">
        <v>14</v>
      </c>
      <c r="D1120" s="1" t="s">
        <v>923</v>
      </c>
      <c r="E1120" s="1" t="s">
        <v>924</v>
      </c>
    </row>
    <row r="1121">
      <c r="A1121" s="2">
        <v>45575.63458333333</v>
      </c>
      <c r="B1121" s="1" t="s">
        <v>748</v>
      </c>
      <c r="C1121" s="1" t="s">
        <v>6</v>
      </c>
      <c r="D1121" s="1" t="s">
        <v>925</v>
      </c>
      <c r="E1121" s="1" t="s">
        <v>749</v>
      </c>
    </row>
    <row r="1122">
      <c r="A1122" s="2">
        <v>45575.81271990741</v>
      </c>
      <c r="B1122" s="1" t="s">
        <v>857</v>
      </c>
      <c r="C1122" s="1" t="s">
        <v>845</v>
      </c>
      <c r="D1122" s="1" t="s">
        <v>926</v>
      </c>
      <c r="E1122" s="1" t="s">
        <v>847</v>
      </c>
    </row>
    <row r="1123">
      <c r="A1123" s="2">
        <v>45576.80949074074</v>
      </c>
      <c r="B1123" s="1" t="s">
        <v>927</v>
      </c>
      <c r="C1123" s="1" t="s">
        <v>845</v>
      </c>
      <c r="D1123" s="1" t="s">
        <v>879</v>
      </c>
      <c r="E1123" s="1" t="s">
        <v>877</v>
      </c>
    </row>
    <row r="1124">
      <c r="A1124" s="2">
        <v>45577.45841435185</v>
      </c>
      <c r="B1124" s="1" t="s">
        <v>928</v>
      </c>
      <c r="C1124" s="1" t="s">
        <v>845</v>
      </c>
      <c r="D1124" s="1" t="s">
        <v>929</v>
      </c>
      <c r="E1124" s="1" t="s">
        <v>930</v>
      </c>
    </row>
    <row r="1125">
      <c r="A1125" s="2">
        <v>45577.793344907404</v>
      </c>
      <c r="B1125" s="1" t="s">
        <v>848</v>
      </c>
      <c r="C1125" s="1" t="s">
        <v>849</v>
      </c>
      <c r="D1125" s="1" t="s">
        <v>931</v>
      </c>
      <c r="E1125" s="1" t="s">
        <v>851</v>
      </c>
    </row>
    <row r="1126">
      <c r="A1126" s="2">
        <v>45578.04554398148</v>
      </c>
      <c r="B1126" s="1" t="s">
        <v>932</v>
      </c>
      <c r="C1126" s="1" t="s">
        <v>724</v>
      </c>
      <c r="D1126" s="1" t="s">
        <v>933</v>
      </c>
      <c r="E1126" s="1" t="s">
        <v>934</v>
      </c>
    </row>
    <row r="1127">
      <c r="A1127" s="2">
        <v>45578.82591435185</v>
      </c>
      <c r="B1127" s="1" t="s">
        <v>857</v>
      </c>
      <c r="C1127" s="1" t="s">
        <v>845</v>
      </c>
      <c r="D1127" s="1" t="s">
        <v>935</v>
      </c>
      <c r="E1127" s="1" t="s">
        <v>847</v>
      </c>
    </row>
    <row r="1128">
      <c r="A1128" s="2">
        <v>45579.796851851854</v>
      </c>
      <c r="B1128" s="1" t="s">
        <v>857</v>
      </c>
      <c r="C1128" s="1" t="s">
        <v>845</v>
      </c>
      <c r="D1128" s="1" t="s">
        <v>936</v>
      </c>
      <c r="E1128" s="1" t="s">
        <v>847</v>
      </c>
    </row>
    <row r="1129">
      <c r="A1129" s="2">
        <v>45580.43775462963</v>
      </c>
      <c r="B1129" s="1" t="s">
        <v>894</v>
      </c>
      <c r="C1129" s="1" t="s">
        <v>6</v>
      </c>
      <c r="D1129" s="3" t="str">
        <f>?UTF-8?B?T3VyIGdpZnQgc2hvcCBpcyBoZXJlIPCfjoE=?=</f>
        <v>#ERROR!</v>
      </c>
      <c r="E1129" s="1" t="s">
        <v>937</v>
      </c>
    </row>
    <row r="1130">
      <c r="A1130" s="2">
        <v>45580.79857638889</v>
      </c>
      <c r="B1130" s="1" t="s">
        <v>857</v>
      </c>
      <c r="C1130" s="1" t="s">
        <v>845</v>
      </c>
      <c r="D1130" s="1" t="s">
        <v>938</v>
      </c>
      <c r="E1130" s="1" t="s">
        <v>847</v>
      </c>
    </row>
    <row r="1131">
      <c r="A1131" s="2">
        <v>45580.89795138889</v>
      </c>
      <c r="B1131" s="1" t="s">
        <v>818</v>
      </c>
      <c r="C1131" s="1" t="s">
        <v>14</v>
      </c>
      <c r="D1131" s="1" t="s">
        <v>939</v>
      </c>
      <c r="E1131" s="1" t="s">
        <v>940</v>
      </c>
    </row>
    <row r="1132">
      <c r="A1132" s="2">
        <v>45581.81490740741</v>
      </c>
      <c r="B1132" s="1" t="s">
        <v>857</v>
      </c>
      <c r="C1132" s="1" t="s">
        <v>845</v>
      </c>
      <c r="D1132" s="1" t="s">
        <v>913</v>
      </c>
      <c r="E1132" s="1" t="s">
        <v>847</v>
      </c>
    </row>
    <row r="1133">
      <c r="A1133" s="2">
        <v>45582.03376157407</v>
      </c>
      <c r="B1133" s="1" t="s">
        <v>860</v>
      </c>
      <c r="C1133" s="1" t="s">
        <v>849</v>
      </c>
      <c r="D1133" s="3" t="str">
        <f>?utf-8?q?40%_off_your_next_3_orders_-_just_for_you_=F0=9F=91=80?=</f>
        <v>#ERROR!</v>
      </c>
      <c r="E1133" s="1" t="s">
        <v>851</v>
      </c>
    </row>
    <row r="1134">
      <c r="A1134" s="2">
        <v>45582.79599537037</v>
      </c>
      <c r="B1134" s="1" t="s">
        <v>844</v>
      </c>
      <c r="C1134" s="1" t="s">
        <v>845</v>
      </c>
      <c r="D1134" s="1" t="s">
        <v>941</v>
      </c>
      <c r="E1134" s="1" t="s">
        <v>847</v>
      </c>
    </row>
    <row r="1135">
      <c r="A1135" s="2">
        <v>45582.85965277778</v>
      </c>
      <c r="B1135" s="1" t="s">
        <v>857</v>
      </c>
      <c r="C1135" s="1" t="s">
        <v>845</v>
      </c>
      <c r="D1135" s="1" t="s">
        <v>942</v>
      </c>
      <c r="E1135" s="1" t="s">
        <v>847</v>
      </c>
    </row>
    <row r="1136">
      <c r="A1136" s="2">
        <v>45582.91496527778</v>
      </c>
      <c r="B1136" s="1" t="s">
        <v>222</v>
      </c>
      <c r="C1136" s="1" t="s">
        <v>14</v>
      </c>
      <c r="D1136" s="1" t="s">
        <v>943</v>
      </c>
      <c r="E1136" s="1" t="s">
        <v>944</v>
      </c>
    </row>
    <row r="1137">
      <c r="A1137" s="2">
        <v>45583.81282407408</v>
      </c>
      <c r="B1137" s="1" t="s">
        <v>945</v>
      </c>
      <c r="C1137" s="1" t="s">
        <v>845</v>
      </c>
      <c r="D1137" s="3" t="str">
        <f>?utf-8?B?8J+SsyBbVEVNVSBHaWZ0IENhcmRd?=</f>
        <v>#ERROR!</v>
      </c>
      <c r="E1137" s="1" t="s">
        <v>877</v>
      </c>
    </row>
    <row r="1138">
      <c r="A1138" s="2">
        <v>45584.54231481482</v>
      </c>
      <c r="B1138" s="1" t="s">
        <v>888</v>
      </c>
      <c r="C1138" s="1" t="s">
        <v>14</v>
      </c>
      <c r="D1138" s="1" t="s">
        <v>946</v>
      </c>
      <c r="E1138" s="1" t="s">
        <v>947</v>
      </c>
    </row>
    <row r="1139">
      <c r="A1139" s="2">
        <v>45584.79746527778</v>
      </c>
      <c r="B1139" s="1" t="s">
        <v>857</v>
      </c>
      <c r="C1139" s="1" t="s">
        <v>845</v>
      </c>
      <c r="D1139" s="1" t="s">
        <v>948</v>
      </c>
      <c r="E1139" s="1" t="s">
        <v>847</v>
      </c>
    </row>
    <row r="1140">
      <c r="A1140" s="2">
        <v>45584.848229166666</v>
      </c>
      <c r="B1140" s="1" t="s">
        <v>855</v>
      </c>
      <c r="C1140" s="1" t="s">
        <v>845</v>
      </c>
      <c r="D1140" s="3" t="str">
        <f>?utf-8?q?I_smoke_weed_nearly_every_day_to_deal_with_life=2E_I_need_to_stop_?=
 =?utf-8?q?playing_the_victim_an=2E=2E=2E=3F?=</f>
        <v>#ERROR!</v>
      </c>
      <c r="E1140" s="1" t="s">
        <v>949</v>
      </c>
    </row>
    <row r="1141">
      <c r="A1141" s="2">
        <v>45584.88395833333</v>
      </c>
      <c r="B1141" s="1" t="s">
        <v>928</v>
      </c>
      <c r="C1141" s="1" t="s">
        <v>845</v>
      </c>
      <c r="D1141" s="1" t="s">
        <v>950</v>
      </c>
      <c r="E1141" s="1" t="s">
        <v>930</v>
      </c>
    </row>
    <row r="1142">
      <c r="A1142" s="2">
        <v>45585.025972222225</v>
      </c>
      <c r="B1142" s="1" t="s">
        <v>857</v>
      </c>
      <c r="C1142" s="1" t="s">
        <v>845</v>
      </c>
      <c r="D1142" s="1" t="s">
        <v>951</v>
      </c>
      <c r="E1142" s="1" t="s">
        <v>847</v>
      </c>
    </row>
    <row r="1143">
      <c r="A1143" s="2">
        <v>45585.045590277776</v>
      </c>
      <c r="B1143" s="1" t="s">
        <v>932</v>
      </c>
      <c r="C1143" s="1" t="s">
        <v>724</v>
      </c>
      <c r="D1143" s="3" t="str">
        <f>?utf-8?B?8J+UriAyMDI1IGJhYnkgZ2VhciB0cmVuZHMgJiDinYTvuI8gd2lu?=
	=?utf-8?B?dGVyIHJlZ2lzdHJ5IGhlbHA=?=</f>
        <v>#ERROR!</v>
      </c>
      <c r="E1143" s="1" t="s">
        <v>952</v>
      </c>
    </row>
    <row r="1144">
      <c r="A1144" s="2">
        <v>45585.818553240744</v>
      </c>
      <c r="B1144" s="1" t="s">
        <v>857</v>
      </c>
      <c r="C1144" s="1" t="s">
        <v>845</v>
      </c>
      <c r="D1144" s="1" t="s">
        <v>936</v>
      </c>
      <c r="E1144" s="1" t="s">
        <v>847</v>
      </c>
    </row>
    <row r="1145">
      <c r="A1145" s="2">
        <v>45585.94914351852</v>
      </c>
      <c r="B1145" s="1" t="s">
        <v>222</v>
      </c>
      <c r="C1145" s="1" t="s">
        <v>14</v>
      </c>
      <c r="D1145" s="1" t="s">
        <v>953</v>
      </c>
      <c r="E1145" s="1" t="s">
        <v>954</v>
      </c>
    </row>
    <row r="1146">
      <c r="A1146" s="2">
        <v>45585.96262731482</v>
      </c>
      <c r="B1146" s="1" t="s">
        <v>222</v>
      </c>
      <c r="C1146" s="1" t="s">
        <v>14</v>
      </c>
      <c r="D1146" s="1" t="s">
        <v>953</v>
      </c>
      <c r="E1146" s="1" t="s">
        <v>954</v>
      </c>
    </row>
    <row r="1147">
      <c r="A1147" s="2">
        <v>45586.79715277778</v>
      </c>
      <c r="B1147" s="1" t="s">
        <v>857</v>
      </c>
      <c r="C1147" s="1" t="s">
        <v>845</v>
      </c>
      <c r="D1147" s="1" t="s">
        <v>935</v>
      </c>
      <c r="E1147" s="1" t="s">
        <v>847</v>
      </c>
    </row>
    <row r="1148">
      <c r="A1148" s="2">
        <v>45587.040810185186</v>
      </c>
      <c r="B1148" s="1" t="s">
        <v>860</v>
      </c>
      <c r="C1148" s="1" t="s">
        <v>849</v>
      </c>
      <c r="D1148" s="1" t="s">
        <v>913</v>
      </c>
      <c r="E1148" s="1" t="s">
        <v>851</v>
      </c>
    </row>
    <row r="1149">
      <c r="A1149" s="2">
        <v>45587.6812037037</v>
      </c>
      <c r="B1149" s="1" t="s">
        <v>222</v>
      </c>
      <c r="C1149" s="1" t="s">
        <v>14</v>
      </c>
      <c r="D1149" s="1" t="s">
        <v>955</v>
      </c>
      <c r="E1149" s="1" t="s">
        <v>956</v>
      </c>
    </row>
    <row r="1150">
      <c r="A1150" s="2">
        <v>45587.75166666666</v>
      </c>
      <c r="B1150" s="1" t="s">
        <v>222</v>
      </c>
      <c r="C1150" s="1" t="s">
        <v>14</v>
      </c>
      <c r="D1150" s="1" t="s">
        <v>953</v>
      </c>
      <c r="E1150" s="1" t="s">
        <v>954</v>
      </c>
    </row>
    <row r="1151">
      <c r="A1151" s="2">
        <v>45587.754166666666</v>
      </c>
      <c r="B1151" s="1" t="s">
        <v>222</v>
      </c>
      <c r="C1151" s="1" t="s">
        <v>14</v>
      </c>
      <c r="D1151" s="1" t="s">
        <v>953</v>
      </c>
      <c r="E1151" s="1" t="s">
        <v>954</v>
      </c>
    </row>
    <row r="1152">
      <c r="A1152" s="2">
        <v>45587.79650462963</v>
      </c>
      <c r="B1152" s="1" t="s">
        <v>857</v>
      </c>
      <c r="C1152" s="1" t="s">
        <v>845</v>
      </c>
      <c r="D1152" s="3" t="str">
        <f>?UTF-8?q?40%_off_your_next_3_orders_-_just_for_you_=F0=9F=91=80?=</f>
        <v>#ERROR!</v>
      </c>
      <c r="E1152" s="1" t="s">
        <v>847</v>
      </c>
    </row>
    <row r="1153">
      <c r="A1153" s="2">
        <v>45587.84292824074</v>
      </c>
      <c r="B1153" s="1" t="s">
        <v>855</v>
      </c>
      <c r="C1153" s="1" t="s">
        <v>845</v>
      </c>
      <c r="D1153" s="3" t="str">
        <f>?utf-8?q?What_would_make_each_MBTI_cry=3F?=</f>
        <v>#ERROR!</v>
      </c>
      <c r="E1153" s="1" t="s">
        <v>957</v>
      </c>
    </row>
    <row r="1154">
      <c r="A1154" s="2">
        <v>45588.542233796295</v>
      </c>
      <c r="B1154" s="1" t="s">
        <v>888</v>
      </c>
      <c r="C1154" s="1" t="s">
        <v>14</v>
      </c>
      <c r="D1154" s="1" t="s">
        <v>958</v>
      </c>
      <c r="E1154" s="1" t="s">
        <v>959</v>
      </c>
    </row>
    <row r="1155">
      <c r="A1155" s="2">
        <v>45588.29508101852</v>
      </c>
      <c r="B1155" s="1" t="s">
        <v>894</v>
      </c>
      <c r="C1155" s="1" t="s">
        <v>6</v>
      </c>
      <c r="D1155" s="3" t="str">
        <f>?UTF-8?B?VGhlIE5FVyBpUGFkIG1pbmkgKEExNyBQcm8pIGlzIGhlcmUg?=
 =?UTF-8?B?8J+TsQ==?=</f>
        <v>#ERROR!</v>
      </c>
      <c r="E1155" s="1" t="s">
        <v>960</v>
      </c>
    </row>
    <row r="1156">
      <c r="A1156" s="2">
        <v>45588.705509259256</v>
      </c>
      <c r="B1156" s="1" t="s">
        <v>222</v>
      </c>
      <c r="C1156" s="1" t="s">
        <v>14</v>
      </c>
      <c r="D1156" s="1" t="s">
        <v>961</v>
      </c>
      <c r="E1156" s="1" t="s">
        <v>962</v>
      </c>
    </row>
    <row r="1157">
      <c r="A1157" s="2">
        <v>45588.842210648145</v>
      </c>
      <c r="B1157" s="1" t="s">
        <v>857</v>
      </c>
      <c r="C1157" s="1" t="s">
        <v>845</v>
      </c>
      <c r="D1157" s="1" t="s">
        <v>963</v>
      </c>
      <c r="E1157" s="1" t="s">
        <v>847</v>
      </c>
    </row>
    <row r="1158">
      <c r="A1158" s="2">
        <v>45588.65431712963</v>
      </c>
      <c r="B1158" s="1" t="s">
        <v>964</v>
      </c>
      <c r="C1158" s="1" t="s">
        <v>14</v>
      </c>
      <c r="D1158" s="1" t="s">
        <v>965</v>
      </c>
      <c r="E1158" s="1" t="s">
        <v>966</v>
      </c>
    </row>
    <row r="1159">
      <c r="A1159" s="2">
        <v>45589.18548611111</v>
      </c>
      <c r="B1159" s="1" t="s">
        <v>855</v>
      </c>
      <c r="C1159" s="1" t="s">
        <v>845</v>
      </c>
      <c r="D1159" s="3" t="str">
        <f>?utf-8?q?I_sent_someone_a_friend_request_on_Facebook=2C_and_when_I_checked_?=
 =?utf-8?q?back_later_it_said_I_=2E=2E=2E=3F?=</f>
        <v>#ERROR!</v>
      </c>
      <c r="E1159" s="1" t="s">
        <v>967</v>
      </c>
    </row>
    <row r="1160">
      <c r="A1160" s="2">
        <v>45589.7950462963</v>
      </c>
      <c r="B1160" s="1" t="s">
        <v>857</v>
      </c>
      <c r="C1160" s="1" t="s">
        <v>845</v>
      </c>
      <c r="D1160" s="1" t="s">
        <v>968</v>
      </c>
      <c r="E1160" s="1" t="s">
        <v>847</v>
      </c>
    </row>
    <row r="1161">
      <c r="A1161" s="2">
        <v>45590.544652777775</v>
      </c>
      <c r="B1161" s="1" t="s">
        <v>675</v>
      </c>
      <c r="C1161" s="1" t="s">
        <v>14</v>
      </c>
      <c r="D1161" s="1" t="s">
        <v>969</v>
      </c>
      <c r="E1161" s="1" t="s">
        <v>676</v>
      </c>
    </row>
    <row r="1162">
      <c r="A1162" s="2">
        <v>45590.60805555555</v>
      </c>
      <c r="B1162" s="1" t="s">
        <v>748</v>
      </c>
      <c r="C1162" s="1" t="s">
        <v>6</v>
      </c>
      <c r="D1162" s="3" t="str">
        <f>?utf-8?B?U2F2ZSBPbiBTdWJ3YXnCriDwn4aY?=</f>
        <v>#ERROR!</v>
      </c>
      <c r="E1162" s="1" t="s">
        <v>749</v>
      </c>
    </row>
    <row r="1163">
      <c r="A1163" s="2">
        <v>45590.585752314815</v>
      </c>
      <c r="B1163" s="1" t="s">
        <v>970</v>
      </c>
      <c r="C1163" s="1" t="s">
        <v>14</v>
      </c>
      <c r="D1163" s="1" t="s">
        <v>971</v>
      </c>
      <c r="E1163" s="1" t="s">
        <v>138</v>
      </c>
    </row>
    <row r="1164">
      <c r="A1164" s="2">
        <v>45590.802303240744</v>
      </c>
      <c r="B1164" s="1" t="s">
        <v>860</v>
      </c>
      <c r="C1164" s="1" t="s">
        <v>849</v>
      </c>
      <c r="D1164" s="3" t="str">
        <f>?utf-8?q?Shop_40%_off_Spirit_Halloween_orders_$50+_=F0=9F=8E=83?=</f>
        <v>#ERROR!</v>
      </c>
      <c r="E1164" s="1" t="s">
        <v>851</v>
      </c>
    </row>
    <row r="1165">
      <c r="A1165" s="2">
        <v>45590.935532407406</v>
      </c>
      <c r="B1165" s="1" t="s">
        <v>945</v>
      </c>
      <c r="C1165" s="1" t="s">
        <v>845</v>
      </c>
      <c r="D1165" s="1" t="s">
        <v>972</v>
      </c>
      <c r="E1165" s="1" t="s">
        <v>877</v>
      </c>
    </row>
    <row r="1166">
      <c r="A1166" s="2">
        <v>45591.18541666667</v>
      </c>
      <c r="B1166" s="1" t="s">
        <v>855</v>
      </c>
      <c r="C1166" s="1" t="s">
        <v>845</v>
      </c>
      <c r="D1166" s="3" t="str">
        <f>?utf-8?q?When_will_AC_get_replaced_by_DC=3F?=</f>
        <v>#ERROR!</v>
      </c>
      <c r="E1166" s="1" t="s">
        <v>973</v>
      </c>
    </row>
    <row r="1167">
      <c r="A1167" s="2">
        <v>45593.08603009259</v>
      </c>
      <c r="B1167" s="1" t="s">
        <v>222</v>
      </c>
      <c r="C1167" s="1" t="s">
        <v>14</v>
      </c>
      <c r="D1167" s="1" t="s">
        <v>974</v>
      </c>
      <c r="E1167" s="1" t="s">
        <v>975</v>
      </c>
    </row>
    <row r="1168">
      <c r="A1168" s="2">
        <v>45593.45863425926</v>
      </c>
      <c r="B1168" s="1" t="s">
        <v>928</v>
      </c>
      <c r="C1168" s="1" t="s">
        <v>845</v>
      </c>
      <c r="D1168" s="1" t="s">
        <v>976</v>
      </c>
      <c r="E1168" s="1" t="s">
        <v>977</v>
      </c>
    </row>
    <row r="1169">
      <c r="A1169" s="2">
        <v>45593.50230324074</v>
      </c>
      <c r="B1169" s="1" t="s">
        <v>748</v>
      </c>
      <c r="C1169" s="1" t="s">
        <v>6</v>
      </c>
      <c r="D1169" s="3" t="str">
        <f>?utf-8?B?QnV5IE9uZSBHZXQgT25lIEZvb3Rsb25nIHN1YvCfpK0=?=</f>
        <v>#ERROR!</v>
      </c>
      <c r="E1169" s="1" t="s">
        <v>749</v>
      </c>
    </row>
    <row r="1170">
      <c r="A1170" s="2">
        <v>45593.812314814815</v>
      </c>
      <c r="B1170" s="1" t="s">
        <v>857</v>
      </c>
      <c r="C1170" s="1" t="s">
        <v>845</v>
      </c>
      <c r="D1170" s="1" t="s">
        <v>978</v>
      </c>
      <c r="E1170" s="1" t="s">
        <v>847</v>
      </c>
    </row>
    <row r="1171">
      <c r="A1171" s="2">
        <v>45594.073379629626</v>
      </c>
      <c r="B1171" s="1" t="s">
        <v>857</v>
      </c>
      <c r="C1171" s="1" t="s">
        <v>845</v>
      </c>
      <c r="D1171" s="1" t="s">
        <v>910</v>
      </c>
      <c r="E1171" s="1" t="s">
        <v>847</v>
      </c>
    </row>
    <row r="1172">
      <c r="A1172" s="2">
        <v>45594.68341435185</v>
      </c>
      <c r="B1172" s="1" t="s">
        <v>723</v>
      </c>
      <c r="C1172" s="1" t="s">
        <v>724</v>
      </c>
      <c r="D1172" s="3" t="str">
        <f>?utf-8?B?MzMgV2Vla3MgUHJlZ25hbnQ6IE9NRy4uLkJhYnkncyBTaGVkZGlu?=
	=?utf-8?B?ZyEg8J+Zig==?=</f>
        <v>#ERROR!</v>
      </c>
      <c r="E1172" s="1" t="s">
        <v>979</v>
      </c>
    </row>
    <row r="1173">
      <c r="A1173" s="2">
        <v>45594.7980787037</v>
      </c>
      <c r="B1173" s="1" t="s">
        <v>857</v>
      </c>
      <c r="C1173" s="1" t="s">
        <v>845</v>
      </c>
      <c r="D1173" s="1" t="s">
        <v>913</v>
      </c>
      <c r="E1173" s="1" t="s">
        <v>847</v>
      </c>
    </row>
    <row r="1174">
      <c r="A1174" s="2">
        <v>45595.0265162037</v>
      </c>
      <c r="B1174" s="1" t="s">
        <v>857</v>
      </c>
      <c r="C1174" s="1" t="s">
        <v>845</v>
      </c>
      <c r="D1174" s="1" t="s">
        <v>980</v>
      </c>
      <c r="E1174" s="1" t="s">
        <v>847</v>
      </c>
    </row>
    <row r="1175">
      <c r="A1175" s="2">
        <v>45595.8071875</v>
      </c>
      <c r="B1175" s="1" t="s">
        <v>844</v>
      </c>
      <c r="C1175" s="1" t="s">
        <v>845</v>
      </c>
      <c r="D1175" s="1" t="s">
        <v>981</v>
      </c>
      <c r="E1175" s="1" t="s">
        <v>847</v>
      </c>
    </row>
    <row r="1176">
      <c r="A1176" s="2">
        <v>45596.50417824074</v>
      </c>
      <c r="B1176" s="1" t="s">
        <v>748</v>
      </c>
      <c r="C1176" s="1" t="s">
        <v>6</v>
      </c>
      <c r="D1176" s="3" t="str">
        <f>?windows-1252?Q?Trick_or_Treat_yourself_to_Subway=AE?=</f>
        <v>#ERROR!</v>
      </c>
      <c r="E1176" s="1" t="s">
        <v>749</v>
      </c>
    </row>
    <row r="1177">
      <c r="A1177" s="2">
        <v>45597.80944444444</v>
      </c>
      <c r="B1177" s="1" t="s">
        <v>875</v>
      </c>
      <c r="C1177" s="1" t="s">
        <v>845</v>
      </c>
      <c r="D1177" s="1" t="s">
        <v>982</v>
      </c>
      <c r="E1177" s="1" t="s">
        <v>877</v>
      </c>
    </row>
    <row r="1178">
      <c r="A1178" s="2">
        <v>45597.64885416667</v>
      </c>
      <c r="B1178" s="1" t="s">
        <v>964</v>
      </c>
      <c r="C1178" s="1" t="s">
        <v>14</v>
      </c>
      <c r="D1178" s="1" t="s">
        <v>983</v>
      </c>
      <c r="E1178" s="1" t="s">
        <v>984</v>
      </c>
    </row>
    <row r="1179">
      <c r="A1179" s="2">
        <v>45599.50686342592</v>
      </c>
      <c r="B1179" s="1" t="s">
        <v>748</v>
      </c>
      <c r="C1179" s="1" t="s">
        <v>6</v>
      </c>
      <c r="D1179" s="3" t="str">
        <f>?windows-1252?Q?It=92s_the_most_wonderful_day_of_the_year!?=</f>
        <v>#ERROR!</v>
      </c>
      <c r="E1179" s="1" t="s">
        <v>749</v>
      </c>
    </row>
    <row r="1180">
      <c r="A1180" s="2">
        <v>45599.86457175926</v>
      </c>
      <c r="B1180" s="1" t="s">
        <v>848</v>
      </c>
      <c r="C1180" s="1" t="s">
        <v>849</v>
      </c>
      <c r="D1180" s="1" t="s">
        <v>985</v>
      </c>
      <c r="E1180" s="1" t="s">
        <v>851</v>
      </c>
    </row>
    <row r="1181">
      <c r="A1181" s="2">
        <v>45600.876550925925</v>
      </c>
      <c r="B1181" s="1" t="s">
        <v>844</v>
      </c>
      <c r="C1181" s="1" t="s">
        <v>845</v>
      </c>
      <c r="D1181" s="1" t="s">
        <v>986</v>
      </c>
      <c r="E1181" s="1" t="s">
        <v>847</v>
      </c>
    </row>
    <row r="1182">
      <c r="A1182" s="2">
        <v>45601.76356481481</v>
      </c>
      <c r="B1182" s="1" t="s">
        <v>987</v>
      </c>
      <c r="C1182" s="1" t="s">
        <v>988</v>
      </c>
      <c r="D1182" s="1" t="s">
        <v>989</v>
      </c>
      <c r="E1182" s="1" t="s">
        <v>990</v>
      </c>
    </row>
    <row r="1183">
      <c r="A1183" s="2">
        <v>45602.840729166666</v>
      </c>
      <c r="B1183" s="1" t="s">
        <v>844</v>
      </c>
      <c r="C1183" s="1" t="s">
        <v>845</v>
      </c>
      <c r="D1183" s="1" t="s">
        <v>991</v>
      </c>
      <c r="E1183" s="1" t="s">
        <v>847</v>
      </c>
    </row>
    <row r="1184">
      <c r="A1184" s="2">
        <v>45603.61508101852</v>
      </c>
      <c r="B1184" s="1" t="s">
        <v>748</v>
      </c>
      <c r="C1184" s="1" t="s">
        <v>6</v>
      </c>
      <c r="D1184" s="3" t="str">
        <f>?windows-1252?Q?BOGO_before_it=92s_a_no_go!?=</f>
        <v>#ERROR!</v>
      </c>
      <c r="E1184" s="1" t="s">
        <v>749</v>
      </c>
    </row>
    <row r="1185">
      <c r="A1185" s="2">
        <v>45604.84892361111</v>
      </c>
      <c r="B1185" s="1" t="s">
        <v>927</v>
      </c>
      <c r="C1185" s="1" t="s">
        <v>845</v>
      </c>
      <c r="D1185" s="1" t="s">
        <v>992</v>
      </c>
      <c r="E1185" s="1" t="s">
        <v>877</v>
      </c>
    </row>
    <row r="1186">
      <c r="A1186" s="2">
        <v>45605.842152777775</v>
      </c>
      <c r="B1186" s="1" t="s">
        <v>860</v>
      </c>
      <c r="C1186" s="1" t="s">
        <v>849</v>
      </c>
      <c r="D1186" s="1" t="s">
        <v>926</v>
      </c>
      <c r="E1186" s="1" t="s">
        <v>851</v>
      </c>
    </row>
    <row r="1187">
      <c r="A1187" s="2">
        <v>45606.500081018516</v>
      </c>
      <c r="B1187" s="1" t="s">
        <v>928</v>
      </c>
      <c r="C1187" s="1" t="s">
        <v>845</v>
      </c>
      <c r="D1187" s="1" t="s">
        <v>993</v>
      </c>
      <c r="E1187" s="1" t="s">
        <v>977</v>
      </c>
    </row>
    <row r="1188">
      <c r="A1188" s="2">
        <v>45606.838530092595</v>
      </c>
      <c r="B1188" s="1" t="s">
        <v>844</v>
      </c>
      <c r="C1188" s="1" t="s">
        <v>845</v>
      </c>
      <c r="D1188" s="1" t="s">
        <v>994</v>
      </c>
      <c r="E1188" s="1" t="s">
        <v>847</v>
      </c>
    </row>
    <row r="1189">
      <c r="A1189" s="2">
        <v>45607.85512731481</v>
      </c>
      <c r="B1189" s="1" t="s">
        <v>857</v>
      </c>
      <c r="C1189" s="1" t="s">
        <v>845</v>
      </c>
      <c r="D1189" s="1" t="s">
        <v>995</v>
      </c>
      <c r="E1189" s="1" t="s">
        <v>847</v>
      </c>
    </row>
    <row r="1190">
      <c r="A1190" s="2">
        <v>45608.07960648148</v>
      </c>
      <c r="B1190" s="1" t="s">
        <v>860</v>
      </c>
      <c r="C1190" s="1" t="s">
        <v>849</v>
      </c>
      <c r="D1190" s="3" t="str">
        <f>?utf-8?q?30%_off_your_next_3_orders_-_just_for_you_=F0=9F=91=80?=</f>
        <v>#ERROR!</v>
      </c>
      <c r="E1190" s="1" t="s">
        <v>851</v>
      </c>
    </row>
    <row r="1191">
      <c r="A1191" s="2">
        <v>45608.59038194444</v>
      </c>
      <c r="B1191" s="1" t="s">
        <v>748</v>
      </c>
      <c r="C1191" s="1" t="s">
        <v>6</v>
      </c>
      <c r="D1191" s="3" t="str">
        <f>?utf-8?B?R2V0IHRoZSBUdXJrZXkgeW914oCZdmUgYmVlbiBleWVpbmcg?=
 =?utf-8?B?8J+RgA==?=</f>
        <v>#ERROR!</v>
      </c>
      <c r="E1191" s="1" t="s">
        <v>749</v>
      </c>
    </row>
    <row r="1192">
      <c r="A1192" s="2">
        <v>45608.84908564815</v>
      </c>
      <c r="B1192" s="1" t="s">
        <v>855</v>
      </c>
      <c r="C1192" s="1" t="s">
        <v>845</v>
      </c>
      <c r="D1192" s="3" t="str">
        <f>?utf-8?q?What_is_the_purpose_of_using_diodes_with_transistors_in_switching_?=
 =?utf-8?q?circuits=3F_What_woul=2E=2E=2E=3F?=</f>
        <v>#ERROR!</v>
      </c>
      <c r="E1192" s="1" t="s">
        <v>996</v>
      </c>
    </row>
    <row r="1193">
      <c r="A1193" s="2">
        <v>45608.856828703705</v>
      </c>
      <c r="B1193" s="1" t="s">
        <v>857</v>
      </c>
      <c r="C1193" s="1" t="s">
        <v>845</v>
      </c>
      <c r="D1193" s="1" t="s">
        <v>997</v>
      </c>
      <c r="E1193" s="1" t="s">
        <v>847</v>
      </c>
    </row>
    <row r="1194">
      <c r="A1194" s="2">
        <v>45609.85686342593</v>
      </c>
      <c r="B1194" s="1" t="s">
        <v>844</v>
      </c>
      <c r="C1194" s="1" t="s">
        <v>845</v>
      </c>
      <c r="D1194" s="1" t="s">
        <v>998</v>
      </c>
      <c r="E1194" s="1" t="s">
        <v>847</v>
      </c>
    </row>
    <row r="1195">
      <c r="A1195" s="2">
        <v>45610.177719907406</v>
      </c>
      <c r="B1195" s="1" t="s">
        <v>855</v>
      </c>
      <c r="C1195" s="1" t="s">
        <v>845</v>
      </c>
      <c r="D1195" s="3" t="str">
        <f>?utf-8?q?If_I_connect_a_neutral_wire_to_the_ground_rod=2C_is_there_any_case?=
 =?utf-8?q?_where_there_will_be_=2E=2E=2E=3F?=</f>
        <v>#ERROR!</v>
      </c>
      <c r="E1195" s="1" t="s">
        <v>999</v>
      </c>
    </row>
    <row r="1196">
      <c r="A1196" s="2">
        <v>45610.24916666667</v>
      </c>
      <c r="B1196" s="1" t="s">
        <v>1000</v>
      </c>
      <c r="C1196" s="1" t="s">
        <v>14</v>
      </c>
      <c r="D1196" s="3" t="str">
        <f>?UTF-8?Q?Subscribe_to_Emma_Ryan=E2=80=99s_=E2=80=9CC=E2=80=9D=3F?=</f>
        <v>#ERROR!</v>
      </c>
      <c r="E1196" s="1" t="s">
        <v>1001</v>
      </c>
    </row>
    <row r="1197">
      <c r="A1197" s="2">
        <v>45610.50140046296</v>
      </c>
      <c r="B1197" s="1" t="s">
        <v>748</v>
      </c>
      <c r="C1197" s="1" t="s">
        <v>6</v>
      </c>
      <c r="D1197" s="3" t="str">
        <f>?windows-1252?Q?Kick_start_your_celebrations_with_Subway=AE.?=</f>
        <v>#ERROR!</v>
      </c>
      <c r="E1197" s="1" t="s">
        <v>749</v>
      </c>
    </row>
    <row r="1198">
      <c r="A1198" s="2">
        <v>45611.84680555556</v>
      </c>
      <c r="B1198" s="1" t="s">
        <v>945</v>
      </c>
      <c r="C1198" s="1" t="s">
        <v>845</v>
      </c>
      <c r="D1198" s="1" t="s">
        <v>879</v>
      </c>
      <c r="E1198" s="1" t="s">
        <v>877</v>
      </c>
    </row>
    <row r="1199">
      <c r="A1199" s="2">
        <v>45611.87060185185</v>
      </c>
      <c r="B1199" s="1" t="s">
        <v>857</v>
      </c>
      <c r="C1199" s="1" t="s">
        <v>845</v>
      </c>
      <c r="D1199" s="3" t="str">
        <f>?UTF-8?q?Explore_new_restaurants_on_Uber_Eats_=F0=9F=8D=BD=EF=B8=8F?=</f>
        <v>#ERROR!</v>
      </c>
      <c r="E1199" s="1" t="s">
        <v>847</v>
      </c>
    </row>
    <row r="1200">
      <c r="A1200" s="2">
        <v>45612.83372685185</v>
      </c>
      <c r="B1200" s="1" t="s">
        <v>860</v>
      </c>
      <c r="C1200" s="1" t="s">
        <v>849</v>
      </c>
      <c r="D1200" s="3" t="str">
        <f>?utf-8?q?Whatever_you're_craving,_we'll_bring_it_to_you._=F0=9F=8D=94?=</f>
        <v>#ERROR!</v>
      </c>
      <c r="E1200" s="1" t="s">
        <v>851</v>
      </c>
    </row>
    <row r="1201">
      <c r="A1201" s="2">
        <v>45613.83809027778</v>
      </c>
      <c r="B1201" s="1" t="s">
        <v>848</v>
      </c>
      <c r="C1201" s="1" t="s">
        <v>849</v>
      </c>
      <c r="D1201" s="1" t="s">
        <v>941</v>
      </c>
      <c r="E1201" s="1" t="s">
        <v>851</v>
      </c>
    </row>
    <row r="1202">
      <c r="A1202" s="2">
        <v>45614.851493055554</v>
      </c>
      <c r="B1202" s="1" t="s">
        <v>857</v>
      </c>
      <c r="C1202" s="1" t="s">
        <v>845</v>
      </c>
      <c r="D1202" s="1" t="s">
        <v>1002</v>
      </c>
      <c r="E1202" s="1" t="s">
        <v>847</v>
      </c>
    </row>
    <row r="1203">
      <c r="A1203" s="2">
        <v>45615.85008101852</v>
      </c>
      <c r="B1203" s="1" t="s">
        <v>857</v>
      </c>
      <c r="C1203" s="1" t="s">
        <v>845</v>
      </c>
      <c r="D1203" s="1" t="s">
        <v>858</v>
      </c>
      <c r="E1203" s="1" t="s">
        <v>847</v>
      </c>
    </row>
    <row r="1204">
      <c r="A1204" s="2">
        <v>45616.074583333335</v>
      </c>
      <c r="B1204" s="1" t="s">
        <v>860</v>
      </c>
      <c r="C1204" s="1" t="s">
        <v>849</v>
      </c>
      <c r="D1204" s="1" t="s">
        <v>861</v>
      </c>
      <c r="E1204" s="1" t="s">
        <v>851</v>
      </c>
    </row>
    <row r="1205">
      <c r="A1205" s="2">
        <v>45616.79871527778</v>
      </c>
      <c r="B1205" s="1" t="s">
        <v>222</v>
      </c>
      <c r="C1205" s="1" t="s">
        <v>14</v>
      </c>
      <c r="D1205" s="1" t="s">
        <v>1003</v>
      </c>
      <c r="E1205" s="1" t="s">
        <v>1004</v>
      </c>
    </row>
    <row r="1206">
      <c r="A1206" s="2">
        <v>45616.851435185185</v>
      </c>
      <c r="B1206" s="1" t="s">
        <v>844</v>
      </c>
      <c r="C1206" s="1" t="s">
        <v>845</v>
      </c>
      <c r="D1206" s="1" t="s">
        <v>863</v>
      </c>
      <c r="E1206" s="1" t="s">
        <v>847</v>
      </c>
    </row>
    <row r="1207">
      <c r="A1207" s="2">
        <v>45617.50381944444</v>
      </c>
      <c r="B1207" s="1" t="s">
        <v>748</v>
      </c>
      <c r="C1207" s="1" t="s">
        <v>6</v>
      </c>
      <c r="D1207" s="3" t="str">
        <f>?windows-1252?Q?*Knock_knock*_Craig=2C_it=92s_Subway=AE.?=</f>
        <v>#ERROR!</v>
      </c>
      <c r="E1207" s="1" t="s">
        <v>749</v>
      </c>
    </row>
    <row r="1208">
      <c r="A1208" s="2">
        <v>45617.844664351855</v>
      </c>
      <c r="B1208" s="1" t="s">
        <v>855</v>
      </c>
      <c r="C1208" s="1" t="s">
        <v>845</v>
      </c>
      <c r="D1208" s="3" t="str">
        <f>?utf-8?q?Why_does_Tesla_require_their_cars_to_be_towed_and_maintenance_perf?=
 =?utf-8?q?ormed_when_the_12_v=2E=2E=2E=3F?=</f>
        <v>#ERROR!</v>
      </c>
      <c r="E1208" s="1" t="s">
        <v>1005</v>
      </c>
    </row>
    <row r="1209">
      <c r="A1209" s="2">
        <v>45618.48296296296</v>
      </c>
      <c r="B1209" s="1" t="s">
        <v>964</v>
      </c>
      <c r="C1209" s="1" t="s">
        <v>14</v>
      </c>
      <c r="D1209" s="1" t="s">
        <v>1006</v>
      </c>
      <c r="E1209" s="1" t="s">
        <v>1007</v>
      </c>
    </row>
    <row r="1210">
      <c r="A1210" s="2">
        <v>45618.84234953704</v>
      </c>
      <c r="B1210" s="1" t="s">
        <v>945</v>
      </c>
      <c r="C1210" s="1" t="s">
        <v>845</v>
      </c>
      <c r="D1210" s="3" t="str">
        <f>?utf-8?B?U3VjY2Vzc2Z1bGx5IEFjY2VwdGVkIOKchQ==?=</f>
        <v>#ERROR!</v>
      </c>
      <c r="E1210" s="1" t="s">
        <v>877</v>
      </c>
    </row>
    <row r="1211">
      <c r="A1211" s="2">
        <v>45618.868935185186</v>
      </c>
      <c r="B1211" s="1" t="s">
        <v>860</v>
      </c>
      <c r="C1211" s="1" t="s">
        <v>849</v>
      </c>
      <c r="D1211" s="3" t="str">
        <f>?utf-8?q?BOGO_deals_incoming__=F0=9F=91=80?=</f>
        <v>#ERROR!</v>
      </c>
      <c r="E1211" s="1" t="s">
        <v>851</v>
      </c>
    </row>
    <row r="1212">
      <c r="A1212" s="2">
        <v>45619.84688657407</v>
      </c>
      <c r="B1212" s="1" t="s">
        <v>844</v>
      </c>
      <c r="C1212" s="1" t="s">
        <v>845</v>
      </c>
      <c r="D1212" s="1" t="s">
        <v>1008</v>
      </c>
      <c r="E1212" s="1" t="s">
        <v>847</v>
      </c>
    </row>
    <row r="1213">
      <c r="A1213" s="2">
        <v>45621.714525462965</v>
      </c>
      <c r="B1213" s="1" t="s">
        <v>987</v>
      </c>
      <c r="C1213" s="1" t="s">
        <v>988</v>
      </c>
      <c r="D1213" s="1" t="s">
        <v>1009</v>
      </c>
      <c r="E1213" s="1" t="s">
        <v>1010</v>
      </c>
    </row>
    <row r="1214">
      <c r="A1214" s="2">
        <v>45622.502858796295</v>
      </c>
      <c r="B1214" s="1" t="s">
        <v>748</v>
      </c>
      <c r="C1214" s="1" t="s">
        <v>6</v>
      </c>
      <c r="D1214" s="1" t="s">
        <v>1011</v>
      </c>
      <c r="E1214" s="1" t="s">
        <v>749</v>
      </c>
    </row>
    <row r="1215">
      <c r="A1215" s="2">
        <v>45622.59140046296</v>
      </c>
      <c r="B1215" s="1" t="s">
        <v>222</v>
      </c>
      <c r="C1215" s="1" t="s">
        <v>14</v>
      </c>
      <c r="D1215" s="1" t="s">
        <v>1012</v>
      </c>
      <c r="E1215" s="1" t="s">
        <v>1013</v>
      </c>
    </row>
    <row r="1216">
      <c r="A1216" s="2">
        <v>45623.61986111111</v>
      </c>
      <c r="B1216" s="1" t="s">
        <v>987</v>
      </c>
      <c r="C1216" s="1" t="s">
        <v>988</v>
      </c>
      <c r="D1216" s="3" t="str">
        <f>?UTF-8?q?=F0=9F=93=86_Check_Out_Your_December_Financial_Calendar?=</f>
        <v>#ERROR!</v>
      </c>
      <c r="E1216" s="1" t="s">
        <v>1014</v>
      </c>
    </row>
    <row r="1217">
      <c r="A1217" s="2">
        <v>45624.04326388889</v>
      </c>
      <c r="B1217" s="1" t="s">
        <v>222</v>
      </c>
      <c r="C1217" s="1" t="s">
        <v>14</v>
      </c>
      <c r="D1217" s="1" t="s">
        <v>953</v>
      </c>
      <c r="E1217" s="1" t="s">
        <v>954</v>
      </c>
    </row>
    <row r="1218">
      <c r="A1218" s="2">
        <v>45624.04813657407</v>
      </c>
      <c r="B1218" s="1" t="s">
        <v>222</v>
      </c>
      <c r="C1218" s="1" t="s">
        <v>14</v>
      </c>
      <c r="D1218" s="1" t="s">
        <v>953</v>
      </c>
      <c r="E1218" s="1" t="s">
        <v>954</v>
      </c>
    </row>
    <row r="1219">
      <c r="A1219" s="2">
        <v>45625.05657407407</v>
      </c>
      <c r="B1219" s="1" t="s">
        <v>844</v>
      </c>
      <c r="C1219" s="1" t="s">
        <v>845</v>
      </c>
      <c r="D1219" s="3" t="str">
        <f>?UTF-8?q?Deals_you_don=E2=80=99t_wanna_miss,_Craig_n_Emma?=</f>
        <v>#ERROR!</v>
      </c>
      <c r="E1219" s="1" t="s">
        <v>847</v>
      </c>
    </row>
    <row r="1220">
      <c r="A1220" s="2">
        <v>45626.03144675926</v>
      </c>
      <c r="B1220" s="1" t="s">
        <v>1015</v>
      </c>
      <c r="C1220" s="1" t="s">
        <v>845</v>
      </c>
      <c r="D1220" s="1" t="s">
        <v>1016</v>
      </c>
      <c r="E1220" s="1" t="s">
        <v>847</v>
      </c>
    </row>
    <row r="1221">
      <c r="A1221" s="2">
        <v>45626.03144675926</v>
      </c>
      <c r="B1221" s="1" t="s">
        <v>1015</v>
      </c>
      <c r="C1221" s="1" t="s">
        <v>845</v>
      </c>
      <c r="D1221" s="1" t="s">
        <v>1016</v>
      </c>
      <c r="E1221" s="1" t="s">
        <v>847</v>
      </c>
    </row>
    <row r="1222">
      <c r="A1222" s="2">
        <v>45627.45334490741</v>
      </c>
      <c r="B1222" s="1" t="s">
        <v>1017</v>
      </c>
      <c r="C1222" s="1" t="s">
        <v>14</v>
      </c>
      <c r="D1222" s="5" t="s">
        <v>1018</v>
      </c>
      <c r="E1222" s="1" t="s">
        <v>1019</v>
      </c>
    </row>
    <row r="1223">
      <c r="A1223" s="2">
        <v>45627.86622685185</v>
      </c>
      <c r="B1223" s="1" t="s">
        <v>844</v>
      </c>
      <c r="C1223" s="1" t="s">
        <v>845</v>
      </c>
      <c r="D1223" s="1" t="s">
        <v>1020</v>
      </c>
      <c r="E1223" s="1" t="s">
        <v>847</v>
      </c>
    </row>
    <row r="1224">
      <c r="A1224" s="2">
        <v>45628.54604166667</v>
      </c>
      <c r="B1224" s="1" t="s">
        <v>222</v>
      </c>
      <c r="C1224" s="1" t="s">
        <v>14</v>
      </c>
      <c r="D1224" s="1" t="s">
        <v>1021</v>
      </c>
      <c r="E1224" s="1" t="s">
        <v>1022</v>
      </c>
    </row>
    <row r="1225">
      <c r="A1225" s="2">
        <v>45628.84197916667</v>
      </c>
      <c r="B1225" s="1" t="s">
        <v>844</v>
      </c>
      <c r="C1225" s="1" t="s">
        <v>845</v>
      </c>
      <c r="D1225" s="3" t="str">
        <f>?UTF-8?q?See_what_we=E2=80=99ve_picked_out_just_for_you?=</f>
        <v>#ERROR!</v>
      </c>
      <c r="E1225" s="1" t="s">
        <v>847</v>
      </c>
    </row>
    <row r="1226">
      <c r="A1226" s="2">
        <v>45629.52693287037</v>
      </c>
      <c r="B1226" s="1" t="s">
        <v>1023</v>
      </c>
      <c r="C1226" s="1" t="s">
        <v>845</v>
      </c>
      <c r="D1226" s="1" t="s">
        <v>1024</v>
      </c>
      <c r="E1226" s="1" t="s">
        <v>1025</v>
      </c>
    </row>
    <row r="1227">
      <c r="A1227" s="2">
        <v>45629.55435185185</v>
      </c>
      <c r="B1227" s="1" t="s">
        <v>1017</v>
      </c>
      <c r="C1227" s="1" t="s">
        <v>14</v>
      </c>
      <c r="D1227" s="1" t="s">
        <v>1026</v>
      </c>
      <c r="E1227" s="1" t="s">
        <v>1019</v>
      </c>
    </row>
    <row r="1228">
      <c r="A1228" s="2">
        <v>45629.84577546296</v>
      </c>
      <c r="B1228" s="1" t="s">
        <v>857</v>
      </c>
      <c r="C1228" s="1" t="s">
        <v>845</v>
      </c>
      <c r="D1228" s="1" t="s">
        <v>997</v>
      </c>
      <c r="E1228" s="1" t="s">
        <v>847</v>
      </c>
    </row>
    <row r="1229">
      <c r="A1229" s="2">
        <v>45630.06868055555</v>
      </c>
      <c r="B1229" s="1" t="s">
        <v>857</v>
      </c>
      <c r="C1229" s="1" t="s">
        <v>845</v>
      </c>
      <c r="D1229" s="3" t="str">
        <f>?UTF-8?q?30%_off_your_next_3_orders_-_just_for_you_=F0=9F=91=80?=</f>
        <v>#ERROR!</v>
      </c>
      <c r="E1229" s="1" t="s">
        <v>847</v>
      </c>
    </row>
    <row r="1230">
      <c r="A1230" s="2">
        <v>45630.50271990741</v>
      </c>
      <c r="B1230" s="1" t="s">
        <v>748</v>
      </c>
      <c r="C1230" s="1" t="s">
        <v>6</v>
      </c>
      <c r="D1230" s="3" t="str">
        <f>?utf-8?B?V2FudCBhIEZSRUUgRm9vdGxvbmcgY29va2llPyBCdXkgYSBGbw==?=
 =?utf-8?B?b3Rsb25nIHN1YiwgdG9kYXkgb25seSEg8J+aqCDwn42q?=</f>
        <v>#ERROR!</v>
      </c>
      <c r="E1230" s="1" t="s">
        <v>749</v>
      </c>
    </row>
    <row r="1231">
      <c r="A1231" s="2">
        <v>45630.84190972222</v>
      </c>
      <c r="B1231" s="1" t="s">
        <v>844</v>
      </c>
      <c r="C1231" s="1" t="s">
        <v>845</v>
      </c>
      <c r="D1231" s="1" t="s">
        <v>900</v>
      </c>
      <c r="E1231" s="1" t="s">
        <v>847</v>
      </c>
    </row>
    <row r="1232">
      <c r="A1232" s="2">
        <v>45632.50292824074</v>
      </c>
      <c r="B1232" s="1" t="s">
        <v>748</v>
      </c>
      <c r="C1232" s="1" t="s">
        <v>6</v>
      </c>
      <c r="D1232" s="1" t="s">
        <v>1027</v>
      </c>
      <c r="E1232" s="1" t="s">
        <v>749</v>
      </c>
    </row>
    <row r="1233">
      <c r="A1233" s="2">
        <v>45632.96438657407</v>
      </c>
      <c r="B1233" s="1" t="s">
        <v>927</v>
      </c>
      <c r="C1233" s="1" t="s">
        <v>845</v>
      </c>
      <c r="D1233" s="3" t="str">
        <f>?UTF-8?b?8J+OivCfjopDb25ncmF0cyEgQ2hyaXMgRGF2aWQh?=</f>
        <v>#ERROR!</v>
      </c>
      <c r="E1233" s="1" t="s">
        <v>877</v>
      </c>
    </row>
    <row r="1234">
      <c r="A1234" s="2">
        <v>45633.8387037037</v>
      </c>
      <c r="B1234" s="1" t="s">
        <v>844</v>
      </c>
      <c r="C1234" s="1" t="s">
        <v>845</v>
      </c>
      <c r="D1234" s="1" t="s">
        <v>1028</v>
      </c>
      <c r="E1234" s="1" t="s">
        <v>847</v>
      </c>
    </row>
    <row r="1235">
      <c r="A1235" s="2">
        <v>45634.85649305556</v>
      </c>
      <c r="B1235" s="1" t="s">
        <v>844</v>
      </c>
      <c r="C1235" s="1" t="s">
        <v>845</v>
      </c>
      <c r="D1235" s="1" t="s">
        <v>1029</v>
      </c>
      <c r="E1235" s="1" t="s">
        <v>847</v>
      </c>
    </row>
    <row r="1236">
      <c r="A1236" s="2">
        <v>45635.06260416667</v>
      </c>
      <c r="B1236" s="1" t="s">
        <v>1023</v>
      </c>
      <c r="C1236" s="1" t="s">
        <v>845</v>
      </c>
      <c r="D1236" s="1" t="s">
        <v>1030</v>
      </c>
      <c r="E1236" s="1" t="s">
        <v>1031</v>
      </c>
    </row>
    <row r="1237">
      <c r="A1237" s="2">
        <v>45635.555081018516</v>
      </c>
      <c r="B1237" s="1" t="s">
        <v>1032</v>
      </c>
      <c r="C1237" s="1" t="s">
        <v>1033</v>
      </c>
      <c r="D1237" s="3" t="str">
        <f>?Windows-1252?Q?CUPA_Pizarras_=96_Request_of_information_about_THERMOSLA?=
 =?Windows-1252?Q?TE=AE?=</f>
        <v>#ERROR!</v>
      </c>
      <c r="E1237" s="1" t="s">
        <v>1034</v>
      </c>
    </row>
    <row r="1238">
      <c r="A1238" s="2">
        <v>45635.431284722225</v>
      </c>
      <c r="B1238" s="1" t="s">
        <v>1035</v>
      </c>
      <c r="C1238" s="1" t="s">
        <v>1036</v>
      </c>
      <c r="D1238" s="1" t="s">
        <v>1037</v>
      </c>
      <c r="E1238" s="1" t="s">
        <v>1038</v>
      </c>
    </row>
    <row r="1239">
      <c r="A1239" s="2">
        <v>45635.67265046296</v>
      </c>
      <c r="B1239" s="1" t="s">
        <v>222</v>
      </c>
      <c r="C1239" s="1" t="s">
        <v>14</v>
      </c>
      <c r="D1239" s="1" t="s">
        <v>1039</v>
      </c>
      <c r="E1239" s="1" t="s">
        <v>1040</v>
      </c>
    </row>
    <row r="1240">
      <c r="A1240" s="2">
        <v>45636.61415509259</v>
      </c>
      <c r="B1240" s="1" t="s">
        <v>748</v>
      </c>
      <c r="C1240" s="1" t="s">
        <v>6</v>
      </c>
      <c r="D1240" s="1" t="s">
        <v>1041</v>
      </c>
      <c r="E1240" s="1" t="s">
        <v>749</v>
      </c>
    </row>
    <row r="1241">
      <c r="A1241" s="2">
        <v>45636.852372685185</v>
      </c>
      <c r="B1241" s="1" t="s">
        <v>857</v>
      </c>
      <c r="C1241" s="1" t="s">
        <v>845</v>
      </c>
      <c r="D1241" s="1" t="s">
        <v>997</v>
      </c>
      <c r="E1241" s="1" t="s">
        <v>847</v>
      </c>
    </row>
    <row r="1242">
      <c r="A1242" s="2">
        <v>45637.05962962963</v>
      </c>
      <c r="B1242" s="1" t="s">
        <v>857</v>
      </c>
      <c r="C1242" s="1" t="s">
        <v>845</v>
      </c>
      <c r="D1242" s="3" t="str">
        <f>?UTF-8?q?30%_off_your_next_3_orders_-_just_for_you_=F0=9F=91=80?=</f>
        <v>#ERROR!</v>
      </c>
      <c r="E1242" s="1" t="s">
        <v>847</v>
      </c>
    </row>
    <row r="1243">
      <c r="A1243" s="2">
        <v>45638.31083333334</v>
      </c>
      <c r="B1243" s="1" t="s">
        <v>1032</v>
      </c>
      <c r="C1243" s="1" t="s">
        <v>1033</v>
      </c>
      <c r="D1243" s="3" t="str">
        <f>?Windows-1252?Q?CUPA_Pizarras_=96_Request_of_information_about_THERMOSLA?=
 =?Windows-1252?Q?TE=AE?=</f>
        <v>#ERROR!</v>
      </c>
      <c r="E1243" s="1" t="s">
        <v>1042</v>
      </c>
    </row>
    <row r="1244">
      <c r="A1244" s="2">
        <v>45638.58305555556</v>
      </c>
      <c r="B1244" s="1" t="s">
        <v>964</v>
      </c>
      <c r="C1244" s="1" t="s">
        <v>14</v>
      </c>
      <c r="D1244" s="1" t="s">
        <v>1043</v>
      </c>
      <c r="E1244" s="1" t="s">
        <v>1044</v>
      </c>
    </row>
    <row r="1245">
      <c r="A1245" s="2">
        <v>45639.74300925926</v>
      </c>
      <c r="B1245" s="1" t="s">
        <v>671</v>
      </c>
      <c r="C1245" s="1" t="s">
        <v>672</v>
      </c>
      <c r="D1245" s="1" t="s">
        <v>679</v>
      </c>
      <c r="E1245" s="1" t="s">
        <v>674</v>
      </c>
    </row>
    <row r="1246">
      <c r="A1246" s="2">
        <v>45640.00623842593</v>
      </c>
      <c r="B1246" s="1" t="s">
        <v>875</v>
      </c>
      <c r="C1246" s="1" t="s">
        <v>845</v>
      </c>
      <c r="D1246" s="1" t="s">
        <v>876</v>
      </c>
      <c r="E1246" s="1" t="s">
        <v>877</v>
      </c>
    </row>
    <row r="1247">
      <c r="A1247" s="2">
        <v>45640.847916666666</v>
      </c>
      <c r="B1247" s="1" t="s">
        <v>844</v>
      </c>
      <c r="C1247" s="1" t="s">
        <v>845</v>
      </c>
      <c r="D1247" s="1" t="s">
        <v>1045</v>
      </c>
      <c r="E1247" s="1" t="s">
        <v>847</v>
      </c>
    </row>
    <row r="1248">
      <c r="A1248" s="2">
        <v>45642.186689814815</v>
      </c>
      <c r="B1248" s="1" t="s">
        <v>1046</v>
      </c>
      <c r="C1248" s="1" t="s">
        <v>845</v>
      </c>
      <c r="D1248" s="1" t="s">
        <v>1047</v>
      </c>
      <c r="E1248" s="1" t="s">
        <v>1048</v>
      </c>
    </row>
    <row r="1249">
      <c r="A1249" s="2">
        <v>45642.025671296295</v>
      </c>
      <c r="B1249" s="1" t="s">
        <v>1023</v>
      </c>
      <c r="C1249" s="1" t="s">
        <v>845</v>
      </c>
      <c r="D1249" s="1" t="s">
        <v>1030</v>
      </c>
      <c r="E1249" s="1" t="s">
        <v>1031</v>
      </c>
    </row>
    <row r="1250">
      <c r="A1250" s="2">
        <v>45642.32351851852</v>
      </c>
      <c r="B1250" s="1" t="s">
        <v>1032</v>
      </c>
      <c r="C1250" s="1" t="s">
        <v>1033</v>
      </c>
      <c r="D1250" s="3" t="str">
        <f>?Windows-1252?Q?CUPA_Pizarras_=96_Request_of_information_about_THERMOSLA?=
 =?Windows-1252?Q?TE=AE?=</f>
        <v>#ERROR!</v>
      </c>
      <c r="E1250" s="1" t="s">
        <v>1049</v>
      </c>
    </row>
    <row r="1251">
      <c r="A1251" s="2">
        <v>45642.13486111111</v>
      </c>
      <c r="B1251" s="1" t="s">
        <v>358</v>
      </c>
      <c r="C1251" s="1" t="s">
        <v>849</v>
      </c>
      <c r="D1251" s="1" t="s">
        <v>290</v>
      </c>
      <c r="E1251" s="1" t="s">
        <v>1050</v>
      </c>
    </row>
    <row r="1252">
      <c r="A1252" s="2">
        <v>45642.234814814816</v>
      </c>
      <c r="B1252" s="1" t="s">
        <v>920</v>
      </c>
      <c r="C1252" s="1" t="s">
        <v>1051</v>
      </c>
      <c r="D1252" s="1" t="s">
        <v>1052</v>
      </c>
      <c r="E1252" s="1" t="s">
        <v>1053</v>
      </c>
    </row>
    <row r="1253">
      <c r="A1253" s="2">
        <v>45642.50541666667</v>
      </c>
      <c r="B1253" s="1" t="s">
        <v>748</v>
      </c>
      <c r="C1253" s="1" t="s">
        <v>6</v>
      </c>
      <c r="D1253" s="3" t="str">
        <f>?windows-1252?Q?BIG_NEWS!_It=92s_time_to_BOGO!?=</f>
        <v>#ERROR!</v>
      </c>
      <c r="E1253" s="1" t="s">
        <v>749</v>
      </c>
    </row>
    <row r="1254">
      <c r="A1254" s="2">
        <v>45642.99920138889</v>
      </c>
      <c r="B1254" s="1" t="s">
        <v>860</v>
      </c>
      <c r="C1254" s="1" t="s">
        <v>849</v>
      </c>
      <c r="D1254" s="3" t="str">
        <f>?utf-8?q?30%_off_your_next_3_orders_-_just_for_you_=F0=9F=91=80?=</f>
        <v>#ERROR!</v>
      </c>
      <c r="E1254" s="1" t="s">
        <v>851</v>
      </c>
    </row>
    <row r="1255">
      <c r="A1255" s="2">
        <v>45643.03519675926</v>
      </c>
      <c r="B1255" s="1" t="s">
        <v>857</v>
      </c>
      <c r="C1255" s="1" t="s">
        <v>845</v>
      </c>
      <c r="D1255" s="1" t="s">
        <v>1054</v>
      </c>
      <c r="E1255" s="1" t="s">
        <v>908</v>
      </c>
    </row>
    <row r="1256">
      <c r="A1256" s="2">
        <v>45644.646215277775</v>
      </c>
      <c r="B1256" s="1" t="s">
        <v>1035</v>
      </c>
      <c r="C1256" s="1" t="s">
        <v>1036</v>
      </c>
      <c r="D1256" s="1" t="s">
        <v>1055</v>
      </c>
      <c r="E1256" s="1" t="s">
        <v>1056</v>
      </c>
    </row>
    <row r="1257">
      <c r="A1257" s="2">
        <v>45645.84122685185</v>
      </c>
      <c r="B1257" s="1" t="s">
        <v>844</v>
      </c>
      <c r="C1257" s="1" t="s">
        <v>845</v>
      </c>
      <c r="D1257" s="1" t="s">
        <v>1057</v>
      </c>
      <c r="E1257" s="1" t="s">
        <v>847</v>
      </c>
    </row>
    <row r="1258">
      <c r="A1258" s="2">
        <v>45646.084502314814</v>
      </c>
      <c r="B1258" s="1" t="s">
        <v>848</v>
      </c>
      <c r="C1258" s="1" t="s">
        <v>849</v>
      </c>
      <c r="D1258" s="1" t="s">
        <v>863</v>
      </c>
      <c r="E1258" s="1" t="s">
        <v>851</v>
      </c>
    </row>
    <row r="1259">
      <c r="A1259" s="2">
        <v>45646.501608796294</v>
      </c>
      <c r="B1259" s="1" t="s">
        <v>748</v>
      </c>
      <c r="C1259" s="1" t="s">
        <v>6</v>
      </c>
      <c r="D1259" s="1" t="s">
        <v>1058</v>
      </c>
      <c r="E1259" s="1" t="s">
        <v>749</v>
      </c>
    </row>
    <row r="1260">
      <c r="A1260" s="2">
        <v>45646.7075</v>
      </c>
      <c r="B1260" s="1" t="s">
        <v>222</v>
      </c>
      <c r="C1260" s="1" t="s">
        <v>14</v>
      </c>
      <c r="D1260" s="1" t="s">
        <v>1059</v>
      </c>
      <c r="E1260" s="1" t="s">
        <v>1060</v>
      </c>
    </row>
    <row r="1261">
      <c r="A1261" s="2">
        <v>45646.83935185185</v>
      </c>
      <c r="B1261" s="1" t="s">
        <v>875</v>
      </c>
      <c r="C1261" s="1" t="s">
        <v>845</v>
      </c>
      <c r="D1261" s="1" t="s">
        <v>1061</v>
      </c>
      <c r="E1261" s="1" t="s">
        <v>877</v>
      </c>
    </row>
    <row r="1262">
      <c r="A1262" s="2">
        <v>45646.92787037037</v>
      </c>
      <c r="B1262" s="1" t="s">
        <v>1062</v>
      </c>
      <c r="C1262" s="1" t="s">
        <v>14</v>
      </c>
      <c r="D1262" s="1" t="s">
        <v>1063</v>
      </c>
      <c r="E1262" s="1" t="s">
        <v>877</v>
      </c>
    </row>
    <row r="1263">
      <c r="A1263" s="2">
        <v>45648.97377314815</v>
      </c>
      <c r="B1263" s="1" t="s">
        <v>1064</v>
      </c>
      <c r="C1263" s="1" t="s">
        <v>845</v>
      </c>
      <c r="D1263" s="1" t="s">
        <v>1063</v>
      </c>
      <c r="E1263" s="1" t="s">
        <v>877</v>
      </c>
    </row>
    <row r="1264">
      <c r="A1264" s="2">
        <v>45649.094502314816</v>
      </c>
      <c r="B1264" s="1" t="s">
        <v>358</v>
      </c>
      <c r="C1264" s="1" t="s">
        <v>849</v>
      </c>
      <c r="D1264" s="1" t="s">
        <v>368</v>
      </c>
      <c r="E1264" s="1" t="s">
        <v>1050</v>
      </c>
    </row>
    <row r="1265">
      <c r="A1265" s="2">
        <v>45649.24475694444</v>
      </c>
      <c r="B1265" s="1" t="s">
        <v>1023</v>
      </c>
      <c r="C1265" s="1" t="s">
        <v>845</v>
      </c>
      <c r="D1265" s="1" t="s">
        <v>1030</v>
      </c>
      <c r="E1265" s="1" t="s">
        <v>1031</v>
      </c>
    </row>
    <row r="1266">
      <c r="A1266" s="2">
        <v>45649.5168287037</v>
      </c>
      <c r="B1266" s="1" t="s">
        <v>1017</v>
      </c>
      <c r="C1266" s="1" t="s">
        <v>14</v>
      </c>
      <c r="D1266" s="1" t="s">
        <v>1065</v>
      </c>
      <c r="E1266" s="1" t="s">
        <v>1066</v>
      </c>
    </row>
    <row r="1267">
      <c r="A1267" s="2">
        <v>45650.55861111111</v>
      </c>
      <c r="B1267" s="1" t="s">
        <v>748</v>
      </c>
      <c r="C1267" s="1" t="s">
        <v>6</v>
      </c>
      <c r="D1267" s="1" t="s">
        <v>1067</v>
      </c>
      <c r="E1267" s="1" t="s">
        <v>749</v>
      </c>
    </row>
    <row r="1268">
      <c r="A1268" s="2">
        <v>45650.23747685185</v>
      </c>
      <c r="B1268" s="1" t="s">
        <v>920</v>
      </c>
      <c r="C1268" s="1" t="s">
        <v>1051</v>
      </c>
      <c r="D1268" s="3" t="str">
        <f>?UTF-8?Q?Harper=E2=80=99s_Crazy_Holiday?=</f>
        <v>#ERROR!</v>
      </c>
      <c r="E1268" s="1" t="s">
        <v>1068</v>
      </c>
    </row>
    <row r="1269">
      <c r="A1269" s="2">
        <v>45650.671747685185</v>
      </c>
      <c r="B1269" s="1" t="s">
        <v>723</v>
      </c>
      <c r="C1269" s="1" t="s">
        <v>724</v>
      </c>
      <c r="D1269" s="1" t="s">
        <v>1069</v>
      </c>
      <c r="E1269" s="1" t="s">
        <v>1070</v>
      </c>
    </row>
    <row r="1270">
      <c r="A1270" s="2">
        <v>45650.83505787037</v>
      </c>
      <c r="B1270" s="1" t="s">
        <v>857</v>
      </c>
      <c r="C1270" s="1" t="s">
        <v>845</v>
      </c>
      <c r="D1270" s="1" t="s">
        <v>861</v>
      </c>
      <c r="E1270" s="1" t="s">
        <v>847</v>
      </c>
    </row>
    <row r="1271">
      <c r="A1271" s="2">
        <v>45651.04545138889</v>
      </c>
      <c r="B1271" s="1" t="s">
        <v>1071</v>
      </c>
      <c r="C1271" s="1" t="s">
        <v>920</v>
      </c>
      <c r="D1271" s="3" t="str">
        <f>?utf-8?B?UmU6IEhhcnBlcuKAmXMgQ3JhenkgSG9saWRheQ==?=</f>
        <v>#ERROR!</v>
      </c>
      <c r="E1271" s="1" t="s">
        <v>1072</v>
      </c>
    </row>
    <row r="1272">
      <c r="A1272" s="2">
        <v>45651.05094907407</v>
      </c>
      <c r="B1272" s="1" t="s">
        <v>1073</v>
      </c>
      <c r="C1272" s="1" t="s">
        <v>845</v>
      </c>
      <c r="D1272" s="3" t="str">
        <f>?utf-8?B?WW91ciB2aWRlbyBpcyByZWFkeSEgUHVibGlzaCBpbiBhIGZldyBj?=
	=?utf-8?B?bGlja3Mg4qyG77iP?=</f>
        <v>#ERROR!</v>
      </c>
      <c r="E1272" s="1" t="s">
        <v>1074</v>
      </c>
    </row>
    <row r="1273">
      <c r="A1273" s="2">
        <v>45651.07734953704</v>
      </c>
      <c r="B1273" s="1" t="s">
        <v>860</v>
      </c>
      <c r="C1273" s="1" t="s">
        <v>849</v>
      </c>
      <c r="D1273" s="3" t="str">
        <f>?utf-8?q?50%_off_your_next_3_orders_-_just_for_you_=F0=9F=91=80?=</f>
        <v>#ERROR!</v>
      </c>
      <c r="E1273" s="1" t="s">
        <v>851</v>
      </c>
    </row>
    <row r="1274">
      <c r="A1274" s="2">
        <v>45650.93126157407</v>
      </c>
      <c r="B1274" s="1" t="s">
        <v>920</v>
      </c>
      <c r="C1274" s="1" t="s">
        <v>1071</v>
      </c>
      <c r="D1274" s="3" t="str">
        <f>?UTF-8?Q?Re=3A_Harper=E2=80=99s_Crazy_Holiday?=</f>
        <v>#ERROR!</v>
      </c>
      <c r="E1274" s="1" t="s">
        <v>1075</v>
      </c>
    </row>
    <row r="1275">
      <c r="A1275" s="2">
        <v>45651.02684027778</v>
      </c>
      <c r="B1275" s="1" t="s">
        <v>920</v>
      </c>
      <c r="C1275" s="1" t="s">
        <v>1071</v>
      </c>
      <c r="D1275" s="3" t="str">
        <f>?UTF-8?Q?Re=3A_Harper=E2=80=99s_Crazy_Holiday?=</f>
        <v>#ERROR!</v>
      </c>
      <c r="E1275" s="1" t="s">
        <v>1076</v>
      </c>
    </row>
    <row r="1276">
      <c r="A1276" s="2">
        <v>45651.02935185185</v>
      </c>
      <c r="B1276" s="1" t="s">
        <v>920</v>
      </c>
      <c r="C1276" s="1" t="s">
        <v>1071</v>
      </c>
      <c r="D1276" s="1" t="s">
        <v>1077</v>
      </c>
      <c r="E1276" s="1" t="s">
        <v>1078</v>
      </c>
    </row>
    <row r="1277">
      <c r="A1277" s="2">
        <v>45651.37940972222</v>
      </c>
      <c r="B1277" s="1" t="s">
        <v>1071</v>
      </c>
      <c r="C1277" s="1" t="s">
        <v>920</v>
      </c>
      <c r="D1277" s="1" t="s">
        <v>1079</v>
      </c>
      <c r="E1277" s="1" t="s">
        <v>1080</v>
      </c>
    </row>
    <row r="1278">
      <c r="A1278" s="2">
        <v>45651.3815625</v>
      </c>
      <c r="B1278" s="1" t="s">
        <v>1071</v>
      </c>
      <c r="C1278" s="1" t="s">
        <v>920</v>
      </c>
      <c r="D1278" s="3" t="str">
        <f>?utf-8?B?UmU6IEhhcnBlcuKAmXMgQ3JhenkgSG9saWRheQ==?=</f>
        <v>#ERROR!</v>
      </c>
      <c r="E1278" s="1" t="s">
        <v>1081</v>
      </c>
    </row>
    <row r="1279">
      <c r="A1279" s="2">
        <v>45651.10943287037</v>
      </c>
      <c r="B1279" s="1" t="s">
        <v>920</v>
      </c>
      <c r="C1279" s="1" t="s">
        <v>1071</v>
      </c>
      <c r="D1279" s="3" t="str">
        <f>?UTF-8?Q?Re=3A_Harper=E2=80=99s_Crazy_Holiday?=</f>
        <v>#ERROR!</v>
      </c>
      <c r="E1279" s="1" t="s">
        <v>1082</v>
      </c>
    </row>
    <row r="1280">
      <c r="A1280" s="2">
        <v>45651.846921296295</v>
      </c>
      <c r="B1280" s="1" t="s">
        <v>1083</v>
      </c>
      <c r="C1280" s="1" t="s">
        <v>845</v>
      </c>
      <c r="D1280" s="1" t="s">
        <v>1084</v>
      </c>
      <c r="E1280" s="1" t="s">
        <v>847</v>
      </c>
    </row>
    <row r="1281">
      <c r="A1281" s="2">
        <v>45652.54675925926</v>
      </c>
      <c r="B1281" s="1" t="s">
        <v>748</v>
      </c>
      <c r="C1281" s="1" t="s">
        <v>6</v>
      </c>
      <c r="D1281" s="3" t="str">
        <f>?windows-1252?Q?There=92s_no_time_to_wait._Get_your_Footlong_BO?=
 =?windows-1252?Q?GO_today!?=</f>
        <v>#ERROR!</v>
      </c>
      <c r="E1281" s="1" t="s">
        <v>749</v>
      </c>
    </row>
    <row r="1282">
      <c r="A1282" s="2">
        <v>45652.62533564815</v>
      </c>
      <c r="B1282" s="1" t="s">
        <v>222</v>
      </c>
      <c r="C1282" s="1" t="s">
        <v>14</v>
      </c>
      <c r="D1282" s="1" t="s">
        <v>1085</v>
      </c>
      <c r="E1282" s="1" t="s">
        <v>1086</v>
      </c>
    </row>
    <row r="1283">
      <c r="A1283" s="2">
        <v>45652.86137731482</v>
      </c>
      <c r="B1283" s="1" t="s">
        <v>844</v>
      </c>
      <c r="C1283" s="1" t="s">
        <v>845</v>
      </c>
      <c r="D1283" s="1" t="s">
        <v>1087</v>
      </c>
      <c r="E1283" s="1" t="s">
        <v>847</v>
      </c>
    </row>
    <row r="1284">
      <c r="A1284" s="2">
        <v>45653.839270833334</v>
      </c>
      <c r="B1284" s="1" t="s">
        <v>945</v>
      </c>
      <c r="C1284" s="1" t="s">
        <v>845</v>
      </c>
      <c r="D1284" s="1" t="s">
        <v>876</v>
      </c>
      <c r="E1284" s="1" t="s">
        <v>877</v>
      </c>
    </row>
    <row r="1285">
      <c r="A1285" s="2">
        <v>45659.50292824074</v>
      </c>
      <c r="B1285" s="1" t="s">
        <v>748</v>
      </c>
      <c r="C1285" s="1" t="s">
        <v>6</v>
      </c>
      <c r="D1285" s="3" t="str">
        <f>?windows-1252?Q?Subway=AE_any_way_-_Triple_the_pickles=2C_easy_on?=
 =?windows-1252?Q?_the_onions.?=</f>
        <v>#ERROR!</v>
      </c>
      <c r="E1285" s="1" t="s">
        <v>749</v>
      </c>
    </row>
    <row r="1286">
      <c r="A1286" s="2">
        <v>45659.62672453704</v>
      </c>
      <c r="B1286" s="1" t="s">
        <v>920</v>
      </c>
      <c r="C1286" s="1" t="s">
        <v>1071</v>
      </c>
      <c r="D1286" s="1" t="s">
        <v>1088</v>
      </c>
      <c r="E1286" s="1" t="s">
        <v>1089</v>
      </c>
    </row>
    <row r="1287">
      <c r="A1287" s="2">
        <v>45660.22925925926</v>
      </c>
      <c r="B1287" s="1" t="s">
        <v>1071</v>
      </c>
      <c r="C1287" s="1" t="s">
        <v>920</v>
      </c>
      <c r="D1287" s="1" t="s">
        <v>1090</v>
      </c>
      <c r="E1287" s="1" t="s">
        <v>1091</v>
      </c>
    </row>
    <row r="1288">
      <c r="A1288" s="2">
        <v>45660.06518518519</v>
      </c>
      <c r="B1288" s="1" t="s">
        <v>920</v>
      </c>
      <c r="C1288" s="1" t="s">
        <v>1071</v>
      </c>
      <c r="D1288" s="1" t="s">
        <v>1090</v>
      </c>
      <c r="E1288" s="1" t="s">
        <v>1092</v>
      </c>
    </row>
    <row r="1289">
      <c r="A1289" s="2">
        <v>45664.501180555555</v>
      </c>
      <c r="B1289" s="1" t="s">
        <v>748</v>
      </c>
      <c r="C1289" s="1" t="s">
        <v>6</v>
      </c>
      <c r="D1289" s="1" t="s">
        <v>1093</v>
      </c>
      <c r="E1289" s="1" t="s">
        <v>749</v>
      </c>
    </row>
    <row r="1290">
      <c r="A1290" s="2">
        <v>45665.68303240741</v>
      </c>
      <c r="B1290" s="1" t="s">
        <v>456</v>
      </c>
      <c r="C1290" s="1" t="s">
        <v>6</v>
      </c>
      <c r="D1290" s="1" t="s">
        <v>1094</v>
      </c>
      <c r="E1290" s="1" t="s">
        <v>1095</v>
      </c>
    </row>
    <row r="1291">
      <c r="A1291" s="2">
        <v>45666.503333333334</v>
      </c>
      <c r="B1291" s="1" t="s">
        <v>748</v>
      </c>
      <c r="C1291" s="1" t="s">
        <v>6</v>
      </c>
      <c r="D1291" s="1" t="s">
        <v>1096</v>
      </c>
      <c r="E1291" s="1" t="s">
        <v>749</v>
      </c>
    </row>
    <row r="1292">
      <c r="A1292" s="2">
        <v>45666.49207175926</v>
      </c>
      <c r="B1292" s="1" t="s">
        <v>358</v>
      </c>
      <c r="C1292" s="1" t="s">
        <v>849</v>
      </c>
      <c r="D1292" s="1" t="s">
        <v>290</v>
      </c>
      <c r="E1292" s="1" t="s">
        <v>1050</v>
      </c>
    </row>
    <row r="1293">
      <c r="A1293" s="2">
        <v>45667.45075231481</v>
      </c>
      <c r="B1293" s="1" t="s">
        <v>358</v>
      </c>
      <c r="C1293" s="1" t="s">
        <v>849</v>
      </c>
      <c r="D1293" s="1" t="s">
        <v>290</v>
      </c>
      <c r="E1293" s="1" t="s">
        <v>1050</v>
      </c>
    </row>
    <row r="1294">
      <c r="A1294" s="2">
        <v>45668.83702546296</v>
      </c>
      <c r="B1294" s="1" t="s">
        <v>844</v>
      </c>
      <c r="C1294" s="1" t="s">
        <v>845</v>
      </c>
      <c r="D1294" s="1" t="s">
        <v>1087</v>
      </c>
      <c r="E1294" s="1" t="s">
        <v>847</v>
      </c>
    </row>
    <row r="1295">
      <c r="A1295" s="2">
        <v>45669.60805555555</v>
      </c>
      <c r="B1295" s="1" t="s">
        <v>456</v>
      </c>
      <c r="C1295" s="1" t="s">
        <v>672</v>
      </c>
      <c r="D1295" s="1" t="s">
        <v>1097</v>
      </c>
      <c r="E1295" s="1" t="s">
        <v>1098</v>
      </c>
    </row>
    <row r="1296">
      <c r="A1296" s="2">
        <v>45670.50042824074</v>
      </c>
      <c r="B1296" s="1" t="s">
        <v>748</v>
      </c>
      <c r="C1296" s="1" t="s">
        <v>6</v>
      </c>
      <c r="D1296" s="1" t="s">
        <v>1099</v>
      </c>
      <c r="E1296" s="1" t="s">
        <v>749</v>
      </c>
    </row>
    <row r="1297">
      <c r="A1297" s="2">
        <v>45670.78209490741</v>
      </c>
      <c r="B1297" s="1" t="s">
        <v>1100</v>
      </c>
      <c r="C1297" s="1" t="s">
        <v>14</v>
      </c>
      <c r="D1297" s="1" t="s">
        <v>1101</v>
      </c>
      <c r="E1297" s="1" t="s">
        <v>1102</v>
      </c>
    </row>
    <row r="1298">
      <c r="A1298" s="2">
        <v>45670.743726851855</v>
      </c>
      <c r="B1298" s="1" t="s">
        <v>1103</v>
      </c>
      <c r="C1298" s="1" t="s">
        <v>1071</v>
      </c>
      <c r="D1298" s="1" t="s">
        <v>1090</v>
      </c>
      <c r="E1298" s="1" t="s">
        <v>1104</v>
      </c>
    </row>
    <row r="1299">
      <c r="A1299" s="2">
        <v>45671.020590277774</v>
      </c>
      <c r="B1299" s="1" t="s">
        <v>1071</v>
      </c>
      <c r="C1299" s="1" t="s">
        <v>1105</v>
      </c>
      <c r="D1299" s="1" t="s">
        <v>1090</v>
      </c>
      <c r="E1299" s="1" t="s">
        <v>1106</v>
      </c>
    </row>
    <row r="1300">
      <c r="A1300" s="2">
        <v>45670.85482638889</v>
      </c>
      <c r="B1300" s="1" t="s">
        <v>920</v>
      </c>
      <c r="C1300" s="1" t="s">
        <v>1071</v>
      </c>
      <c r="D1300" s="1" t="s">
        <v>1090</v>
      </c>
      <c r="E1300" s="1" t="s">
        <v>1107</v>
      </c>
    </row>
    <row r="1301">
      <c r="A1301" s="2">
        <v>45670.856828703705</v>
      </c>
      <c r="B1301" s="1" t="s">
        <v>1108</v>
      </c>
      <c r="C1301" s="1" t="s">
        <v>849</v>
      </c>
      <c r="D1301" s="1" t="s">
        <v>1109</v>
      </c>
      <c r="E1301" s="1" t="s">
        <v>1110</v>
      </c>
    </row>
    <row r="1302">
      <c r="A1302" s="2">
        <v>45671.12923611111</v>
      </c>
      <c r="B1302" s="1" t="s">
        <v>1111</v>
      </c>
      <c r="C1302" s="1" t="s">
        <v>845</v>
      </c>
      <c r="D1302" s="1" t="s">
        <v>1112</v>
      </c>
      <c r="E1302" s="1" t="s">
        <v>1113</v>
      </c>
    </row>
    <row r="1303">
      <c r="A1303" s="2">
        <v>45671.12976851852</v>
      </c>
      <c r="B1303" s="1" t="s">
        <v>920</v>
      </c>
      <c r="C1303" s="1" t="s">
        <v>1111</v>
      </c>
      <c r="D1303" s="1" t="s">
        <v>1114</v>
      </c>
      <c r="E1303" s="1" t="s">
        <v>1115</v>
      </c>
    </row>
    <row r="1304">
      <c r="A1304" s="2">
        <v>45671.141388888886</v>
      </c>
      <c r="B1304" s="1" t="s">
        <v>920</v>
      </c>
      <c r="C1304" s="1" t="s">
        <v>1111</v>
      </c>
      <c r="D1304" s="1" t="s">
        <v>1114</v>
      </c>
      <c r="E1304" s="1" t="s">
        <v>1116</v>
      </c>
    </row>
    <row r="1305">
      <c r="A1305" s="2">
        <v>45671.23774305556</v>
      </c>
      <c r="B1305" s="1" t="s">
        <v>920</v>
      </c>
      <c r="C1305" s="1" t="s">
        <v>1071</v>
      </c>
      <c r="D1305" s="1" t="s">
        <v>1090</v>
      </c>
      <c r="E1305" s="1" t="s">
        <v>1117</v>
      </c>
    </row>
    <row r="1306">
      <c r="A1306" s="2">
        <v>45671.44733796296</v>
      </c>
      <c r="B1306" s="1" t="s">
        <v>920</v>
      </c>
      <c r="C1306" s="1" t="s">
        <v>1111</v>
      </c>
      <c r="D1306" s="1" t="s">
        <v>1118</v>
      </c>
      <c r="E1306" s="1" t="s">
        <v>1119</v>
      </c>
    </row>
    <row r="1307">
      <c r="A1307" s="2">
        <v>45671.45276620371</v>
      </c>
      <c r="B1307" s="1" t="s">
        <v>1111</v>
      </c>
      <c r="C1307" s="1" t="s">
        <v>920</v>
      </c>
      <c r="D1307" s="1" t="s">
        <v>1118</v>
      </c>
      <c r="E1307" s="1" t="s">
        <v>1120</v>
      </c>
    </row>
    <row r="1308">
      <c r="A1308" s="2">
        <v>45671.45313657408</v>
      </c>
      <c r="B1308" s="1" t="s">
        <v>1111</v>
      </c>
      <c r="C1308" s="1" t="s">
        <v>920</v>
      </c>
      <c r="D1308" s="1" t="s">
        <v>1118</v>
      </c>
      <c r="E1308" s="1" t="s">
        <v>1121</v>
      </c>
    </row>
    <row r="1309">
      <c r="A1309" s="2">
        <v>45671.454513888886</v>
      </c>
      <c r="B1309" s="1" t="s">
        <v>1111</v>
      </c>
      <c r="C1309" s="1" t="s">
        <v>920</v>
      </c>
      <c r="D1309" s="1" t="s">
        <v>1118</v>
      </c>
      <c r="E1309" s="1" t="s">
        <v>1122</v>
      </c>
    </row>
    <row r="1310">
      <c r="A1310" s="2">
        <v>45671.45506944445</v>
      </c>
      <c r="B1310" s="1" t="s">
        <v>1111</v>
      </c>
      <c r="C1310" s="1" t="s">
        <v>920</v>
      </c>
      <c r="D1310" s="1" t="s">
        <v>1118</v>
      </c>
      <c r="E1310" s="1" t="s">
        <v>1123</v>
      </c>
    </row>
    <row r="1311">
      <c r="A1311" s="2">
        <v>45671.46236111111</v>
      </c>
      <c r="B1311" s="1" t="s">
        <v>920</v>
      </c>
      <c r="C1311" s="1" t="s">
        <v>1111</v>
      </c>
      <c r="D1311" s="1" t="s">
        <v>1118</v>
      </c>
      <c r="E1311" s="1" t="s">
        <v>1124</v>
      </c>
    </row>
    <row r="1312">
      <c r="A1312" s="2">
        <v>45671.46978009259</v>
      </c>
      <c r="B1312" s="1" t="s">
        <v>920</v>
      </c>
      <c r="C1312" s="1" t="s">
        <v>1111</v>
      </c>
      <c r="D1312" s="1" t="s">
        <v>1118</v>
      </c>
      <c r="E1312" s="1" t="s">
        <v>1125</v>
      </c>
    </row>
    <row r="1313">
      <c r="A1313" s="2">
        <v>45671.470613425925</v>
      </c>
      <c r="B1313" s="1" t="s">
        <v>920</v>
      </c>
      <c r="C1313" s="1" t="s">
        <v>1111</v>
      </c>
      <c r="D1313" s="1" t="s">
        <v>1118</v>
      </c>
      <c r="E1313" s="1" t="s">
        <v>1126</v>
      </c>
    </row>
    <row r="1314">
      <c r="A1314" s="2">
        <v>45671.47112268519</v>
      </c>
      <c r="B1314" s="1" t="s">
        <v>1111</v>
      </c>
      <c r="C1314" s="1" t="s">
        <v>920</v>
      </c>
      <c r="D1314" s="1" t="s">
        <v>1118</v>
      </c>
      <c r="E1314" s="1" t="s">
        <v>1127</v>
      </c>
    </row>
    <row r="1315">
      <c r="A1315" s="2">
        <v>45671.47119212963</v>
      </c>
      <c r="B1315" s="1" t="s">
        <v>920</v>
      </c>
      <c r="C1315" s="1" t="s">
        <v>1111</v>
      </c>
      <c r="D1315" s="1" t="s">
        <v>1118</v>
      </c>
      <c r="E1315" s="1" t="s">
        <v>1128</v>
      </c>
    </row>
    <row r="1316">
      <c r="A1316" s="2">
        <v>45671.471597222226</v>
      </c>
      <c r="B1316" s="1" t="s">
        <v>920</v>
      </c>
      <c r="C1316" s="1" t="s">
        <v>1111</v>
      </c>
      <c r="D1316" s="1" t="s">
        <v>1118</v>
      </c>
      <c r="E1316" s="1" t="s">
        <v>1129</v>
      </c>
    </row>
    <row r="1317">
      <c r="A1317" s="2">
        <v>45671.471724537034</v>
      </c>
      <c r="B1317" s="1" t="s">
        <v>1111</v>
      </c>
      <c r="C1317" s="1" t="s">
        <v>920</v>
      </c>
      <c r="D1317" s="1" t="s">
        <v>1118</v>
      </c>
      <c r="E1317" s="1" t="s">
        <v>1130</v>
      </c>
    </row>
    <row r="1318">
      <c r="A1318" s="2">
        <v>45671.471875</v>
      </c>
      <c r="B1318" s="1" t="s">
        <v>920</v>
      </c>
      <c r="C1318" s="1" t="s">
        <v>1111</v>
      </c>
      <c r="D1318" s="1" t="s">
        <v>1118</v>
      </c>
      <c r="E1318" s="1" t="s">
        <v>1131</v>
      </c>
    </row>
    <row r="1319">
      <c r="A1319" s="2">
        <v>45671.47224537037</v>
      </c>
      <c r="B1319" s="1" t="s">
        <v>1111</v>
      </c>
      <c r="C1319" s="1" t="s">
        <v>920</v>
      </c>
      <c r="D1319" s="1" t="s">
        <v>1118</v>
      </c>
      <c r="E1319" s="1" t="s">
        <v>1132</v>
      </c>
    </row>
    <row r="1320">
      <c r="A1320" s="2">
        <v>45671.472453703704</v>
      </c>
      <c r="B1320" s="1" t="s">
        <v>920</v>
      </c>
      <c r="C1320" s="1" t="s">
        <v>1111</v>
      </c>
      <c r="D1320" s="1" t="s">
        <v>1118</v>
      </c>
      <c r="E1320" s="1" t="s">
        <v>1133</v>
      </c>
    </row>
    <row r="1321">
      <c r="A1321" s="2">
        <v>45671.47253472222</v>
      </c>
      <c r="B1321" s="1" t="s">
        <v>1111</v>
      </c>
      <c r="C1321" s="1" t="s">
        <v>920</v>
      </c>
      <c r="D1321" s="1" t="s">
        <v>1118</v>
      </c>
      <c r="E1321" s="1" t="s">
        <v>1134</v>
      </c>
    </row>
    <row r="1322">
      <c r="A1322" s="2">
        <v>45671.472662037035</v>
      </c>
      <c r="B1322" s="1" t="s">
        <v>920</v>
      </c>
      <c r="C1322" s="1" t="s">
        <v>1111</v>
      </c>
      <c r="D1322" s="1" t="s">
        <v>1118</v>
      </c>
      <c r="E1322" s="1" t="s">
        <v>1135</v>
      </c>
    </row>
    <row r="1323">
      <c r="A1323" s="2">
        <v>45671.4734837963</v>
      </c>
      <c r="B1323" s="1" t="s">
        <v>920</v>
      </c>
      <c r="C1323" s="1" t="s">
        <v>1111</v>
      </c>
      <c r="D1323" s="1" t="s">
        <v>1118</v>
      </c>
      <c r="E1323" s="1" t="s">
        <v>1136</v>
      </c>
    </row>
    <row r="1324">
      <c r="A1324" s="2">
        <v>45671.47372685185</v>
      </c>
      <c r="B1324" s="1" t="s">
        <v>1103</v>
      </c>
      <c r="C1324" s="1" t="s">
        <v>1111</v>
      </c>
      <c r="D1324" s="1" t="s">
        <v>1118</v>
      </c>
      <c r="E1324" s="1" t="s">
        <v>1137</v>
      </c>
    </row>
    <row r="1325">
      <c r="A1325" s="2">
        <v>45671.473969907405</v>
      </c>
      <c r="B1325" s="1" t="s">
        <v>1103</v>
      </c>
      <c r="C1325" s="1" t="s">
        <v>1138</v>
      </c>
      <c r="D1325" s="1" t="s">
        <v>1139</v>
      </c>
      <c r="E1325" s="1" t="s">
        <v>1140</v>
      </c>
    </row>
    <row r="1326">
      <c r="A1326" s="2">
        <v>45671.47467592593</v>
      </c>
      <c r="B1326" s="1" t="s">
        <v>1111</v>
      </c>
      <c r="C1326" s="1" t="s">
        <v>920</v>
      </c>
      <c r="D1326" s="1" t="s">
        <v>1118</v>
      </c>
      <c r="E1326" s="1" t="s">
        <v>1141</v>
      </c>
    </row>
    <row r="1327">
      <c r="A1327" s="2">
        <v>45671.47568287037</v>
      </c>
      <c r="B1327" s="1" t="s">
        <v>1103</v>
      </c>
      <c r="C1327" s="1" t="s">
        <v>1111</v>
      </c>
      <c r="D1327" s="1" t="s">
        <v>1118</v>
      </c>
      <c r="E1327" s="1" t="s">
        <v>1142</v>
      </c>
    </row>
    <row r="1328">
      <c r="A1328" s="2">
        <v>45671.47625</v>
      </c>
      <c r="B1328" s="1" t="s">
        <v>1103</v>
      </c>
      <c r="C1328" s="1" t="s">
        <v>1111</v>
      </c>
      <c r="D1328" s="1" t="s">
        <v>1118</v>
      </c>
      <c r="E1328" s="1" t="s">
        <v>1143</v>
      </c>
    </row>
    <row r="1329">
      <c r="A1329" s="2">
        <v>45671.48097222222</v>
      </c>
      <c r="B1329" s="1" t="s">
        <v>1103</v>
      </c>
      <c r="C1329" s="1" t="s">
        <v>1111</v>
      </c>
      <c r="D1329" s="1" t="s">
        <v>1118</v>
      </c>
      <c r="E1329" s="1" t="s">
        <v>1144</v>
      </c>
    </row>
    <row r="1330">
      <c r="A1330" s="2">
        <v>45671.481516203705</v>
      </c>
      <c r="B1330" s="1" t="s">
        <v>1103</v>
      </c>
      <c r="C1330" s="1" t="s">
        <v>1111</v>
      </c>
      <c r="D1330" s="1" t="s">
        <v>1118</v>
      </c>
      <c r="E1330" s="1" t="s">
        <v>1145</v>
      </c>
    </row>
    <row r="1331">
      <c r="A1331" s="2">
        <v>45671.48231481481</v>
      </c>
      <c r="B1331" s="1" t="s">
        <v>1111</v>
      </c>
      <c r="C1331" s="1" t="s">
        <v>845</v>
      </c>
      <c r="D1331" s="1" t="s">
        <v>1118</v>
      </c>
      <c r="E1331" s="1" t="s">
        <v>1146</v>
      </c>
    </row>
    <row r="1332">
      <c r="A1332" s="2">
        <v>45671.48287037037</v>
      </c>
      <c r="B1332" s="1" t="s">
        <v>1111</v>
      </c>
      <c r="C1332" s="1" t="s">
        <v>845</v>
      </c>
      <c r="D1332" s="1" t="s">
        <v>1118</v>
      </c>
      <c r="E1332" s="1" t="s">
        <v>1147</v>
      </c>
    </row>
    <row r="1333">
      <c r="A1333" s="2">
        <v>45671.48328703704</v>
      </c>
      <c r="B1333" s="1" t="s">
        <v>920</v>
      </c>
      <c r="C1333" s="1" t="s">
        <v>1111</v>
      </c>
      <c r="D1333" s="1" t="s">
        <v>1118</v>
      </c>
      <c r="E1333" s="1" t="s">
        <v>1148</v>
      </c>
    </row>
    <row r="1334">
      <c r="A1334" s="2">
        <v>45671.48333333333</v>
      </c>
      <c r="B1334" s="1" t="s">
        <v>1111</v>
      </c>
      <c r="C1334" s="1" t="s">
        <v>845</v>
      </c>
      <c r="D1334" s="1" t="s">
        <v>1118</v>
      </c>
      <c r="E1334" s="1" t="s">
        <v>1149</v>
      </c>
    </row>
    <row r="1335">
      <c r="A1335" s="2">
        <v>45671.48370370371</v>
      </c>
      <c r="B1335" s="1" t="s">
        <v>1111</v>
      </c>
      <c r="C1335" s="1" t="s">
        <v>920</v>
      </c>
      <c r="D1335" s="1" t="s">
        <v>1118</v>
      </c>
      <c r="E1335" s="1" t="s">
        <v>1150</v>
      </c>
    </row>
    <row r="1336">
      <c r="A1336" s="2">
        <v>45671.4837962963</v>
      </c>
      <c r="B1336" s="1" t="s">
        <v>1111</v>
      </c>
      <c r="C1336" s="1" t="s">
        <v>920</v>
      </c>
      <c r="D1336" s="1" t="s">
        <v>1118</v>
      </c>
      <c r="E1336" s="1" t="s">
        <v>1151</v>
      </c>
    </row>
    <row r="1337">
      <c r="A1337" s="2">
        <v>45671.48405092592</v>
      </c>
      <c r="B1337" s="1" t="s">
        <v>1111</v>
      </c>
      <c r="C1337" s="1" t="s">
        <v>920</v>
      </c>
      <c r="D1337" s="1" t="s">
        <v>1118</v>
      </c>
      <c r="E1337" s="1" t="s">
        <v>1152</v>
      </c>
    </row>
    <row r="1338">
      <c r="A1338" s="2">
        <v>45671.487280092595</v>
      </c>
      <c r="B1338" s="1" t="s">
        <v>1111</v>
      </c>
      <c r="C1338" s="1" t="s">
        <v>920</v>
      </c>
      <c r="D1338" s="1" t="s">
        <v>1118</v>
      </c>
      <c r="E1338" s="1" t="s">
        <v>1153</v>
      </c>
    </row>
    <row r="1339">
      <c r="A1339" s="2">
        <v>45671.48787037037</v>
      </c>
      <c r="B1339" s="1" t="s">
        <v>1103</v>
      </c>
      <c r="C1339" s="1" t="s">
        <v>1111</v>
      </c>
      <c r="D1339" s="1" t="s">
        <v>1118</v>
      </c>
      <c r="E1339" s="1" t="s">
        <v>1154</v>
      </c>
    </row>
    <row r="1340">
      <c r="A1340" s="2">
        <v>45671.488645833335</v>
      </c>
      <c r="B1340" s="1" t="s">
        <v>1111</v>
      </c>
      <c r="C1340" s="1" t="s">
        <v>920</v>
      </c>
      <c r="D1340" s="1" t="s">
        <v>1118</v>
      </c>
      <c r="E1340" s="1" t="s">
        <v>1155</v>
      </c>
    </row>
    <row r="1341">
      <c r="A1341" s="2">
        <v>45671.489699074074</v>
      </c>
      <c r="B1341" s="1" t="s">
        <v>1111</v>
      </c>
      <c r="C1341" s="1" t="s">
        <v>845</v>
      </c>
      <c r="D1341" s="1" t="s">
        <v>1118</v>
      </c>
      <c r="E1341" s="1" t="s">
        <v>1156</v>
      </c>
    </row>
    <row r="1342">
      <c r="A1342" s="2">
        <v>45671.49052083334</v>
      </c>
      <c r="B1342" s="1" t="s">
        <v>1111</v>
      </c>
      <c r="C1342" s="1" t="s">
        <v>920</v>
      </c>
      <c r="D1342" s="1" t="s">
        <v>1118</v>
      </c>
      <c r="E1342" s="1" t="s">
        <v>1157</v>
      </c>
    </row>
    <row r="1343">
      <c r="A1343" s="2">
        <v>45671.4909375</v>
      </c>
      <c r="B1343" s="1" t="s">
        <v>1111</v>
      </c>
      <c r="C1343" s="1" t="s">
        <v>920</v>
      </c>
      <c r="D1343" s="1" t="s">
        <v>1118</v>
      </c>
      <c r="E1343" s="1" t="s">
        <v>1158</v>
      </c>
    </row>
    <row r="1344">
      <c r="A1344" s="2">
        <v>45671.491261574076</v>
      </c>
      <c r="B1344" s="1" t="s">
        <v>1111</v>
      </c>
      <c r="C1344" s="1" t="s">
        <v>920</v>
      </c>
      <c r="D1344" s="1" t="s">
        <v>1118</v>
      </c>
      <c r="E1344" s="1" t="s">
        <v>1159</v>
      </c>
    </row>
    <row r="1345">
      <c r="A1345" s="2">
        <v>45671.49270833333</v>
      </c>
      <c r="B1345" s="1" t="s">
        <v>1111</v>
      </c>
      <c r="C1345" s="1" t="s">
        <v>920</v>
      </c>
      <c r="D1345" s="1" t="s">
        <v>1118</v>
      </c>
      <c r="E1345" s="1" t="s">
        <v>1160</v>
      </c>
    </row>
    <row r="1346">
      <c r="A1346" s="2">
        <v>45671.49417824074</v>
      </c>
      <c r="B1346" s="1" t="s">
        <v>1111</v>
      </c>
      <c r="C1346" s="1" t="s">
        <v>920</v>
      </c>
      <c r="D1346" s="1" t="s">
        <v>1118</v>
      </c>
      <c r="E1346" s="1" t="s">
        <v>1161</v>
      </c>
    </row>
    <row r="1347">
      <c r="A1347" s="2">
        <v>45671.49450231482</v>
      </c>
      <c r="B1347" s="1" t="s">
        <v>920</v>
      </c>
      <c r="C1347" s="1" t="s">
        <v>1111</v>
      </c>
      <c r="D1347" s="1" t="s">
        <v>1118</v>
      </c>
      <c r="E1347" s="1" t="s">
        <v>1162</v>
      </c>
    </row>
    <row r="1348">
      <c r="A1348" s="2">
        <v>45671.494780092595</v>
      </c>
      <c r="B1348" s="1" t="s">
        <v>920</v>
      </c>
      <c r="C1348" s="1" t="s">
        <v>1111</v>
      </c>
      <c r="D1348" s="1" t="s">
        <v>1118</v>
      </c>
      <c r="E1348" s="1" t="s">
        <v>1163</v>
      </c>
    </row>
    <row r="1349">
      <c r="A1349" s="2">
        <v>45671.49521990741</v>
      </c>
      <c r="B1349" s="1" t="s">
        <v>1111</v>
      </c>
      <c r="C1349" s="1" t="s">
        <v>920</v>
      </c>
      <c r="D1349" s="1" t="s">
        <v>1118</v>
      </c>
      <c r="E1349" s="1" t="s">
        <v>1164</v>
      </c>
    </row>
    <row r="1350">
      <c r="A1350" s="2">
        <v>45671.495416666665</v>
      </c>
      <c r="B1350" s="1" t="s">
        <v>1111</v>
      </c>
      <c r="C1350" s="1" t="s">
        <v>920</v>
      </c>
      <c r="D1350" s="1" t="s">
        <v>1118</v>
      </c>
      <c r="E1350" s="1" t="s">
        <v>1165</v>
      </c>
    </row>
    <row r="1351">
      <c r="A1351" s="2">
        <v>45671.49554398148</v>
      </c>
      <c r="B1351" s="1" t="s">
        <v>1111</v>
      </c>
      <c r="C1351" s="1" t="s">
        <v>920</v>
      </c>
      <c r="D1351" s="1" t="s">
        <v>1118</v>
      </c>
      <c r="E1351" s="1" t="s">
        <v>1166</v>
      </c>
    </row>
    <row r="1352">
      <c r="A1352" s="2">
        <v>45671.49581018519</v>
      </c>
      <c r="B1352" s="1" t="s">
        <v>1111</v>
      </c>
      <c r="C1352" s="1" t="s">
        <v>920</v>
      </c>
      <c r="D1352" s="1" t="s">
        <v>1118</v>
      </c>
      <c r="E1352" s="1" t="s">
        <v>1167</v>
      </c>
    </row>
    <row r="1353">
      <c r="A1353" s="2">
        <v>45671.49600694444</v>
      </c>
      <c r="B1353" s="1" t="s">
        <v>1103</v>
      </c>
      <c r="C1353" s="1" t="s">
        <v>1111</v>
      </c>
      <c r="D1353" s="1" t="s">
        <v>1118</v>
      </c>
      <c r="E1353" s="1" t="s">
        <v>1168</v>
      </c>
    </row>
    <row r="1354">
      <c r="A1354" s="2">
        <v>45671.497453703705</v>
      </c>
      <c r="B1354" s="1" t="s">
        <v>1111</v>
      </c>
      <c r="C1354" s="1" t="s">
        <v>845</v>
      </c>
      <c r="D1354" s="1" t="s">
        <v>1118</v>
      </c>
      <c r="E1354" s="1" t="s">
        <v>1169</v>
      </c>
    </row>
    <row r="1355">
      <c r="A1355" s="2">
        <v>45671.497766203705</v>
      </c>
      <c r="B1355" s="1" t="s">
        <v>1111</v>
      </c>
      <c r="C1355" s="1" t="s">
        <v>845</v>
      </c>
      <c r="D1355" s="1" t="s">
        <v>1118</v>
      </c>
      <c r="E1355" s="1" t="s">
        <v>1170</v>
      </c>
    </row>
    <row r="1356">
      <c r="A1356" s="2">
        <v>45671.49805555555</v>
      </c>
      <c r="B1356" s="1" t="s">
        <v>1111</v>
      </c>
      <c r="C1356" s="1" t="s">
        <v>845</v>
      </c>
      <c r="D1356" s="1" t="s">
        <v>1118</v>
      </c>
      <c r="E1356" s="1" t="s">
        <v>1171</v>
      </c>
    </row>
    <row r="1357">
      <c r="A1357" s="2">
        <v>45671.49821759259</v>
      </c>
      <c r="B1357" s="1" t="s">
        <v>1111</v>
      </c>
      <c r="C1357" s="1" t="s">
        <v>845</v>
      </c>
      <c r="D1357" s="1" t="s">
        <v>1118</v>
      </c>
      <c r="E1357" s="1" t="s">
        <v>1172</v>
      </c>
    </row>
    <row r="1358">
      <c r="A1358" s="2">
        <v>45671.498402777775</v>
      </c>
      <c r="B1358" s="1" t="s">
        <v>1111</v>
      </c>
      <c r="C1358" s="1" t="s">
        <v>845</v>
      </c>
      <c r="D1358" s="1" t="s">
        <v>1118</v>
      </c>
      <c r="E1358" s="1" t="s">
        <v>1173</v>
      </c>
    </row>
    <row r="1359">
      <c r="A1359" s="2">
        <v>45671.49853009259</v>
      </c>
      <c r="B1359" s="1" t="s">
        <v>1111</v>
      </c>
      <c r="C1359" s="1" t="s">
        <v>845</v>
      </c>
      <c r="D1359" s="1" t="s">
        <v>1118</v>
      </c>
      <c r="E1359" s="1" t="s">
        <v>1174</v>
      </c>
    </row>
    <row r="1360">
      <c r="A1360" s="2">
        <v>45671.50215277778</v>
      </c>
      <c r="B1360" s="1" t="s">
        <v>1111</v>
      </c>
      <c r="C1360" s="1" t="s">
        <v>845</v>
      </c>
      <c r="D1360" s="1" t="s">
        <v>1118</v>
      </c>
      <c r="E1360" s="1" t="s">
        <v>1175</v>
      </c>
    </row>
    <row r="1361">
      <c r="A1361" s="2">
        <v>45671.50315972222</v>
      </c>
      <c r="B1361" s="1" t="s">
        <v>1111</v>
      </c>
      <c r="C1361" s="1" t="s">
        <v>845</v>
      </c>
      <c r="D1361" s="1" t="s">
        <v>1118</v>
      </c>
      <c r="E1361" s="1" t="s">
        <v>1176</v>
      </c>
    </row>
    <row r="1362">
      <c r="A1362" s="2">
        <v>45671.5219212963</v>
      </c>
      <c r="B1362" s="1" t="s">
        <v>920</v>
      </c>
      <c r="C1362" s="1" t="s">
        <v>1111</v>
      </c>
      <c r="D1362" s="1" t="s">
        <v>1118</v>
      </c>
      <c r="E1362" s="1" t="s">
        <v>1177</v>
      </c>
    </row>
    <row r="1363">
      <c r="A1363" s="2">
        <v>45671.547106481485</v>
      </c>
      <c r="B1363" s="1" t="s">
        <v>1111</v>
      </c>
      <c r="C1363" s="1" t="s">
        <v>845</v>
      </c>
      <c r="D1363" s="1" t="s">
        <v>1118</v>
      </c>
      <c r="E1363" s="1" t="s">
        <v>1178</v>
      </c>
    </row>
    <row r="1364">
      <c r="A1364" s="2">
        <v>45671.56155092592</v>
      </c>
      <c r="B1364" s="1" t="s">
        <v>920</v>
      </c>
      <c r="C1364" s="1" t="s">
        <v>1111</v>
      </c>
      <c r="D1364" s="1" t="s">
        <v>1118</v>
      </c>
      <c r="E1364" s="1" t="s">
        <v>1179</v>
      </c>
    </row>
    <row r="1365">
      <c r="A1365" s="2">
        <v>45671.56423611111</v>
      </c>
      <c r="B1365" s="1" t="s">
        <v>920</v>
      </c>
      <c r="C1365" s="1" t="s">
        <v>1111</v>
      </c>
      <c r="D1365" s="1" t="s">
        <v>1118</v>
      </c>
      <c r="E1365" s="1" t="s">
        <v>1180</v>
      </c>
    </row>
    <row r="1366">
      <c r="A1366" s="2">
        <v>45671.57282407407</v>
      </c>
      <c r="B1366" s="1" t="s">
        <v>920</v>
      </c>
      <c r="C1366" s="1" t="s">
        <v>1111</v>
      </c>
      <c r="D1366" s="1" t="s">
        <v>1118</v>
      </c>
      <c r="E1366" s="1" t="s">
        <v>1181</v>
      </c>
    </row>
    <row r="1367">
      <c r="A1367" s="2">
        <v>45671.57508101852</v>
      </c>
      <c r="B1367" s="1" t="s">
        <v>920</v>
      </c>
      <c r="C1367" s="1" t="s">
        <v>1111</v>
      </c>
      <c r="D1367" s="1" t="s">
        <v>1118</v>
      </c>
      <c r="E1367" s="1" t="s">
        <v>1182</v>
      </c>
    </row>
    <row r="1368">
      <c r="A1368" s="2">
        <v>45671.62704861111</v>
      </c>
      <c r="B1368" s="1" t="s">
        <v>1103</v>
      </c>
      <c r="C1368" s="1" t="s">
        <v>1111</v>
      </c>
      <c r="D1368" s="1" t="s">
        <v>1118</v>
      </c>
      <c r="E1368" s="1" t="s">
        <v>1183</v>
      </c>
    </row>
    <row r="1369">
      <c r="A1369" s="2">
        <v>45671.694189814814</v>
      </c>
      <c r="B1369" s="1" t="s">
        <v>920</v>
      </c>
      <c r="C1369" s="1" t="s">
        <v>1111</v>
      </c>
      <c r="D1369" s="1" t="s">
        <v>1118</v>
      </c>
      <c r="E1369" s="1" t="s">
        <v>1184</v>
      </c>
    </row>
    <row r="1370">
      <c r="A1370" s="2">
        <v>45671.72986111111</v>
      </c>
      <c r="B1370" s="1" t="s">
        <v>1103</v>
      </c>
      <c r="C1370" s="1" t="s">
        <v>1111</v>
      </c>
      <c r="D1370" s="1" t="s">
        <v>1118</v>
      </c>
      <c r="E1370" s="1" t="s">
        <v>1185</v>
      </c>
    </row>
    <row r="1371">
      <c r="A1371" s="2">
        <v>45671.734768518516</v>
      </c>
      <c r="B1371" s="1" t="s">
        <v>1103</v>
      </c>
      <c r="C1371" s="1" t="s">
        <v>1111</v>
      </c>
      <c r="D1371" s="1" t="s">
        <v>1118</v>
      </c>
      <c r="E1371" s="1" t="s">
        <v>1186</v>
      </c>
    </row>
    <row r="1372">
      <c r="A1372" s="2">
        <v>45671.747025462966</v>
      </c>
      <c r="B1372" s="1" t="s">
        <v>920</v>
      </c>
      <c r="C1372" s="1" t="s">
        <v>1111</v>
      </c>
      <c r="D1372" s="1" t="s">
        <v>1118</v>
      </c>
      <c r="E1372" s="1" t="s">
        <v>1187</v>
      </c>
    </row>
    <row r="1373">
      <c r="A1373" s="2">
        <v>45672.366689814815</v>
      </c>
      <c r="B1373" s="1" t="s">
        <v>1111</v>
      </c>
      <c r="C1373" s="1" t="s">
        <v>920</v>
      </c>
      <c r="D1373" s="1" t="s">
        <v>1188</v>
      </c>
      <c r="E1373" s="1" t="s">
        <v>1189</v>
      </c>
    </row>
    <row r="1374">
      <c r="A1374" s="2">
        <v>45672.54403935185</v>
      </c>
      <c r="B1374" s="1" t="s">
        <v>1190</v>
      </c>
      <c r="C1374" s="1" t="s">
        <v>14</v>
      </c>
      <c r="D1374" s="3" t="str">
        <f>?utf-8?q?Keep_forgetting_your_passwords_Craig=3F?=</f>
        <v>#ERROR!</v>
      </c>
      <c r="E1374" s="1" t="s">
        <v>1191</v>
      </c>
    </row>
    <row r="1375">
      <c r="A1375" s="2">
        <v>45672.40277777778</v>
      </c>
      <c r="B1375" s="1" t="s">
        <v>920</v>
      </c>
      <c r="C1375" s="1" t="s">
        <v>1111</v>
      </c>
      <c r="D1375" s="1" t="s">
        <v>1192</v>
      </c>
      <c r="E1375" s="1" t="s">
        <v>1193</v>
      </c>
    </row>
    <row r="1376">
      <c r="A1376" s="2">
        <v>45672.84005787037</v>
      </c>
      <c r="B1376" s="1" t="s">
        <v>844</v>
      </c>
      <c r="C1376" s="1" t="s">
        <v>845</v>
      </c>
      <c r="D1376" s="1" t="s">
        <v>981</v>
      </c>
      <c r="E1376" s="1" t="s">
        <v>847</v>
      </c>
    </row>
    <row r="1377">
      <c r="A1377" s="2">
        <v>45672.60868055555</v>
      </c>
      <c r="B1377" s="1" t="s">
        <v>456</v>
      </c>
      <c r="C1377" s="1" t="s">
        <v>672</v>
      </c>
      <c r="D1377" s="3" t="str">
        <f>?UTF-8?B?RG9u4oCZdCBtaXNzIG91dCAtIGZpbmlzaCBzZXR0aW5nIHVwIHlv?=
 =?UTF-8?B?dXIgYWNjb3VudCB0b2RheSE=?=</f>
        <v>#ERROR!</v>
      </c>
      <c r="E1377" s="1" t="s">
        <v>1194</v>
      </c>
    </row>
    <row r="1378">
      <c r="A1378" s="2">
        <v>45673.501655092594</v>
      </c>
      <c r="B1378" s="1" t="s">
        <v>748</v>
      </c>
      <c r="C1378" s="1" t="s">
        <v>6</v>
      </c>
      <c r="D1378" s="1" t="s">
        <v>1195</v>
      </c>
      <c r="E1378" s="1" t="s">
        <v>749</v>
      </c>
    </row>
    <row r="1379">
      <c r="A1379" s="2">
        <v>45673.707291666666</v>
      </c>
      <c r="B1379" s="1" t="s">
        <v>1108</v>
      </c>
      <c r="C1379" s="1" t="s">
        <v>849</v>
      </c>
      <c r="D1379" s="1" t="s">
        <v>1196</v>
      </c>
      <c r="E1379" s="1" t="s">
        <v>1110</v>
      </c>
    </row>
    <row r="1380">
      <c r="A1380" s="2">
        <v>45674.82232638889</v>
      </c>
      <c r="B1380" s="1" t="s">
        <v>1108</v>
      </c>
      <c r="C1380" s="1" t="s">
        <v>849</v>
      </c>
      <c r="D1380" s="1" t="s">
        <v>1196</v>
      </c>
      <c r="E1380" s="1" t="s">
        <v>1110</v>
      </c>
    </row>
    <row r="1381">
      <c r="A1381" s="2">
        <v>45675.83658564815</v>
      </c>
      <c r="B1381" s="1" t="s">
        <v>848</v>
      </c>
      <c r="C1381" s="1" t="s">
        <v>849</v>
      </c>
      <c r="D1381" s="1" t="s">
        <v>985</v>
      </c>
      <c r="E1381" s="1" t="s">
        <v>851</v>
      </c>
    </row>
    <row r="1382">
      <c r="A1382" s="2">
        <v>45676.26495370371</v>
      </c>
      <c r="B1382" s="1" t="s">
        <v>1197</v>
      </c>
      <c r="C1382" s="1" t="s">
        <v>845</v>
      </c>
      <c r="D1382" s="3" t="str">
        <f>?utf-8?Q?Mailchimp=20trial=20ending?=</f>
        <v>#ERROR!</v>
      </c>
      <c r="E1382" s="1" t="s">
        <v>1198</v>
      </c>
    </row>
    <row r="1383">
      <c r="A1383" s="2">
        <v>45678.04048611111</v>
      </c>
      <c r="B1383" s="1" t="s">
        <v>857</v>
      </c>
      <c r="C1383" s="1" t="s">
        <v>845</v>
      </c>
      <c r="D1383" s="1" t="s">
        <v>861</v>
      </c>
      <c r="E1383" s="1" t="s">
        <v>847</v>
      </c>
    </row>
    <row r="1384">
      <c r="A1384" s="2">
        <v>45678.21913194445</v>
      </c>
      <c r="B1384" s="1" t="s">
        <v>1199</v>
      </c>
      <c r="C1384" s="1" t="s">
        <v>845</v>
      </c>
      <c r="D1384" s="1" t="s">
        <v>1200</v>
      </c>
      <c r="E1384" s="1" t="s">
        <v>1201</v>
      </c>
    </row>
    <row r="1385">
      <c r="A1385" s="2">
        <v>45677.89293981482</v>
      </c>
      <c r="B1385" s="1" t="s">
        <v>1108</v>
      </c>
      <c r="C1385" s="1" t="s">
        <v>849</v>
      </c>
      <c r="D1385" s="3" t="str">
        <f>?windows-1252?Q?Don=92t_miss_your_$100_e-voucher?=</f>
        <v>#ERROR!</v>
      </c>
      <c r="E1385" s="1" t="s">
        <v>1110</v>
      </c>
    </row>
    <row r="1386">
      <c r="A1386" s="2">
        <v>45678.500706018516</v>
      </c>
      <c r="B1386" s="1" t="s">
        <v>748</v>
      </c>
      <c r="C1386" s="1" t="s">
        <v>6</v>
      </c>
      <c r="D1386" s="1" t="s">
        <v>1202</v>
      </c>
      <c r="E1386" s="1" t="s">
        <v>749</v>
      </c>
    </row>
    <row r="1387">
      <c r="A1387" s="2">
        <v>45678.8677662037</v>
      </c>
      <c r="B1387" s="1" t="s">
        <v>857</v>
      </c>
      <c r="C1387" s="1" t="s">
        <v>845</v>
      </c>
      <c r="D1387" s="1" t="s">
        <v>858</v>
      </c>
      <c r="E1387" s="1" t="s">
        <v>847</v>
      </c>
    </row>
    <row r="1388">
      <c r="A1388" s="2">
        <v>45678.88148148148</v>
      </c>
      <c r="B1388" s="1" t="s">
        <v>222</v>
      </c>
      <c r="C1388" s="1" t="s">
        <v>14</v>
      </c>
      <c r="D1388" s="1" t="s">
        <v>1203</v>
      </c>
      <c r="E1388" s="1" t="s">
        <v>912</v>
      </c>
    </row>
    <row r="1389">
      <c r="A1389" s="2">
        <v>45679.126539351855</v>
      </c>
      <c r="B1389" s="1" t="s">
        <v>456</v>
      </c>
      <c r="C1389" s="1" t="s">
        <v>672</v>
      </c>
      <c r="D1389" s="1" t="s">
        <v>1204</v>
      </c>
      <c r="E1389" s="1" t="s">
        <v>1205</v>
      </c>
    </row>
    <row r="1390">
      <c r="A1390" s="2">
        <v>45679.44813657407</v>
      </c>
      <c r="B1390" s="1" t="s">
        <v>1206</v>
      </c>
      <c r="C1390" s="1" t="s">
        <v>14</v>
      </c>
      <c r="D1390" s="3" t="str">
        <f>?utf-8?Q?4_Stylish_Kitchens_in_250_Square_Feet_|_Designers_and_Builders_Share_Their_2025_Goals?=</f>
        <v>#ERROR!</v>
      </c>
      <c r="E1390" s="1" t="s">
        <v>1207</v>
      </c>
    </row>
    <row r="1391">
      <c r="A1391" s="2">
        <v>45679.53925925926</v>
      </c>
      <c r="B1391" s="1" t="s">
        <v>1208</v>
      </c>
      <c r="C1391" s="1" t="s">
        <v>845</v>
      </c>
      <c r="D1391" s="1" t="s">
        <v>1209</v>
      </c>
      <c r="E1391" s="1" t="s">
        <v>1210</v>
      </c>
    </row>
    <row r="1392">
      <c r="A1392" s="2">
        <v>45679.54340277778</v>
      </c>
      <c r="B1392" s="1" t="s">
        <v>1190</v>
      </c>
      <c r="C1392" s="1" t="s">
        <v>14</v>
      </c>
      <c r="D1392" s="3" t="str">
        <f>?utf-8?q?Check_out_what_you_get_with_your_plan?=</f>
        <v>#ERROR!</v>
      </c>
      <c r="E1392" s="1" t="s">
        <v>1211</v>
      </c>
    </row>
    <row r="1393">
      <c r="A1393" s="2">
        <v>45679.61467592593</v>
      </c>
      <c r="B1393" s="1" t="s">
        <v>920</v>
      </c>
      <c r="C1393" s="1" t="s">
        <v>1212</v>
      </c>
      <c r="D1393" s="1" t="s">
        <v>1213</v>
      </c>
      <c r="E1393" s="1" t="s">
        <v>1214</v>
      </c>
    </row>
    <row r="1394">
      <c r="A1394" s="2">
        <v>45679.84295138889</v>
      </c>
      <c r="B1394" s="1" t="s">
        <v>844</v>
      </c>
      <c r="C1394" s="1" t="s">
        <v>845</v>
      </c>
      <c r="D1394" s="1" t="s">
        <v>1028</v>
      </c>
      <c r="E1394" s="1" t="s">
        <v>847</v>
      </c>
    </row>
    <row r="1395">
      <c r="A1395" s="2">
        <v>45679.6093287037</v>
      </c>
      <c r="B1395" s="1" t="s">
        <v>456</v>
      </c>
      <c r="C1395" s="1" t="s">
        <v>672</v>
      </c>
      <c r="D1395" s="3" t="str">
        <f>?UTF-8?B?RG9u4oCZdCBmb3JnZXQgdG8gZmluaXNoIHNldHRpbmcgdXAgeW91?=
 =?UTF-8?B?ciBhY2NvdW50IQ==?=</f>
        <v>#ERROR!</v>
      </c>
      <c r="E1395" s="1" t="s">
        <v>1215</v>
      </c>
    </row>
    <row r="1396">
      <c r="A1396" s="2">
        <v>45680.264699074076</v>
      </c>
      <c r="B1396" s="1" t="s">
        <v>1197</v>
      </c>
      <c r="C1396" s="1" t="s">
        <v>845</v>
      </c>
      <c r="D1396" s="3" t="str">
        <f>?utf-8?Q?Mailchimp=20trial=20ending?=</f>
        <v>#ERROR!</v>
      </c>
      <c r="E1396" s="1" t="s">
        <v>1216</v>
      </c>
    </row>
    <row r="1397">
      <c r="A1397" s="2">
        <v>45680.501388888886</v>
      </c>
      <c r="B1397" s="1" t="s">
        <v>748</v>
      </c>
      <c r="C1397" s="1" t="s">
        <v>6</v>
      </c>
      <c r="D1397" s="1" t="s">
        <v>1217</v>
      </c>
      <c r="E1397" s="1" t="s">
        <v>749</v>
      </c>
    </row>
    <row r="1398">
      <c r="A1398" s="2">
        <v>45681.25708333333</v>
      </c>
      <c r="B1398" s="1" t="s">
        <v>1218</v>
      </c>
      <c r="C1398" s="1" t="s">
        <v>6</v>
      </c>
      <c r="D1398" s="1" t="s">
        <v>1219</v>
      </c>
      <c r="E1398" s="1" t="s">
        <v>823</v>
      </c>
    </row>
    <row r="1399">
      <c r="A1399" s="2">
        <v>45682.26430555555</v>
      </c>
      <c r="B1399" s="1" t="s">
        <v>1197</v>
      </c>
      <c r="C1399" s="1" t="s">
        <v>845</v>
      </c>
      <c r="D1399" s="3" t="str">
        <f>?utf-8?Q?Mailchimp=20trial=20ending?=</f>
        <v>#ERROR!</v>
      </c>
      <c r="E1399" s="1" t="s">
        <v>1220</v>
      </c>
    </row>
    <row r="1400">
      <c r="A1400" s="2">
        <v>45682.835625</v>
      </c>
      <c r="B1400" s="1" t="s">
        <v>1083</v>
      </c>
      <c r="C1400" s="1" t="s">
        <v>845</v>
      </c>
      <c r="D1400" s="1" t="s">
        <v>1221</v>
      </c>
      <c r="E1400" s="1" t="s">
        <v>847</v>
      </c>
    </row>
    <row r="1401">
      <c r="A1401" s="2">
        <v>45683.83460648148</v>
      </c>
      <c r="B1401" s="1" t="s">
        <v>848</v>
      </c>
      <c r="C1401" s="1" t="s">
        <v>849</v>
      </c>
      <c r="D1401" s="1" t="s">
        <v>1087</v>
      </c>
      <c r="E1401" s="1" t="s">
        <v>851</v>
      </c>
    </row>
    <row r="1402">
      <c r="A1402" s="2">
        <v>45684.85320601852</v>
      </c>
      <c r="B1402" s="1" t="s">
        <v>1083</v>
      </c>
      <c r="C1402" s="1" t="s">
        <v>845</v>
      </c>
      <c r="D1402" s="1" t="s">
        <v>1221</v>
      </c>
      <c r="E1402" s="1" t="s">
        <v>847</v>
      </c>
    </row>
    <row r="1403">
      <c r="A1403" s="2">
        <v>45685.85795138889</v>
      </c>
      <c r="B1403" s="1" t="s">
        <v>857</v>
      </c>
      <c r="C1403" s="1" t="s">
        <v>845</v>
      </c>
      <c r="D1403" s="1" t="s">
        <v>861</v>
      </c>
      <c r="E1403" s="1" t="s">
        <v>847</v>
      </c>
    </row>
    <row r="1404">
      <c r="A1404" s="2">
        <v>45686.07258101852</v>
      </c>
      <c r="B1404" s="1" t="s">
        <v>860</v>
      </c>
      <c r="C1404" s="1" t="s">
        <v>849</v>
      </c>
      <c r="D1404" s="3" t="str">
        <f>?utf-8?q?50%_off_your_next_3_orders_-_just_for_you_=F0=9F=91=80?=</f>
        <v>#ERROR!</v>
      </c>
      <c r="E1404" s="1" t="s">
        <v>851</v>
      </c>
    </row>
    <row r="1405">
      <c r="A1405" s="2">
        <v>45686.84444444445</v>
      </c>
      <c r="B1405" s="1" t="s">
        <v>844</v>
      </c>
      <c r="C1405" s="1" t="s">
        <v>845</v>
      </c>
      <c r="D1405" s="1" t="s">
        <v>1045</v>
      </c>
      <c r="E1405" s="1" t="s">
        <v>847</v>
      </c>
    </row>
    <row r="1406">
      <c r="A1406" s="2">
        <v>45687.50331018519</v>
      </c>
      <c r="B1406" s="1" t="s">
        <v>748</v>
      </c>
      <c r="C1406" s="1" t="s">
        <v>6</v>
      </c>
      <c r="D1406" s="1" t="s">
        <v>1222</v>
      </c>
      <c r="E1406" s="1" t="s">
        <v>749</v>
      </c>
    </row>
    <row r="1407">
      <c r="A1407" s="2">
        <v>45687.58461805555</v>
      </c>
      <c r="B1407" s="1" t="s">
        <v>1223</v>
      </c>
      <c r="C1407" s="1" t="s">
        <v>849</v>
      </c>
      <c r="D1407" s="3" t="str">
        <f>?utf-8?q?We=E2=80=99ve_updated_our_Privacy_Notices?=</f>
        <v>#ERROR!</v>
      </c>
      <c r="E1407" s="1" t="s">
        <v>851</v>
      </c>
    </row>
    <row r="1408">
      <c r="A1408" s="2">
        <v>45688.50251157407</v>
      </c>
      <c r="B1408" s="1" t="s">
        <v>748</v>
      </c>
      <c r="C1408" s="1" t="s">
        <v>6</v>
      </c>
      <c r="D1408" s="3" t="str">
        <f>?windows-1252?Q?Get_a_6=94_Cold_Cut_Combo_or_Ham_sub_for_only_$?=
 =?windows-1252?Q?4.99.?=</f>
        <v>#ERROR!</v>
      </c>
      <c r="E1408" s="1" t="s">
        <v>749</v>
      </c>
    </row>
    <row r="1409">
      <c r="A1409" s="2">
        <v>45688.85118055555</v>
      </c>
      <c r="B1409" s="1" t="s">
        <v>1224</v>
      </c>
      <c r="C1409" s="1" t="s">
        <v>1225</v>
      </c>
      <c r="D1409" s="1" t="s">
        <v>1226</v>
      </c>
      <c r="E1409" s="1" t="s">
        <v>1227</v>
      </c>
    </row>
    <row r="1410">
      <c r="A1410" s="2">
        <v>45691.708657407406</v>
      </c>
      <c r="B1410" s="1" t="s">
        <v>1015</v>
      </c>
      <c r="C1410" s="1" t="s">
        <v>845</v>
      </c>
      <c r="D1410" s="1" t="s">
        <v>1228</v>
      </c>
      <c r="E1410" s="1" t="s">
        <v>847</v>
      </c>
    </row>
    <row r="1411">
      <c r="A1411" s="2">
        <v>45692.32677083334</v>
      </c>
      <c r="B1411" s="1" t="s">
        <v>1229</v>
      </c>
      <c r="C1411" s="1" t="s">
        <v>845</v>
      </c>
      <c r="D1411" s="1" t="s">
        <v>1230</v>
      </c>
      <c r="E1411" s="1" t="s">
        <v>1231</v>
      </c>
    </row>
    <row r="1412">
      <c r="A1412" s="2">
        <v>45692.50388888889</v>
      </c>
      <c r="B1412" s="1" t="s">
        <v>748</v>
      </c>
      <c r="C1412" s="1" t="s">
        <v>6</v>
      </c>
      <c r="D1412" s="1" t="s">
        <v>1232</v>
      </c>
      <c r="E1412" s="1" t="s">
        <v>749</v>
      </c>
    </row>
    <row r="1413">
      <c r="A1413" s="2">
        <v>45692.673854166664</v>
      </c>
      <c r="B1413" s="1" t="s">
        <v>222</v>
      </c>
      <c r="C1413" s="1" t="s">
        <v>14</v>
      </c>
      <c r="D1413" s="1" t="s">
        <v>1233</v>
      </c>
      <c r="E1413" s="1" t="s">
        <v>1234</v>
      </c>
    </row>
    <row r="1414">
      <c r="A1414" s="2">
        <v>45692.867581018516</v>
      </c>
      <c r="B1414" s="1" t="s">
        <v>857</v>
      </c>
      <c r="C1414" s="1" t="s">
        <v>845</v>
      </c>
      <c r="D1414" s="1" t="s">
        <v>1235</v>
      </c>
      <c r="E1414" s="1" t="s">
        <v>847</v>
      </c>
    </row>
    <row r="1415">
      <c r="A1415" s="2">
        <v>45693.25226851852</v>
      </c>
      <c r="B1415" s="1" t="s">
        <v>456</v>
      </c>
      <c r="C1415" s="1" t="s">
        <v>672</v>
      </c>
      <c r="D1415" s="3" t="str">
        <f>?UTF-8?B?Q3JhaWcsIG91ciBWYWxlbnRpbmXigJlzIGdpZnQgdG8geW91OiBj?=
 =?UTF-8?B?YXNoIGJhY2s=?=</f>
        <v>#ERROR!</v>
      </c>
      <c r="E1415" s="1" t="s">
        <v>1236</v>
      </c>
    </row>
    <row r="1416">
      <c r="A1416" s="2">
        <v>45693.83868055556</v>
      </c>
      <c r="B1416" s="1" t="s">
        <v>848</v>
      </c>
      <c r="C1416" s="1" t="s">
        <v>849</v>
      </c>
      <c r="D1416" s="1" t="s">
        <v>1237</v>
      </c>
      <c r="E1416" s="1" t="s">
        <v>851</v>
      </c>
    </row>
    <row r="1417">
      <c r="A1417" s="2">
        <v>45693.82770833333</v>
      </c>
      <c r="B1417" s="1" t="s">
        <v>198</v>
      </c>
      <c r="C1417" s="1" t="s">
        <v>1238</v>
      </c>
      <c r="D1417" s="1" t="s">
        <v>1239</v>
      </c>
      <c r="E1417" s="1" t="s">
        <v>1240</v>
      </c>
    </row>
    <row r="1418">
      <c r="A1418" s="2">
        <v>45694.357453703706</v>
      </c>
      <c r="B1418" s="1" t="s">
        <v>1229</v>
      </c>
      <c r="C1418" s="1" t="s">
        <v>845</v>
      </c>
      <c r="D1418" s="1" t="s">
        <v>1241</v>
      </c>
      <c r="E1418" s="1" t="s">
        <v>1242</v>
      </c>
    </row>
    <row r="1419">
      <c r="A1419" s="2">
        <v>45694.460324074076</v>
      </c>
      <c r="B1419" s="1" t="s">
        <v>748</v>
      </c>
      <c r="C1419" s="1" t="s">
        <v>6</v>
      </c>
      <c r="D1419" s="3" t="str">
        <f>?windows-1252?Q?We_know_you=92re_a_big_Footlong_sub_fan=85?=</f>
        <v>#ERROR!</v>
      </c>
      <c r="E1419" s="1" t="s">
        <v>749</v>
      </c>
    </row>
    <row r="1420">
      <c r="A1420" s="2">
        <v>45694.74863425926</v>
      </c>
      <c r="B1420" s="1" t="s">
        <v>964</v>
      </c>
      <c r="C1420" s="1" t="s">
        <v>14</v>
      </c>
      <c r="D1420" s="1" t="s">
        <v>1243</v>
      </c>
      <c r="E1420" s="1" t="s">
        <v>1244</v>
      </c>
    </row>
    <row r="1421">
      <c r="A1421" s="2">
        <v>45695.54421296297</v>
      </c>
      <c r="B1421" s="1" t="s">
        <v>222</v>
      </c>
      <c r="C1421" s="1" t="s">
        <v>14</v>
      </c>
      <c r="D1421" s="1" t="s">
        <v>1245</v>
      </c>
      <c r="E1421" s="1" t="s">
        <v>1246</v>
      </c>
    </row>
    <row r="1422">
      <c r="A1422" s="2">
        <v>45695.62537037037</v>
      </c>
      <c r="B1422" s="1" t="s">
        <v>1247</v>
      </c>
      <c r="C1422" s="1" t="s">
        <v>845</v>
      </c>
      <c r="D1422" s="3" t="str">
        <f>?UTF-8?B?V2XigJlk?= love to hear from you!</f>
        <v>#ERROR!</v>
      </c>
      <c r="E1422" s="1" t="s">
        <v>1248</v>
      </c>
    </row>
    <row r="1423">
      <c r="A1423" s="2">
        <v>45696.75761574074</v>
      </c>
      <c r="B1423" s="1" t="s">
        <v>920</v>
      </c>
      <c r="C1423" s="1" t="s">
        <v>1249</v>
      </c>
      <c r="D1423" s="3" t="str">
        <f>?UTF-8?Q?Formal_Complaint_Against_Jacqueline_Gallant_=E2=80=93_Conf?=
	=?UTF-8?Q?lict_of_Interest_=26_Professional_Misconduct?=</f>
        <v>#ERROR!</v>
      </c>
      <c r="E1423" s="1" t="s">
        <v>1250</v>
      </c>
    </row>
    <row r="1424">
      <c r="A1424" s="2">
        <v>45698.544652777775</v>
      </c>
      <c r="B1424" s="1" t="s">
        <v>1251</v>
      </c>
      <c r="C1424" s="1" t="s">
        <v>920</v>
      </c>
      <c r="D1424" s="3" t="str">
        <f>?utf-8?B?UkU6IEZvcm1hbCBDb21wbGFpbnQgQWdhaW5zdCBKYWNxdWVsaW5lIEdhbGxh?=
 =?utf-8?B?bnQg4oCTIENvbmZsaWN0IG9mIEludGVyZXN0ICYgUHJvZmVzc2lvbmFsIE1p?=
 =?utf-8?Q?sconduct?=</f>
        <v>#ERROR!</v>
      </c>
      <c r="E1424" s="1" t="s">
        <v>1252</v>
      </c>
    </row>
    <row r="1425">
      <c r="A1425" s="2">
        <v>45698.42119212963</v>
      </c>
      <c r="B1425" s="1" t="s">
        <v>920</v>
      </c>
      <c r="C1425" s="1" t="s">
        <v>1251</v>
      </c>
      <c r="D1425" s="3" t="str">
        <f>?UTF-8?Q?Re=3A_Formal_Complaint_Against_Jacqueline_Gallant_=E2=80=93_?=
	=?UTF-8?Q?Conflict_of_Interest_=26_Professional_Misconduct?=</f>
        <v>#ERROR!</v>
      </c>
      <c r="E1425" s="1" t="s">
        <v>1253</v>
      </c>
    </row>
    <row r="1426">
      <c r="A1426" s="2">
        <v>45698.59510416666</v>
      </c>
      <c r="B1426" s="1" t="s">
        <v>1251</v>
      </c>
      <c r="C1426" s="1" t="s">
        <v>920</v>
      </c>
      <c r="D1426" s="3" t="str">
        <f>?utf-8?B?UkU6IEZvcm1hbCBDb21wbGFpbnQgQWdhaW5zdCBKYWNxdWVsaW5lIEdhbGxh?=
 =?utf-8?B?bnQg4oCTIENvbmZsaWN0IG9mIEludGVyZXN0ICYgUHJvZmVzc2lvbmFsIE1p?=
 =?utf-8?Q?sconduct?=</f>
        <v>#ERROR!</v>
      </c>
      <c r="E1426" s="1" t="s">
        <v>1254</v>
      </c>
    </row>
    <row r="1427">
      <c r="A1427" s="2">
        <v>45698.43877314815</v>
      </c>
      <c r="B1427" s="1" t="s">
        <v>920</v>
      </c>
      <c r="C1427" s="1" t="s">
        <v>1138</v>
      </c>
      <c r="D1427" s="3" t="str">
        <f>?UTF-8?Q?Fwd=3A_Formal_Complaint_Against_Jacqueline_Gallant_=E2=80=93?=
	=?UTF-8?Q?_Conflict_of_Interest_=26_Professional_Misconduct?=</f>
        <v>#ERROR!</v>
      </c>
      <c r="E1427" s="1" t="s">
        <v>1255</v>
      </c>
    </row>
    <row r="1428">
      <c r="A1428" s="2">
        <v>45698.50335648148</v>
      </c>
      <c r="B1428" s="1" t="s">
        <v>920</v>
      </c>
      <c r="C1428" s="1" t="s">
        <v>1212</v>
      </c>
      <c r="D1428" s="1" t="s">
        <v>1256</v>
      </c>
      <c r="E1428" s="1" t="s">
        <v>1257</v>
      </c>
    </row>
    <row r="1429">
      <c r="A1429" s="2">
        <v>45698.643159722225</v>
      </c>
      <c r="B1429" s="1" t="s">
        <v>920</v>
      </c>
      <c r="C1429" s="1" t="s">
        <v>1212</v>
      </c>
      <c r="D1429" s="1" t="s">
        <v>1258</v>
      </c>
      <c r="E1429" s="1" t="s">
        <v>1189</v>
      </c>
    </row>
    <row r="1430">
      <c r="A1430" s="2">
        <v>45698.60395833333</v>
      </c>
      <c r="B1430" s="1" t="s">
        <v>964</v>
      </c>
      <c r="C1430" s="1" t="s">
        <v>14</v>
      </c>
      <c r="D1430" s="1" t="s">
        <v>1259</v>
      </c>
      <c r="E1430" s="1" t="s">
        <v>1244</v>
      </c>
    </row>
    <row r="1431">
      <c r="A1431" s="2">
        <v>45699.00597222222</v>
      </c>
      <c r="B1431" s="1" t="s">
        <v>857</v>
      </c>
      <c r="C1431" s="1" t="s">
        <v>845</v>
      </c>
      <c r="D1431" s="1" t="s">
        <v>861</v>
      </c>
      <c r="E1431" s="1" t="s">
        <v>847</v>
      </c>
    </row>
    <row r="1432">
      <c r="A1432" s="2">
        <v>45699.42144675926</v>
      </c>
      <c r="B1432" s="1" t="s">
        <v>748</v>
      </c>
      <c r="C1432" s="1" t="s">
        <v>6</v>
      </c>
      <c r="D1432" s="3" t="str">
        <f>?windows-1252?Q?Your_Subway=AE_MVP_Rewards_points_are_expiring_?=
 =?windows-1252?Q?soon?=</f>
        <v>#ERROR!</v>
      </c>
      <c r="E1432" s="1" t="s">
        <v>749</v>
      </c>
    </row>
    <row r="1433">
      <c r="A1433" s="2">
        <v>45699.502233796295</v>
      </c>
      <c r="B1433" s="1" t="s">
        <v>748</v>
      </c>
      <c r="C1433" s="1" t="s">
        <v>6</v>
      </c>
      <c r="D1433" s="3" t="str">
        <f>?utf-8?B?8J+aqEZvb3Rsb25nIHRpbWUgaXMgYWxtb3N0IG92ZXIg8J+aqA==?=</f>
        <v>#ERROR!</v>
      </c>
      <c r="E1433" s="1" t="s">
        <v>749</v>
      </c>
    </row>
    <row r="1434">
      <c r="A1434" s="2">
        <v>45699.62359953704</v>
      </c>
      <c r="B1434" s="1" t="s">
        <v>222</v>
      </c>
      <c r="C1434" s="1" t="s">
        <v>14</v>
      </c>
      <c r="D1434" s="1" t="s">
        <v>1260</v>
      </c>
      <c r="E1434" s="1" t="s">
        <v>1261</v>
      </c>
    </row>
    <row r="1435">
      <c r="A1435" s="2">
        <v>45699.41884259259</v>
      </c>
      <c r="B1435" s="1" t="s">
        <v>456</v>
      </c>
      <c r="C1435" s="1" t="s">
        <v>672</v>
      </c>
      <c r="D1435" s="1" t="s">
        <v>1262</v>
      </c>
      <c r="E1435" s="1" t="s">
        <v>1263</v>
      </c>
    </row>
    <row r="1436">
      <c r="A1436" s="2">
        <v>45699.838171296295</v>
      </c>
      <c r="B1436" s="1" t="s">
        <v>857</v>
      </c>
      <c r="C1436" s="1" t="s">
        <v>845</v>
      </c>
      <c r="D1436" s="1" t="s">
        <v>858</v>
      </c>
      <c r="E1436" s="1" t="s">
        <v>847</v>
      </c>
    </row>
    <row r="1437">
      <c r="A1437" s="2">
        <v>45700.011145833334</v>
      </c>
      <c r="B1437" s="1" t="s">
        <v>1264</v>
      </c>
      <c r="C1437" s="1" t="s">
        <v>14</v>
      </c>
      <c r="D1437" s="1" t="s">
        <v>1265</v>
      </c>
      <c r="E1437" s="1" t="s">
        <v>1266</v>
      </c>
    </row>
    <row r="1438">
      <c r="A1438" s="2">
        <v>45700.03579861111</v>
      </c>
      <c r="B1438" s="1" t="s">
        <v>1264</v>
      </c>
      <c r="C1438" s="1" t="s">
        <v>14</v>
      </c>
      <c r="D1438" s="1" t="s">
        <v>1265</v>
      </c>
      <c r="E1438" s="1" t="s">
        <v>1266</v>
      </c>
    </row>
    <row r="1439">
      <c r="A1439" s="2">
        <v>45700.12525462963</v>
      </c>
      <c r="B1439" s="1" t="s">
        <v>1264</v>
      </c>
      <c r="C1439" s="1" t="s">
        <v>14</v>
      </c>
      <c r="D1439" s="1" t="s">
        <v>1265</v>
      </c>
      <c r="E1439" s="1" t="s">
        <v>1266</v>
      </c>
    </row>
    <row r="1440">
      <c r="A1440" s="2">
        <v>45700.14219907407</v>
      </c>
      <c r="B1440" s="1" t="s">
        <v>1264</v>
      </c>
      <c r="C1440" s="1" t="s">
        <v>14</v>
      </c>
      <c r="D1440" s="1" t="s">
        <v>1265</v>
      </c>
      <c r="E1440" s="1" t="s">
        <v>1266</v>
      </c>
    </row>
    <row r="1441">
      <c r="A1441" s="2">
        <v>45700.14224537037</v>
      </c>
      <c r="B1441" s="1" t="s">
        <v>1264</v>
      </c>
      <c r="C1441" s="1" t="s">
        <v>14</v>
      </c>
      <c r="D1441" s="1" t="s">
        <v>1265</v>
      </c>
      <c r="E1441" s="1" t="s">
        <v>1266</v>
      </c>
    </row>
    <row r="1442">
      <c r="A1442" s="2">
        <v>45699.99324074074</v>
      </c>
      <c r="B1442" s="1" t="s">
        <v>920</v>
      </c>
      <c r="C1442" s="1" t="s">
        <v>1251</v>
      </c>
      <c r="D1442" s="1" t="s">
        <v>1267</v>
      </c>
      <c r="E1442" s="1" t="s">
        <v>1268</v>
      </c>
    </row>
    <row r="1443">
      <c r="A1443" s="2">
        <v>45700.53366898148</v>
      </c>
      <c r="B1443" s="1" t="s">
        <v>1251</v>
      </c>
      <c r="C1443" s="1" t="s">
        <v>920</v>
      </c>
      <c r="D1443" s="1" t="s">
        <v>1269</v>
      </c>
      <c r="E1443" s="1" t="s">
        <v>1270</v>
      </c>
    </row>
    <row r="1444">
      <c r="A1444" s="2">
        <v>45701.501539351855</v>
      </c>
      <c r="B1444" s="1" t="s">
        <v>748</v>
      </c>
      <c r="C1444" s="1" t="s">
        <v>6</v>
      </c>
      <c r="D1444" s="3" t="str">
        <f>?utf-8?B?R2V0IGEgJDUgU25hY2t3aWNoIEJ1bmRsZSBiZWZvcmUgaXQgaQ==?=
 =?utf-8?B?cyBnb25l4oC877iP?=</f>
        <v>#ERROR!</v>
      </c>
      <c r="E1444" s="1" t="s">
        <v>749</v>
      </c>
    </row>
    <row r="1445">
      <c r="A1445" s="2">
        <v>45701.36418981481</v>
      </c>
      <c r="B1445" s="1" t="s">
        <v>1111</v>
      </c>
      <c r="C1445" s="3" t="str">
        <f>?utf-8?Q?Harper=E2=80=99s_Dad_=F0=9F=92=9C?= &lt;placed.sj@gmail.com&gt;</f>
        <v>#ERROR!</v>
      </c>
      <c r="D1445" s="1" t="s">
        <v>1271</v>
      </c>
      <c r="E1445" s="1" t="s">
        <v>1272</v>
      </c>
    </row>
    <row r="1446">
      <c r="A1446" s="2">
        <v>45701.36436342593</v>
      </c>
      <c r="B1446" s="1" t="s">
        <v>1111</v>
      </c>
      <c r="C1446" s="3" t="str">
        <f>?utf-8?Q?Harper=E2=80=99s_Dad_=F0=9F=92=9C?= &lt;placed.sj@gmail.com&gt;</f>
        <v>#ERROR!</v>
      </c>
      <c r="D1446" s="1" t="s">
        <v>1273</v>
      </c>
      <c r="E1446" s="1" t="s">
        <v>1274</v>
      </c>
    </row>
    <row r="1447">
      <c r="A1447" s="2">
        <v>45701.36452546297</v>
      </c>
      <c r="B1447" s="1" t="s">
        <v>1111</v>
      </c>
      <c r="C1447" s="3" t="str">
        <f>?utf-8?Q?Harper=E2=80=99s_Dad_=F0=9F=92=9C?= &lt;placed.sj@gmail.com&gt;</f>
        <v>#ERROR!</v>
      </c>
      <c r="D1447" s="1" t="s">
        <v>1275</v>
      </c>
      <c r="E1447" s="1" t="s">
        <v>1276</v>
      </c>
    </row>
    <row r="1448">
      <c r="A1448" s="2">
        <v>45701.364641203705</v>
      </c>
      <c r="B1448" s="1" t="s">
        <v>1111</v>
      </c>
      <c r="C1448" s="3" t="str">
        <f>?utf-8?Q?Harper=E2=80=99s_Dad_=F0=9F=92=9C?= &lt;placed.sj@gmail.com&gt;</f>
        <v>#ERROR!</v>
      </c>
      <c r="D1448" s="1" t="s">
        <v>1275</v>
      </c>
      <c r="E1448" s="1" t="s">
        <v>1277</v>
      </c>
    </row>
    <row r="1449">
      <c r="A1449" s="2">
        <v>45701.364965277775</v>
      </c>
      <c r="B1449" s="1" t="s">
        <v>1111</v>
      </c>
      <c r="C1449" s="3" t="str">
        <f>?utf-8?Q?Harper=E2=80=99s_Dad_=F0=9F=92=9C?= &lt;placed.sj@gmail.com&gt;</f>
        <v>#ERROR!</v>
      </c>
      <c r="D1449" s="1" t="s">
        <v>1275</v>
      </c>
      <c r="E1449" s="1" t="s">
        <v>1278</v>
      </c>
    </row>
    <row r="1450">
      <c r="A1450" s="2">
        <v>45701.365335648145</v>
      </c>
      <c r="B1450" s="1" t="s">
        <v>1111</v>
      </c>
      <c r="C1450" s="3" t="str">
        <f>?utf-8?Q?Harper=E2=80=99s_Dad_=F0=9F=92=9C?= &lt;placed.sj@gmail.com&gt;</f>
        <v>#ERROR!</v>
      </c>
      <c r="D1450" s="1" t="s">
        <v>1279</v>
      </c>
      <c r="E1450" s="1" t="s">
        <v>1280</v>
      </c>
    </row>
    <row r="1451">
      <c r="A1451" s="2">
        <v>45701.368738425925</v>
      </c>
      <c r="B1451" s="1" t="s">
        <v>1111</v>
      </c>
      <c r="C1451" s="3" t="str">
        <f>?utf-8?Q?Harper=E2=80=99s_Dad_=F0=9F=92=9C?= &lt;placed.sj@gmail.com&gt;</f>
        <v>#ERROR!</v>
      </c>
      <c r="D1451" s="1" t="s">
        <v>1279</v>
      </c>
      <c r="E1451" s="1" t="s">
        <v>1281</v>
      </c>
    </row>
    <row r="1452">
      <c r="A1452" s="2">
        <v>45701.56236111111</v>
      </c>
      <c r="B1452" s="1" t="s">
        <v>928</v>
      </c>
      <c r="C1452" s="1" t="s">
        <v>845</v>
      </c>
      <c r="D1452" s="1" t="s">
        <v>1282</v>
      </c>
      <c r="E1452" s="1" t="s">
        <v>1283</v>
      </c>
    </row>
    <row r="1453">
      <c r="A1453" s="2">
        <v>45701.58665509259</v>
      </c>
      <c r="B1453" s="1" t="s">
        <v>920</v>
      </c>
      <c r="C1453" s="1" t="s">
        <v>1071</v>
      </c>
      <c r="D1453" s="1" t="s">
        <v>1284</v>
      </c>
      <c r="E1453" s="1" t="s">
        <v>1285</v>
      </c>
    </row>
    <row r="1454">
      <c r="A1454" s="2">
        <v>45701.606087962966</v>
      </c>
      <c r="B1454" s="1" t="s">
        <v>920</v>
      </c>
      <c r="C1454" s="1" t="s">
        <v>1286</v>
      </c>
      <c r="D1454" s="1" t="s">
        <v>1287</v>
      </c>
      <c r="E1454" s="1" t="s">
        <v>1288</v>
      </c>
    </row>
    <row r="1455">
      <c r="A1455" s="2">
        <v>45701.85975694445</v>
      </c>
      <c r="B1455" s="1" t="s">
        <v>844</v>
      </c>
      <c r="C1455" s="1" t="s">
        <v>845</v>
      </c>
      <c r="D1455" s="1" t="s">
        <v>1289</v>
      </c>
      <c r="E1455" s="1" t="s">
        <v>847</v>
      </c>
    </row>
    <row r="1456">
      <c r="A1456" s="2">
        <v>45702.39849537037</v>
      </c>
      <c r="B1456" s="1" t="s">
        <v>1229</v>
      </c>
      <c r="C1456" s="1" t="s">
        <v>845</v>
      </c>
      <c r="D1456" s="1" t="s">
        <v>1290</v>
      </c>
      <c r="E1456" s="1" t="s">
        <v>1291</v>
      </c>
    </row>
    <row r="1457">
      <c r="A1457" s="2">
        <v>45702.67737268518</v>
      </c>
      <c r="B1457" s="1" t="s">
        <v>1229</v>
      </c>
      <c r="C1457" s="1" t="s">
        <v>845</v>
      </c>
      <c r="D1457" s="1" t="s">
        <v>1292</v>
      </c>
      <c r="E1457" s="1" t="s">
        <v>1293</v>
      </c>
    </row>
    <row r="1458">
      <c r="A1458" s="2">
        <v>45702.55521990741</v>
      </c>
      <c r="B1458" s="1" t="s">
        <v>920</v>
      </c>
      <c r="C1458" s="1" t="s">
        <v>1212</v>
      </c>
      <c r="D1458" s="1" t="s">
        <v>1294</v>
      </c>
      <c r="E1458" s="1" t="s">
        <v>1295</v>
      </c>
    </row>
    <row r="1459">
      <c r="A1459" s="2">
        <v>45702.583715277775</v>
      </c>
      <c r="B1459" s="1" t="s">
        <v>920</v>
      </c>
      <c r="C1459" s="1" t="s">
        <v>1212</v>
      </c>
      <c r="D1459" s="1" t="s">
        <v>1294</v>
      </c>
      <c r="E1459" s="1" t="s">
        <v>1296</v>
      </c>
    </row>
    <row r="1460">
      <c r="A1460" s="2">
        <v>45703.62443287037</v>
      </c>
      <c r="B1460" s="1" t="s">
        <v>222</v>
      </c>
      <c r="C1460" s="1" t="s">
        <v>14</v>
      </c>
      <c r="D1460" s="1" t="s">
        <v>1297</v>
      </c>
      <c r="E1460" s="1" t="s">
        <v>1298</v>
      </c>
    </row>
    <row r="1461">
      <c r="A1461" s="2">
        <v>45703.83730324074</v>
      </c>
      <c r="B1461" s="1" t="s">
        <v>844</v>
      </c>
      <c r="C1461" s="1" t="s">
        <v>845</v>
      </c>
      <c r="D1461" s="1" t="s">
        <v>1299</v>
      </c>
      <c r="E1461" s="1" t="s">
        <v>847</v>
      </c>
    </row>
    <row r="1462">
      <c r="A1462" s="2">
        <v>45704.39383101852</v>
      </c>
      <c r="B1462" s="1" t="s">
        <v>1300</v>
      </c>
      <c r="C1462" s="1" t="s">
        <v>845</v>
      </c>
      <c r="D1462" s="3" t="str">
        <f>?UTF-8?Q?You=E2=80=99re_now_using_Gemini_on_web?=</f>
        <v>#ERROR!</v>
      </c>
      <c r="E1462" s="1" t="s">
        <v>1301</v>
      </c>
    </row>
    <row r="1463">
      <c r="A1463" s="2">
        <v>45705.501759259256</v>
      </c>
      <c r="B1463" s="1" t="s">
        <v>748</v>
      </c>
      <c r="C1463" s="1" t="s">
        <v>6</v>
      </c>
      <c r="D1463" s="3" t="str">
        <f>?windows-1252?Q?Footlong_BOGO_for_$1=3F_Yesway=AE!?=</f>
        <v>#ERROR!</v>
      </c>
      <c r="E1463" s="1" t="s">
        <v>749</v>
      </c>
    </row>
    <row r="1464">
      <c r="A1464" s="2">
        <v>45706.00034722222</v>
      </c>
      <c r="B1464" s="1" t="s">
        <v>1302</v>
      </c>
      <c r="C1464" s="1" t="s">
        <v>1105</v>
      </c>
      <c r="D1464" s="1" t="s">
        <v>1303</v>
      </c>
      <c r="E1464" s="1" t="s">
        <v>1304</v>
      </c>
    </row>
    <row r="1465">
      <c r="A1465" s="2">
        <v>45705.854050925926</v>
      </c>
      <c r="B1465" s="1" t="s">
        <v>920</v>
      </c>
      <c r="C1465" s="1" t="s">
        <v>1302</v>
      </c>
      <c r="D1465" s="1" t="s">
        <v>1305</v>
      </c>
      <c r="E1465" s="1" t="s">
        <v>1306</v>
      </c>
    </row>
    <row r="1466">
      <c r="A1466" s="2">
        <v>45705.85457175926</v>
      </c>
      <c r="B1466" s="1" t="s">
        <v>920</v>
      </c>
      <c r="C1466" s="1" t="s">
        <v>1302</v>
      </c>
      <c r="D1466" s="1" t="s">
        <v>1305</v>
      </c>
      <c r="E1466" s="1" t="s">
        <v>1307</v>
      </c>
    </row>
    <row r="1467">
      <c r="A1467" s="2">
        <v>45705.85491898148</v>
      </c>
      <c r="B1467" s="1" t="s">
        <v>920</v>
      </c>
      <c r="C1467" s="1" t="s">
        <v>1302</v>
      </c>
      <c r="D1467" s="1" t="s">
        <v>1305</v>
      </c>
      <c r="E1467" s="1" t="s">
        <v>1308</v>
      </c>
    </row>
    <row r="1468">
      <c r="A1468" s="2">
        <v>45706.69763888889</v>
      </c>
      <c r="B1468" s="1" t="s">
        <v>723</v>
      </c>
      <c r="C1468" s="1" t="s">
        <v>724</v>
      </c>
      <c r="D1468" s="1" t="s">
        <v>1309</v>
      </c>
      <c r="E1468" s="1" t="s">
        <v>1310</v>
      </c>
    </row>
    <row r="1469">
      <c r="A1469" s="2">
        <v>45706.67894675926</v>
      </c>
      <c r="B1469" s="1" t="s">
        <v>1311</v>
      </c>
      <c r="C1469" s="1" t="s">
        <v>1312</v>
      </c>
      <c r="D1469" s="3" t="str">
        <f>?UTF-8?Q?Harper_day_Harper_day_it=E2=80=99s_dad_Luna_and_Harper_day?=
	=?UTF-8?Q?=21=21=21=21?=</f>
        <v>#ERROR!</v>
      </c>
      <c r="E1469" s="1" t="s">
        <v>1189</v>
      </c>
    </row>
    <row r="1470">
      <c r="A1470" s="2">
        <v>45706.86886574074</v>
      </c>
      <c r="B1470" s="1" t="s">
        <v>857</v>
      </c>
      <c r="C1470" s="1" t="s">
        <v>845</v>
      </c>
      <c r="D1470" s="1" t="s">
        <v>861</v>
      </c>
      <c r="E1470" s="1" t="s">
        <v>847</v>
      </c>
    </row>
    <row r="1471">
      <c r="A1471" s="2">
        <v>45707.0531712963</v>
      </c>
      <c r="B1471" s="1" t="s">
        <v>1229</v>
      </c>
      <c r="C1471" s="1" t="s">
        <v>845</v>
      </c>
      <c r="D1471" s="1" t="s">
        <v>1313</v>
      </c>
      <c r="E1471" s="1" t="s">
        <v>1314</v>
      </c>
    </row>
    <row r="1472">
      <c r="A1472" s="2">
        <v>45707.05894675926</v>
      </c>
      <c r="B1472" s="1" t="s">
        <v>857</v>
      </c>
      <c r="C1472" s="1" t="s">
        <v>845</v>
      </c>
      <c r="D1472" s="1" t="s">
        <v>858</v>
      </c>
      <c r="E1472" s="1" t="s">
        <v>847</v>
      </c>
    </row>
    <row r="1473">
      <c r="A1473" s="2">
        <v>45707.83982638889</v>
      </c>
      <c r="B1473" s="1" t="s">
        <v>844</v>
      </c>
      <c r="C1473" s="1" t="s">
        <v>845</v>
      </c>
      <c r="D1473" s="1" t="s">
        <v>1315</v>
      </c>
      <c r="E1473" s="1" t="s">
        <v>847</v>
      </c>
    </row>
    <row r="1474">
      <c r="A1474" s="2">
        <v>45708.50162037037</v>
      </c>
      <c r="B1474" s="1" t="s">
        <v>748</v>
      </c>
      <c r="C1474" s="1" t="s">
        <v>6</v>
      </c>
      <c r="D1474" s="1" t="s">
        <v>1316</v>
      </c>
      <c r="E1474" s="1" t="s">
        <v>749</v>
      </c>
    </row>
    <row r="1475">
      <c r="A1475" s="2">
        <v>45708.29431712963</v>
      </c>
      <c r="B1475" s="1" t="s">
        <v>1317</v>
      </c>
      <c r="C1475" s="1" t="s">
        <v>849</v>
      </c>
      <c r="D1475" s="1" t="s">
        <v>1318</v>
      </c>
      <c r="E1475" s="1" t="s">
        <v>1319</v>
      </c>
    </row>
    <row r="1476">
      <c r="A1476" s="2">
        <v>45708.99475694444</v>
      </c>
      <c r="B1476" s="1" t="s">
        <v>928</v>
      </c>
      <c r="C1476" s="1" t="s">
        <v>845</v>
      </c>
      <c r="D1476" s="1" t="s">
        <v>1320</v>
      </c>
      <c r="E1476" s="1" t="s">
        <v>1283</v>
      </c>
    </row>
    <row r="1477">
      <c r="A1477" s="2">
        <v>45709.09328703704</v>
      </c>
      <c r="B1477" s="1" t="s">
        <v>1321</v>
      </c>
      <c r="C1477" s="1" t="s">
        <v>845</v>
      </c>
      <c r="D1477" s="1" t="s">
        <v>1322</v>
      </c>
      <c r="E1477" s="1" t="s">
        <v>1323</v>
      </c>
    </row>
    <row r="1478">
      <c r="A1478" s="2">
        <v>45709.29275462963</v>
      </c>
      <c r="B1478" s="1" t="s">
        <v>610</v>
      </c>
      <c r="C1478" s="1" t="s">
        <v>849</v>
      </c>
      <c r="D1478" s="1" t="s">
        <v>1324</v>
      </c>
      <c r="E1478" s="1" t="s">
        <v>1325</v>
      </c>
    </row>
    <row r="1479">
      <c r="A1479" s="2">
        <v>45709.29361111111</v>
      </c>
      <c r="B1479" s="1" t="s">
        <v>1317</v>
      </c>
      <c r="C1479" s="1" t="s">
        <v>849</v>
      </c>
      <c r="D1479" s="1" t="s">
        <v>1326</v>
      </c>
      <c r="E1479" s="1" t="s">
        <v>1327</v>
      </c>
    </row>
    <row r="1480">
      <c r="A1480" s="2">
        <v>45709.852268518516</v>
      </c>
      <c r="B1480" s="1" t="s">
        <v>1015</v>
      </c>
      <c r="C1480" s="1" t="s">
        <v>845</v>
      </c>
      <c r="D1480" s="1" t="s">
        <v>1328</v>
      </c>
      <c r="E1480" s="1" t="s">
        <v>847</v>
      </c>
    </row>
    <row r="1481">
      <c r="A1481" s="2">
        <v>45712.293344907404</v>
      </c>
      <c r="B1481" s="1" t="s">
        <v>1317</v>
      </c>
      <c r="C1481" s="1" t="s">
        <v>849</v>
      </c>
      <c r="D1481" s="1" t="s">
        <v>1329</v>
      </c>
      <c r="E1481" s="1" t="s">
        <v>1330</v>
      </c>
    </row>
    <row r="1482">
      <c r="A1482" s="2">
        <v>45712.708865740744</v>
      </c>
      <c r="B1482" s="1" t="s">
        <v>1015</v>
      </c>
      <c r="C1482" s="1" t="s">
        <v>845</v>
      </c>
      <c r="D1482" s="1" t="s">
        <v>1228</v>
      </c>
      <c r="E1482" s="1" t="s">
        <v>847</v>
      </c>
    </row>
    <row r="1483">
      <c r="A1483" s="2">
        <v>45713.292650462965</v>
      </c>
      <c r="B1483" s="1" t="s">
        <v>610</v>
      </c>
      <c r="C1483" s="1" t="s">
        <v>849</v>
      </c>
      <c r="D1483" s="1" t="s">
        <v>1331</v>
      </c>
      <c r="E1483" s="1" t="s">
        <v>1332</v>
      </c>
    </row>
    <row r="1484">
      <c r="A1484" s="2">
        <v>45713.293391203704</v>
      </c>
      <c r="B1484" s="1" t="s">
        <v>1317</v>
      </c>
      <c r="C1484" s="1" t="s">
        <v>849</v>
      </c>
      <c r="D1484" s="1" t="s">
        <v>1333</v>
      </c>
      <c r="E1484" s="1" t="s">
        <v>1334</v>
      </c>
    </row>
    <row r="1485">
      <c r="A1485" s="2">
        <v>45714.15555555555</v>
      </c>
      <c r="B1485" s="1" t="s">
        <v>1335</v>
      </c>
      <c r="C1485" s="1" t="s">
        <v>845</v>
      </c>
      <c r="D1485" s="1" t="s">
        <v>1336</v>
      </c>
      <c r="E1485" s="1" t="s">
        <v>1337</v>
      </c>
    </row>
    <row r="1486">
      <c r="A1486" s="2">
        <v>45714.28481481481</v>
      </c>
      <c r="B1486" s="1" t="s">
        <v>1338</v>
      </c>
      <c r="C1486" s="1" t="s">
        <v>845</v>
      </c>
      <c r="D1486" s="3" t="str">
        <f>?utf-8?Q?[Jimdo]=20Your=20email=20is=20confirmed!?=</f>
        <v>#ERROR!</v>
      </c>
      <c r="E1486" s="1" t="s">
        <v>1339</v>
      </c>
    </row>
    <row r="1487">
      <c r="A1487" s="2">
        <v>45714.29375</v>
      </c>
      <c r="B1487" s="1" t="s">
        <v>1317</v>
      </c>
      <c r="C1487" s="1" t="s">
        <v>849</v>
      </c>
      <c r="D1487" s="1" t="s">
        <v>1340</v>
      </c>
      <c r="E1487" s="1" t="s">
        <v>1341</v>
      </c>
    </row>
    <row r="1488">
      <c r="A1488" s="2">
        <v>45714.44106481481</v>
      </c>
      <c r="B1488" s="1" t="s">
        <v>1342</v>
      </c>
      <c r="C1488" s="1" t="s">
        <v>849</v>
      </c>
      <c r="D1488" s="1" t="s">
        <v>1343</v>
      </c>
      <c r="E1488" s="1" t="s">
        <v>1344</v>
      </c>
    </row>
    <row r="1489">
      <c r="A1489" s="2">
        <v>45714.841469907406</v>
      </c>
      <c r="B1489" s="1" t="s">
        <v>844</v>
      </c>
      <c r="C1489" s="1" t="s">
        <v>845</v>
      </c>
      <c r="D1489" s="1" t="s">
        <v>1345</v>
      </c>
      <c r="E1489" s="1" t="s">
        <v>847</v>
      </c>
    </row>
    <row r="1490">
      <c r="A1490" s="2">
        <v>45715.50225694444</v>
      </c>
      <c r="B1490" s="1" t="s">
        <v>748</v>
      </c>
      <c r="C1490" s="1" t="s">
        <v>6</v>
      </c>
      <c r="D1490" s="3" t="str">
        <f>?utf-8?B?Rm9vdGxvbmcgQk9HTyBmb3IgJDE/IE9mZmVyIHdvbnQgbGFzdA==?=
 =?utf-8?B?IGZvcmV2ZXIhISDwn6SR?=</f>
        <v>#ERROR!</v>
      </c>
      <c r="E1490" s="1" t="s">
        <v>749</v>
      </c>
    </row>
    <row r="1491">
      <c r="A1491" s="2">
        <v>45715.29288194444</v>
      </c>
      <c r="B1491" s="1" t="s">
        <v>1317</v>
      </c>
      <c r="C1491" s="1" t="s">
        <v>849</v>
      </c>
      <c r="D1491" s="1" t="s">
        <v>1346</v>
      </c>
      <c r="E1491" s="1" t="s">
        <v>1347</v>
      </c>
    </row>
    <row r="1492">
      <c r="A1492" s="2">
        <v>45716.292708333334</v>
      </c>
      <c r="B1492" s="1" t="s">
        <v>610</v>
      </c>
      <c r="C1492" s="1" t="s">
        <v>849</v>
      </c>
      <c r="D1492" s="1" t="s">
        <v>1348</v>
      </c>
      <c r="E1492" s="1" t="s">
        <v>1349</v>
      </c>
    </row>
    <row r="1493">
      <c r="A1493" s="2">
        <v>45716.2934375</v>
      </c>
      <c r="B1493" s="1" t="s">
        <v>1317</v>
      </c>
      <c r="C1493" s="1" t="s">
        <v>849</v>
      </c>
      <c r="D1493" s="1" t="s">
        <v>1350</v>
      </c>
      <c r="E1493" s="1" t="s">
        <v>1351</v>
      </c>
    </row>
    <row r="1494">
      <c r="A1494" s="2">
        <v>45717.198229166665</v>
      </c>
      <c r="B1494" s="1" t="s">
        <v>1352</v>
      </c>
      <c r="C1494" s="1" t="s">
        <v>845</v>
      </c>
      <c r="D1494" s="1" t="s">
        <v>1353</v>
      </c>
      <c r="E1494" s="1" t="s">
        <v>1354</v>
      </c>
    </row>
    <row r="1495">
      <c r="A1495" s="2">
        <v>45717.292662037034</v>
      </c>
      <c r="B1495" s="1" t="s">
        <v>1317</v>
      </c>
      <c r="C1495" s="1" t="s">
        <v>849</v>
      </c>
      <c r="D1495" s="3" t="str">
        <f>?UTF-8?B?SGFwcHkgQmlydGhkYXkhIFlvdeKAmXZlIGdvdCBhIGdpZnQgd2Fp?=
 =?UTF-8?B?dGluZywgVG9ueSDwn46B?=</f>
        <v>#ERROR!</v>
      </c>
      <c r="E1495" s="1" t="s">
        <v>1355</v>
      </c>
    </row>
    <row r="1496">
      <c r="A1496" s="2">
        <v>45717.29283564815</v>
      </c>
      <c r="B1496" s="1" t="s">
        <v>610</v>
      </c>
      <c r="C1496" s="1" t="s">
        <v>849</v>
      </c>
      <c r="D1496" s="1" t="s">
        <v>1356</v>
      </c>
      <c r="E1496" s="1" t="s">
        <v>1357</v>
      </c>
    </row>
    <row r="1497">
      <c r="A1497" s="2">
        <v>45717.851331018515</v>
      </c>
      <c r="B1497" s="1" t="s">
        <v>844</v>
      </c>
      <c r="C1497" s="1" t="s">
        <v>845</v>
      </c>
      <c r="D1497" s="1" t="s">
        <v>1358</v>
      </c>
      <c r="E1497" s="1" t="s">
        <v>847</v>
      </c>
    </row>
    <row r="1498">
      <c r="A1498" s="2">
        <v>45718.29314814815</v>
      </c>
      <c r="B1498" s="1" t="s">
        <v>610</v>
      </c>
      <c r="C1498" s="1" t="s">
        <v>849</v>
      </c>
      <c r="D1498" s="3" t="str">
        <f>?UTF-8?B?Qm9udXMgKyBHYW1lICsgWW91ISDwn6Sp?=</f>
        <v>#ERROR!</v>
      </c>
      <c r="E1498" s="1" t="s">
        <v>1359</v>
      </c>
    </row>
    <row r="1499">
      <c r="A1499" s="2">
        <v>45718.294027777774</v>
      </c>
      <c r="B1499" s="1" t="s">
        <v>1317</v>
      </c>
      <c r="C1499" s="1" t="s">
        <v>849</v>
      </c>
      <c r="D1499" s="1" t="s">
        <v>1360</v>
      </c>
      <c r="E1499" s="1" t="s">
        <v>1361</v>
      </c>
    </row>
    <row r="1500">
      <c r="A1500" s="2">
        <v>45718.72021990741</v>
      </c>
      <c r="B1500" s="1" t="s">
        <v>1362</v>
      </c>
      <c r="C1500" s="1" t="s">
        <v>845</v>
      </c>
      <c r="D1500" s="1" t="s">
        <v>1363</v>
      </c>
      <c r="E1500" s="1" t="s">
        <v>1364</v>
      </c>
    </row>
    <row r="1501">
      <c r="A1501" s="2">
        <v>45719.503275462965</v>
      </c>
      <c r="B1501" s="1" t="s">
        <v>748</v>
      </c>
      <c r="C1501" s="1" t="s">
        <v>6</v>
      </c>
      <c r="D1501" s="1" t="s">
        <v>1365</v>
      </c>
      <c r="E1501" s="1" t="s">
        <v>749</v>
      </c>
    </row>
    <row r="1502">
      <c r="A1502" s="2">
        <v>45719.29315972222</v>
      </c>
      <c r="B1502" s="1" t="s">
        <v>1317</v>
      </c>
      <c r="C1502" s="1" t="s">
        <v>849</v>
      </c>
      <c r="D1502" s="1" t="s">
        <v>1366</v>
      </c>
      <c r="E1502" s="1" t="s">
        <v>1367</v>
      </c>
    </row>
    <row r="1503">
      <c r="A1503" s="2">
        <v>45719.84396990741</v>
      </c>
      <c r="B1503" s="1" t="s">
        <v>857</v>
      </c>
      <c r="C1503" s="1" t="s">
        <v>845</v>
      </c>
      <c r="D1503" s="1" t="s">
        <v>1368</v>
      </c>
      <c r="E1503" s="1" t="s">
        <v>847</v>
      </c>
    </row>
    <row r="1504">
      <c r="A1504" s="2">
        <v>45720.06145833333</v>
      </c>
      <c r="B1504" s="1" t="s">
        <v>857</v>
      </c>
      <c r="C1504" s="1" t="s">
        <v>845</v>
      </c>
      <c r="D1504" s="1" t="s">
        <v>861</v>
      </c>
      <c r="E1504" s="1" t="s">
        <v>847</v>
      </c>
    </row>
    <row r="1505">
      <c r="A1505" s="2">
        <v>45720.29268518519</v>
      </c>
      <c r="B1505" s="1" t="s">
        <v>610</v>
      </c>
      <c r="C1505" s="1" t="s">
        <v>849</v>
      </c>
      <c r="D1505" s="1" t="s">
        <v>1369</v>
      </c>
      <c r="E1505" s="1" t="s">
        <v>1370</v>
      </c>
    </row>
    <row r="1506">
      <c r="A1506" s="2">
        <v>45720.84300925926</v>
      </c>
      <c r="B1506" s="1" t="s">
        <v>857</v>
      </c>
      <c r="C1506" s="1" t="s">
        <v>845</v>
      </c>
      <c r="D1506" s="3" t="str">
        <f>?UTF-8?q?50%_off_your_next_3_orders_-_just_for_you_=F0=9F=91=80?=</f>
        <v>#ERROR!</v>
      </c>
      <c r="E1506" s="1" t="s">
        <v>847</v>
      </c>
    </row>
    <row r="1507">
      <c r="A1507" s="2">
        <v>45720.87540509259</v>
      </c>
      <c r="B1507" s="1" t="s">
        <v>1317</v>
      </c>
      <c r="C1507" s="1" t="s">
        <v>849</v>
      </c>
      <c r="D1507" s="1" t="s">
        <v>1369</v>
      </c>
      <c r="E1507" s="1" t="s">
        <v>1371</v>
      </c>
    </row>
    <row r="1508">
      <c r="A1508" s="2">
        <v>45721.29269675926</v>
      </c>
      <c r="B1508" s="1" t="s">
        <v>610</v>
      </c>
      <c r="C1508" s="1" t="s">
        <v>849</v>
      </c>
      <c r="D1508" s="3" t="str">
        <f>?UTF-8?B?SXMgdGhhdCBhIGJpZ2dlciBib251cyB3ZSBzZWU/IPCfkYA=?=</f>
        <v>#ERROR!</v>
      </c>
      <c r="E1508" s="1" t="s">
        <v>1372</v>
      </c>
    </row>
    <row r="1509">
      <c r="A1509" s="2">
        <v>45721.293171296296</v>
      </c>
      <c r="B1509" s="1" t="s">
        <v>456</v>
      </c>
      <c r="C1509" s="1" t="s">
        <v>672</v>
      </c>
      <c r="D1509" s="1" t="s">
        <v>1373</v>
      </c>
      <c r="E1509" s="1" t="s">
        <v>1374</v>
      </c>
    </row>
    <row r="1510">
      <c r="A1510" s="2">
        <v>45721.57796296296</v>
      </c>
      <c r="B1510" s="1" t="s">
        <v>1375</v>
      </c>
      <c r="C1510" s="1" t="s">
        <v>845</v>
      </c>
      <c r="D1510" s="1" t="s">
        <v>1376</v>
      </c>
      <c r="E1510" s="1" t="s">
        <v>1377</v>
      </c>
    </row>
    <row r="1511">
      <c r="A1511" s="2">
        <v>45721.84278935185</v>
      </c>
      <c r="B1511" s="1" t="s">
        <v>844</v>
      </c>
      <c r="C1511" s="1" t="s">
        <v>845</v>
      </c>
      <c r="D1511" s="1" t="s">
        <v>1378</v>
      </c>
      <c r="E1511" s="1" t="s">
        <v>847</v>
      </c>
    </row>
    <row r="1512">
      <c r="A1512" s="2">
        <v>45721.87538194445</v>
      </c>
      <c r="B1512" s="1" t="s">
        <v>1317</v>
      </c>
      <c r="C1512" s="1" t="s">
        <v>849</v>
      </c>
      <c r="D1512" s="1" t="s">
        <v>1379</v>
      </c>
      <c r="E1512" s="1" t="s">
        <v>1380</v>
      </c>
    </row>
    <row r="1513">
      <c r="A1513" s="2">
        <v>45722.42159722222</v>
      </c>
      <c r="B1513" s="1" t="s">
        <v>748</v>
      </c>
      <c r="C1513" s="1" t="s">
        <v>6</v>
      </c>
      <c r="D1513" s="3" t="str">
        <f>?windows-1252?Q?Your_Subway=AE_MVP_points_will_expire_in_7_days?=</f>
        <v>#ERROR!</v>
      </c>
      <c r="E1513" s="1" t="s">
        <v>749</v>
      </c>
    </row>
    <row r="1514">
      <c r="A1514" s="2">
        <v>45722.292662037034</v>
      </c>
      <c r="B1514" s="1" t="s">
        <v>610</v>
      </c>
      <c r="C1514" s="1" t="s">
        <v>849</v>
      </c>
      <c r="D1514" s="3" t="str">
        <f>?UTF-8?B?V29haCEgWW91IGhhdmUgYSBiaWcgZGVhbOKApg==?=</f>
        <v>#ERROR!</v>
      </c>
      <c r="E1514" s="1" t="s">
        <v>1381</v>
      </c>
    </row>
    <row r="1515">
      <c r="A1515" s="2">
        <v>45722.574849537035</v>
      </c>
      <c r="B1515" s="1" t="s">
        <v>748</v>
      </c>
      <c r="C1515" s="1" t="s">
        <v>6</v>
      </c>
      <c r="D1515" s="3" t="str">
        <f>?windows-1252?Q?6_cookies_for_$3.49=3F_Yesway=AE!?=</f>
        <v>#ERROR!</v>
      </c>
      <c r="E1515" s="1" t="s">
        <v>749</v>
      </c>
    </row>
    <row r="1516">
      <c r="A1516" s="2">
        <v>45722.58369212963</v>
      </c>
      <c r="B1516" s="1" t="s">
        <v>1317</v>
      </c>
      <c r="C1516" s="1" t="s">
        <v>849</v>
      </c>
      <c r="D1516" s="3" t="str">
        <f>?UTF-8?B?U29tZXRoaW5nIHRvIGJyaWdodGVuIHlvdXIgZGF5IfCfkqE=?=</f>
        <v>#ERROR!</v>
      </c>
      <c r="E1516" s="1" t="s">
        <v>1382</v>
      </c>
    </row>
    <row r="1517">
      <c r="A1517" s="2">
        <v>45722.75467592593</v>
      </c>
      <c r="B1517" s="1" t="s">
        <v>1108</v>
      </c>
      <c r="C1517" s="1" t="s">
        <v>849</v>
      </c>
      <c r="D1517" s="3" t="str">
        <f>?utf-8?B?Q2xpbWIgdXAgdGhlIHJhbmtzIHdpdGggU2Ftc3VuZyBPZHlzcw==?=
 =?utf-8?B?ZXkgR2FtaW5nIE1vbml0b3JzIPCfjq4=?=</f>
        <v>#ERROR!</v>
      </c>
      <c r="E1517" s="1" t="s">
        <v>1383</v>
      </c>
    </row>
    <row r="1518">
      <c r="A1518" s="2">
        <v>45723.29273148148</v>
      </c>
      <c r="B1518" s="1" t="s">
        <v>610</v>
      </c>
      <c r="C1518" s="1" t="s">
        <v>849</v>
      </c>
      <c r="D1518" s="3" t="str">
        <f>?UTF-8?B?RnVuIHVwIHdpdGggeW91ciBNZWdhIERlYWwg8J+YiQ==?=</f>
        <v>#ERROR!</v>
      </c>
      <c r="E1518" s="1" t="s">
        <v>1384</v>
      </c>
    </row>
    <row r="1519">
      <c r="A1519" s="2">
        <v>45723.500451388885</v>
      </c>
      <c r="B1519" s="1" t="s">
        <v>1317</v>
      </c>
      <c r="C1519" s="1" t="s">
        <v>849</v>
      </c>
      <c r="D1519" s="3" t="str">
        <f>?UTF-8?B?WW91ciBzbWlsZSBvZiBhIGJvbnVzISDwn5iK?=</f>
        <v>#ERROR!</v>
      </c>
      <c r="E1519" s="1" t="s">
        <v>1385</v>
      </c>
    </row>
    <row r="1520">
      <c r="A1520" s="2">
        <v>45723.822430555556</v>
      </c>
      <c r="B1520" s="1" t="s">
        <v>1229</v>
      </c>
      <c r="C1520" s="1" t="s">
        <v>845</v>
      </c>
      <c r="D1520" s="1" t="s">
        <v>1386</v>
      </c>
      <c r="E1520" s="1" t="s">
        <v>1387</v>
      </c>
    </row>
    <row r="1521">
      <c r="A1521" s="2">
        <v>45724.292592592596</v>
      </c>
      <c r="B1521" s="1" t="s">
        <v>610</v>
      </c>
      <c r="C1521" s="1" t="s">
        <v>849</v>
      </c>
      <c r="D1521" s="3" t="str">
        <f>?UTF-8?B?QWxsIPCfkYAgb24geW91ciBiaWcgYm9udXMh?=</f>
        <v>#ERROR!</v>
      </c>
      <c r="E1521" s="1" t="s">
        <v>1388</v>
      </c>
    </row>
    <row r="1522">
      <c r="A1522" s="2">
        <v>45724.29267361111</v>
      </c>
      <c r="B1522" s="1" t="s">
        <v>1317</v>
      </c>
      <c r="C1522" s="1" t="s">
        <v>849</v>
      </c>
      <c r="D1522" s="1" t="s">
        <v>1389</v>
      </c>
      <c r="E1522" s="1" t="s">
        <v>1390</v>
      </c>
    </row>
    <row r="1523">
      <c r="A1523" s="2">
        <v>45724.83587962963</v>
      </c>
      <c r="B1523" s="1" t="s">
        <v>844</v>
      </c>
      <c r="C1523" s="1" t="s">
        <v>845</v>
      </c>
      <c r="D1523" s="1" t="s">
        <v>1391</v>
      </c>
      <c r="E1523" s="1" t="s">
        <v>847</v>
      </c>
    </row>
    <row r="1524">
      <c r="A1524" s="2">
        <v>45725.292766203704</v>
      </c>
      <c r="B1524" s="1" t="s">
        <v>610</v>
      </c>
      <c r="C1524" s="1" t="s">
        <v>849</v>
      </c>
      <c r="D1524" s="3" t="str">
        <f>?UTF-8?B?WW91ciBkZWFsJ3MgZ29uZSBtZWdhISDwn6Sp?=</f>
        <v>#ERROR!</v>
      </c>
      <c r="E1524" s="1" t="s">
        <v>1392</v>
      </c>
    </row>
    <row r="1525">
      <c r="A1525" s="2">
        <v>45725.375289351854</v>
      </c>
      <c r="B1525" s="1" t="s">
        <v>1317</v>
      </c>
      <c r="C1525" s="1" t="s">
        <v>849</v>
      </c>
      <c r="D1525" s="3" t="str">
        <f>?UTF-8?B?T3BlbiB1cCBmb3IgdG9kYXkncyBzdXJwcmlzZSHwn46B?=</f>
        <v>#ERROR!</v>
      </c>
      <c r="E1525" s="1" t="s">
        <v>1393</v>
      </c>
    </row>
    <row r="1526">
      <c r="A1526" s="2">
        <v>45725.578252314815</v>
      </c>
      <c r="B1526" s="1" t="s">
        <v>1375</v>
      </c>
      <c r="C1526" s="1" t="s">
        <v>845</v>
      </c>
      <c r="D1526" s="1" t="s">
        <v>1394</v>
      </c>
      <c r="E1526" s="1" t="s">
        <v>1395</v>
      </c>
    </row>
    <row r="1527">
      <c r="A1527" s="2">
        <v>45725.81570601852</v>
      </c>
      <c r="B1527" s="1" t="s">
        <v>844</v>
      </c>
      <c r="C1527" s="1" t="s">
        <v>845</v>
      </c>
      <c r="D1527" s="3" t="str">
        <f>?UTF-8?q?Tempted_by_something_tasty=3F_=F0=9F=91=80?=</f>
        <v>#ERROR!</v>
      </c>
      <c r="E1527" s="1" t="s">
        <v>847</v>
      </c>
    </row>
    <row r="1528">
      <c r="A1528" s="2">
        <v>45726.29230324074</v>
      </c>
      <c r="B1528" s="1" t="s">
        <v>1317</v>
      </c>
      <c r="C1528" s="1" t="s">
        <v>849</v>
      </c>
      <c r="D1528" s="1" t="s">
        <v>1396</v>
      </c>
      <c r="E1528" s="1" t="s">
        <v>1397</v>
      </c>
    </row>
    <row r="1529">
      <c r="A1529" s="2">
        <v>45726.292708333334</v>
      </c>
      <c r="B1529" s="1" t="s">
        <v>610</v>
      </c>
      <c r="C1529" s="1" t="s">
        <v>849</v>
      </c>
      <c r="D1529" s="3" t="str">
        <f>?UTF-8?B?V2hlbiBpdOKAmXMgYmlnZ2VyLCBpdOKAmXMgYmV0dGVyIQ==?=</f>
        <v>#ERROR!</v>
      </c>
      <c r="E1529" s="1" t="s">
        <v>1398</v>
      </c>
    </row>
    <row r="1530">
      <c r="A1530" s="2">
        <v>45727.50052083333</v>
      </c>
      <c r="B1530" s="1" t="s">
        <v>748</v>
      </c>
      <c r="C1530" s="1" t="s">
        <v>6</v>
      </c>
      <c r="D1530" s="1" t="s">
        <v>1399</v>
      </c>
      <c r="E1530" s="1" t="s">
        <v>749</v>
      </c>
    </row>
    <row r="1531">
      <c r="A1531" s="2">
        <v>45727.29273148148</v>
      </c>
      <c r="B1531" s="1" t="s">
        <v>1317</v>
      </c>
      <c r="C1531" s="1" t="s">
        <v>849</v>
      </c>
      <c r="D1531" s="1" t="s">
        <v>1400</v>
      </c>
      <c r="E1531" s="1" t="s">
        <v>1401</v>
      </c>
    </row>
    <row r="1532">
      <c r="A1532" s="2">
        <v>45727.29282407407</v>
      </c>
      <c r="B1532" s="1" t="s">
        <v>610</v>
      </c>
      <c r="C1532" s="1" t="s">
        <v>849</v>
      </c>
      <c r="D1532" s="3" t="str">
        <f>?UTF-8?B?WW91ciBkZWFs4oCZcyBsYXJnZSwgaW4gY2hhcmdlIQ==?=</f>
        <v>#ERROR!</v>
      </c>
      <c r="E1532" s="1" t="s">
        <v>1402</v>
      </c>
    </row>
    <row r="1533">
      <c r="A1533" s="2">
        <v>45728.79945601852</v>
      </c>
      <c r="B1533" s="1" t="s">
        <v>844</v>
      </c>
      <c r="C1533" s="1" t="s">
        <v>845</v>
      </c>
      <c r="D1533" s="1" t="s">
        <v>1403</v>
      </c>
      <c r="E1533" s="1" t="s">
        <v>847</v>
      </c>
    </row>
    <row r="1534">
      <c r="A1534" s="2">
        <v>45729.29219907407</v>
      </c>
      <c r="B1534" s="1" t="s">
        <v>1317</v>
      </c>
      <c r="C1534" s="1" t="s">
        <v>849</v>
      </c>
      <c r="D1534" s="1" t="s">
        <v>1404</v>
      </c>
      <c r="E1534" s="1" t="s">
        <v>1405</v>
      </c>
    </row>
    <row r="1535">
      <c r="A1535" s="2">
        <v>45729.29269675926</v>
      </c>
      <c r="B1535" s="1" t="s">
        <v>610</v>
      </c>
      <c r="C1535" s="1" t="s">
        <v>849</v>
      </c>
      <c r="D1535" s="3" t="str">
        <f>?UTF-8?B?SGVsbG8sIGl04oCZcyB5b3VyIE1lZ2EgRGVhbA==?=</f>
        <v>#ERROR!</v>
      </c>
      <c r="E1535" s="1" t="s">
        <v>1406</v>
      </c>
    </row>
    <row r="1536">
      <c r="A1536" s="2">
        <v>45729.66039351852</v>
      </c>
      <c r="B1536" s="1" t="s">
        <v>857</v>
      </c>
      <c r="C1536" s="1" t="s">
        <v>845</v>
      </c>
      <c r="D1536" s="3" t="str">
        <f>?UTF-8?q?Fuel_for_the_game_at_30%_off_=F0=9F=8F=80?=</f>
        <v>#ERROR!</v>
      </c>
      <c r="E1536" s="1" t="s">
        <v>847</v>
      </c>
    </row>
    <row r="1537">
      <c r="A1537" s="2">
        <v>45729.7481712963</v>
      </c>
      <c r="B1537" s="1" t="s">
        <v>222</v>
      </c>
      <c r="C1537" s="1" t="s">
        <v>14</v>
      </c>
      <c r="D1537" s="1" t="s">
        <v>1407</v>
      </c>
      <c r="E1537" s="1" t="s">
        <v>1408</v>
      </c>
    </row>
    <row r="1538">
      <c r="A1538" s="2">
        <v>45730.29263888889</v>
      </c>
      <c r="B1538" s="1" t="s">
        <v>610</v>
      </c>
      <c r="C1538" s="1" t="s">
        <v>849</v>
      </c>
      <c r="D1538" s="3" t="str">
        <f>?UTF-8?B?SXQncyB5b3VyIE1lZ2EgRGVhbCBsaWZ0LW9mZiDwn5qA?=</f>
        <v>#ERROR!</v>
      </c>
      <c r="E1538" s="1" t="s">
        <v>1409</v>
      </c>
    </row>
    <row r="1539">
      <c r="A1539" s="2">
        <v>45730.55055555556</v>
      </c>
      <c r="B1539" s="1" t="s">
        <v>748</v>
      </c>
      <c r="C1539" s="1" t="s">
        <v>6</v>
      </c>
      <c r="D1539" s="1" t="s">
        <v>1410</v>
      </c>
      <c r="E1539" s="1" t="s">
        <v>749</v>
      </c>
    </row>
    <row r="1540">
      <c r="A1540" s="2">
        <v>45730.57732638889</v>
      </c>
      <c r="B1540" s="1" t="s">
        <v>857</v>
      </c>
      <c r="C1540" s="1" t="s">
        <v>845</v>
      </c>
      <c r="D1540" s="1" t="s">
        <v>1411</v>
      </c>
      <c r="E1540" s="1" t="s">
        <v>847</v>
      </c>
    </row>
    <row r="1541">
      <c r="A1541" s="2">
        <v>45730.7924537037</v>
      </c>
      <c r="B1541" s="1" t="s">
        <v>1317</v>
      </c>
      <c r="C1541" s="1" t="s">
        <v>849</v>
      </c>
      <c r="D1541" s="1" t="s">
        <v>1412</v>
      </c>
      <c r="E1541" s="1" t="s">
        <v>1413</v>
      </c>
    </row>
    <row r="1542">
      <c r="A1542" s="2">
        <v>45731.29267361111</v>
      </c>
      <c r="B1542" s="1" t="s">
        <v>610</v>
      </c>
      <c r="C1542" s="1" t="s">
        <v>849</v>
      </c>
      <c r="D1542" s="1" t="s">
        <v>1414</v>
      </c>
      <c r="E1542" s="1" t="s">
        <v>1415</v>
      </c>
    </row>
    <row r="1543">
      <c r="A1543" s="2">
        <v>45731.750439814816</v>
      </c>
      <c r="B1543" s="1" t="s">
        <v>1317</v>
      </c>
      <c r="C1543" s="1" t="s">
        <v>849</v>
      </c>
      <c r="D1543" s="1" t="s">
        <v>1416</v>
      </c>
      <c r="E1543" s="1" t="s">
        <v>1417</v>
      </c>
    </row>
    <row r="1544">
      <c r="A1544" s="2">
        <v>45732.29277777778</v>
      </c>
      <c r="B1544" s="1" t="s">
        <v>610</v>
      </c>
      <c r="C1544" s="1" t="s">
        <v>849</v>
      </c>
      <c r="D1544" s="3" t="str">
        <f>?UTF-8?B?Rmx5bm7igJlzIGhpZGluZyBzcGlucyDigJMgbGV04oCZcyBmaW5k?=
 =?UTF-8?B?IGhpbSEg8J+NgA==?=</f>
        <v>#ERROR!</v>
      </c>
      <c r="E1544" s="1" t="s">
        <v>1418</v>
      </c>
    </row>
    <row r="1545">
      <c r="A1545" s="2">
        <v>45732.29346064815</v>
      </c>
      <c r="B1545" s="1" t="s">
        <v>1317</v>
      </c>
      <c r="C1545" s="1" t="s">
        <v>849</v>
      </c>
      <c r="D1545" s="3" t="str">
        <f>?UTF-8?B?Rmx5bm7igJlzIGhpZGluZyBzcGlucyDigJMgbGV04oCZcyBmaW5k?=
 =?UTF-8?B?IGhpbSEg8J+NgA==?=</f>
        <v>#ERROR!</v>
      </c>
      <c r="E1545" s="1" t="s">
        <v>1419</v>
      </c>
    </row>
    <row r="1546">
      <c r="A1546" s="2">
        <v>45732.762511574074</v>
      </c>
      <c r="B1546" s="1" t="s">
        <v>844</v>
      </c>
      <c r="C1546" s="1" t="s">
        <v>845</v>
      </c>
      <c r="D1546" s="1" t="s">
        <v>1420</v>
      </c>
      <c r="E1546" s="1" t="s">
        <v>847</v>
      </c>
    </row>
    <row r="1547">
      <c r="A1547" s="2">
        <v>45733.46162037037</v>
      </c>
      <c r="B1547" s="1" t="s">
        <v>857</v>
      </c>
      <c r="C1547" s="1" t="s">
        <v>845</v>
      </c>
      <c r="D1547" s="1" t="s">
        <v>1421</v>
      </c>
      <c r="E1547" s="1" t="s">
        <v>847</v>
      </c>
    </row>
    <row r="1548">
      <c r="A1548" s="2">
        <v>45733.292766203704</v>
      </c>
      <c r="B1548" s="1" t="s">
        <v>610</v>
      </c>
      <c r="C1548" s="1" t="s">
        <v>849</v>
      </c>
      <c r="D1548" s="1" t="s">
        <v>1422</v>
      </c>
      <c r="E1548" s="1" t="s">
        <v>1423</v>
      </c>
    </row>
    <row r="1549">
      <c r="A1549" s="2">
        <v>45733.334444444445</v>
      </c>
      <c r="B1549" s="1" t="s">
        <v>1317</v>
      </c>
      <c r="C1549" s="1" t="s">
        <v>849</v>
      </c>
      <c r="D1549" s="1" t="s">
        <v>1356</v>
      </c>
      <c r="E1549" s="1" t="s">
        <v>1424</v>
      </c>
    </row>
    <row r="1550">
      <c r="A1550" s="2">
        <v>45733.6877662037</v>
      </c>
      <c r="B1550" s="1" t="s">
        <v>844</v>
      </c>
      <c r="C1550" s="1" t="s">
        <v>845</v>
      </c>
      <c r="D1550" s="1" t="s">
        <v>1425</v>
      </c>
      <c r="E1550" s="1" t="s">
        <v>847</v>
      </c>
    </row>
    <row r="1551">
      <c r="A1551" s="2">
        <v>45733.784479166665</v>
      </c>
      <c r="B1551" s="1" t="s">
        <v>1108</v>
      </c>
      <c r="C1551" s="1" t="s">
        <v>849</v>
      </c>
      <c r="D1551" s="1" t="s">
        <v>1426</v>
      </c>
      <c r="E1551" s="1" t="s">
        <v>1383</v>
      </c>
    </row>
    <row r="1552">
      <c r="A1552" s="2">
        <v>45734.50304398148</v>
      </c>
      <c r="B1552" s="1" t="s">
        <v>748</v>
      </c>
      <c r="C1552" s="1" t="s">
        <v>6</v>
      </c>
      <c r="D1552" s="1" t="s">
        <v>1427</v>
      </c>
      <c r="E1552" s="1" t="s">
        <v>749</v>
      </c>
    </row>
    <row r="1553">
      <c r="A1553" s="2">
        <v>45734.29269675926</v>
      </c>
      <c r="B1553" s="1" t="s">
        <v>1317</v>
      </c>
      <c r="C1553" s="1" t="s">
        <v>849</v>
      </c>
      <c r="D1553" s="3" t="str">
        <f>?UTF-8?B?RG9u4oCZdCBqdXN0IGRyZWFtIGl0LiBEZWFsIGl0IQ==?=</f>
        <v>#ERROR!</v>
      </c>
      <c r="E1553" s="1" t="s">
        <v>1428</v>
      </c>
    </row>
    <row r="1554">
      <c r="A1554" s="2">
        <v>45734.68623842593</v>
      </c>
      <c r="B1554" s="1" t="s">
        <v>723</v>
      </c>
      <c r="C1554" s="1" t="s">
        <v>724</v>
      </c>
      <c r="D1554" s="1" t="s">
        <v>1429</v>
      </c>
      <c r="E1554" s="1" t="s">
        <v>1430</v>
      </c>
    </row>
    <row r="1555">
      <c r="A1555" s="2">
        <v>45734.915625</v>
      </c>
      <c r="B1555" s="1" t="s">
        <v>860</v>
      </c>
      <c r="C1555" s="1" t="s">
        <v>849</v>
      </c>
      <c r="D1555" s="3" t="str">
        <f>?utf-8?q?50%_off_your_next_3_orders_-_just_for_you_=F0=9F=91=80?=</f>
        <v>#ERROR!</v>
      </c>
      <c r="E1555" s="1" t="s">
        <v>851</v>
      </c>
    </row>
    <row r="1556">
      <c r="A1556" s="2">
        <v>45735.46587962963</v>
      </c>
      <c r="B1556" s="1" t="s">
        <v>860</v>
      </c>
      <c r="C1556" s="1" t="s">
        <v>849</v>
      </c>
      <c r="D1556" s="1" t="s">
        <v>861</v>
      </c>
      <c r="E1556" s="1" t="s">
        <v>851</v>
      </c>
    </row>
    <row r="1557">
      <c r="A1557" s="2">
        <v>45735.23068287037</v>
      </c>
      <c r="B1557" s="1" t="s">
        <v>456</v>
      </c>
      <c r="C1557" s="1" t="s">
        <v>672</v>
      </c>
      <c r="D1557" s="1" t="s">
        <v>1431</v>
      </c>
      <c r="E1557" s="1" t="s">
        <v>1432</v>
      </c>
    </row>
    <row r="1558">
      <c r="A1558" s="2">
        <v>45735.29269675926</v>
      </c>
      <c r="B1558" s="1" t="s">
        <v>1317</v>
      </c>
      <c r="C1558" s="1" t="s">
        <v>849</v>
      </c>
      <c r="D1558" s="3" t="str">
        <f>?UTF-8?B?WW914oCZcmUgYWJvdXQgdG8gYmUgYm9udXMtc3RydWNrIQ==?=</f>
        <v>#ERROR!</v>
      </c>
      <c r="E1558" s="1" t="s">
        <v>1433</v>
      </c>
    </row>
    <row r="1559">
      <c r="A1559" s="2">
        <v>45735.70724537037</v>
      </c>
      <c r="B1559" s="1" t="s">
        <v>222</v>
      </c>
      <c r="C1559" s="1" t="s">
        <v>14</v>
      </c>
      <c r="D1559" s="1" t="s">
        <v>1434</v>
      </c>
      <c r="E1559" s="1" t="s">
        <v>1435</v>
      </c>
    </row>
    <row r="1560">
      <c r="A1560" s="2">
        <v>45735.82643518518</v>
      </c>
      <c r="B1560" s="1" t="s">
        <v>1436</v>
      </c>
      <c r="C1560" s="1" t="s">
        <v>845</v>
      </c>
      <c r="D1560" s="1" t="s">
        <v>1437</v>
      </c>
      <c r="E1560" s="1" t="s">
        <v>1438</v>
      </c>
    </row>
    <row r="1561">
      <c r="A1561" s="2">
        <v>45735.86546296296</v>
      </c>
      <c r="B1561" s="1" t="s">
        <v>1229</v>
      </c>
      <c r="C1561" s="1" t="s">
        <v>845</v>
      </c>
      <c r="D1561" s="1" t="s">
        <v>1439</v>
      </c>
      <c r="E1561" s="1" t="s">
        <v>1440</v>
      </c>
    </row>
    <row r="1562">
      <c r="A1562" s="2">
        <v>45736.50125</v>
      </c>
      <c r="B1562" s="1" t="s">
        <v>748</v>
      </c>
      <c r="C1562" s="1" t="s">
        <v>6</v>
      </c>
      <c r="D1562" s="1" t="s">
        <v>1441</v>
      </c>
      <c r="E1562" s="1" t="s">
        <v>749</v>
      </c>
    </row>
    <row r="1563">
      <c r="A1563" s="2">
        <v>45736.29369212963</v>
      </c>
      <c r="B1563" s="1" t="s">
        <v>1317</v>
      </c>
      <c r="C1563" s="1" t="s">
        <v>849</v>
      </c>
      <c r="D1563" s="1" t="s">
        <v>1442</v>
      </c>
      <c r="E1563" s="1" t="s">
        <v>1443</v>
      </c>
    </row>
    <row r="1564">
      <c r="A1564" s="2">
        <v>45736.54898148148</v>
      </c>
      <c r="B1564" s="1" t="s">
        <v>1015</v>
      </c>
      <c r="C1564" s="1" t="s">
        <v>845</v>
      </c>
      <c r="D1564" s="1" t="s">
        <v>1328</v>
      </c>
      <c r="E1564" s="1" t="s">
        <v>847</v>
      </c>
    </row>
    <row r="1565">
      <c r="A1565" s="2">
        <v>45736.777708333335</v>
      </c>
      <c r="B1565" s="1" t="s">
        <v>848</v>
      </c>
      <c r="C1565" s="1" t="s">
        <v>849</v>
      </c>
      <c r="D1565" s="3" t="str">
        <f>?utf-8?q?Your_deals_are_just_a_few_taps_away_=F0=9F=93=B1?=</f>
        <v>#ERROR!</v>
      </c>
      <c r="E1565" s="1" t="s">
        <v>851</v>
      </c>
    </row>
    <row r="1566">
      <c r="A1566" s="2">
        <v>45736.72277777778</v>
      </c>
      <c r="B1566" s="1" t="s">
        <v>1108</v>
      </c>
      <c r="C1566" s="1" t="s">
        <v>849</v>
      </c>
      <c r="D1566" s="1" t="s">
        <v>1444</v>
      </c>
      <c r="E1566" s="1" t="s">
        <v>1383</v>
      </c>
    </row>
    <row r="1567">
      <c r="A1567" s="2">
        <v>45737.294016203705</v>
      </c>
      <c r="B1567" s="1" t="s">
        <v>1317</v>
      </c>
      <c r="C1567" s="1" t="s">
        <v>849</v>
      </c>
      <c r="D1567" s="3" t="str">
        <f>?UTF-8?B?U3VuLCBzYW5kLCBhbmQgdGhlIHBlcmZlY3QgY29tZWJhY2sgZGVh?=
 =?UTF-8?B?bCwgVG9ueSEg8J+Yiw==?=</f>
        <v>#ERROR!</v>
      </c>
      <c r="E1567" s="1" t="s">
        <v>1445</v>
      </c>
    </row>
    <row r="1568">
      <c r="A1568" s="2">
        <v>45737.57971064815</v>
      </c>
      <c r="B1568" s="1" t="s">
        <v>857</v>
      </c>
      <c r="C1568" s="1" t="s">
        <v>845</v>
      </c>
      <c r="D1568" s="1" t="s">
        <v>1411</v>
      </c>
      <c r="E1568" s="1" t="s">
        <v>847</v>
      </c>
    </row>
    <row r="1569">
      <c r="A1569" s="2">
        <v>45737.69712962963</v>
      </c>
      <c r="B1569" s="1" t="s">
        <v>1108</v>
      </c>
      <c r="C1569" s="1" t="s">
        <v>849</v>
      </c>
      <c r="D1569" s="3" t="str">
        <f>?windows-1252?Q?Discover_Samsung=92s_latest_devices_and_more?=</f>
        <v>#ERROR!</v>
      </c>
      <c r="E1569" s="1" t="s">
        <v>1446</v>
      </c>
    </row>
    <row r="1570">
      <c r="A1570" s="2">
        <v>45738.293333333335</v>
      </c>
      <c r="B1570" s="1" t="s">
        <v>1317</v>
      </c>
      <c r="C1570" s="1" t="s">
        <v>849</v>
      </c>
      <c r="D1570" s="3" t="str">
        <f>?UTF-8?B?V2hldCB5b3VyIGVudGVydGFpbm1lbnQgYXBwZXRpdGUsIFRvbnkg?=
 =?UTF-8?B?8J+Spg==?=</f>
        <v>#ERROR!</v>
      </c>
      <c r="E1570" s="1" t="s">
        <v>1447</v>
      </c>
    </row>
    <row r="1571">
      <c r="A1571" s="2">
        <v>45739.40398148148</v>
      </c>
      <c r="B1571" s="1" t="s">
        <v>1448</v>
      </c>
      <c r="C1571" s="1" t="s">
        <v>849</v>
      </c>
      <c r="D1571" s="1" t="s">
        <v>1449</v>
      </c>
      <c r="E1571" s="1" t="s">
        <v>1450</v>
      </c>
    </row>
    <row r="1572">
      <c r="A1572" s="2">
        <v>45739.293171296296</v>
      </c>
      <c r="B1572" s="1" t="s">
        <v>1317</v>
      </c>
      <c r="C1572" s="1" t="s">
        <v>849</v>
      </c>
      <c r="D1572" s="3" t="str">
        <f>?UTF-8?B?VHVybiB1cCB0aGUgZnVuIGZhY3RvciwgVG9ueSDwn46w?=</f>
        <v>#ERROR!</v>
      </c>
      <c r="E1572" s="1" t="s">
        <v>1451</v>
      </c>
    </row>
    <row r="1573">
      <c r="A1573" s="2">
        <v>45740.45347222222</v>
      </c>
      <c r="B1573" s="1" t="s">
        <v>857</v>
      </c>
      <c r="C1573" s="1" t="s">
        <v>845</v>
      </c>
      <c r="D1573" s="1" t="s">
        <v>1421</v>
      </c>
      <c r="E1573" s="1" t="s">
        <v>847</v>
      </c>
    </row>
    <row r="1574">
      <c r="A1574" s="2">
        <v>45740.293587962966</v>
      </c>
      <c r="B1574" s="1" t="s">
        <v>1317</v>
      </c>
      <c r="C1574" s="1" t="s">
        <v>849</v>
      </c>
      <c r="D1574" s="3" t="str">
        <f>?UTF-8?B?TWFrZSB5b3VyIGNvbWViYWNrIHN3ZWV0ZXIsIFRvbnkhIPCfmIs=?=</f>
        <v>#ERROR!</v>
      </c>
      <c r="E1574" s="1" t="s">
        <v>1452</v>
      </c>
    </row>
    <row r="1575">
      <c r="A1575" s="2">
        <v>45740.794895833336</v>
      </c>
      <c r="B1575" s="1" t="s">
        <v>844</v>
      </c>
      <c r="C1575" s="1" t="s">
        <v>845</v>
      </c>
      <c r="D1575" s="1" t="s">
        <v>1420</v>
      </c>
      <c r="E1575" s="1" t="s">
        <v>847</v>
      </c>
    </row>
    <row r="1576">
      <c r="A1576" s="2">
        <v>45741.443240740744</v>
      </c>
      <c r="B1576" s="1" t="s">
        <v>857</v>
      </c>
      <c r="C1576" s="1" t="s">
        <v>845</v>
      </c>
      <c r="D1576" s="1" t="s">
        <v>858</v>
      </c>
      <c r="E1576" s="1" t="s">
        <v>847</v>
      </c>
    </row>
    <row r="1577">
      <c r="A1577" s="2">
        <v>45741.29355324074</v>
      </c>
      <c r="B1577" s="1" t="s">
        <v>1317</v>
      </c>
      <c r="C1577" s="1" t="s">
        <v>849</v>
      </c>
      <c r="D1577" s="1" t="s">
        <v>1453</v>
      </c>
      <c r="E1577" s="1" t="s">
        <v>1454</v>
      </c>
    </row>
    <row r="1578">
      <c r="A1578" s="2">
        <v>45741.5890162037</v>
      </c>
      <c r="B1578" s="1" t="s">
        <v>222</v>
      </c>
      <c r="C1578" s="1" t="s">
        <v>14</v>
      </c>
      <c r="D1578" s="1" t="s">
        <v>1455</v>
      </c>
      <c r="E1578" s="1" t="s">
        <v>1456</v>
      </c>
    </row>
    <row r="1579">
      <c r="A1579" s="2">
        <v>45741.607256944444</v>
      </c>
      <c r="B1579" s="1" t="s">
        <v>1457</v>
      </c>
      <c r="C1579" s="1" t="s">
        <v>920</v>
      </c>
      <c r="D1579" s="1" t="s">
        <v>1458</v>
      </c>
      <c r="E1579" s="1" t="s">
        <v>1459</v>
      </c>
    </row>
    <row r="1580">
      <c r="A1580" s="2">
        <v>45741.662824074076</v>
      </c>
      <c r="B1580" s="1" t="s">
        <v>857</v>
      </c>
      <c r="C1580" s="1" t="s">
        <v>845</v>
      </c>
      <c r="D1580" s="1" t="s">
        <v>861</v>
      </c>
      <c r="E1580" s="1" t="s">
        <v>847</v>
      </c>
    </row>
    <row r="1581">
      <c r="A1581" s="2">
        <v>45741.68578703704</v>
      </c>
      <c r="B1581" s="1" t="s">
        <v>723</v>
      </c>
      <c r="C1581" s="1" t="s">
        <v>724</v>
      </c>
      <c r="D1581" s="1" t="s">
        <v>1460</v>
      </c>
      <c r="E1581" s="1" t="s">
        <v>1461</v>
      </c>
    </row>
    <row r="1582">
      <c r="A1582" s="2">
        <v>45741.69337962963</v>
      </c>
      <c r="B1582" s="1" t="s">
        <v>1108</v>
      </c>
      <c r="C1582" s="1" t="s">
        <v>849</v>
      </c>
      <c r="D1582" s="3" t="str">
        <f>?windows-1252?Q?K=2C_it=92s_your_last_chance_to_sign_up_for_a_$10?=
 =?windows-1252?Q?0_e-voucher.?=</f>
        <v>#ERROR!</v>
      </c>
      <c r="E1582" s="1" t="s">
        <v>1383</v>
      </c>
    </row>
    <row r="1583">
      <c r="A1583" s="2">
        <v>45742.05056712963</v>
      </c>
      <c r="B1583" s="1" t="s">
        <v>1462</v>
      </c>
      <c r="C1583" s="1" t="s">
        <v>724</v>
      </c>
      <c r="D1583" s="3" t="str">
        <f>?utf-8?B?QmFieSB0b3lzIHRoYXQgYnVpbGQgYnJhaW5zIPCfp6A=?=</f>
        <v>#ERROR!</v>
      </c>
      <c r="E1583" s="1" t="s">
        <v>1463</v>
      </c>
    </row>
    <row r="1584">
      <c r="A1584" s="2">
        <v>45742.54357638889</v>
      </c>
      <c r="B1584" s="1" t="s">
        <v>844</v>
      </c>
      <c r="C1584" s="1" t="s">
        <v>845</v>
      </c>
      <c r="D1584" s="1" t="s">
        <v>1464</v>
      </c>
      <c r="E1584" s="1" t="s">
        <v>847</v>
      </c>
    </row>
    <row r="1585">
      <c r="A1585" s="2">
        <v>45742.29387731481</v>
      </c>
      <c r="B1585" s="1" t="s">
        <v>1317</v>
      </c>
      <c r="C1585" s="1" t="s">
        <v>849</v>
      </c>
      <c r="D1585" s="3" t="str">
        <f>?UTF-8?B?TGlnaHRzIHNoaW5lIGJyaWdodCBmb3IgeW91ciByZXR1cm4sIFRv?=
 =?UTF-8?B?bnkg8J+MoA==?=</f>
        <v>#ERROR!</v>
      </c>
      <c r="E1585" s="1" t="s">
        <v>1465</v>
      </c>
    </row>
    <row r="1586">
      <c r="A1586" s="2">
        <v>45743.293645833335</v>
      </c>
      <c r="B1586" s="1" t="s">
        <v>1317</v>
      </c>
      <c r="C1586" s="1" t="s">
        <v>849</v>
      </c>
      <c r="D1586" s="3" t="str">
        <f>?UTF-8?B?TGV0J3MgdGFrZSB0aGluZ3MgdXAgYSBub3RjaCwgVG9ueSEg?=
 =?UTF-8?B?8J+Sgw==?=</f>
        <v>#ERROR!</v>
      </c>
      <c r="E1586" s="1" t="s">
        <v>1466</v>
      </c>
    </row>
    <row r="1587">
      <c r="A1587" s="2">
        <v>45743.55134259259</v>
      </c>
      <c r="B1587" s="1" t="s">
        <v>748</v>
      </c>
      <c r="C1587" s="1" t="s">
        <v>6</v>
      </c>
      <c r="D1587" s="1" t="s">
        <v>1467</v>
      </c>
      <c r="E1587" s="1" t="s">
        <v>749</v>
      </c>
    </row>
    <row r="1588">
      <c r="A1588" s="2">
        <v>45744.29282407407</v>
      </c>
      <c r="B1588" s="1" t="s">
        <v>1317</v>
      </c>
      <c r="C1588" s="1" t="s">
        <v>849</v>
      </c>
      <c r="D1588" s="1" t="s">
        <v>1468</v>
      </c>
      <c r="E1588" s="1" t="s">
        <v>1469</v>
      </c>
    </row>
    <row r="1589">
      <c r="A1589" s="2">
        <v>45744.70489583333</v>
      </c>
      <c r="B1589" s="1" t="s">
        <v>857</v>
      </c>
      <c r="C1589" s="1" t="s">
        <v>845</v>
      </c>
      <c r="D1589" s="1" t="s">
        <v>1411</v>
      </c>
      <c r="E1589" s="1" t="s">
        <v>847</v>
      </c>
    </row>
    <row r="1590">
      <c r="A1590" s="2">
        <v>45744.899201388886</v>
      </c>
      <c r="B1590" s="1" t="s">
        <v>844</v>
      </c>
      <c r="C1590" s="1" t="s">
        <v>845</v>
      </c>
      <c r="D1590" s="1" t="s">
        <v>1470</v>
      </c>
      <c r="E1590" s="1" t="s">
        <v>847</v>
      </c>
    </row>
    <row r="1591">
      <c r="A1591" s="2">
        <v>45745.293391203704</v>
      </c>
      <c r="B1591" s="1" t="s">
        <v>1317</v>
      </c>
      <c r="C1591" s="1" t="s">
        <v>849</v>
      </c>
      <c r="D1591" s="1" t="s">
        <v>1471</v>
      </c>
      <c r="E1591" s="1" t="s">
        <v>1472</v>
      </c>
    </row>
    <row r="1592">
      <c r="A1592" s="2">
        <v>45746.29299768519</v>
      </c>
      <c r="B1592" s="1" t="s">
        <v>1317</v>
      </c>
      <c r="C1592" s="1" t="s">
        <v>849</v>
      </c>
      <c r="D1592" s="3" t="str">
        <f>?UTF-8?B?SXQncyBub3QgdGhlIHNhbWUgd2l0aG91dCB5b3UsIFRvbnkhIA==?=
 =?UTF-8?B?4pi5?=</f>
        <v>#ERROR!</v>
      </c>
      <c r="E1592" s="1" t="s">
        <v>1473</v>
      </c>
    </row>
    <row r="1593">
      <c r="A1593" s="2">
        <v>45747.45290509259</v>
      </c>
      <c r="B1593" s="1" t="s">
        <v>857</v>
      </c>
      <c r="C1593" s="1" t="s">
        <v>845</v>
      </c>
      <c r="D1593" s="1" t="s">
        <v>1421</v>
      </c>
      <c r="E1593" s="1" t="s">
        <v>847</v>
      </c>
    </row>
    <row r="1594">
      <c r="A1594" s="2">
        <v>45747.29324074074</v>
      </c>
      <c r="B1594" s="1" t="s">
        <v>1317</v>
      </c>
      <c r="C1594" s="1" t="s">
        <v>849</v>
      </c>
      <c r="D1594" s="1" t="s">
        <v>1474</v>
      </c>
      <c r="E1594" s="1" t="s">
        <v>1475</v>
      </c>
    </row>
    <row r="1595">
      <c r="A1595" s="2">
        <v>45747.65480324074</v>
      </c>
      <c r="B1595" s="1" t="s">
        <v>844</v>
      </c>
      <c r="C1595" s="1" t="s">
        <v>845</v>
      </c>
      <c r="D1595" s="1" t="s">
        <v>1476</v>
      </c>
      <c r="E1595" s="1" t="s">
        <v>847</v>
      </c>
    </row>
    <row r="1596">
      <c r="A1596" s="2">
        <v>45748.43863425926</v>
      </c>
      <c r="B1596" s="1" t="s">
        <v>857</v>
      </c>
      <c r="C1596" s="1" t="s">
        <v>845</v>
      </c>
      <c r="D1596" s="3" t="str">
        <f>?UTF-8?q?50%_off_your_next_3_orders_-_just_for_you_=F0=9F=91=80?=</f>
        <v>#ERROR!</v>
      </c>
      <c r="E1596" s="1" t="s">
        <v>847</v>
      </c>
    </row>
    <row r="1597">
      <c r="A1597" s="2">
        <v>45748.29353009259</v>
      </c>
      <c r="B1597" s="1" t="s">
        <v>1317</v>
      </c>
      <c r="C1597" s="1" t="s">
        <v>849</v>
      </c>
      <c r="D1597" s="3" t="str">
        <f>?UTF-8?B?VHdvIGRlcG9zaXRzLCB0d28gbXlzdGVyaWVz4oCm?=</f>
        <v>#ERROR!</v>
      </c>
      <c r="E1597" s="1" t="s">
        <v>1477</v>
      </c>
    </row>
    <row r="1598">
      <c r="A1598" s="2">
        <v>45748.65136574074</v>
      </c>
      <c r="B1598" s="1" t="s">
        <v>860</v>
      </c>
      <c r="C1598" s="1" t="s">
        <v>849</v>
      </c>
      <c r="D1598" s="1" t="s">
        <v>861</v>
      </c>
      <c r="E1598" s="1" t="s">
        <v>851</v>
      </c>
    </row>
    <row r="1599">
      <c r="A1599" s="2">
        <v>45749.23050925926</v>
      </c>
      <c r="B1599" s="1" t="s">
        <v>456</v>
      </c>
      <c r="C1599" s="1" t="s">
        <v>672</v>
      </c>
      <c r="D1599" s="1" t="s">
        <v>1478</v>
      </c>
      <c r="E1599" s="1" t="s">
        <v>1479</v>
      </c>
    </row>
    <row r="1600">
      <c r="A1600" s="2">
        <v>45749.51462962963</v>
      </c>
      <c r="B1600" s="1" t="s">
        <v>1480</v>
      </c>
      <c r="C1600" s="1" t="s">
        <v>845</v>
      </c>
      <c r="D1600" s="3" t="str">
        <f>?utf-8?q?Will_a_smoker=E2=80=99s_lungs_clean_themselves_if_they_quit_smokin?=
 =?utf-8?q?g_and_how_long_does_it_take=3F?=</f>
        <v>#ERROR!</v>
      </c>
      <c r="E1600" s="1" t="s">
        <v>1481</v>
      </c>
    </row>
    <row r="1601">
      <c r="A1601" s="2">
        <v>45749.53807870371</v>
      </c>
      <c r="B1601" s="1" t="s">
        <v>844</v>
      </c>
      <c r="C1601" s="1" t="s">
        <v>845</v>
      </c>
      <c r="D1601" s="1" t="s">
        <v>1482</v>
      </c>
      <c r="E1601" s="1" t="s">
        <v>847</v>
      </c>
    </row>
    <row r="1602">
      <c r="A1602" s="2">
        <v>45749.293217592596</v>
      </c>
      <c r="B1602" s="1" t="s">
        <v>1317</v>
      </c>
      <c r="C1602" s="1" t="s">
        <v>849</v>
      </c>
      <c r="D1602" s="3" t="str">
        <f>?UTF-8?B?U2F5IGhlbGxvIHRvIHlvdXIgc3BlY2lhbCBkZWFsLCBUb255IA==?=
 =?UTF-8?B?8J+Riw==?=</f>
        <v>#ERROR!</v>
      </c>
      <c r="E1602" s="1" t="s">
        <v>1483</v>
      </c>
    </row>
    <row r="1603">
      <c r="A1603" s="2">
        <v>45749.72487268518</v>
      </c>
      <c r="B1603" s="1" t="s">
        <v>844</v>
      </c>
      <c r="C1603" s="1" t="s">
        <v>845</v>
      </c>
      <c r="D1603" s="3" t="str">
        <f>?UTF-8?q?See_what=E2=80=99s_exciting_other_customers?=</f>
        <v>#ERROR!</v>
      </c>
      <c r="E1603" s="1" t="s">
        <v>847</v>
      </c>
    </row>
    <row r="1604">
      <c r="A1604" s="2">
        <v>45750.50304398148</v>
      </c>
      <c r="B1604" s="1" t="s">
        <v>748</v>
      </c>
      <c r="C1604" s="1" t="s">
        <v>6</v>
      </c>
      <c r="D1604" s="3" t="str">
        <f>?windows-1252?Q?It=92s_Tuna_time!?=</f>
        <v>#ERROR!</v>
      </c>
      <c r="E1604" s="1" t="s">
        <v>749</v>
      </c>
    </row>
    <row r="1605">
      <c r="A1605" s="2">
        <v>45750.49704861111</v>
      </c>
      <c r="B1605" s="1" t="s">
        <v>1015</v>
      </c>
      <c r="C1605" s="1" t="s">
        <v>845</v>
      </c>
      <c r="D1605" s="1" t="s">
        <v>1328</v>
      </c>
      <c r="E1605" s="1" t="s">
        <v>847</v>
      </c>
    </row>
    <row r="1606">
      <c r="A1606" s="2">
        <v>45750.294074074074</v>
      </c>
      <c r="B1606" s="1" t="s">
        <v>1317</v>
      </c>
      <c r="C1606" s="1" t="s">
        <v>849</v>
      </c>
      <c r="D1606" s="1" t="s">
        <v>1484</v>
      </c>
      <c r="E1606" s="1" t="s">
        <v>1485</v>
      </c>
    </row>
    <row r="1607">
      <c r="A1607" s="2">
        <v>45751.29336805556</v>
      </c>
      <c r="B1607" s="1" t="s">
        <v>1317</v>
      </c>
      <c r="C1607" s="1" t="s">
        <v>849</v>
      </c>
      <c r="D1607" s="3" t="str">
        <f>?UTF-8?B?RXZlcnlvbmUncyB3YWl0aW5nIGZvciB5b3UsIFRvbnkg8J+YgA==?=</f>
        <v>#ERROR!</v>
      </c>
      <c r="E1607" s="1" t="s">
        <v>1486</v>
      </c>
    </row>
    <row r="1608">
      <c r="A1608" s="2">
        <v>45751.6575</v>
      </c>
      <c r="B1608" s="1" t="s">
        <v>857</v>
      </c>
      <c r="C1608" s="1" t="s">
        <v>845</v>
      </c>
      <c r="D1608" s="1" t="s">
        <v>1411</v>
      </c>
      <c r="E1608" s="1" t="s">
        <v>847</v>
      </c>
    </row>
    <row r="1609">
      <c r="A1609" s="2">
        <v>45752.487974537034</v>
      </c>
      <c r="B1609" s="1" t="s">
        <v>1083</v>
      </c>
      <c r="C1609" s="1" t="s">
        <v>845</v>
      </c>
      <c r="D1609" s="1" t="s">
        <v>1487</v>
      </c>
      <c r="E1609" s="1" t="s">
        <v>847</v>
      </c>
    </row>
    <row r="1610">
      <c r="A1610" s="2">
        <v>45752.29273148148</v>
      </c>
      <c r="B1610" s="1" t="s">
        <v>1317</v>
      </c>
      <c r="C1610" s="1" t="s">
        <v>849</v>
      </c>
      <c r="D1610" s="3" t="str">
        <f>?UTF-8?B?RXhwZXJpZW5jZSBhIGhpZ2hlciBsZXZlbCBvZiBlbnRlcnRhaW5t?=
 =?UTF-8?B?ZW50IPCfjrA=?=</f>
        <v>#ERROR!</v>
      </c>
      <c r="E1610" s="1" t="s">
        <v>1488</v>
      </c>
    </row>
    <row r="1611">
      <c r="A1611" s="2">
        <v>45752.766122685185</v>
      </c>
      <c r="B1611" s="1" t="s">
        <v>844</v>
      </c>
      <c r="C1611" s="1" t="s">
        <v>845</v>
      </c>
      <c r="D1611" s="1" t="s">
        <v>1489</v>
      </c>
      <c r="E1611" s="1" t="s">
        <v>847</v>
      </c>
    </row>
    <row r="1612">
      <c r="A1612" s="2">
        <v>45753.541493055556</v>
      </c>
      <c r="B1612" s="1" t="s">
        <v>844</v>
      </c>
      <c r="C1612" s="1" t="s">
        <v>845</v>
      </c>
      <c r="D1612" s="1" t="s">
        <v>1490</v>
      </c>
      <c r="E1612" s="1" t="s">
        <v>847</v>
      </c>
    </row>
    <row r="1613">
      <c r="A1613" s="2">
        <v>45753.293344907404</v>
      </c>
      <c r="B1613" s="1" t="s">
        <v>1317</v>
      </c>
      <c r="C1613" s="1" t="s">
        <v>849</v>
      </c>
      <c r="D1613" s="3" t="str">
        <f>?UTF-8?B?QSByZWFsIHN0YW5kLW91dCBib251cywgVG9ueSDwn5iy?=</f>
        <v>#ERROR!</v>
      </c>
      <c r="E1613" s="1" t="s">
        <v>1491</v>
      </c>
    </row>
    <row r="1614">
      <c r="A1614" s="2">
        <v>45754.47917824074</v>
      </c>
      <c r="B1614" s="1" t="s">
        <v>1492</v>
      </c>
      <c r="C1614" s="1" t="s">
        <v>845</v>
      </c>
      <c r="D1614" s="1" t="s">
        <v>1493</v>
      </c>
      <c r="E1614" s="1" t="s">
        <v>1494</v>
      </c>
    </row>
    <row r="1615">
      <c r="A1615" s="2">
        <v>45754.49793981481</v>
      </c>
      <c r="B1615" s="1" t="s">
        <v>857</v>
      </c>
      <c r="C1615" s="1" t="s">
        <v>845</v>
      </c>
      <c r="D1615" s="1" t="s">
        <v>1421</v>
      </c>
      <c r="E1615" s="1" t="s">
        <v>847</v>
      </c>
    </row>
    <row r="1616">
      <c r="A1616" s="2">
        <v>45754.53298611111</v>
      </c>
      <c r="B1616" s="1" t="s">
        <v>1480</v>
      </c>
      <c r="C1616" s="1" t="s">
        <v>845</v>
      </c>
      <c r="D1616" s="3" t="str">
        <f>?utf-8?q?Can_I_call_the_police_for_a_ride_to_court=3F?=</f>
        <v>#ERROR!</v>
      </c>
      <c r="E1616" s="1" t="s">
        <v>1495</v>
      </c>
    </row>
    <row r="1617">
      <c r="A1617" s="2">
        <v>45754.293344907404</v>
      </c>
      <c r="B1617" s="1" t="s">
        <v>1317</v>
      </c>
      <c r="C1617" s="1" t="s">
        <v>849</v>
      </c>
      <c r="D1617" s="3" t="str">
        <f>?UTF-8?B?VGhpcyBvbmUgaXMgc28gY29vbOKApiDwn5iO?=</f>
        <v>#ERROR!</v>
      </c>
      <c r="E1617" s="1" t="s">
        <v>1496</v>
      </c>
    </row>
    <row r="1618">
      <c r="A1618" s="2">
        <v>45754.99755787037</v>
      </c>
      <c r="B1618" s="1" t="s">
        <v>857</v>
      </c>
      <c r="C1618" s="1" t="s">
        <v>845</v>
      </c>
      <c r="D1618" s="1" t="s">
        <v>858</v>
      </c>
      <c r="E1618" s="1" t="s">
        <v>847</v>
      </c>
    </row>
    <row r="1619">
      <c r="A1619" s="2">
        <v>45755.45263888889</v>
      </c>
      <c r="B1619" s="1" t="s">
        <v>857</v>
      </c>
      <c r="C1619" s="1" t="s">
        <v>845</v>
      </c>
      <c r="D1619" s="1" t="s">
        <v>861</v>
      </c>
      <c r="E1619" s="1" t="s">
        <v>847</v>
      </c>
    </row>
    <row r="1620">
      <c r="A1620" s="2">
        <v>45755.29409722222</v>
      </c>
      <c r="B1620" s="1" t="s">
        <v>1317</v>
      </c>
      <c r="C1620" s="1" t="s">
        <v>849</v>
      </c>
      <c r="D1620" s="3" t="str">
        <f>?UTF-8?B?QnVtcCB1cCB5b3VyIHBsYXksIFRvbnkg8J+Rhw==?=</f>
        <v>#ERROR!</v>
      </c>
      <c r="E1620" s="1" t="s">
        <v>1497</v>
      </c>
    </row>
    <row r="1621">
      <c r="A1621" s="2">
        <v>45755.66071759259</v>
      </c>
      <c r="B1621" s="1" t="s">
        <v>848</v>
      </c>
      <c r="C1621" s="1" t="s">
        <v>849</v>
      </c>
      <c r="D1621" s="1" t="s">
        <v>1498</v>
      </c>
      <c r="E1621" s="1" t="s">
        <v>851</v>
      </c>
    </row>
    <row r="1622">
      <c r="A1622" s="2">
        <v>45756.29319444444</v>
      </c>
      <c r="B1622" s="1" t="s">
        <v>1317</v>
      </c>
      <c r="C1622" s="1" t="s">
        <v>849</v>
      </c>
      <c r="D1622" s="3" t="str">
        <f>?UTF-8?B?VHdvIGRlcG9zaXRzLCB0d28gbXlzdGVyaWVz4oCm?=</f>
        <v>#ERROR!</v>
      </c>
      <c r="E1622" s="1" t="s">
        <v>1499</v>
      </c>
    </row>
    <row r="1623">
      <c r="A1623" s="2">
        <v>45756.29340277778</v>
      </c>
      <c r="B1623" s="1" t="s">
        <v>1317</v>
      </c>
      <c r="C1623" s="1" t="s">
        <v>849</v>
      </c>
      <c r="D1623" s="3" t="str">
        <f>?UTF-8?B?VGhlIGtleSB0byBlbnRlcnRhaW5tZW50IGlzIHlvdXJzLCBUb255?=
 =?UTF-8?B?IPCflJE=?=</f>
        <v>#ERROR!</v>
      </c>
      <c r="E1623" s="1" t="s">
        <v>1500</v>
      </c>
    </row>
    <row r="1624">
      <c r="A1624" s="2">
        <v>45756.787256944444</v>
      </c>
      <c r="B1624" s="1" t="s">
        <v>848</v>
      </c>
      <c r="C1624" s="1" t="s">
        <v>849</v>
      </c>
      <c r="D1624" s="3" t="str">
        <f>?utf-8?q?See_what=E2=80=99s_trending_today?=</f>
        <v>#ERROR!</v>
      </c>
      <c r="E1624" s="1" t="s">
        <v>851</v>
      </c>
    </row>
    <row r="1625">
      <c r="A1625" s="2">
        <v>45756.752291666664</v>
      </c>
      <c r="B1625" s="1" t="s">
        <v>1108</v>
      </c>
      <c r="C1625" s="1" t="s">
        <v>849</v>
      </c>
      <c r="D1625" s="1" t="s">
        <v>1501</v>
      </c>
      <c r="E1625" s="1" t="s">
        <v>1383</v>
      </c>
    </row>
    <row r="1626">
      <c r="A1626" s="2">
        <v>45757.29369212963</v>
      </c>
      <c r="B1626" s="1" t="s">
        <v>1317</v>
      </c>
      <c r="C1626" s="1" t="s">
        <v>849</v>
      </c>
      <c r="D1626" s="3" t="str">
        <f>?UTF-8?B?UmV2ZWFsaW5nIHlvdXIgYnVtcGVkIHVwIGRlYWwgaW4gMywgMg==?=
 =?UTF-8?B?4oCmIPCflZA=?=</f>
        <v>#ERROR!</v>
      </c>
      <c r="E1626" s="1" t="s">
        <v>1502</v>
      </c>
    </row>
    <row r="1627">
      <c r="A1627" s="2">
        <v>45757.71228009259</v>
      </c>
      <c r="B1627" s="1" t="s">
        <v>857</v>
      </c>
      <c r="C1627" s="1" t="s">
        <v>845</v>
      </c>
      <c r="D1627" s="1" t="s">
        <v>1503</v>
      </c>
      <c r="E1627" s="1" t="s">
        <v>847</v>
      </c>
    </row>
    <row r="1628">
      <c r="A1628" s="2">
        <v>45758.29347222222</v>
      </c>
      <c r="B1628" s="1" t="s">
        <v>1317</v>
      </c>
      <c r="C1628" s="1" t="s">
        <v>849</v>
      </c>
      <c r="D1628" s="3" t="str">
        <f>?UTF-8?B?SWxsdW1pbmF0ZSB5b3VyIHBsYXksIFRvbnkg8J+YiQ==?=</f>
        <v>#ERROR!</v>
      </c>
      <c r="E1628" s="1" t="s">
        <v>1504</v>
      </c>
    </row>
    <row r="1629">
      <c r="A1629" s="2">
        <v>45758.69835648148</v>
      </c>
      <c r="B1629" s="1" t="s">
        <v>857</v>
      </c>
      <c r="C1629" s="1" t="s">
        <v>845</v>
      </c>
      <c r="D1629" s="1" t="s">
        <v>1411</v>
      </c>
      <c r="E1629" s="1" t="s">
        <v>847</v>
      </c>
    </row>
    <row r="1630">
      <c r="A1630" s="2">
        <v>45759.29315972222</v>
      </c>
      <c r="B1630" s="1" t="s">
        <v>1317</v>
      </c>
      <c r="C1630" s="1" t="s">
        <v>849</v>
      </c>
      <c r="D1630" s="3" t="str">
        <f>?UTF-8?B?VGhpcyBkZWFsIGlzIG1ha2luZyBhIHNwbGFzaCEg8J+Spg==?=</f>
        <v>#ERROR!</v>
      </c>
      <c r="E1630" s="1" t="s">
        <v>1505</v>
      </c>
    </row>
    <row r="1631">
      <c r="A1631" s="2">
        <v>45759.79168981482</v>
      </c>
      <c r="B1631" s="1" t="s">
        <v>844</v>
      </c>
      <c r="C1631" s="1" t="s">
        <v>845</v>
      </c>
      <c r="D1631" s="1" t="s">
        <v>1506</v>
      </c>
      <c r="E1631" s="1" t="s">
        <v>847</v>
      </c>
    </row>
    <row r="1632">
      <c r="A1632" s="2">
        <v>45760.499131944445</v>
      </c>
      <c r="B1632" s="1" t="s">
        <v>844</v>
      </c>
      <c r="C1632" s="1" t="s">
        <v>845</v>
      </c>
      <c r="D1632" s="1" t="s">
        <v>1507</v>
      </c>
      <c r="E1632" s="1" t="s">
        <v>847</v>
      </c>
    </row>
    <row r="1633">
      <c r="A1633" s="2">
        <v>45760.292905092596</v>
      </c>
      <c r="B1633" s="1" t="s">
        <v>1317</v>
      </c>
      <c r="C1633" s="1" t="s">
        <v>849</v>
      </c>
      <c r="D1633" s="3" t="str">
        <f>?UTF-8?B?QSBmcmVzaCBkaXNjb3ZlcnkgdG8gYm9vc3QgeW91ciBwbGF5IA==?=
 =?UTF-8?B?8J+nrQ==?=</f>
        <v>#ERROR!</v>
      </c>
      <c r="E1633" s="1" t="s">
        <v>1508</v>
      </c>
    </row>
    <row r="1634">
      <c r="A1634" s="2">
        <v>45761.29372685185</v>
      </c>
      <c r="B1634" s="1" t="s">
        <v>1317</v>
      </c>
      <c r="C1634" s="1" t="s">
        <v>849</v>
      </c>
      <c r="D1634" s="1" t="s">
        <v>1509</v>
      </c>
      <c r="E1634" s="1" t="s">
        <v>1510</v>
      </c>
    </row>
    <row r="1635">
      <c r="A1635" s="2">
        <v>45761.97381944444</v>
      </c>
      <c r="B1635" s="1" t="s">
        <v>1229</v>
      </c>
      <c r="C1635" s="1" t="s">
        <v>845</v>
      </c>
      <c r="D1635" s="1" t="s">
        <v>1511</v>
      </c>
      <c r="E1635" s="1" t="s">
        <v>1512</v>
      </c>
    </row>
    <row r="1636">
      <c r="A1636" s="2">
        <v>45762.46333333333</v>
      </c>
      <c r="B1636" s="1" t="s">
        <v>857</v>
      </c>
      <c r="C1636" s="1" t="s">
        <v>845</v>
      </c>
      <c r="D1636" s="3" t="str">
        <f>?UTF-8?q?50%_off_your_next_3_orders_-_just_for_you_=F0=9F=91=80?=</f>
        <v>#ERROR!</v>
      </c>
      <c r="E1636" s="1" t="s">
        <v>847</v>
      </c>
    </row>
    <row r="1637">
      <c r="A1637" s="2">
        <v>45762.29446759259</v>
      </c>
      <c r="B1637" s="1" t="s">
        <v>1317</v>
      </c>
      <c r="C1637" s="1" t="s">
        <v>849</v>
      </c>
      <c r="D1637" s="1" t="s">
        <v>1513</v>
      </c>
      <c r="E1637" s="1" t="s">
        <v>1514</v>
      </c>
    </row>
    <row r="1638">
      <c r="A1638" s="2">
        <v>45762.7175462963</v>
      </c>
      <c r="B1638" s="1" t="s">
        <v>857</v>
      </c>
      <c r="C1638" s="1" t="s">
        <v>845</v>
      </c>
      <c r="D1638" s="1" t="s">
        <v>861</v>
      </c>
      <c r="E1638" s="1" t="s">
        <v>847</v>
      </c>
    </row>
    <row r="1639">
      <c r="A1639" s="2">
        <v>45763.45109953704</v>
      </c>
      <c r="B1639" s="1" t="s">
        <v>844</v>
      </c>
      <c r="C1639" s="1" t="s">
        <v>845</v>
      </c>
      <c r="D1639" s="1" t="s">
        <v>1515</v>
      </c>
      <c r="E1639" s="1" t="s">
        <v>847</v>
      </c>
    </row>
    <row r="1640">
      <c r="A1640" s="2">
        <v>45763.293541666666</v>
      </c>
      <c r="B1640" s="1" t="s">
        <v>1317</v>
      </c>
      <c r="C1640" s="1" t="s">
        <v>849</v>
      </c>
      <c r="D1640" s="3" t="str">
        <f>?UTF-8?B?SXMgdGhpcyBhIGRyZWFtPyBObywgaXTigJlz4oCm?=</f>
        <v>#ERROR!</v>
      </c>
      <c r="E1640" s="1" t="s">
        <v>1516</v>
      </c>
    </row>
    <row r="1641">
      <c r="A1641" s="2">
        <v>45763.78747685185</v>
      </c>
      <c r="B1641" s="1" t="s">
        <v>844</v>
      </c>
      <c r="C1641" s="1" t="s">
        <v>845</v>
      </c>
      <c r="D1641" s="1" t="s">
        <v>1517</v>
      </c>
      <c r="E1641" s="1" t="s">
        <v>847</v>
      </c>
    </row>
    <row r="1642">
      <c r="A1642" s="2">
        <v>45764.294386574074</v>
      </c>
      <c r="B1642" s="1" t="s">
        <v>1317</v>
      </c>
      <c r="C1642" s="1" t="s">
        <v>849</v>
      </c>
      <c r="D1642" s="1" t="s">
        <v>1518</v>
      </c>
      <c r="E1642" s="1" t="s">
        <v>1519</v>
      </c>
    </row>
    <row r="1643">
      <c r="A1643" s="2">
        <v>45765.29353009259</v>
      </c>
      <c r="B1643" s="1" t="s">
        <v>1317</v>
      </c>
      <c r="C1643" s="1" t="s">
        <v>849</v>
      </c>
      <c r="D1643" s="3" t="str">
        <f>?UTF-8?B?SXTigJlzIGNvbWluZyBhdCB5b3UsIFRvbnkg8J+RgA==?=</f>
        <v>#ERROR!</v>
      </c>
      <c r="E1643" s="1" t="s">
        <v>1520</v>
      </c>
    </row>
    <row r="1644">
      <c r="A1644" s="2">
        <v>45766.29275462963</v>
      </c>
      <c r="B1644" s="1" t="s">
        <v>1317</v>
      </c>
      <c r="C1644" s="1" t="s">
        <v>849</v>
      </c>
      <c r="D1644" s="3" t="str">
        <f>?UTF-8?B?U3ByZWFkaW5nIGxvdmUgYW5kIGEgYm9vc3RlZCBib251cyDimaU=?=
 =?UTF-8?B?8J+lsA==?=</f>
        <v>#ERROR!</v>
      </c>
      <c r="E1644" s="1" t="s">
        <v>1521</v>
      </c>
    </row>
    <row r="1645">
      <c r="A1645" s="2">
        <v>45767.29413194444</v>
      </c>
      <c r="B1645" s="1" t="s">
        <v>1317</v>
      </c>
      <c r="C1645" s="1" t="s">
        <v>849</v>
      </c>
      <c r="D1645" s="3" t="str">
        <f>?UTF-8?B?WW91ciBib251cyBhd2FpdHM6IEhvcCB0byBpdCEg8J+QsA==?=</f>
        <v>#ERROR!</v>
      </c>
      <c r="E1645" s="1" t="s">
        <v>1522</v>
      </c>
    </row>
    <row r="1646">
      <c r="A1646" s="2">
        <v>45767.5837962963</v>
      </c>
      <c r="B1646" s="1" t="s">
        <v>844</v>
      </c>
      <c r="C1646" s="1" t="s">
        <v>845</v>
      </c>
      <c r="D1646" s="1" t="s">
        <v>1523</v>
      </c>
      <c r="E1646" s="1" t="s">
        <v>847</v>
      </c>
    </row>
    <row r="1647">
      <c r="A1647" s="2">
        <v>45774.293333333335</v>
      </c>
      <c r="B1647" s="1" t="s">
        <v>1317</v>
      </c>
      <c r="C1647" s="1" t="s">
        <v>849</v>
      </c>
      <c r="D1647" s="3" t="str">
        <f>?UTF-8?B?TGV04oCZcyBwaWNrIHVwIHdoZXJlIHdlIGxlZnQgb2Zm4oCm?=</f>
        <v>#ERROR!</v>
      </c>
      <c r="E1647" s="1" t="s">
        <v>1524</v>
      </c>
    </row>
    <row r="1648">
      <c r="A1648" s="2">
        <v>45775.293032407404</v>
      </c>
      <c r="B1648" s="1" t="s">
        <v>1317</v>
      </c>
      <c r="C1648" s="1" t="s">
        <v>849</v>
      </c>
      <c r="D1648" s="3" t="str">
        <f>?UTF-8?B?SXTigJlzIHRpbWUgdG8gaGl0IOKAmHBsYXnigJkgYWdhaW4h?=</f>
        <v>#ERROR!</v>
      </c>
      <c r="E1648" s="1" t="s">
        <v>1525</v>
      </c>
    </row>
    <row r="1649">
      <c r="A1649" s="2">
        <v>45776.293599537035</v>
      </c>
      <c r="B1649" s="1" t="s">
        <v>1317</v>
      </c>
      <c r="C1649" s="1" t="s">
        <v>849</v>
      </c>
      <c r="D1649" s="1" t="s">
        <v>1526</v>
      </c>
      <c r="E1649" s="1" t="s">
        <v>1527</v>
      </c>
    </row>
    <row r="1650">
      <c r="A1650" s="2">
        <v>45776.76174768519</v>
      </c>
      <c r="B1650" s="1" t="s">
        <v>1229</v>
      </c>
      <c r="C1650" s="1" t="s">
        <v>845</v>
      </c>
      <c r="D1650" s="3" t="str">
        <f>?UTF-8?B?WW914oCZcmU=?= invited: Vercel Ship 2025</f>
        <v>#ERROR!</v>
      </c>
      <c r="E1650" s="1" t="s">
        <v>1528</v>
      </c>
    </row>
    <row r="1651">
      <c r="A1651" s="2">
        <v>45777.50125</v>
      </c>
      <c r="B1651" s="1" t="s">
        <v>848</v>
      </c>
      <c r="C1651" s="1" t="s">
        <v>849</v>
      </c>
      <c r="D1651" s="1" t="s">
        <v>1529</v>
      </c>
      <c r="E1651" s="1" t="s">
        <v>851</v>
      </c>
    </row>
    <row r="1652">
      <c r="A1652" s="2">
        <v>45777.293020833335</v>
      </c>
      <c r="B1652" s="1" t="s">
        <v>1317</v>
      </c>
      <c r="C1652" s="1" t="s">
        <v>849</v>
      </c>
      <c r="D1652" s="3" t="str">
        <f>?UTF-8?B?UmVhZHkgZm9yIGEgd2hvbGUgbG90IG9mIGZ1bj8gSXTigJlzIHdh?=
 =?UTF-8?B?aXRpbmcgaW5zaWRlIQ==?=</f>
        <v>#ERROR!</v>
      </c>
      <c r="E1652" s="1" t="s">
        <v>1530</v>
      </c>
    </row>
    <row r="1653">
      <c r="A1653" s="2">
        <v>45777.79342592593</v>
      </c>
      <c r="B1653" s="1" t="s">
        <v>860</v>
      </c>
      <c r="C1653" s="1" t="s">
        <v>849</v>
      </c>
      <c r="D1653" s="3" t="str">
        <f>?utf-8?q?Score_savings_on_Oikos_products_=F0=9F=A5=85?=</f>
        <v>#ERROR!</v>
      </c>
      <c r="E1653" s="1" t="s">
        <v>851</v>
      </c>
    </row>
    <row r="1654">
      <c r="A1654" s="2">
        <v>45778.444247685184</v>
      </c>
      <c r="B1654" s="1" t="s">
        <v>857</v>
      </c>
      <c r="C1654" s="1" t="s">
        <v>845</v>
      </c>
      <c r="D1654" s="1" t="s">
        <v>858</v>
      </c>
      <c r="E1654" s="1" t="s">
        <v>847</v>
      </c>
    </row>
    <row r="1655">
      <c r="A1655" s="2">
        <v>45778.66428240741</v>
      </c>
      <c r="B1655" s="1" t="s">
        <v>857</v>
      </c>
      <c r="C1655" s="1" t="s">
        <v>845</v>
      </c>
      <c r="D1655" s="1" t="s">
        <v>861</v>
      </c>
      <c r="E1655" s="1" t="s">
        <v>847</v>
      </c>
    </row>
    <row r="1656">
      <c r="A1656" s="2">
        <v>45779.29293981481</v>
      </c>
      <c r="B1656" s="1" t="s">
        <v>1317</v>
      </c>
      <c r="C1656" s="1" t="s">
        <v>849</v>
      </c>
      <c r="D1656" s="3" t="str">
        <f>?UTF-8?B?VGhlIHJlZWxzIGhhdmUgYmVlbiBidXN54oCmIHJlYWR5IHRvIGpv?=
 =?UTF-8?B?aW4gaW4/?=</f>
        <v>#ERROR!</v>
      </c>
      <c r="E1656" s="1" t="s">
        <v>1531</v>
      </c>
    </row>
    <row r="1657">
      <c r="A1657" s="2">
        <v>45779.7280787037</v>
      </c>
      <c r="B1657" s="1" t="s">
        <v>857</v>
      </c>
      <c r="C1657" s="1" t="s">
        <v>845</v>
      </c>
      <c r="D1657" s="1" t="s">
        <v>1532</v>
      </c>
      <c r="E1657" s="1" t="s">
        <v>847</v>
      </c>
    </row>
    <row r="1658">
      <c r="A1658" s="2">
        <v>45779.62541666667</v>
      </c>
      <c r="B1658" s="1" t="s">
        <v>1108</v>
      </c>
      <c r="C1658" s="1" t="s">
        <v>849</v>
      </c>
      <c r="D1658" s="1" t="s">
        <v>1533</v>
      </c>
      <c r="E1658" s="1" t="s">
        <v>1534</v>
      </c>
    </row>
    <row r="1659">
      <c r="A1659" s="2">
        <v>45780.29332175926</v>
      </c>
      <c r="B1659" s="1" t="s">
        <v>1317</v>
      </c>
      <c r="C1659" s="1" t="s">
        <v>849</v>
      </c>
      <c r="D1659" s="3" t="str">
        <f>?UTF-8?B?QSBsb3QgaGFzIGJlZW4gaGFwcGVuaW5nIOKAkyBjb21lIGpvaW4g?=
 =?UTF-8?B?dXMh?=</f>
        <v>#ERROR!</v>
      </c>
      <c r="E1659" s="1" t="s">
        <v>1535</v>
      </c>
    </row>
    <row r="1660">
      <c r="A1660" s="2">
        <v>45780.602430555555</v>
      </c>
      <c r="B1660" s="1" t="s">
        <v>844</v>
      </c>
      <c r="C1660" s="1" t="s">
        <v>845</v>
      </c>
      <c r="D1660" s="3" t="str">
        <f>?UTF-8?q?Shop_a_range_of_gifts_that_Mom_will_love_=F0=9F=92=90?=</f>
        <v>#ERROR!</v>
      </c>
      <c r="E1660" s="1" t="s">
        <v>847</v>
      </c>
    </row>
    <row r="1661">
      <c r="A1661" s="2">
        <v>45781.292662037034</v>
      </c>
      <c r="B1661" s="1" t="s">
        <v>1317</v>
      </c>
      <c r="C1661" s="1" t="s">
        <v>849</v>
      </c>
      <c r="D1661" s="3" t="str">
        <f>?UTF-8?B?U29tZXRoaW5nIGV4Y2l0aW5nIGp1c3QgZHJvcHBlZOKApiBhcmUg?=
 =?UTF-8?B?eW91IGluPw==?=</f>
        <v>#ERROR!</v>
      </c>
      <c r="E1661" s="1" t="s">
        <v>1536</v>
      </c>
    </row>
    <row r="1662">
      <c r="A1662" s="2">
        <v>45782.4587962963</v>
      </c>
      <c r="B1662" s="1" t="s">
        <v>857</v>
      </c>
      <c r="C1662" s="1" t="s">
        <v>845</v>
      </c>
      <c r="D1662" s="1" t="s">
        <v>1421</v>
      </c>
      <c r="E1662" s="1" t="s">
        <v>847</v>
      </c>
    </row>
    <row r="1663">
      <c r="A1663" s="2">
        <v>45782.29298611111</v>
      </c>
      <c r="B1663" s="1" t="s">
        <v>1317</v>
      </c>
      <c r="C1663" s="1" t="s">
        <v>849</v>
      </c>
      <c r="D1663" s="3" t="str">
        <f>?UTF-8?B?QmlnIHRoaW5ncyBhcmUgaGFwcGVuaW5nIOKAkyBjb21lIHRha2Ug?=
 =?UTF-8?B?YSBsb29rIQ==?=</f>
        <v>#ERROR!</v>
      </c>
      <c r="E1663" s="1" t="s">
        <v>1537</v>
      </c>
    </row>
    <row r="1664">
      <c r="A1664" s="2">
        <v>45783.44290509259</v>
      </c>
      <c r="B1664" s="1" t="s">
        <v>857</v>
      </c>
      <c r="C1664" s="1" t="s">
        <v>845</v>
      </c>
      <c r="D1664" s="3" t="str">
        <f>?UTF-8?q?50%_off_your_next_3_orders_-_just_for_you_=F0=9F=91=80?=</f>
        <v>#ERROR!</v>
      </c>
      <c r="E1664" s="1" t="s">
        <v>847</v>
      </c>
    </row>
    <row r="1665">
      <c r="A1665" s="2">
        <v>45783.29314814815</v>
      </c>
      <c r="B1665" s="1" t="s">
        <v>1317</v>
      </c>
      <c r="C1665" s="1" t="s">
        <v>849</v>
      </c>
      <c r="D1665" s="3" t="str">
        <f>?UTF-8?B?V2XigJl2ZSBnb3Qgc29tZXRoaW5nIGV4Y2l0aW5nIGluc2lkZSE=?=</f>
        <v>#ERROR!</v>
      </c>
      <c r="E1665" s="1" t="s">
        <v>1538</v>
      </c>
    </row>
    <row r="1666">
      <c r="A1666" s="2">
        <v>45783.68164351852</v>
      </c>
      <c r="B1666" s="1" t="s">
        <v>860</v>
      </c>
      <c r="C1666" s="1" t="s">
        <v>849</v>
      </c>
      <c r="D1666" s="1" t="s">
        <v>861</v>
      </c>
      <c r="E1666" s="1" t="s">
        <v>851</v>
      </c>
    </row>
    <row r="1667">
      <c r="A1667" s="2">
        <v>45783.882048611114</v>
      </c>
      <c r="B1667" s="1" t="s">
        <v>848</v>
      </c>
      <c r="C1667" s="1" t="s">
        <v>849</v>
      </c>
      <c r="D1667" s="3" t="str">
        <f>?utf-8?q?Treat_your_Mom_with_a_delivery_of_almost_anything_=F0=9F=92=96?=</f>
        <v>#ERROR!</v>
      </c>
      <c r="E1667" s="1" t="s">
        <v>851</v>
      </c>
    </row>
    <row r="1668">
      <c r="A1668" s="2">
        <v>45784.05950231481</v>
      </c>
      <c r="B1668" s="1" t="s">
        <v>1539</v>
      </c>
      <c r="C1668" s="1" t="s">
        <v>845</v>
      </c>
      <c r="D1668" s="3" t="str">
        <f>?utf-8?Q?Activate=20your=20account=20to=20create=20your=20QR=20Code?=</f>
        <v>#ERROR!</v>
      </c>
      <c r="E1668" s="1" t="s">
        <v>1540</v>
      </c>
    </row>
    <row r="1669">
      <c r="A1669" s="2">
        <v>45784.479166666664</v>
      </c>
      <c r="B1669" s="1" t="s">
        <v>1492</v>
      </c>
      <c r="C1669" s="1" t="s">
        <v>845</v>
      </c>
      <c r="D1669" s="1" t="s">
        <v>1541</v>
      </c>
      <c r="E1669" s="1" t="s">
        <v>1542</v>
      </c>
    </row>
    <row r="1670">
      <c r="A1670" s="2">
        <v>45784.50539351852</v>
      </c>
      <c r="B1670" s="1" t="s">
        <v>844</v>
      </c>
      <c r="C1670" s="1" t="s">
        <v>845</v>
      </c>
      <c r="D1670" s="1" t="s">
        <v>1403</v>
      </c>
      <c r="E1670" s="1" t="s">
        <v>847</v>
      </c>
    </row>
    <row r="1671">
      <c r="A1671" s="2">
        <v>45785.085497685184</v>
      </c>
      <c r="B1671" s="1" t="s">
        <v>1317</v>
      </c>
      <c r="C1671" s="1" t="s">
        <v>849</v>
      </c>
      <c r="D1671" s="1" t="s">
        <v>1543</v>
      </c>
      <c r="E1671" s="1" t="s">
        <v>1544</v>
      </c>
    </row>
    <row r="1672">
      <c r="A1672" s="2">
        <v>45785.29335648148</v>
      </c>
      <c r="B1672" s="1" t="s">
        <v>1317</v>
      </c>
      <c r="C1672" s="1" t="s">
        <v>849</v>
      </c>
      <c r="D1672" s="1" t="s">
        <v>1545</v>
      </c>
      <c r="E1672" s="1" t="s">
        <v>1546</v>
      </c>
    </row>
    <row r="1673">
      <c r="A1673" s="2">
        <v>45785.65380787037</v>
      </c>
      <c r="B1673" s="1" t="s">
        <v>1108</v>
      </c>
      <c r="C1673" s="1" t="s">
        <v>849</v>
      </c>
      <c r="D1673" s="1" t="s">
        <v>1547</v>
      </c>
      <c r="E1673" s="1" t="s">
        <v>1548</v>
      </c>
    </row>
    <row r="1674">
      <c r="A1674" s="2">
        <v>45786.293958333335</v>
      </c>
      <c r="B1674" s="1" t="s">
        <v>1317</v>
      </c>
      <c r="C1674" s="1" t="s">
        <v>849</v>
      </c>
      <c r="D1674" s="3" t="str">
        <f>?UTF-8?B?U29tZXRoaW5nIGNvb2zigJlzIHNrYXRpbmcgeW91ciB3YXkh?=</f>
        <v>#ERROR!</v>
      </c>
      <c r="E1674" s="1" t="s">
        <v>1549</v>
      </c>
    </row>
    <row r="1675">
      <c r="A1675" s="2">
        <v>45786.70416666667</v>
      </c>
      <c r="B1675" s="1" t="s">
        <v>857</v>
      </c>
      <c r="C1675" s="1" t="s">
        <v>845</v>
      </c>
      <c r="D1675" s="1" t="s">
        <v>1411</v>
      </c>
      <c r="E1675" s="1" t="s">
        <v>847</v>
      </c>
    </row>
    <row r="1676">
      <c r="A1676" s="2">
        <v>45786.64611111111</v>
      </c>
      <c r="B1676" s="1" t="s">
        <v>1108</v>
      </c>
      <c r="C1676" s="1" t="s">
        <v>849</v>
      </c>
      <c r="D1676" s="1" t="s">
        <v>1550</v>
      </c>
      <c r="E1676" s="1" t="s">
        <v>1534</v>
      </c>
    </row>
    <row r="1677">
      <c r="A1677" s="2">
        <v>45787.29313657407</v>
      </c>
      <c r="B1677" s="1" t="s">
        <v>1317</v>
      </c>
      <c r="C1677" s="1" t="s">
        <v>849</v>
      </c>
      <c r="D1677" s="1" t="s">
        <v>1551</v>
      </c>
      <c r="E1677" s="1" t="s">
        <v>1552</v>
      </c>
    </row>
    <row r="1678">
      <c r="A1678" s="2">
        <v>45787.752546296295</v>
      </c>
      <c r="B1678" s="1" t="s">
        <v>844</v>
      </c>
      <c r="C1678" s="1" t="s">
        <v>845</v>
      </c>
      <c r="D1678" s="3" t="str">
        <f>?UTF-8?q?Shopping_made_easy=E2=80=94see_what=E2=80=99s_popular_and_ready?=
 =?UTF-8?q?_for_you.?=</f>
        <v>#ERROR!</v>
      </c>
      <c r="E1678" s="1" t="s">
        <v>847</v>
      </c>
    </row>
    <row r="1679">
      <c r="A1679" s="2">
        <v>45788.49125</v>
      </c>
      <c r="B1679" s="1" t="s">
        <v>848</v>
      </c>
      <c r="C1679" s="1" t="s">
        <v>849</v>
      </c>
      <c r="D1679" s="3" t="str">
        <f>?utf-8?q?Do_you_miss_tasty_takeout_deliveries=3F_=F0=9F=A4=94?=</f>
        <v>#ERROR!</v>
      </c>
      <c r="E1679" s="1" t="s">
        <v>851</v>
      </c>
    </row>
    <row r="1680">
      <c r="A1680" s="2">
        <v>45788.29356481481</v>
      </c>
      <c r="B1680" s="1" t="s">
        <v>1317</v>
      </c>
      <c r="C1680" s="1" t="s">
        <v>849</v>
      </c>
      <c r="D1680" s="1" t="s">
        <v>1553</v>
      </c>
      <c r="E1680" s="1" t="s">
        <v>1554</v>
      </c>
    </row>
    <row r="1681">
      <c r="A1681" s="2">
        <v>45789.29344907407</v>
      </c>
      <c r="B1681" s="1" t="s">
        <v>1317</v>
      </c>
      <c r="C1681" s="1" t="s">
        <v>849</v>
      </c>
      <c r="D1681" s="1" t="s">
        <v>1555</v>
      </c>
      <c r="E1681" s="1" t="s">
        <v>1556</v>
      </c>
    </row>
    <row r="1682">
      <c r="A1682" s="2">
        <v>45789.99594907407</v>
      </c>
      <c r="B1682" s="1" t="s">
        <v>315</v>
      </c>
      <c r="C1682" s="1" t="s">
        <v>1036</v>
      </c>
      <c r="D1682" s="3" t="str">
        <f>?UTF-8?Q?Your_Apple=C2=A0Account_information_has_been_updated?=</f>
        <v>#ERROR!</v>
      </c>
      <c r="E1682" s="1" t="s">
        <v>1557</v>
      </c>
    </row>
    <row r="1683">
      <c r="A1683" s="2">
        <v>45790.00413194444</v>
      </c>
      <c r="B1683" s="1" t="s">
        <v>319</v>
      </c>
      <c r="C1683" s="1" t="s">
        <v>1036</v>
      </c>
      <c r="D1683" s="3" t="str">
        <f>?UTF-8?Q?Your_Apple_Account_was_used_to_?=
 =?UTF-8?Q?sign_in_to_iCloud_on_an=C2=A0iPhone=C2=A08?=</f>
        <v>#ERROR!</v>
      </c>
      <c r="E1683" s="1" t="s">
        <v>1558</v>
      </c>
    </row>
    <row r="1684">
      <c r="A1684" s="2">
        <v>45790.245254629626</v>
      </c>
      <c r="B1684" s="1" t="s">
        <v>325</v>
      </c>
      <c r="C1684" s="1" t="s">
        <v>1036</v>
      </c>
      <c r="D1684" s="1" t="s">
        <v>1559</v>
      </c>
      <c r="E1684" s="1" t="s">
        <v>1560</v>
      </c>
    </row>
    <row r="1685">
      <c r="A1685" s="2">
        <v>45790.06351851852</v>
      </c>
      <c r="B1685" s="1" t="s">
        <v>1317</v>
      </c>
      <c r="C1685" s="1" t="s">
        <v>849</v>
      </c>
      <c r="D1685" s="3" t="str">
        <f>?UTF-8?B?U3BpbnMuIExveWFsdHkuIExpZ2h0bmluZy4gSXTigJlzIFpldXNk?=
 =?UTF-8?B?YXkh?=</f>
        <v>#ERROR!</v>
      </c>
      <c r="E1685" s="1" t="s">
        <v>1561</v>
      </c>
    </row>
    <row r="1686">
      <c r="A1686" s="2">
        <v>45790.45471064815</v>
      </c>
      <c r="B1686" s="1" t="s">
        <v>860</v>
      </c>
      <c r="C1686" s="1" t="s">
        <v>849</v>
      </c>
      <c r="D1686" s="1" t="s">
        <v>1368</v>
      </c>
      <c r="E1686" s="1" t="s">
        <v>851</v>
      </c>
    </row>
    <row r="1687">
      <c r="A1687" s="2">
        <v>45790.2934375</v>
      </c>
      <c r="B1687" s="1" t="s">
        <v>1317</v>
      </c>
      <c r="C1687" s="1" t="s">
        <v>849</v>
      </c>
      <c r="D1687" s="1" t="s">
        <v>1562</v>
      </c>
      <c r="E1687" s="1" t="s">
        <v>1563</v>
      </c>
    </row>
    <row r="1688">
      <c r="A1688" s="2">
        <v>45790.54640046296</v>
      </c>
      <c r="B1688" s="1" t="s">
        <v>1564</v>
      </c>
      <c r="C1688" s="1" t="s">
        <v>845</v>
      </c>
      <c r="D1688" s="1" t="s">
        <v>1565</v>
      </c>
      <c r="E1688" s="1" t="s">
        <v>1566</v>
      </c>
    </row>
    <row r="1689">
      <c r="A1689" s="2">
        <v>45790.30553240741</v>
      </c>
      <c r="B1689" s="1" t="s">
        <v>1108</v>
      </c>
      <c r="C1689" s="1" t="s">
        <v>849</v>
      </c>
      <c r="D1689" s="1" t="s">
        <v>1567</v>
      </c>
      <c r="E1689" s="1" t="s">
        <v>1534</v>
      </c>
    </row>
    <row r="1690">
      <c r="A1690" s="2">
        <v>45790.65875</v>
      </c>
      <c r="B1690" s="1" t="s">
        <v>857</v>
      </c>
      <c r="C1690" s="1" t="s">
        <v>845</v>
      </c>
      <c r="D1690" s="1" t="s">
        <v>858</v>
      </c>
      <c r="E1690" s="1" t="s">
        <v>847</v>
      </c>
    </row>
    <row r="1691">
      <c r="A1691" s="2">
        <v>45790.885567129626</v>
      </c>
      <c r="B1691" s="1" t="s">
        <v>1568</v>
      </c>
      <c r="C1691" s="1" t="s">
        <v>1036</v>
      </c>
      <c r="D1691" s="1" t="s">
        <v>1569</v>
      </c>
      <c r="E1691" s="1" t="s">
        <v>1570</v>
      </c>
    </row>
    <row r="1692">
      <c r="A1692" s="2">
        <v>45791.13143518518</v>
      </c>
      <c r="B1692" s="1" t="s">
        <v>1571</v>
      </c>
      <c r="C1692" s="1" t="s">
        <v>1036</v>
      </c>
      <c r="D1692" s="3" t="str">
        <f>?UTF-8?Q?Welcome_to_iCloud._Here=E2=80=99s_how_to_get_started.?=</f>
        <v>#ERROR!</v>
      </c>
      <c r="E1692" s="1" t="s">
        <v>1572</v>
      </c>
    </row>
    <row r="1693">
      <c r="A1693" s="2">
        <v>45791.45217592592</v>
      </c>
      <c r="B1693" s="1" t="s">
        <v>844</v>
      </c>
      <c r="C1693" s="1" t="s">
        <v>845</v>
      </c>
      <c r="D1693" s="1" t="s">
        <v>1573</v>
      </c>
      <c r="E1693" s="1" t="s">
        <v>847</v>
      </c>
    </row>
    <row r="1694">
      <c r="A1694" s="2">
        <v>45791.293703703705</v>
      </c>
      <c r="B1694" s="1" t="s">
        <v>1317</v>
      </c>
      <c r="C1694" s="1" t="s">
        <v>849</v>
      </c>
      <c r="D1694" s="1" t="s">
        <v>1574</v>
      </c>
      <c r="E1694" s="1" t="s">
        <v>1575</v>
      </c>
    </row>
    <row r="1695">
      <c r="A1695" s="2">
        <v>45791.77244212963</v>
      </c>
      <c r="B1695" s="1" t="s">
        <v>1083</v>
      </c>
      <c r="C1695" s="1" t="s">
        <v>845</v>
      </c>
      <c r="D1695" s="3" t="str">
        <f>?UTF-8?q?There=E2=80=99s_$5M_in_deals_on_the_line=E2=80=94time_to_save_b?=
 =?UTF-8?q?ig?=</f>
        <v>#ERROR!</v>
      </c>
      <c r="E1695" s="1" t="s">
        <v>908</v>
      </c>
    </row>
    <row r="1696">
      <c r="A1696" s="2">
        <v>45791.64111111111</v>
      </c>
      <c r="B1696" s="1" t="s">
        <v>1108</v>
      </c>
      <c r="C1696" s="1" t="s">
        <v>849</v>
      </c>
      <c r="D1696" s="1" t="s">
        <v>1576</v>
      </c>
      <c r="E1696" s="1" t="s">
        <v>1534</v>
      </c>
    </row>
    <row r="1697">
      <c r="A1697" s="2">
        <v>45792.29450231481</v>
      </c>
      <c r="B1697" s="1" t="s">
        <v>1317</v>
      </c>
      <c r="C1697" s="1" t="s">
        <v>849</v>
      </c>
      <c r="D1697" s="3" t="str">
        <f>?UTF-8?B?WW91ciBCb251cyBhY3Rpb27igJlzIG9uIHRoZSBpY2Uh?=</f>
        <v>#ERROR!</v>
      </c>
      <c r="E1697" s="1" t="s">
        <v>1577</v>
      </c>
    </row>
    <row r="1698">
      <c r="A1698" s="2">
        <v>45792.597025462965</v>
      </c>
      <c r="B1698" s="1" t="s">
        <v>844</v>
      </c>
      <c r="C1698" s="1" t="s">
        <v>845</v>
      </c>
      <c r="D1698" s="1" t="s">
        <v>1470</v>
      </c>
      <c r="E1698" s="1" t="s">
        <v>847</v>
      </c>
    </row>
    <row r="1699">
      <c r="A1699" s="2">
        <v>45792.74130787037</v>
      </c>
      <c r="B1699" s="1" t="s">
        <v>1108</v>
      </c>
      <c r="C1699" s="1" t="s">
        <v>849</v>
      </c>
      <c r="D1699" s="1" t="s">
        <v>1578</v>
      </c>
      <c r="E1699" s="1" t="s">
        <v>1534</v>
      </c>
    </row>
    <row r="1700">
      <c r="A1700" s="2">
        <v>45793.59074074074</v>
      </c>
      <c r="B1700" s="1" t="s">
        <v>857</v>
      </c>
      <c r="C1700" s="1" t="s">
        <v>845</v>
      </c>
      <c r="D1700" s="1" t="s">
        <v>1532</v>
      </c>
      <c r="E1700" s="1" t="s">
        <v>847</v>
      </c>
    </row>
    <row r="1701">
      <c r="A1701" s="2">
        <v>45793.8025</v>
      </c>
      <c r="B1701" s="1" t="s">
        <v>1579</v>
      </c>
      <c r="C1701" s="1" t="s">
        <v>845</v>
      </c>
      <c r="D1701" s="3" t="str">
        <f>?UTF-8?q?You=E2=80=99re_missing_our_biggest_member_event!?=</f>
        <v>#ERROR!</v>
      </c>
      <c r="E1701" s="1" t="s">
        <v>908</v>
      </c>
    </row>
    <row r="1702">
      <c r="A1702" s="2">
        <v>45794.06655092593</v>
      </c>
      <c r="B1702" s="1" t="s">
        <v>1580</v>
      </c>
      <c r="C1702" s="1" t="s">
        <v>1105</v>
      </c>
      <c r="D1702" s="1" t="s">
        <v>1581</v>
      </c>
      <c r="E1702" s="1" t="s">
        <v>1582</v>
      </c>
    </row>
    <row r="1703">
      <c r="A1703" s="2">
        <v>45794.06760416667</v>
      </c>
      <c r="B1703" s="1" t="s">
        <v>1311</v>
      </c>
      <c r="C1703" s="1" t="s">
        <v>1580</v>
      </c>
      <c r="D1703" s="1" t="s">
        <v>1583</v>
      </c>
      <c r="E1703" s="1" t="s">
        <v>1584</v>
      </c>
    </row>
    <row r="1704">
      <c r="A1704" s="2">
        <v>45794.47269675926</v>
      </c>
      <c r="B1704" s="1" t="s">
        <v>1579</v>
      </c>
      <c r="C1704" s="1" t="s">
        <v>845</v>
      </c>
      <c r="D1704" s="1" t="s">
        <v>1585</v>
      </c>
      <c r="E1704" s="1" t="s">
        <v>908</v>
      </c>
    </row>
    <row r="1705">
      <c r="A1705" s="2">
        <v>45794.29335648148</v>
      </c>
      <c r="B1705" s="1" t="s">
        <v>1317</v>
      </c>
      <c r="C1705" s="1" t="s">
        <v>849</v>
      </c>
      <c r="D1705" s="3" t="str">
        <f>?UTF-8?B?V2XigJl2ZSBnb3QgYSBmcmVzaCBiYXRjaCBvZiBleGNpdGVtZW50?=
 =?UTF-8?B?IQ==?=</f>
        <v>#ERROR!</v>
      </c>
      <c r="E1705" s="1" t="s">
        <v>1586</v>
      </c>
    </row>
    <row r="1706">
      <c r="A1706" s="2">
        <v>45794.631215277775</v>
      </c>
      <c r="B1706" s="1" t="s">
        <v>1587</v>
      </c>
      <c r="C1706" s="1" t="s">
        <v>845</v>
      </c>
      <c r="D1706" s="1" t="s">
        <v>1588</v>
      </c>
      <c r="E1706" s="1" t="s">
        <v>1589</v>
      </c>
    </row>
    <row r="1707">
      <c r="A1707" s="2">
        <v>45795.294386574074</v>
      </c>
      <c r="B1707" s="1" t="s">
        <v>1317</v>
      </c>
      <c r="C1707" s="1" t="s">
        <v>849</v>
      </c>
      <c r="D1707" s="3" t="str">
        <f>?UTF-8?B?WW91ciBCb251cyBhY3Rpb27igJlzIG9uIHRoZSBpY2Uh?=</f>
        <v>#ERROR!</v>
      </c>
      <c r="E1707" s="1" t="s">
        <v>1590</v>
      </c>
    </row>
    <row r="1708">
      <c r="A1708" s="2">
        <v>45795.784537037034</v>
      </c>
      <c r="B1708" s="1" t="s">
        <v>844</v>
      </c>
      <c r="C1708" s="1" t="s">
        <v>845</v>
      </c>
      <c r="D1708" s="3" t="str">
        <f>?UTF-8?q?Shop_the_new_items_that_are_on_everyone=E2=80=99s_list?=</f>
        <v>#ERROR!</v>
      </c>
      <c r="E1708" s="1" t="s">
        <v>847</v>
      </c>
    </row>
    <row r="1709">
      <c r="A1709" s="2">
        <v>45796.433587962965</v>
      </c>
      <c r="B1709" s="1" t="s">
        <v>865</v>
      </c>
      <c r="C1709" s="1" t="s">
        <v>1036</v>
      </c>
      <c r="D1709" s="3" t="str">
        <f>?UTF-8?q?Maximize_your_ride_savings_with_Uber_One_=F0=9F=92=B8?=</f>
        <v>#ERROR!</v>
      </c>
      <c r="E1709" s="1" t="s">
        <v>847</v>
      </c>
    </row>
    <row r="1710">
      <c r="A1710" s="2">
        <v>45796.43690972222</v>
      </c>
      <c r="B1710" s="1" t="s">
        <v>857</v>
      </c>
      <c r="C1710" s="1" t="s">
        <v>845</v>
      </c>
      <c r="D1710" s="1" t="s">
        <v>1368</v>
      </c>
      <c r="E1710" s="1" t="s">
        <v>847</v>
      </c>
    </row>
    <row r="1711">
      <c r="A1711" s="2">
        <v>45796.51725694445</v>
      </c>
      <c r="B1711" s="1" t="s">
        <v>1480</v>
      </c>
      <c r="C1711" s="1" t="s">
        <v>845</v>
      </c>
      <c r="D1711" s="3" t="str">
        <f>?utf-8?q?WHEN_A_MAN_GENUINELY_LOVES_YOU=3A__These_are_some_of_the_strongest?=
 =?utf-8?q?_signs_a_man_is_in_lov=2E=2E=2E?=</f>
        <v>#ERROR!</v>
      </c>
      <c r="E1711" s="1" t="s">
        <v>1591</v>
      </c>
    </row>
    <row r="1712">
      <c r="A1712" s="2">
        <v>45796.293391203704</v>
      </c>
      <c r="B1712" s="1" t="s">
        <v>1317</v>
      </c>
      <c r="C1712" s="1" t="s">
        <v>849</v>
      </c>
      <c r="D1712" s="1" t="s">
        <v>1592</v>
      </c>
      <c r="E1712" s="1" t="s">
        <v>1593</v>
      </c>
    </row>
    <row r="1713">
      <c r="A1713" s="2">
        <v>45796.66318287037</v>
      </c>
      <c r="B1713" s="1" t="s">
        <v>844</v>
      </c>
      <c r="C1713" s="1" t="s">
        <v>845</v>
      </c>
      <c r="D1713" s="1" t="s">
        <v>1594</v>
      </c>
      <c r="E1713" s="1" t="s">
        <v>847</v>
      </c>
    </row>
    <row r="1714">
      <c r="A1714" s="2">
        <v>45797.128645833334</v>
      </c>
      <c r="B1714" s="1" t="s">
        <v>1539</v>
      </c>
      <c r="C1714" s="1" t="s">
        <v>845</v>
      </c>
      <c r="D1714" s="3" t="str">
        <f>?utf-8?Q?Oh=20no!=20Your=20Dynamic=20QR=20Codes=20will=20expire=20in=203=20days?=</f>
        <v>#ERROR!</v>
      </c>
      <c r="E1714" s="1" t="s">
        <v>1595</v>
      </c>
    </row>
    <row r="1715">
      <c r="A1715" s="2">
        <v>45797.337222222224</v>
      </c>
      <c r="B1715" s="1" t="s">
        <v>1596</v>
      </c>
      <c r="C1715" s="1" t="s">
        <v>1105</v>
      </c>
      <c r="D1715" s="3" t="str">
        <f>?UTF-8?B?8J+RpQ==?= Stop building alone</f>
        <v>#ERROR!</v>
      </c>
      <c r="E1715" s="1" t="s">
        <v>1597</v>
      </c>
    </row>
    <row r="1716">
      <c r="A1716" s="2">
        <v>45797.29349537037</v>
      </c>
      <c r="B1716" s="1" t="s">
        <v>1317</v>
      </c>
      <c r="C1716" s="1" t="s">
        <v>849</v>
      </c>
      <c r="D1716" s="3" t="str">
        <f>?UTF-8?B?U2VlIHdoYXQgZXZlcnlvbmXigJlzIHRhbGtpbmcgYWJvdXQ=?=</f>
        <v>#ERROR!</v>
      </c>
      <c r="E1716" s="1" t="s">
        <v>1598</v>
      </c>
    </row>
    <row r="1717">
      <c r="A1717" s="2">
        <v>45797.546273148146</v>
      </c>
      <c r="B1717" s="1" t="s">
        <v>1564</v>
      </c>
      <c r="C1717" s="1" t="s">
        <v>845</v>
      </c>
      <c r="D1717" s="1" t="s">
        <v>1599</v>
      </c>
      <c r="E1717" s="1" t="s">
        <v>1600</v>
      </c>
    </row>
    <row r="1718">
      <c r="A1718" s="2">
        <v>45797.66886574074</v>
      </c>
      <c r="B1718" s="1" t="s">
        <v>857</v>
      </c>
      <c r="C1718" s="1" t="s">
        <v>1036</v>
      </c>
      <c r="D1718" s="3" t="str">
        <f>?UTF-8?q?30%_off_your_next__order_-_just_for_you_=F0=9F=91=80?=</f>
        <v>#ERROR!</v>
      </c>
      <c r="E1718" s="1" t="s">
        <v>847</v>
      </c>
    </row>
    <row r="1719">
      <c r="A1719" s="2">
        <v>45797.69976851852</v>
      </c>
      <c r="B1719" s="1" t="s">
        <v>329</v>
      </c>
      <c r="C1719" s="1" t="s">
        <v>1036</v>
      </c>
      <c r="D1719" s="3" t="str">
        <f>?ISO-8859-1?Q?Your_recent_download_with_your_Apple=A0Account?=</f>
        <v>#ERROR!</v>
      </c>
      <c r="E1719" s="1" t="s">
        <v>1601</v>
      </c>
    </row>
    <row r="1720">
      <c r="A1720" s="2">
        <v>45797.7049537037</v>
      </c>
      <c r="B1720" s="1" t="s">
        <v>860</v>
      </c>
      <c r="C1720" s="1" t="s">
        <v>849</v>
      </c>
      <c r="D1720" s="3" t="str">
        <f>?utf-8?q?50%_off_your_next_3_orders_-_just_for_you_=F0=9F=91=80?=</f>
        <v>#ERROR!</v>
      </c>
      <c r="E1720" s="1" t="s">
        <v>851</v>
      </c>
    </row>
    <row r="1721">
      <c r="A1721" s="2">
        <v>45797.90665509259</v>
      </c>
      <c r="B1721" s="1" t="s">
        <v>860</v>
      </c>
      <c r="C1721" s="1" t="s">
        <v>1602</v>
      </c>
      <c r="D1721" s="1" t="s">
        <v>997</v>
      </c>
      <c r="E1721" s="1" t="s">
        <v>851</v>
      </c>
    </row>
    <row r="1722">
      <c r="A1722" s="2">
        <v>45797.908587962964</v>
      </c>
      <c r="B1722" s="1" t="s">
        <v>860</v>
      </c>
      <c r="C1722" s="1" t="s">
        <v>849</v>
      </c>
      <c r="D1722" s="1" t="s">
        <v>861</v>
      </c>
      <c r="E1722" s="1" t="s">
        <v>851</v>
      </c>
    </row>
    <row r="1723">
      <c r="A1723" s="2">
        <v>45798.05863425926</v>
      </c>
      <c r="B1723" s="1" t="s">
        <v>1571</v>
      </c>
      <c r="C1723" s="1" t="s">
        <v>1036</v>
      </c>
      <c r="D1723" s="1" t="s">
        <v>1603</v>
      </c>
      <c r="E1723" s="1" t="s">
        <v>1604</v>
      </c>
    </row>
    <row r="1724">
      <c r="A1724" s="2">
        <v>45798.29482638889</v>
      </c>
      <c r="B1724" s="1" t="s">
        <v>1317</v>
      </c>
      <c r="C1724" s="1" t="s">
        <v>849</v>
      </c>
      <c r="D1724" s="3" t="str">
        <f>?UTF-8?B?WW91ciBCb251cyBhY3Rpb27igJlzIG9uIHRoZSBpY2Uh?=</f>
        <v>#ERROR!</v>
      </c>
      <c r="E1724" s="1" t="s">
        <v>1605</v>
      </c>
    </row>
    <row r="1725">
      <c r="A1725" s="2">
        <v>45798.621828703705</v>
      </c>
      <c r="B1725" s="1" t="s">
        <v>1108</v>
      </c>
      <c r="C1725" s="1" t="s">
        <v>849</v>
      </c>
      <c r="D1725" s="1" t="s">
        <v>1606</v>
      </c>
      <c r="E1725" s="1" t="s">
        <v>1534</v>
      </c>
    </row>
    <row r="1726">
      <c r="A1726" s="2">
        <v>45799.29341435185</v>
      </c>
      <c r="B1726" s="1" t="s">
        <v>1317</v>
      </c>
      <c r="C1726" s="1" t="s">
        <v>849</v>
      </c>
      <c r="D1726" s="1" t="s">
        <v>1607</v>
      </c>
      <c r="E1726" s="1" t="s">
        <v>1608</v>
      </c>
    </row>
    <row r="1727">
      <c r="A1727" s="2">
        <v>45799.84137731481</v>
      </c>
      <c r="B1727" s="1" t="s">
        <v>844</v>
      </c>
      <c r="C1727" s="1" t="s">
        <v>845</v>
      </c>
      <c r="D1727" s="1" t="s">
        <v>1609</v>
      </c>
      <c r="E1727" s="1" t="s">
        <v>847</v>
      </c>
    </row>
    <row r="1728">
      <c r="A1728" s="2">
        <v>45800.128796296296</v>
      </c>
      <c r="B1728" s="1" t="s">
        <v>1539</v>
      </c>
      <c r="C1728" s="1" t="s">
        <v>845</v>
      </c>
      <c r="D1728" s="3" t="str">
        <f>?utf-8?Q?Your=20QR=20Code=20Generator=20trial=20ended=20today?=</f>
        <v>#ERROR!</v>
      </c>
      <c r="E1728" s="1" t="s">
        <v>1610</v>
      </c>
    </row>
    <row r="1729">
      <c r="A1729" s="2">
        <v>45799.90862268519</v>
      </c>
      <c r="B1729" s="1" t="s">
        <v>1108</v>
      </c>
      <c r="C1729" s="1" t="s">
        <v>849</v>
      </c>
      <c r="D1729" s="3" t="str">
        <f>?windows-1252?Q?Don=92t_miss_out!_Upgrade_and_save_up_to_$1=2C620?=
 =?windows-1252?Q?=2E__?=</f>
        <v>#ERROR!</v>
      </c>
      <c r="E1729" s="1" t="s">
        <v>1534</v>
      </c>
    </row>
    <row r="1730">
      <c r="A1730" s="2">
        <v>45800.443819444445</v>
      </c>
      <c r="B1730" s="1" t="s">
        <v>1611</v>
      </c>
      <c r="C1730" s="1" t="s">
        <v>1602</v>
      </c>
      <c r="D1730" s="3" t="str">
        <f>?utf-8?q?Paul,_50%_off_of_groceries_and_essentials=E2=80=94just_for_you!?=</f>
        <v>#ERROR!</v>
      </c>
      <c r="E1730" s="1" t="s">
        <v>851</v>
      </c>
    </row>
    <row r="1731">
      <c r="A1731" s="2">
        <v>45800.294027777774</v>
      </c>
      <c r="B1731" s="1" t="s">
        <v>1317</v>
      </c>
      <c r="C1731" s="1" t="s">
        <v>849</v>
      </c>
      <c r="D1731" s="3" t="str">
        <f>?UTF-8?B?WW91ciBCb251cyBhY3Rpb27igJlzIG9uIHRoZSBpY2Uh?=</f>
        <v>#ERROR!</v>
      </c>
      <c r="E1731" s="1" t="s">
        <v>1612</v>
      </c>
    </row>
    <row r="1732">
      <c r="A1732" s="2">
        <v>45800.650405092594</v>
      </c>
      <c r="B1732" s="1" t="s">
        <v>857</v>
      </c>
      <c r="C1732" s="1" t="s">
        <v>845</v>
      </c>
      <c r="D1732" s="1" t="s">
        <v>1532</v>
      </c>
      <c r="E1732" s="1" t="s">
        <v>847</v>
      </c>
    </row>
    <row r="1733">
      <c r="A1733" s="2">
        <v>45800.96525462963</v>
      </c>
      <c r="B1733" s="1" t="s">
        <v>1229</v>
      </c>
      <c r="C1733" s="1" t="s">
        <v>845</v>
      </c>
      <c r="D1733" s="1" t="s">
        <v>1613</v>
      </c>
      <c r="E1733" s="1" t="s">
        <v>1614</v>
      </c>
    </row>
    <row r="1734">
      <c r="A1734" s="2">
        <v>45801.33415509259</v>
      </c>
      <c r="B1734" s="1" t="s">
        <v>1317</v>
      </c>
      <c r="C1734" s="1" t="s">
        <v>849</v>
      </c>
      <c r="D1734" s="1" t="s">
        <v>1615</v>
      </c>
      <c r="E1734" s="1" t="s">
        <v>1616</v>
      </c>
    </row>
    <row r="1735">
      <c r="A1735" s="2">
        <v>45801.72482638889</v>
      </c>
      <c r="B1735" s="1" t="s">
        <v>1311</v>
      </c>
      <c r="C1735" s="1" t="s">
        <v>1111</v>
      </c>
      <c r="D1735" s="1" t="s">
        <v>1617</v>
      </c>
      <c r="E1735" s="1" t="s">
        <v>1618</v>
      </c>
    </row>
    <row r="1736">
      <c r="A1736" s="2">
        <v>45801.86050925926</v>
      </c>
      <c r="B1736" s="1" t="s">
        <v>1111</v>
      </c>
      <c r="C1736" s="1" t="s">
        <v>1311</v>
      </c>
      <c r="D1736" s="1" t="s">
        <v>1617</v>
      </c>
      <c r="E1736" s="1" t="s">
        <v>1619</v>
      </c>
    </row>
    <row r="1737">
      <c r="A1737" s="2">
        <v>45801.8618287037</v>
      </c>
      <c r="B1737" s="1" t="s">
        <v>1311</v>
      </c>
      <c r="C1737" s="1" t="s">
        <v>1111</v>
      </c>
      <c r="D1737" s="1" t="s">
        <v>1617</v>
      </c>
      <c r="E1737" s="1" t="s">
        <v>1620</v>
      </c>
    </row>
    <row r="1738">
      <c r="A1738" s="2">
        <v>45801.86357638889</v>
      </c>
      <c r="B1738" s="1" t="s">
        <v>1311</v>
      </c>
      <c r="C1738" s="1" t="s">
        <v>1111</v>
      </c>
      <c r="D1738" s="1" t="s">
        <v>1617</v>
      </c>
      <c r="E1738" s="1" t="s">
        <v>1621</v>
      </c>
    </row>
    <row r="1739">
      <c r="A1739" s="2">
        <v>45801.870254629626</v>
      </c>
      <c r="B1739" s="1" t="s">
        <v>1111</v>
      </c>
      <c r="C1739" s="1" t="s">
        <v>1311</v>
      </c>
      <c r="D1739" s="1" t="s">
        <v>1617</v>
      </c>
      <c r="E1739" s="1" t="s">
        <v>1622</v>
      </c>
    </row>
    <row r="1740">
      <c r="A1740" s="2">
        <v>45801.87158564815</v>
      </c>
      <c r="B1740" s="1" t="s">
        <v>1311</v>
      </c>
      <c r="C1740" s="1" t="s">
        <v>1111</v>
      </c>
      <c r="D1740" s="1" t="s">
        <v>1617</v>
      </c>
      <c r="E1740" s="1" t="s">
        <v>1623</v>
      </c>
    </row>
    <row r="1741">
      <c r="A1741" s="2">
        <v>45801.87253472222</v>
      </c>
      <c r="B1741" s="1" t="s">
        <v>1111</v>
      </c>
      <c r="C1741" s="1" t="s">
        <v>1311</v>
      </c>
      <c r="D1741" s="1" t="s">
        <v>1617</v>
      </c>
      <c r="E1741" s="1" t="s">
        <v>1624</v>
      </c>
    </row>
    <row r="1742">
      <c r="A1742" s="2">
        <v>45801.87420138889</v>
      </c>
      <c r="B1742" s="1" t="s">
        <v>1111</v>
      </c>
      <c r="C1742" s="1" t="s">
        <v>1311</v>
      </c>
      <c r="D1742" s="1" t="s">
        <v>1617</v>
      </c>
      <c r="E1742" s="1" t="s">
        <v>1625</v>
      </c>
    </row>
    <row r="1743">
      <c r="A1743" s="2">
        <v>45801.87451388889</v>
      </c>
      <c r="B1743" s="1" t="s">
        <v>1111</v>
      </c>
      <c r="C1743" s="1" t="s">
        <v>1311</v>
      </c>
      <c r="D1743" s="1" t="s">
        <v>1617</v>
      </c>
      <c r="E1743" s="1" t="s">
        <v>1626</v>
      </c>
    </row>
    <row r="1744">
      <c r="A1744" s="2">
        <v>45801.874976851854</v>
      </c>
      <c r="B1744" s="1" t="s">
        <v>1111</v>
      </c>
      <c r="C1744" s="1" t="s">
        <v>1311</v>
      </c>
      <c r="D1744" s="1" t="s">
        <v>1617</v>
      </c>
      <c r="E1744" s="1" t="s">
        <v>1627</v>
      </c>
    </row>
    <row r="1745">
      <c r="A1745" s="2">
        <v>45801.8750462963</v>
      </c>
      <c r="B1745" s="1" t="s">
        <v>1311</v>
      </c>
      <c r="C1745" s="1" t="s">
        <v>1111</v>
      </c>
      <c r="D1745" s="1" t="s">
        <v>1617</v>
      </c>
      <c r="E1745" s="1" t="s">
        <v>1628</v>
      </c>
    </row>
    <row r="1746">
      <c r="A1746" s="2">
        <v>45801.87533564815</v>
      </c>
      <c r="B1746" s="1" t="s">
        <v>1311</v>
      </c>
      <c r="C1746" s="1" t="s">
        <v>1111</v>
      </c>
      <c r="D1746" s="1" t="s">
        <v>1617</v>
      </c>
      <c r="E1746" s="1" t="s">
        <v>1629</v>
      </c>
    </row>
    <row r="1747">
      <c r="A1747" s="2">
        <v>45801.87559027778</v>
      </c>
      <c r="B1747" s="1" t="s">
        <v>1311</v>
      </c>
      <c r="C1747" s="1" t="s">
        <v>1111</v>
      </c>
      <c r="D1747" s="1" t="s">
        <v>1617</v>
      </c>
      <c r="E1747" s="1" t="s">
        <v>1630</v>
      </c>
    </row>
    <row r="1748">
      <c r="A1748" s="2">
        <v>45801.88064814815</v>
      </c>
      <c r="B1748" s="1" t="s">
        <v>1311</v>
      </c>
      <c r="C1748" s="1" t="s">
        <v>1111</v>
      </c>
      <c r="D1748" s="1" t="s">
        <v>1617</v>
      </c>
      <c r="E1748" s="1" t="s">
        <v>1631</v>
      </c>
    </row>
    <row r="1749">
      <c r="A1749" s="2">
        <v>45801.881516203706</v>
      </c>
      <c r="B1749" s="1" t="s">
        <v>1311</v>
      </c>
      <c r="C1749" s="1" t="s">
        <v>1111</v>
      </c>
      <c r="D1749" s="1" t="s">
        <v>1617</v>
      </c>
      <c r="E1749" s="1" t="s">
        <v>1632</v>
      </c>
    </row>
    <row r="1750">
      <c r="A1750" s="2">
        <v>45801.88177083333</v>
      </c>
      <c r="B1750" s="1" t="s">
        <v>1311</v>
      </c>
      <c r="C1750" s="1" t="s">
        <v>1111</v>
      </c>
      <c r="D1750" s="1" t="s">
        <v>1617</v>
      </c>
      <c r="E1750" s="1" t="s">
        <v>1633</v>
      </c>
    </row>
    <row r="1751">
      <c r="A1751" s="2">
        <v>45801.8840162037</v>
      </c>
      <c r="B1751" s="1" t="s">
        <v>1311</v>
      </c>
      <c r="C1751" s="1" t="s">
        <v>1111</v>
      </c>
      <c r="D1751" s="1" t="s">
        <v>1617</v>
      </c>
      <c r="E1751" s="1" t="s">
        <v>1634</v>
      </c>
    </row>
    <row r="1752">
      <c r="A1752" s="2">
        <v>45801.89020833333</v>
      </c>
      <c r="B1752" s="1" t="s">
        <v>1311</v>
      </c>
      <c r="C1752" s="1" t="s">
        <v>1111</v>
      </c>
      <c r="D1752" s="1" t="s">
        <v>1617</v>
      </c>
      <c r="E1752" s="1" t="s">
        <v>1635</v>
      </c>
    </row>
    <row r="1753">
      <c r="A1753" s="2">
        <v>45801.949641203704</v>
      </c>
      <c r="B1753" s="1" t="s">
        <v>1111</v>
      </c>
      <c r="C1753" s="1" t="s">
        <v>1311</v>
      </c>
      <c r="D1753" s="1" t="s">
        <v>1617</v>
      </c>
      <c r="E1753" s="1" t="s">
        <v>1636</v>
      </c>
    </row>
    <row r="1754">
      <c r="A1754" s="2">
        <v>45801.95060185185</v>
      </c>
      <c r="B1754" s="1" t="s">
        <v>1111</v>
      </c>
      <c r="C1754" s="1" t="s">
        <v>1311</v>
      </c>
      <c r="D1754" s="1" t="s">
        <v>1617</v>
      </c>
      <c r="E1754" s="1" t="s">
        <v>1637</v>
      </c>
    </row>
    <row r="1755">
      <c r="A1755" s="2">
        <v>45801.95141203704</v>
      </c>
      <c r="B1755" s="1" t="s">
        <v>1311</v>
      </c>
      <c r="C1755" s="1" t="s">
        <v>1111</v>
      </c>
      <c r="D1755" s="1" t="s">
        <v>1617</v>
      </c>
      <c r="E1755" s="1" t="s">
        <v>1638</v>
      </c>
    </row>
    <row r="1756">
      <c r="A1756" s="2">
        <v>45801.951944444445</v>
      </c>
      <c r="B1756" s="1" t="s">
        <v>1311</v>
      </c>
      <c r="C1756" s="1" t="s">
        <v>1111</v>
      </c>
      <c r="D1756" s="1" t="s">
        <v>1617</v>
      </c>
      <c r="E1756" s="1" t="s">
        <v>1639</v>
      </c>
    </row>
    <row r="1757">
      <c r="A1757" s="2">
        <v>45801.954050925924</v>
      </c>
      <c r="B1757" s="1" t="s">
        <v>1311</v>
      </c>
      <c r="C1757" s="1" t="s">
        <v>1111</v>
      </c>
      <c r="D1757" s="1" t="s">
        <v>1617</v>
      </c>
      <c r="E1757" s="1" t="s">
        <v>1640</v>
      </c>
    </row>
    <row r="1758">
      <c r="A1758" s="2">
        <v>45801.955092592594</v>
      </c>
      <c r="B1758" s="1" t="s">
        <v>1311</v>
      </c>
      <c r="C1758" s="1" t="s">
        <v>1111</v>
      </c>
      <c r="D1758" s="1" t="s">
        <v>1617</v>
      </c>
      <c r="E1758" s="1" t="s">
        <v>1641</v>
      </c>
    </row>
    <row r="1759">
      <c r="A1759" s="2">
        <v>45801.95559027778</v>
      </c>
      <c r="B1759" s="1" t="s">
        <v>1311</v>
      </c>
      <c r="C1759" s="1" t="s">
        <v>1111</v>
      </c>
      <c r="D1759" s="1" t="s">
        <v>1617</v>
      </c>
      <c r="E1759" s="1" t="s">
        <v>1642</v>
      </c>
    </row>
    <row r="1760">
      <c r="A1760" s="2">
        <v>45801.95618055556</v>
      </c>
      <c r="B1760" s="1" t="s">
        <v>1311</v>
      </c>
      <c r="C1760" s="1" t="s">
        <v>1111</v>
      </c>
      <c r="D1760" s="1" t="s">
        <v>1617</v>
      </c>
      <c r="E1760" s="1" t="s">
        <v>1643</v>
      </c>
    </row>
    <row r="1761">
      <c r="A1761" s="2">
        <v>45802.0053125</v>
      </c>
      <c r="B1761" s="1" t="s">
        <v>1311</v>
      </c>
      <c r="C1761" s="1" t="s">
        <v>1111</v>
      </c>
      <c r="D1761" s="1" t="s">
        <v>1617</v>
      </c>
      <c r="E1761" s="1" t="s">
        <v>1644</v>
      </c>
    </row>
    <row r="1762">
      <c r="A1762" s="2">
        <v>45802.44611111111</v>
      </c>
      <c r="B1762" s="1" t="s">
        <v>848</v>
      </c>
      <c r="C1762" s="1" t="s">
        <v>1602</v>
      </c>
      <c r="D1762" s="1" t="s">
        <v>1645</v>
      </c>
      <c r="E1762" s="1" t="s">
        <v>851</v>
      </c>
    </row>
    <row r="1763">
      <c r="A1763" s="2">
        <v>45802.293333333335</v>
      </c>
      <c r="B1763" s="1" t="s">
        <v>1317</v>
      </c>
      <c r="C1763" s="1" t="s">
        <v>849</v>
      </c>
      <c r="D1763" s="3" t="str">
        <f>?UTF-8?B?RG9u4oCZdCBvcGVuIHRoaXPigKYgdW5sZXNzIHlvdSBsb3ZlIHN1?=
 =?UTF-8?B?cnByaXNlcyE=?=</f>
        <v>#ERROR!</v>
      </c>
      <c r="E1763" s="1" t="s">
        <v>1646</v>
      </c>
    </row>
    <row r="1764">
      <c r="A1764" s="2">
        <v>45802.56123842593</v>
      </c>
      <c r="B1764" s="1" t="s">
        <v>1311</v>
      </c>
      <c r="C1764" s="1" t="s">
        <v>1111</v>
      </c>
      <c r="D1764" s="1" t="s">
        <v>1617</v>
      </c>
      <c r="E1764" s="1" t="s">
        <v>1647</v>
      </c>
    </row>
    <row r="1765">
      <c r="A1765" s="2">
        <v>45802.881944444445</v>
      </c>
      <c r="B1765" s="1" t="s">
        <v>1311</v>
      </c>
      <c r="C1765" s="1" t="s">
        <v>1111</v>
      </c>
      <c r="D1765" s="1" t="s">
        <v>1617</v>
      </c>
      <c r="E1765" s="1" t="s">
        <v>1648</v>
      </c>
    </row>
    <row r="1766">
      <c r="A1766" s="2">
        <v>45802.991631944446</v>
      </c>
      <c r="B1766" s="1" t="s">
        <v>1311</v>
      </c>
      <c r="C1766" s="1" t="s">
        <v>1649</v>
      </c>
      <c r="E1766" s="1" t="s">
        <v>1650</v>
      </c>
    </row>
    <row r="1767">
      <c r="A1767" s="2">
        <v>45803.45518518519</v>
      </c>
      <c r="B1767" s="1" t="s">
        <v>857</v>
      </c>
      <c r="C1767" s="1" t="s">
        <v>845</v>
      </c>
      <c r="D1767" s="1" t="s">
        <v>1368</v>
      </c>
      <c r="E1767" s="1" t="s">
        <v>847</v>
      </c>
    </row>
    <row r="1768">
      <c r="A1768" s="2">
        <v>45803.293333333335</v>
      </c>
      <c r="B1768" s="1" t="s">
        <v>1317</v>
      </c>
      <c r="C1768" s="1" t="s">
        <v>849</v>
      </c>
      <c r="D1768" s="3" t="str">
        <f>?UTF-8?B?V2UgaGF2ZSBhIHNlY3JldCB0byBzaGFyZSB3aXRoIHlvdeKApg==?=</f>
        <v>#ERROR!</v>
      </c>
      <c r="E1768" s="1" t="s">
        <v>1651</v>
      </c>
    </row>
    <row r="1769">
      <c r="A1769" s="2">
        <v>45803.76582175926</v>
      </c>
      <c r="B1769" s="1" t="s">
        <v>844</v>
      </c>
      <c r="C1769" s="1" t="s">
        <v>845</v>
      </c>
      <c r="D1769" s="3" t="str">
        <f>?UTF-8?q?Check_out_what=E2=80=99s_popular_right_now?=</f>
        <v>#ERROR!</v>
      </c>
      <c r="E1769" s="1" t="s">
        <v>847</v>
      </c>
    </row>
    <row r="1770">
      <c r="A1770" s="2">
        <v>45803.98451388889</v>
      </c>
      <c r="B1770" s="1" t="s">
        <v>857</v>
      </c>
      <c r="C1770" s="1" t="s">
        <v>1036</v>
      </c>
      <c r="D1770" s="1" t="s">
        <v>858</v>
      </c>
      <c r="E1770" s="1" t="s">
        <v>847</v>
      </c>
    </row>
    <row r="1771">
      <c r="A1771" s="2">
        <v>45804.437997685185</v>
      </c>
      <c r="B1771" s="1" t="s">
        <v>857</v>
      </c>
      <c r="C1771" s="1" t="s">
        <v>845</v>
      </c>
      <c r="D1771" s="3" t="str">
        <f>?UTF-8?q?50%_off_your_next_3_orders_-_just_for_you_=F0=9F=91=80?=</f>
        <v>#ERROR!</v>
      </c>
      <c r="E1771" s="1" t="s">
        <v>847</v>
      </c>
    </row>
    <row r="1772">
      <c r="A1772" s="2">
        <v>45804.596400462964</v>
      </c>
      <c r="B1772" s="1" t="s">
        <v>1564</v>
      </c>
      <c r="C1772" s="1" t="s">
        <v>845</v>
      </c>
      <c r="D1772" s="1" t="s">
        <v>1652</v>
      </c>
      <c r="E1772" s="1" t="s">
        <v>1653</v>
      </c>
    </row>
    <row r="1773">
      <c r="A1773" s="2">
        <v>45804.65857638889</v>
      </c>
      <c r="B1773" s="1" t="s">
        <v>857</v>
      </c>
      <c r="C1773" s="1" t="s">
        <v>845</v>
      </c>
      <c r="D1773" s="1" t="s">
        <v>861</v>
      </c>
      <c r="E1773" s="1" t="s">
        <v>847</v>
      </c>
    </row>
    <row r="1774">
      <c r="A1774" s="2">
        <v>45804.870462962965</v>
      </c>
      <c r="B1774" s="1" t="s">
        <v>844</v>
      </c>
      <c r="C1774" s="1" t="s">
        <v>1036</v>
      </c>
      <c r="D1774" s="1" t="s">
        <v>1654</v>
      </c>
      <c r="E1774" s="1" t="s">
        <v>847</v>
      </c>
    </row>
    <row r="1775">
      <c r="A1775" s="2">
        <v>45805.0834837963</v>
      </c>
      <c r="B1775" s="1" t="s">
        <v>1655</v>
      </c>
      <c r="C1775" s="1" t="s">
        <v>849</v>
      </c>
      <c r="D1775" s="1" t="s">
        <v>1656</v>
      </c>
      <c r="E1775" s="1" t="s">
        <v>1657</v>
      </c>
    </row>
    <row r="1776">
      <c r="A1776" s="2">
        <v>45805.517372685186</v>
      </c>
      <c r="B1776" s="1" t="s">
        <v>844</v>
      </c>
      <c r="C1776" s="1" t="s">
        <v>845</v>
      </c>
      <c r="D1776" s="1" t="s">
        <v>1658</v>
      </c>
      <c r="E1776" s="1" t="s">
        <v>847</v>
      </c>
    </row>
    <row r="1777">
      <c r="A1777" s="2">
        <v>45805.29314814815</v>
      </c>
      <c r="B1777" s="1" t="s">
        <v>1317</v>
      </c>
      <c r="C1777" s="1" t="s">
        <v>849</v>
      </c>
      <c r="D1777" s="3" t="str">
        <f>?UTF-8?B?SXTigJlzIHRpbWUgdG8gaGl0IOKAmHBsYXnigJkgYWdhaW4h?=</f>
        <v>#ERROR!</v>
      </c>
      <c r="E1777" s="1" t="s">
        <v>1659</v>
      </c>
    </row>
    <row r="1778">
      <c r="A1778" s="2">
        <v>45806.1277662037</v>
      </c>
      <c r="B1778" s="1" t="s">
        <v>1311</v>
      </c>
      <c r="C1778" s="1" t="s">
        <v>1660</v>
      </c>
      <c r="D1778" s="1" t="s">
        <v>1583</v>
      </c>
      <c r="E1778" s="1" t="s">
        <v>1661</v>
      </c>
    </row>
    <row r="1779">
      <c r="A1779" s="2">
        <v>45806.29318287037</v>
      </c>
      <c r="B1779" s="1" t="s">
        <v>1317</v>
      </c>
      <c r="C1779" s="1" t="s">
        <v>849</v>
      </c>
      <c r="D1779" s="1" t="s">
        <v>1662</v>
      </c>
      <c r="E1779" s="1" t="s">
        <v>1663</v>
      </c>
    </row>
    <row r="1780">
      <c r="A1780" s="2">
        <v>45807.29332175926</v>
      </c>
      <c r="B1780" s="1" t="s">
        <v>1317</v>
      </c>
      <c r="C1780" s="1" t="s">
        <v>849</v>
      </c>
      <c r="D1780" s="3" t="str">
        <f>?UTF-8?B?UmVhZHkgZm9yIGEgd2hvbGUgbG90IG9mIGZ1bj8gSXTigJlzIHdh?=
 =?UTF-8?B?aXRpbmcgaW5zaWRlIQ==?=</f>
        <v>#ERROR!</v>
      </c>
      <c r="E1780" s="1" t="s">
        <v>1664</v>
      </c>
    </row>
    <row r="1781">
      <c r="A1781" s="2">
        <v>45807.61996527778</v>
      </c>
      <c r="B1781" s="1" t="s">
        <v>1665</v>
      </c>
      <c r="C1781" s="1" t="s">
        <v>845</v>
      </c>
      <c r="D1781" s="3" t="str">
        <f>?UTF-8?Q?=F0=9F=9A=80_Level_Up_This_Season?=</f>
        <v>#ERROR!</v>
      </c>
      <c r="E1781" s="1" t="s">
        <v>1666</v>
      </c>
    </row>
    <row r="1782">
      <c r="A1782" s="2">
        <v>45807.66342592592</v>
      </c>
      <c r="B1782" s="1" t="s">
        <v>1229</v>
      </c>
      <c r="C1782" s="1" t="s">
        <v>845</v>
      </c>
      <c r="D1782" s="1" t="s">
        <v>1667</v>
      </c>
      <c r="E1782" s="1" t="s">
        <v>1668</v>
      </c>
    </row>
    <row r="1783">
      <c r="A1783" s="2">
        <v>45807.66678240741</v>
      </c>
      <c r="B1783" s="1" t="s">
        <v>857</v>
      </c>
      <c r="C1783" s="1" t="s">
        <v>845</v>
      </c>
      <c r="D1783" s="1" t="s">
        <v>1532</v>
      </c>
      <c r="E1783" s="1" t="s">
        <v>847</v>
      </c>
    </row>
    <row r="1784">
      <c r="A1784" s="2">
        <v>45807.75623842593</v>
      </c>
      <c r="B1784" s="1" t="s">
        <v>844</v>
      </c>
      <c r="C1784" s="1" t="s">
        <v>1036</v>
      </c>
      <c r="D1784" s="3" t="str">
        <f>?UTF-8?q?Get_up_to_50%_off_the_essentials_you_need_=F0=9F=9B=92?=</f>
        <v>#ERROR!</v>
      </c>
      <c r="E1784" s="1" t="s">
        <v>847</v>
      </c>
    </row>
    <row r="1785">
      <c r="A1785" s="2">
        <v>45807.882893518516</v>
      </c>
      <c r="B1785" s="1" t="s">
        <v>844</v>
      </c>
      <c r="C1785" s="1" t="s">
        <v>845</v>
      </c>
      <c r="D1785" s="1" t="s">
        <v>1489</v>
      </c>
      <c r="E1785" s="1" t="s">
        <v>847</v>
      </c>
    </row>
    <row r="1786">
      <c r="A1786" s="2">
        <v>45807.74175925926</v>
      </c>
      <c r="B1786" s="1" t="s">
        <v>1108</v>
      </c>
      <c r="C1786" s="1" t="s">
        <v>849</v>
      </c>
      <c r="D1786" s="1" t="s">
        <v>1669</v>
      </c>
      <c r="E1786" s="1" t="s">
        <v>1534</v>
      </c>
    </row>
    <row r="1787">
      <c r="A1787" s="2">
        <v>45808.135787037034</v>
      </c>
      <c r="B1787" s="1" t="s">
        <v>1571</v>
      </c>
      <c r="C1787" s="1" t="s">
        <v>1036</v>
      </c>
      <c r="D1787" s="1" t="s">
        <v>1670</v>
      </c>
      <c r="E1787" s="1" t="s">
        <v>1671</v>
      </c>
    </row>
    <row r="1788">
      <c r="A1788" s="2">
        <v>45808.46262731482</v>
      </c>
      <c r="B1788" s="1" t="s">
        <v>865</v>
      </c>
      <c r="C1788" s="1" t="s">
        <v>1036</v>
      </c>
      <c r="D1788" s="1" t="s">
        <v>1672</v>
      </c>
      <c r="E1788" s="1" t="s">
        <v>847</v>
      </c>
    </row>
    <row r="1789">
      <c r="A1789" s="2">
        <v>45808.29326388889</v>
      </c>
      <c r="B1789" s="1" t="s">
        <v>1317</v>
      </c>
      <c r="C1789" s="1" t="s">
        <v>849</v>
      </c>
      <c r="D1789" s="3" t="str">
        <f>?UTF-8?B?TmV3IGdhbWVzLCBiaWcgdGhyaWxscyDigJMgaGF2ZSB5b3Ugc2Vl?=
 =?UTF-8?B?biB0aGVtIHlldD8=?=</f>
        <v>#ERROR!</v>
      </c>
      <c r="E1789" s="1" t="s">
        <v>1673</v>
      </c>
    </row>
    <row r="1790">
      <c r="A1790" s="2">
        <v>45808.705104166664</v>
      </c>
      <c r="B1790" s="1" t="s">
        <v>844</v>
      </c>
      <c r="C1790" s="1" t="s">
        <v>1036</v>
      </c>
      <c r="D1790" s="1" t="s">
        <v>1674</v>
      </c>
      <c r="E1790" s="1" t="s">
        <v>847</v>
      </c>
    </row>
    <row r="1791">
      <c r="A1791" s="2">
        <v>45809.29289351852</v>
      </c>
      <c r="B1791" s="1" t="s">
        <v>1317</v>
      </c>
      <c r="C1791" s="1" t="s">
        <v>849</v>
      </c>
      <c r="D1791" s="1" t="s">
        <v>1675</v>
      </c>
      <c r="E1791" s="1" t="s">
        <v>1676</v>
      </c>
    </row>
    <row r="1792">
      <c r="A1792" s="2">
        <v>45810.45980324074</v>
      </c>
      <c r="B1792" s="1" t="s">
        <v>860</v>
      </c>
      <c r="C1792" s="1" t="s">
        <v>849</v>
      </c>
      <c r="D1792" s="1" t="s">
        <v>1421</v>
      </c>
      <c r="E1792" s="1" t="s">
        <v>851</v>
      </c>
    </row>
    <row r="1793">
      <c r="A1793" s="2">
        <v>45810.29295138889</v>
      </c>
      <c r="B1793" s="1" t="s">
        <v>1317</v>
      </c>
      <c r="C1793" s="1" t="s">
        <v>849</v>
      </c>
      <c r="D1793" s="3" t="str">
        <f>?UTF-8?B?VGhlIHJlZWxzIGhhdmUgYmVlbiBidXN54oCmIHJlYWR5IHRvIGpv?=
 =?UTF-8?B?aW4gaW4/?=</f>
        <v>#ERROR!</v>
      </c>
      <c r="E1793" s="1" t="s">
        <v>1677</v>
      </c>
    </row>
    <row r="1794">
      <c r="A1794" s="2">
        <v>45810.70070601852</v>
      </c>
      <c r="B1794" s="1" t="s">
        <v>844</v>
      </c>
      <c r="C1794" s="1" t="s">
        <v>845</v>
      </c>
      <c r="D1794" s="1" t="s">
        <v>1529</v>
      </c>
      <c r="E1794" s="1" t="s">
        <v>847</v>
      </c>
    </row>
    <row r="1795">
      <c r="A1795" s="2">
        <v>45810.95815972222</v>
      </c>
      <c r="B1795" s="1" t="s">
        <v>857</v>
      </c>
      <c r="C1795" s="1" t="s">
        <v>1036</v>
      </c>
      <c r="D1795" s="3" t="str">
        <f>?UTF-8?q?50%_off_your_next_3_orders_-_just_for_you_=F0=9F=91=80?=</f>
        <v>#ERROR!</v>
      </c>
      <c r="E1795" s="1" t="s">
        <v>847</v>
      </c>
    </row>
    <row r="1796">
      <c r="A1796" s="2">
        <v>45810.88601851852</v>
      </c>
      <c r="B1796" s="1" t="s">
        <v>1678</v>
      </c>
      <c r="C1796" s="1" t="s">
        <v>845</v>
      </c>
      <c r="D1796" s="1" t="s">
        <v>1679</v>
      </c>
      <c r="E1796" s="1" t="s">
        <v>1680</v>
      </c>
    </row>
    <row r="1797">
      <c r="A1797" s="2">
        <v>45810.88752314815</v>
      </c>
      <c r="B1797" s="1" t="s">
        <v>1678</v>
      </c>
      <c r="C1797" s="1" t="s">
        <v>845</v>
      </c>
      <c r="D1797" s="1" t="s">
        <v>1681</v>
      </c>
      <c r="E1797" s="1" t="s">
        <v>1682</v>
      </c>
    </row>
    <row r="1798">
      <c r="A1798" s="2">
        <v>45811.450104166666</v>
      </c>
      <c r="B1798" s="1" t="s">
        <v>857</v>
      </c>
      <c r="C1798" s="1" t="s">
        <v>845</v>
      </c>
      <c r="D1798" s="3" t="str">
        <f>?UTF-8?q?50%_off_your_next_3_orders_-_just_for_you_=F0=9F=91=80?=</f>
        <v>#ERROR!</v>
      </c>
      <c r="E1798" s="1" t="s">
        <v>847</v>
      </c>
    </row>
    <row r="1799">
      <c r="A1799" s="2">
        <v>45811.29341435185</v>
      </c>
      <c r="B1799" s="1" t="s">
        <v>1317</v>
      </c>
      <c r="C1799" s="1" t="s">
        <v>849</v>
      </c>
      <c r="D1799" s="3" t="str">
        <f>?UTF-8?B?QSBsb3QgaGFzIGJlZW4gaGFwcGVuaW5nIOKAkyBjb21lIGpvaW4g?=
 =?UTF-8?B?dXMh?=</f>
        <v>#ERROR!</v>
      </c>
      <c r="E1799" s="1" t="s">
        <v>1683</v>
      </c>
    </row>
    <row r="1800">
      <c r="A1800" s="2">
        <v>45811.60258101852</v>
      </c>
      <c r="B1800" s="1" t="s">
        <v>1564</v>
      </c>
      <c r="C1800" s="1" t="s">
        <v>845</v>
      </c>
      <c r="D1800" s="3" t="str">
        <f>?utf-8?B?TGVhZGluZyB0aHJvdWdoIOKAnFRoZSBHcmVhdCBGbGF0dGVuaW5n?=
	=?utf-8?B?4oCd?=</f>
        <v>#ERROR!</v>
      </c>
      <c r="E1800" s="1" t="s">
        <v>1684</v>
      </c>
    </row>
    <row r="1801">
      <c r="A1801" s="2">
        <v>45811.65252314815</v>
      </c>
      <c r="B1801" s="1" t="s">
        <v>857</v>
      </c>
      <c r="C1801" s="1" t="s">
        <v>1036</v>
      </c>
      <c r="D1801" s="1" t="s">
        <v>861</v>
      </c>
      <c r="E1801" s="1" t="s">
        <v>847</v>
      </c>
    </row>
    <row r="1802">
      <c r="A1802" s="2">
        <v>45811.65791666666</v>
      </c>
      <c r="B1802" s="1" t="s">
        <v>857</v>
      </c>
      <c r="C1802" s="1" t="s">
        <v>845</v>
      </c>
      <c r="D1802" s="1" t="s">
        <v>861</v>
      </c>
      <c r="E1802" s="1" t="s">
        <v>847</v>
      </c>
    </row>
    <row r="1803">
      <c r="A1803" s="2">
        <v>45811.93651620371</v>
      </c>
      <c r="B1803" s="1" t="s">
        <v>844</v>
      </c>
      <c r="C1803" s="1" t="s">
        <v>1036</v>
      </c>
      <c r="D1803" s="1" t="s">
        <v>1685</v>
      </c>
      <c r="E1803" s="1" t="s">
        <v>847</v>
      </c>
    </row>
    <row r="1804">
      <c r="A1804" s="2">
        <v>45812.50009259259</v>
      </c>
      <c r="B1804" s="1" t="s">
        <v>844</v>
      </c>
      <c r="C1804" s="1" t="s">
        <v>845</v>
      </c>
      <c r="D1804" s="1" t="s">
        <v>1476</v>
      </c>
      <c r="E1804" s="1" t="s">
        <v>847</v>
      </c>
    </row>
    <row r="1805">
      <c r="A1805" s="2">
        <v>45812.68991898148</v>
      </c>
      <c r="B1805" s="1" t="s">
        <v>848</v>
      </c>
      <c r="C1805" s="1" t="s">
        <v>849</v>
      </c>
      <c r="D1805" s="3" t="str">
        <f>?utf-8?q?Shop_the_new_items_that_are_on_everyone=E2=80=99s_list?=</f>
        <v>#ERROR!</v>
      </c>
      <c r="E1805" s="1" t="s">
        <v>851</v>
      </c>
    </row>
    <row r="1806">
      <c r="A1806" s="2">
        <v>45812.69909722222</v>
      </c>
      <c r="B1806" s="1" t="s">
        <v>844</v>
      </c>
      <c r="C1806" s="1" t="s">
        <v>1036</v>
      </c>
      <c r="D1806" s="1" t="s">
        <v>1654</v>
      </c>
      <c r="E1806" s="1" t="s">
        <v>847</v>
      </c>
    </row>
    <row r="1807">
      <c r="A1807" s="2">
        <v>45812.625706018516</v>
      </c>
      <c r="B1807" s="1" t="s">
        <v>1317</v>
      </c>
      <c r="C1807" s="1" t="s">
        <v>849</v>
      </c>
      <c r="D1807" s="1" t="s">
        <v>1686</v>
      </c>
      <c r="E1807" s="1" t="s">
        <v>1687</v>
      </c>
    </row>
    <row r="1808">
      <c r="A1808" s="2">
        <v>45813.533425925925</v>
      </c>
      <c r="B1808" s="1" t="s">
        <v>1311</v>
      </c>
      <c r="C1808" s="1" t="s">
        <v>1688</v>
      </c>
      <c r="D1808" s="3" t="str">
        <f>?UTF-8?Q?Harper=E2=80=99s_well=2Dbeing_?=</f>
        <v>#ERROR!</v>
      </c>
      <c r="E1808" s="1" t="s">
        <v>1689</v>
      </c>
    </row>
    <row r="1809">
      <c r="A1809" s="2">
        <v>45814.293275462966</v>
      </c>
      <c r="B1809" s="1" t="s">
        <v>1317</v>
      </c>
      <c r="C1809" s="1" t="s">
        <v>849</v>
      </c>
      <c r="D1809" s="3" t="str">
        <f>?UTF-8?B?TG9uZyB0aW1lLCBubyBzcGluISBMZXTigJlzIGZpeCB0aGF0IA==?=
 =?UTF-8?B?8J+OsA==?=</f>
        <v>#ERROR!</v>
      </c>
      <c r="E1809" s="1" t="s">
        <v>1690</v>
      </c>
    </row>
    <row r="1810">
      <c r="A1810" s="2">
        <v>45814.58850694444</v>
      </c>
      <c r="B1810" s="1" t="s">
        <v>860</v>
      </c>
      <c r="C1810" s="1" t="s">
        <v>849</v>
      </c>
      <c r="D1810" s="1" t="s">
        <v>1411</v>
      </c>
      <c r="E1810" s="1" t="s">
        <v>851</v>
      </c>
    </row>
    <row r="1811">
      <c r="A1811" s="2">
        <v>45814.612916666665</v>
      </c>
      <c r="B1811" s="1" t="s">
        <v>1311</v>
      </c>
      <c r="C1811" s="1" t="s">
        <v>1649</v>
      </c>
      <c r="E1811" s="1" t="s">
        <v>1691</v>
      </c>
    </row>
    <row r="1812">
      <c r="A1812" s="2">
        <v>45814.77836805556</v>
      </c>
      <c r="B1812" s="1" t="s">
        <v>1596</v>
      </c>
      <c r="C1812" s="1" t="s">
        <v>1105</v>
      </c>
      <c r="D1812" s="3" t="str">
        <f>?UTF-8?B?8J+TjQ==?= You are here</f>
        <v>#ERROR!</v>
      </c>
      <c r="E1812" s="1" t="s">
        <v>1597</v>
      </c>
    </row>
    <row r="1813">
      <c r="A1813" s="2">
        <v>45815.46659722222</v>
      </c>
      <c r="B1813" s="1" t="s">
        <v>848</v>
      </c>
      <c r="C1813" s="1" t="s">
        <v>1602</v>
      </c>
      <c r="D1813" s="1" t="s">
        <v>1692</v>
      </c>
      <c r="E1813" s="1" t="s">
        <v>851</v>
      </c>
    </row>
    <row r="1814">
      <c r="A1814" s="2">
        <v>45815.35089120371</v>
      </c>
      <c r="B1814" s="1" t="s">
        <v>1111</v>
      </c>
      <c r="C1814" s="1" t="s">
        <v>1311</v>
      </c>
      <c r="D1814" s="1" t="s">
        <v>1617</v>
      </c>
      <c r="E1814" s="1" t="s">
        <v>1693</v>
      </c>
    </row>
    <row r="1815">
      <c r="A1815" s="2">
        <v>45815.40736111111</v>
      </c>
      <c r="B1815" s="1" t="s">
        <v>1111</v>
      </c>
      <c r="C1815" s="1" t="s">
        <v>1311</v>
      </c>
      <c r="D1815" s="1" t="s">
        <v>1617</v>
      </c>
      <c r="E1815" s="1" t="s">
        <v>1694</v>
      </c>
    </row>
    <row r="1816">
      <c r="A1816" s="2">
        <v>45815.44204861111</v>
      </c>
      <c r="B1816" s="1" t="s">
        <v>1311</v>
      </c>
      <c r="C1816" s="1" t="s">
        <v>1111</v>
      </c>
      <c r="D1816" s="1" t="s">
        <v>1617</v>
      </c>
      <c r="E1816" s="1" t="s">
        <v>1695</v>
      </c>
    </row>
    <row r="1817">
      <c r="A1817" s="2">
        <v>45815.44260416667</v>
      </c>
      <c r="B1817" s="1" t="s">
        <v>1311</v>
      </c>
      <c r="C1817" s="1" t="s">
        <v>1111</v>
      </c>
      <c r="D1817" s="1" t="s">
        <v>1617</v>
      </c>
      <c r="E1817" s="1" t="s">
        <v>1696</v>
      </c>
    </row>
    <row r="1818">
      <c r="A1818" s="2">
        <v>45815.44445601852</v>
      </c>
      <c r="B1818" s="1" t="s">
        <v>1311</v>
      </c>
      <c r="C1818" s="1" t="s">
        <v>1111</v>
      </c>
      <c r="D1818" s="1" t="s">
        <v>1617</v>
      </c>
      <c r="E1818" s="1" t="s">
        <v>1697</v>
      </c>
    </row>
    <row r="1819">
      <c r="A1819" s="2">
        <v>45815.44894675926</v>
      </c>
      <c r="B1819" s="1" t="s">
        <v>1311</v>
      </c>
      <c r="C1819" s="1" t="s">
        <v>1111</v>
      </c>
      <c r="D1819" s="1" t="s">
        <v>1617</v>
      </c>
      <c r="E1819" s="1" t="s">
        <v>1698</v>
      </c>
    </row>
    <row r="1820">
      <c r="A1820" s="2">
        <v>45815.45410879629</v>
      </c>
      <c r="B1820" s="1" t="s">
        <v>1311</v>
      </c>
      <c r="C1820" s="1" t="s">
        <v>1111</v>
      </c>
      <c r="D1820" s="1" t="s">
        <v>1617</v>
      </c>
      <c r="E1820" s="1" t="s">
        <v>1699</v>
      </c>
    </row>
    <row r="1821">
      <c r="A1821" s="2">
        <v>45815.45527777778</v>
      </c>
      <c r="B1821" s="1" t="s">
        <v>1311</v>
      </c>
      <c r="C1821" s="1" t="s">
        <v>1111</v>
      </c>
      <c r="D1821" s="1" t="s">
        <v>1617</v>
      </c>
      <c r="E1821" s="1" t="s">
        <v>1700</v>
      </c>
    </row>
    <row r="1822">
      <c r="A1822" s="2">
        <v>45815.488587962966</v>
      </c>
      <c r="B1822" s="1" t="s">
        <v>1111</v>
      </c>
      <c r="C1822" s="1" t="s">
        <v>1311</v>
      </c>
      <c r="D1822" s="1" t="s">
        <v>1617</v>
      </c>
      <c r="E1822" s="1" t="s">
        <v>1701</v>
      </c>
    </row>
    <row r="1823">
      <c r="A1823" s="2">
        <v>45815.48940972222</v>
      </c>
      <c r="B1823" s="1" t="s">
        <v>1111</v>
      </c>
      <c r="C1823" s="1" t="s">
        <v>1311</v>
      </c>
      <c r="D1823" s="1" t="s">
        <v>1617</v>
      </c>
      <c r="E1823" s="1" t="s">
        <v>1702</v>
      </c>
    </row>
    <row r="1824">
      <c r="A1824" s="2">
        <v>45815.496296296296</v>
      </c>
      <c r="B1824" s="1" t="s">
        <v>1311</v>
      </c>
      <c r="C1824" s="1" t="s">
        <v>1111</v>
      </c>
      <c r="D1824" s="1" t="s">
        <v>1617</v>
      </c>
      <c r="E1824" s="1" t="s">
        <v>1703</v>
      </c>
    </row>
    <row r="1825">
      <c r="A1825" s="2">
        <v>45815.52142361111</v>
      </c>
      <c r="B1825" s="1" t="s">
        <v>1311</v>
      </c>
      <c r="C1825" s="1" t="s">
        <v>1111</v>
      </c>
      <c r="D1825" s="1" t="s">
        <v>1617</v>
      </c>
      <c r="E1825" s="1" t="s">
        <v>1704</v>
      </c>
    </row>
    <row r="1826">
      <c r="A1826" s="2">
        <v>45815.52269675926</v>
      </c>
      <c r="B1826" s="1" t="s">
        <v>1311</v>
      </c>
      <c r="C1826" s="1" t="s">
        <v>1111</v>
      </c>
      <c r="D1826" s="1" t="s">
        <v>1617</v>
      </c>
      <c r="E1826" s="1" t="s">
        <v>1705</v>
      </c>
    </row>
    <row r="1827">
      <c r="A1827" s="2">
        <v>45815.52373842592</v>
      </c>
      <c r="B1827" s="1" t="s">
        <v>1311</v>
      </c>
      <c r="C1827" s="1" t="s">
        <v>1111</v>
      </c>
      <c r="D1827" s="1" t="s">
        <v>1617</v>
      </c>
      <c r="E1827" s="1" t="s">
        <v>1706</v>
      </c>
    </row>
    <row r="1828">
      <c r="A1828" s="2">
        <v>45815.59111111111</v>
      </c>
      <c r="B1828" s="1" t="s">
        <v>1311</v>
      </c>
      <c r="C1828" s="1" t="s">
        <v>1111</v>
      </c>
      <c r="D1828" s="1" t="s">
        <v>1617</v>
      </c>
      <c r="E1828" s="1" t="s">
        <v>1707</v>
      </c>
    </row>
    <row r="1829">
      <c r="A1829" s="2">
        <v>45815.75077546296</v>
      </c>
      <c r="B1829" s="1" t="s">
        <v>844</v>
      </c>
      <c r="C1829" s="1" t="s">
        <v>845</v>
      </c>
      <c r="D1829" s="1" t="s">
        <v>1708</v>
      </c>
      <c r="E1829" s="1" t="s">
        <v>847</v>
      </c>
    </row>
    <row r="1830">
      <c r="A1830" s="2">
        <v>45815.751388888886</v>
      </c>
      <c r="B1830" s="1" t="s">
        <v>844</v>
      </c>
      <c r="C1830" s="1" t="s">
        <v>1036</v>
      </c>
      <c r="D1830" s="1" t="s">
        <v>1709</v>
      </c>
      <c r="E1830" s="1" t="s">
        <v>847</v>
      </c>
    </row>
    <row r="1831">
      <c r="A1831" s="2">
        <v>45815.50403935185</v>
      </c>
      <c r="B1831" s="1" t="s">
        <v>1108</v>
      </c>
      <c r="C1831" s="1" t="s">
        <v>849</v>
      </c>
      <c r="D1831" s="1" t="s">
        <v>1710</v>
      </c>
      <c r="E1831" s="1" t="s">
        <v>1534</v>
      </c>
    </row>
    <row r="1832">
      <c r="A1832" s="2">
        <v>45816.47482638889</v>
      </c>
      <c r="B1832" s="1" t="s">
        <v>848</v>
      </c>
      <c r="C1832" s="1" t="s">
        <v>849</v>
      </c>
      <c r="D1832" s="1" t="s">
        <v>1507</v>
      </c>
      <c r="E1832" s="1" t="s">
        <v>851</v>
      </c>
    </row>
    <row r="1833">
      <c r="A1833" s="2">
        <v>45816.50717592592</v>
      </c>
      <c r="B1833" s="1" t="s">
        <v>1015</v>
      </c>
      <c r="C1833" s="1" t="s">
        <v>1036</v>
      </c>
      <c r="D1833" s="1" t="s">
        <v>1328</v>
      </c>
      <c r="E1833" s="1" t="s">
        <v>847</v>
      </c>
    </row>
    <row r="1834">
      <c r="A1834" s="2">
        <v>45816.68304398148</v>
      </c>
      <c r="B1834" s="1" t="s">
        <v>1015</v>
      </c>
      <c r="C1834" s="1" t="s">
        <v>845</v>
      </c>
      <c r="D1834" s="1" t="s">
        <v>1328</v>
      </c>
      <c r="E1834" s="1" t="s">
        <v>847</v>
      </c>
    </row>
    <row r="1835">
      <c r="A1835" s="2">
        <v>45816.70958333334</v>
      </c>
      <c r="B1835" s="1" t="s">
        <v>844</v>
      </c>
      <c r="C1835" s="1" t="s">
        <v>1036</v>
      </c>
      <c r="D1835" s="3" t="str">
        <f>?UTF-8?q?Up_to_50%_off_is_all_yours=E2=80=94stay_in,_stock_up?=
 =?UTF-8?q?=F0=9F=A5=AB?=</f>
        <v>#ERROR!</v>
      </c>
      <c r="E1835" s="1" t="s">
        <v>847</v>
      </c>
    </row>
    <row r="1836">
      <c r="A1836" s="2">
        <v>45817.07849537037</v>
      </c>
      <c r="B1836" s="1" t="s">
        <v>865</v>
      </c>
      <c r="C1836" s="1" t="s">
        <v>1036</v>
      </c>
      <c r="D1836" s="1" t="s">
        <v>1711</v>
      </c>
      <c r="E1836" s="1" t="s">
        <v>908</v>
      </c>
    </row>
    <row r="1837">
      <c r="A1837" s="2">
        <v>45817.460648148146</v>
      </c>
      <c r="B1837" s="1" t="s">
        <v>844</v>
      </c>
      <c r="C1837" s="1" t="s">
        <v>1036</v>
      </c>
      <c r="D1837" s="1" t="s">
        <v>1712</v>
      </c>
      <c r="E1837" s="1" t="s">
        <v>847</v>
      </c>
    </row>
    <row r="1838">
      <c r="A1838" s="2">
        <v>45817.46618055556</v>
      </c>
      <c r="B1838" s="1" t="s">
        <v>857</v>
      </c>
      <c r="C1838" s="1" t="s">
        <v>845</v>
      </c>
      <c r="D1838" s="1" t="s">
        <v>1368</v>
      </c>
      <c r="E1838" s="1" t="s">
        <v>847</v>
      </c>
    </row>
    <row r="1839">
      <c r="A1839" s="2">
        <v>45817.46888888889</v>
      </c>
      <c r="B1839" s="1" t="s">
        <v>1713</v>
      </c>
      <c r="C1839" s="1" t="s">
        <v>1311</v>
      </c>
      <c r="D1839" s="1" t="s">
        <v>1714</v>
      </c>
      <c r="E1839" s="1" t="s">
        <v>1715</v>
      </c>
    </row>
    <row r="1840">
      <c r="A1840" s="2">
        <v>45817.81930555555</v>
      </c>
      <c r="B1840" s="1" t="s">
        <v>1111</v>
      </c>
      <c r="C1840" s="1" t="s">
        <v>1311</v>
      </c>
      <c r="D1840" s="1" t="s">
        <v>1716</v>
      </c>
      <c r="E1840" s="1" t="s">
        <v>1717</v>
      </c>
    </row>
    <row r="1841">
      <c r="A1841" s="2">
        <v>45818.46880787037</v>
      </c>
      <c r="B1841" s="1" t="s">
        <v>1713</v>
      </c>
      <c r="C1841" s="1" t="s">
        <v>1311</v>
      </c>
      <c r="D1841" s="1" t="s">
        <v>1718</v>
      </c>
      <c r="E1841" s="1" t="s">
        <v>1719</v>
      </c>
    </row>
    <row r="1842">
      <c r="A1842" s="2">
        <v>45818.37063657407</v>
      </c>
      <c r="B1842" s="1" t="s">
        <v>1111</v>
      </c>
      <c r="C1842" s="1" t="s">
        <v>1311</v>
      </c>
      <c r="D1842" s="1" t="s">
        <v>1716</v>
      </c>
      <c r="E1842" s="1" t="s">
        <v>1720</v>
      </c>
    </row>
    <row r="1843">
      <c r="A1843" s="2">
        <v>45818.500497685185</v>
      </c>
      <c r="B1843" s="1" t="s">
        <v>844</v>
      </c>
      <c r="C1843" s="1" t="s">
        <v>845</v>
      </c>
      <c r="D1843" s="1" t="s">
        <v>1721</v>
      </c>
      <c r="E1843" s="1" t="s">
        <v>847</v>
      </c>
    </row>
    <row r="1844">
      <c r="A1844" s="2">
        <v>45818.378657407404</v>
      </c>
      <c r="B1844" s="1" t="s">
        <v>1111</v>
      </c>
      <c r="C1844" s="1" t="s">
        <v>1311</v>
      </c>
      <c r="D1844" s="1" t="s">
        <v>1716</v>
      </c>
      <c r="E1844" s="1" t="s">
        <v>1722</v>
      </c>
    </row>
    <row r="1845">
      <c r="A1845" s="2">
        <v>45818.60833333333</v>
      </c>
      <c r="B1845" s="1" t="s">
        <v>1311</v>
      </c>
      <c r="C1845" s="1" t="s">
        <v>1111</v>
      </c>
      <c r="D1845" s="1" t="s">
        <v>1723</v>
      </c>
      <c r="E1845" s="1" t="s">
        <v>1724</v>
      </c>
    </row>
    <row r="1846">
      <c r="A1846" s="2">
        <v>45818.6134375</v>
      </c>
      <c r="B1846" s="1" t="s">
        <v>1311</v>
      </c>
      <c r="C1846" s="1" t="s">
        <v>1111</v>
      </c>
      <c r="D1846" s="1" t="s">
        <v>1723</v>
      </c>
      <c r="E1846" s="1" t="s">
        <v>1725</v>
      </c>
    </row>
    <row r="1847">
      <c r="A1847" s="2">
        <v>45818.738483796296</v>
      </c>
      <c r="B1847" s="1" t="s">
        <v>857</v>
      </c>
      <c r="C1847" s="1" t="s">
        <v>1036</v>
      </c>
      <c r="D1847" s="1" t="s">
        <v>1726</v>
      </c>
      <c r="E1847" s="1" t="s">
        <v>847</v>
      </c>
    </row>
    <row r="1848">
      <c r="A1848" s="2">
        <v>45818.740798611114</v>
      </c>
      <c r="B1848" s="1" t="s">
        <v>860</v>
      </c>
      <c r="C1848" s="1" t="s">
        <v>849</v>
      </c>
      <c r="D1848" s="3" t="str">
        <f>?utf-8?q?50%_off_your_next_3_orders_-_just_for_you_=F0=9F=91=80?=</f>
        <v>#ERROR!</v>
      </c>
      <c r="E1848" s="1" t="s">
        <v>851</v>
      </c>
    </row>
    <row r="1849">
      <c r="A1849" s="2">
        <v>45818.86672453704</v>
      </c>
      <c r="B1849" s="1" t="s">
        <v>1015</v>
      </c>
      <c r="C1849" s="1" t="s">
        <v>845</v>
      </c>
      <c r="D1849" s="1" t="s">
        <v>1228</v>
      </c>
      <c r="E1849" s="1" t="s">
        <v>847</v>
      </c>
    </row>
    <row r="1850">
      <c r="A1850" s="2">
        <v>45818.95606481482</v>
      </c>
      <c r="B1850" s="1" t="s">
        <v>857</v>
      </c>
      <c r="C1850" s="1" t="s">
        <v>1036</v>
      </c>
      <c r="D1850" s="1" t="s">
        <v>997</v>
      </c>
      <c r="E1850" s="1" t="s">
        <v>847</v>
      </c>
    </row>
    <row r="1851">
      <c r="A1851" s="2">
        <v>45819.44672453704</v>
      </c>
      <c r="B1851" s="1" t="s">
        <v>857</v>
      </c>
      <c r="C1851" s="1" t="s">
        <v>845</v>
      </c>
      <c r="D1851" s="1" t="s">
        <v>861</v>
      </c>
      <c r="E1851" s="1" t="s">
        <v>847</v>
      </c>
    </row>
    <row r="1852">
      <c r="A1852" s="2">
        <v>45819.4687037037</v>
      </c>
      <c r="B1852" s="1" t="s">
        <v>1713</v>
      </c>
      <c r="C1852" s="1" t="s">
        <v>1311</v>
      </c>
      <c r="D1852" s="1" t="s">
        <v>1727</v>
      </c>
      <c r="E1852" s="1" t="s">
        <v>1728</v>
      </c>
    </row>
    <row r="1853">
      <c r="A1853" s="2">
        <v>45819.3837037037</v>
      </c>
      <c r="B1853" s="1" t="s">
        <v>1111</v>
      </c>
      <c r="C1853" s="1" t="s">
        <v>1311</v>
      </c>
      <c r="D1853" s="1" t="s">
        <v>1617</v>
      </c>
      <c r="E1853" s="1" t="s">
        <v>1729</v>
      </c>
    </row>
    <row r="1854">
      <c r="A1854" s="2">
        <v>45819.38829861111</v>
      </c>
      <c r="B1854" s="1" t="s">
        <v>1111</v>
      </c>
      <c r="C1854" s="1" t="s">
        <v>1311</v>
      </c>
      <c r="D1854" s="1" t="s">
        <v>1617</v>
      </c>
      <c r="E1854" s="1" t="s">
        <v>1730</v>
      </c>
    </row>
    <row r="1855">
      <c r="A1855" s="2">
        <v>45819.389861111114</v>
      </c>
      <c r="B1855" s="1" t="s">
        <v>1111</v>
      </c>
      <c r="C1855" s="1" t="s">
        <v>1311</v>
      </c>
      <c r="D1855" s="1" t="s">
        <v>1617</v>
      </c>
      <c r="E1855" s="1" t="s">
        <v>1731</v>
      </c>
    </row>
    <row r="1856">
      <c r="A1856" s="2">
        <v>45819.561944444446</v>
      </c>
      <c r="B1856" s="1" t="s">
        <v>1732</v>
      </c>
      <c r="C1856" s="1" t="s">
        <v>1311</v>
      </c>
      <c r="D1856" s="1" t="s">
        <v>1733</v>
      </c>
    </row>
    <row r="1857">
      <c r="A1857" s="2">
        <v>45819.56201388889</v>
      </c>
      <c r="B1857" s="1" t="s">
        <v>1734</v>
      </c>
      <c r="C1857" s="1" t="s">
        <v>845</v>
      </c>
      <c r="D1857" s="1" t="s">
        <v>1735</v>
      </c>
      <c r="E1857" s="1" t="s">
        <v>1736</v>
      </c>
    </row>
    <row r="1858">
      <c r="A1858" s="2">
        <v>45819.61449074074</v>
      </c>
      <c r="B1858" s="1" t="s">
        <v>1111</v>
      </c>
      <c r="C1858" s="1" t="s">
        <v>1311</v>
      </c>
      <c r="D1858" s="1" t="s">
        <v>1716</v>
      </c>
      <c r="E1858" s="1" t="s">
        <v>1737</v>
      </c>
    </row>
    <row r="1859">
      <c r="A1859" s="2">
        <v>45819.622037037036</v>
      </c>
      <c r="B1859" s="1" t="s">
        <v>1111</v>
      </c>
      <c r="C1859" s="1" t="s">
        <v>1311</v>
      </c>
      <c r="D1859" s="1" t="s">
        <v>1716</v>
      </c>
      <c r="E1859" s="1" t="s">
        <v>1738</v>
      </c>
    </row>
    <row r="1860">
      <c r="A1860" s="2">
        <v>45819.75380787037</v>
      </c>
      <c r="B1860" s="1" t="s">
        <v>844</v>
      </c>
      <c r="C1860" s="1" t="s">
        <v>845</v>
      </c>
      <c r="D1860" s="1" t="s">
        <v>1609</v>
      </c>
      <c r="E1860" s="1" t="s">
        <v>847</v>
      </c>
    </row>
    <row r="1861">
      <c r="A1861" s="2">
        <v>45819.76414351852</v>
      </c>
      <c r="B1861" s="1" t="s">
        <v>844</v>
      </c>
      <c r="C1861" s="1" t="s">
        <v>1036</v>
      </c>
      <c r="D1861" s="1" t="s">
        <v>1685</v>
      </c>
      <c r="E1861" s="1" t="s">
        <v>847</v>
      </c>
    </row>
    <row r="1862">
      <c r="A1862" s="2">
        <v>45820.46892361111</v>
      </c>
      <c r="B1862" s="1" t="s">
        <v>1713</v>
      </c>
      <c r="C1862" s="1" t="s">
        <v>1311</v>
      </c>
      <c r="D1862" s="1" t="s">
        <v>1739</v>
      </c>
      <c r="E1862" s="1" t="s">
        <v>1740</v>
      </c>
    </row>
    <row r="1863">
      <c r="A1863" s="2">
        <v>45820.36858796296</v>
      </c>
      <c r="B1863" s="1" t="s">
        <v>1111</v>
      </c>
      <c r="C1863" s="1" t="s">
        <v>1311</v>
      </c>
      <c r="D1863" s="1" t="s">
        <v>1741</v>
      </c>
      <c r="E1863" s="1" t="s">
        <v>1742</v>
      </c>
    </row>
    <row r="1864">
      <c r="A1864" s="2">
        <v>45820.36953703704</v>
      </c>
      <c r="B1864" s="1" t="s">
        <v>1111</v>
      </c>
      <c r="C1864" s="1" t="s">
        <v>1311</v>
      </c>
      <c r="D1864" s="1" t="s">
        <v>1741</v>
      </c>
      <c r="E1864" s="1" t="s">
        <v>1743</v>
      </c>
    </row>
    <row r="1865">
      <c r="A1865" s="2">
        <v>45820.66226851852</v>
      </c>
      <c r="B1865" s="1" t="s">
        <v>844</v>
      </c>
      <c r="C1865" s="1" t="s">
        <v>1036</v>
      </c>
      <c r="D1865" s="3" t="str">
        <f>?UTF-8?q?Get_up_to_50%_off_your_essentials_delivery_=F0=9F=8D=9E?=</f>
        <v>#ERROR!</v>
      </c>
      <c r="E1865" s="1" t="s">
        <v>847</v>
      </c>
    </row>
    <row r="1866">
      <c r="A1866" s="2">
        <v>45821.47553240741</v>
      </c>
      <c r="B1866" s="1" t="s">
        <v>844</v>
      </c>
      <c r="C1866" s="1" t="s">
        <v>1036</v>
      </c>
      <c r="D1866" s="1" t="s">
        <v>1744</v>
      </c>
      <c r="E1866" s="1" t="s">
        <v>847</v>
      </c>
    </row>
    <row r="1867">
      <c r="A1867" s="2">
        <v>45821.479467592595</v>
      </c>
      <c r="B1867" s="1" t="s">
        <v>1745</v>
      </c>
      <c r="C1867" s="1" t="s">
        <v>845</v>
      </c>
      <c r="D1867" s="3" t="str">
        <f>?UTF-8?B?TWVldGluZyByZWNvcmRzOiDigJxoYXJwZXIgbiBkYWTigJ0gSnVuIDEzLCAyMDI1?=</f>
        <v>#ERROR!</v>
      </c>
      <c r="E1867" s="1" t="s">
        <v>1746</v>
      </c>
    </row>
    <row r="1868">
      <c r="A1868" s="2">
        <v>45821.65008101852</v>
      </c>
      <c r="B1868" s="1" t="s">
        <v>857</v>
      </c>
      <c r="C1868" s="1" t="s">
        <v>845</v>
      </c>
      <c r="D1868" s="1" t="s">
        <v>1532</v>
      </c>
      <c r="E1868" s="1" t="s">
        <v>847</v>
      </c>
    </row>
    <row r="1869">
      <c r="A1869" s="2">
        <v>45822.043599537035</v>
      </c>
      <c r="B1869" s="1" t="s">
        <v>1747</v>
      </c>
      <c r="C1869" s="1" t="s">
        <v>845</v>
      </c>
      <c r="D1869" s="1" t="s">
        <v>1748</v>
      </c>
      <c r="E1869" s="1" t="s">
        <v>1749</v>
      </c>
    </row>
    <row r="1870">
      <c r="A1870" s="2">
        <v>45822.43418981481</v>
      </c>
      <c r="B1870" s="1" t="s">
        <v>844</v>
      </c>
      <c r="C1870" s="1" t="s">
        <v>1036</v>
      </c>
      <c r="D1870" s="3" t="str">
        <f>?UTF-8?q?Use_your_50%_off_promo_before_it=E2=80=99s_gone!?=</f>
        <v>#ERROR!</v>
      </c>
      <c r="E1870" s="1" t="s">
        <v>847</v>
      </c>
    </row>
    <row r="1871">
      <c r="A1871" s="2">
        <v>45822.31039351852</v>
      </c>
      <c r="B1871" s="1" t="s">
        <v>1311</v>
      </c>
      <c r="C1871" s="1" t="s">
        <v>1111</v>
      </c>
      <c r="D1871" s="1" t="s">
        <v>1723</v>
      </c>
      <c r="E1871" s="1" t="s">
        <v>1750</v>
      </c>
    </row>
    <row r="1872">
      <c r="A1872" s="2">
        <v>45822.468668981484</v>
      </c>
      <c r="B1872" s="1" t="s">
        <v>1713</v>
      </c>
      <c r="C1872" s="1" t="s">
        <v>1311</v>
      </c>
      <c r="D1872" s="1" t="s">
        <v>1751</v>
      </c>
      <c r="E1872" s="1" t="s">
        <v>1752</v>
      </c>
    </row>
    <row r="1873">
      <c r="A1873" s="2">
        <v>45822.293125</v>
      </c>
      <c r="B1873" s="1" t="s">
        <v>1317</v>
      </c>
      <c r="C1873" s="1" t="s">
        <v>849</v>
      </c>
      <c r="D1873" s="3" t="str">
        <f>?UTF-8?B?U3VwZXIgRGVhbCBBY3RpdmF0ZWTigKYgQXJlIHlvdSBpbj8=?=</f>
        <v>#ERROR!</v>
      </c>
      <c r="E1873" s="1" t="s">
        <v>1753</v>
      </c>
    </row>
    <row r="1874">
      <c r="A1874" s="2">
        <v>45822.31144675926</v>
      </c>
      <c r="B1874" s="1" t="s">
        <v>1108</v>
      </c>
      <c r="C1874" s="1" t="s">
        <v>849</v>
      </c>
      <c r="D1874" s="3" t="str">
        <f>?utf-8?B?8J+UpSBEZWFsIGFsZXJ0ISBIdWdlIHNhdmluZ3Mgb24gU2Ftcw==?=
 =?utf-8?B?dW5nLg==?=</f>
        <v>#ERROR!</v>
      </c>
      <c r="E1874" s="1" t="s">
        <v>1754</v>
      </c>
    </row>
    <row r="1875">
      <c r="A1875" s="2">
        <v>45822.75861111111</v>
      </c>
      <c r="B1875" s="1" t="s">
        <v>1311</v>
      </c>
      <c r="C1875" s="1" t="s">
        <v>1755</v>
      </c>
      <c r="D1875" s="1" t="s">
        <v>1756</v>
      </c>
      <c r="E1875" s="1" t="s">
        <v>1757</v>
      </c>
    </row>
    <row r="1876">
      <c r="A1876" s="2">
        <v>45822.93412037037</v>
      </c>
      <c r="B1876" s="1" t="s">
        <v>1311</v>
      </c>
      <c r="C1876" s="1" t="s">
        <v>1111</v>
      </c>
      <c r="D1876" s="1" t="s">
        <v>1617</v>
      </c>
      <c r="E1876" s="1" t="s">
        <v>1758</v>
      </c>
    </row>
    <row r="1877">
      <c r="A1877" s="2">
        <v>45822.96741898148</v>
      </c>
      <c r="B1877" s="1" t="s">
        <v>1311</v>
      </c>
      <c r="C1877" s="1" t="s">
        <v>1111</v>
      </c>
      <c r="D1877" s="1" t="s">
        <v>1617</v>
      </c>
      <c r="E1877" s="1" t="s">
        <v>1759</v>
      </c>
    </row>
    <row r="1878">
      <c r="A1878" s="2">
        <v>45822.98292824074</v>
      </c>
      <c r="B1878" s="1" t="s">
        <v>1311</v>
      </c>
      <c r="C1878" s="1" t="s">
        <v>1111</v>
      </c>
      <c r="D1878" s="1" t="s">
        <v>1617</v>
      </c>
      <c r="E1878" s="1" t="s">
        <v>1760</v>
      </c>
    </row>
    <row r="1879">
      <c r="A1879" s="2">
        <v>45823.01893518519</v>
      </c>
      <c r="B1879" s="1" t="s">
        <v>1311</v>
      </c>
      <c r="C1879" s="1" t="s">
        <v>1111</v>
      </c>
      <c r="D1879" s="1" t="s">
        <v>1617</v>
      </c>
      <c r="E1879" s="1" t="s">
        <v>1761</v>
      </c>
    </row>
    <row r="1880">
      <c r="A1880" s="2">
        <v>45823.19917824074</v>
      </c>
      <c r="B1880" s="1" t="s">
        <v>1111</v>
      </c>
      <c r="C1880" s="1" t="s">
        <v>1311</v>
      </c>
      <c r="D1880" s="1" t="s">
        <v>1617</v>
      </c>
      <c r="E1880" s="1" t="s">
        <v>1762</v>
      </c>
    </row>
    <row r="1881">
      <c r="A1881" s="2">
        <v>45823.243946759256</v>
      </c>
      <c r="B1881" s="1" t="s">
        <v>1111</v>
      </c>
      <c r="C1881" s="1" t="s">
        <v>1311</v>
      </c>
      <c r="D1881" s="1" t="s">
        <v>1617</v>
      </c>
      <c r="E1881" s="1" t="s">
        <v>1763</v>
      </c>
    </row>
    <row r="1882">
      <c r="A1882" s="2">
        <v>45823.37517361111</v>
      </c>
      <c r="B1882" s="1" t="s">
        <v>1732</v>
      </c>
      <c r="C1882" s="1" t="s">
        <v>1311</v>
      </c>
      <c r="D1882" s="1" t="s">
        <v>1764</v>
      </c>
    </row>
    <row r="1883">
      <c r="A1883" s="2">
        <v>45823.37587962963</v>
      </c>
      <c r="B1883" s="1" t="s">
        <v>1732</v>
      </c>
      <c r="C1883" s="1" t="s">
        <v>1311</v>
      </c>
      <c r="D1883" s="1" t="s">
        <v>1764</v>
      </c>
    </row>
    <row r="1884">
      <c r="A1884" s="2">
        <v>45823.311273148145</v>
      </c>
      <c r="B1884" s="1" t="s">
        <v>1311</v>
      </c>
      <c r="C1884" s="1" t="s">
        <v>1111</v>
      </c>
      <c r="D1884" s="1" t="s">
        <v>1617</v>
      </c>
      <c r="E1884" s="1" t="s">
        <v>1765</v>
      </c>
    </row>
    <row r="1885">
      <c r="A1885" s="2">
        <v>45823.312418981484</v>
      </c>
      <c r="B1885" s="1" t="s">
        <v>1311</v>
      </c>
      <c r="C1885" s="1" t="s">
        <v>1111</v>
      </c>
      <c r="D1885" s="1" t="s">
        <v>1617</v>
      </c>
      <c r="E1885" s="1" t="s">
        <v>1766</v>
      </c>
    </row>
    <row r="1886">
      <c r="A1886" s="2">
        <v>45823.31327546296</v>
      </c>
      <c r="B1886" s="1" t="s">
        <v>1311</v>
      </c>
      <c r="C1886" s="1" t="s">
        <v>1732</v>
      </c>
      <c r="D1886" s="1" t="s">
        <v>1767</v>
      </c>
      <c r="E1886" s="1" t="s">
        <v>1768</v>
      </c>
    </row>
    <row r="1887">
      <c r="A1887" s="2">
        <v>45823.31693287037</v>
      </c>
      <c r="B1887" s="1" t="s">
        <v>1311</v>
      </c>
      <c r="C1887" s="1" t="s">
        <v>1111</v>
      </c>
      <c r="D1887" s="1" t="s">
        <v>1617</v>
      </c>
      <c r="E1887" s="1" t="s">
        <v>1769</v>
      </c>
    </row>
    <row r="1888">
      <c r="A1888" s="2">
        <v>45823.4675462963</v>
      </c>
      <c r="B1888" s="1" t="s">
        <v>222</v>
      </c>
      <c r="C1888" s="1" t="s">
        <v>845</v>
      </c>
      <c r="D1888" s="1" t="s">
        <v>1770</v>
      </c>
      <c r="E1888" s="1" t="s">
        <v>1771</v>
      </c>
    </row>
    <row r="1889">
      <c r="A1889" s="2">
        <v>45823.46858796296</v>
      </c>
      <c r="B1889" s="1" t="s">
        <v>1713</v>
      </c>
      <c r="C1889" s="1" t="s">
        <v>1311</v>
      </c>
      <c r="D1889" s="1" t="s">
        <v>1772</v>
      </c>
      <c r="E1889" s="1" t="s">
        <v>1773</v>
      </c>
    </row>
    <row r="1890">
      <c r="A1890" s="2">
        <v>45823.48590277778</v>
      </c>
      <c r="B1890" s="1" t="s">
        <v>844</v>
      </c>
      <c r="C1890" s="1" t="s">
        <v>1036</v>
      </c>
      <c r="D1890" s="1" t="s">
        <v>1774</v>
      </c>
      <c r="E1890" s="1" t="s">
        <v>847</v>
      </c>
    </row>
    <row r="1891">
      <c r="A1891" s="2">
        <v>45823.37725694444</v>
      </c>
      <c r="B1891" s="1" t="s">
        <v>1111</v>
      </c>
      <c r="C1891" s="1" t="s">
        <v>1311</v>
      </c>
      <c r="D1891" s="1" t="s">
        <v>1617</v>
      </c>
      <c r="E1891" s="1" t="s">
        <v>1775</v>
      </c>
    </row>
    <row r="1892">
      <c r="A1892" s="2">
        <v>45823.37940972222</v>
      </c>
      <c r="B1892" s="1" t="s">
        <v>1111</v>
      </c>
      <c r="C1892" s="1" t="s">
        <v>1311</v>
      </c>
      <c r="D1892" s="1" t="s">
        <v>1617</v>
      </c>
      <c r="E1892" s="1" t="s">
        <v>1776</v>
      </c>
    </row>
    <row r="1893">
      <c r="A1893" s="2">
        <v>45823.38019675926</v>
      </c>
      <c r="B1893" s="1" t="s">
        <v>1111</v>
      </c>
      <c r="C1893" s="1" t="s">
        <v>1311</v>
      </c>
      <c r="D1893" s="1" t="s">
        <v>1617</v>
      </c>
      <c r="E1893" s="1" t="s">
        <v>1777</v>
      </c>
    </row>
    <row r="1894">
      <c r="A1894" s="2">
        <v>45823.38055555556</v>
      </c>
      <c r="B1894" s="1" t="s">
        <v>1111</v>
      </c>
      <c r="C1894" s="1" t="s">
        <v>1311</v>
      </c>
      <c r="D1894" s="1" t="s">
        <v>1617</v>
      </c>
      <c r="E1894" s="1" t="s">
        <v>1778</v>
      </c>
    </row>
    <row r="1895">
      <c r="A1895" s="2">
        <v>45823.38078703704</v>
      </c>
      <c r="B1895" s="1" t="s">
        <v>1111</v>
      </c>
      <c r="C1895" s="1" t="s">
        <v>1311</v>
      </c>
      <c r="D1895" s="1" t="s">
        <v>1617</v>
      </c>
      <c r="E1895" s="1" t="s">
        <v>1779</v>
      </c>
    </row>
    <row r="1896">
      <c r="A1896" s="2">
        <v>45823.38900462963</v>
      </c>
      <c r="B1896" s="1" t="s">
        <v>1111</v>
      </c>
      <c r="C1896" s="1" t="s">
        <v>1311</v>
      </c>
      <c r="D1896" s="1" t="s">
        <v>1617</v>
      </c>
      <c r="E1896" s="1" t="s">
        <v>1780</v>
      </c>
    </row>
    <row r="1897">
      <c r="A1897" s="2">
        <v>45823.39188657407</v>
      </c>
      <c r="B1897" s="1" t="s">
        <v>1111</v>
      </c>
      <c r="C1897" s="1" t="s">
        <v>1311</v>
      </c>
      <c r="D1897" s="1" t="s">
        <v>1617</v>
      </c>
      <c r="E1897" s="1" t="s">
        <v>1781</v>
      </c>
    </row>
    <row r="1898">
      <c r="A1898" s="2">
        <v>45823.39334490741</v>
      </c>
      <c r="B1898" s="1" t="s">
        <v>1311</v>
      </c>
      <c r="C1898" s="1" t="s">
        <v>1111</v>
      </c>
      <c r="D1898" s="1" t="s">
        <v>1617</v>
      </c>
      <c r="E1898" s="1" t="s">
        <v>1782</v>
      </c>
    </row>
    <row r="1899">
      <c r="A1899" s="2">
        <v>45823.39462962963</v>
      </c>
      <c r="B1899" s="1" t="s">
        <v>1311</v>
      </c>
      <c r="C1899" s="1" t="s">
        <v>1111</v>
      </c>
      <c r="D1899" s="1" t="s">
        <v>1617</v>
      </c>
      <c r="E1899" s="1" t="s">
        <v>1783</v>
      </c>
    </row>
    <row r="1900">
      <c r="A1900" s="2">
        <v>45823.41030092593</v>
      </c>
      <c r="B1900" s="1" t="s">
        <v>1111</v>
      </c>
      <c r="C1900" s="1" t="s">
        <v>1311</v>
      </c>
      <c r="D1900" s="1" t="s">
        <v>1617</v>
      </c>
      <c r="E1900" s="1" t="s">
        <v>1784</v>
      </c>
    </row>
    <row r="1901">
      <c r="A1901" s="2">
        <v>45823.41055555556</v>
      </c>
      <c r="B1901" s="1" t="s">
        <v>1111</v>
      </c>
      <c r="C1901" s="1" t="s">
        <v>1311</v>
      </c>
      <c r="D1901" s="1" t="s">
        <v>1617</v>
      </c>
      <c r="E1901" s="1" t="s">
        <v>1785</v>
      </c>
    </row>
    <row r="1902">
      <c r="A1902" s="2">
        <v>45823.41076388889</v>
      </c>
      <c r="B1902" s="1" t="s">
        <v>1111</v>
      </c>
      <c r="C1902" s="1" t="s">
        <v>1311</v>
      </c>
      <c r="D1902" s="1" t="s">
        <v>1617</v>
      </c>
      <c r="E1902" s="1" t="s">
        <v>1786</v>
      </c>
    </row>
    <row r="1903">
      <c r="A1903" s="2">
        <v>45823.410949074074</v>
      </c>
      <c r="B1903" s="1" t="s">
        <v>1111</v>
      </c>
      <c r="C1903" s="1" t="s">
        <v>1311</v>
      </c>
      <c r="D1903" s="1" t="s">
        <v>1617</v>
      </c>
      <c r="E1903" s="1" t="s">
        <v>1787</v>
      </c>
    </row>
    <row r="1904">
      <c r="A1904" s="2">
        <v>45823.41134259259</v>
      </c>
      <c r="B1904" s="1" t="s">
        <v>1111</v>
      </c>
      <c r="C1904" s="1" t="s">
        <v>1311</v>
      </c>
      <c r="D1904" s="1" t="s">
        <v>1617</v>
      </c>
      <c r="E1904" s="1" t="s">
        <v>1788</v>
      </c>
    </row>
    <row r="1905">
      <c r="A1905" s="2">
        <v>45823.412303240744</v>
      </c>
      <c r="B1905" s="1" t="s">
        <v>1111</v>
      </c>
      <c r="C1905" s="1" t="s">
        <v>1311</v>
      </c>
      <c r="D1905" s="1" t="s">
        <v>1617</v>
      </c>
      <c r="E1905" s="1" t="s">
        <v>1789</v>
      </c>
    </row>
    <row r="1906">
      <c r="A1906" s="2">
        <v>45823.41253472222</v>
      </c>
      <c r="B1906" s="1" t="s">
        <v>1111</v>
      </c>
      <c r="C1906" s="1" t="s">
        <v>1311</v>
      </c>
      <c r="D1906" s="1" t="s">
        <v>1617</v>
      </c>
      <c r="E1906" s="1" t="s">
        <v>1790</v>
      </c>
    </row>
    <row r="1907">
      <c r="A1907" s="2">
        <v>45823.41271990741</v>
      </c>
      <c r="B1907" s="1" t="s">
        <v>1111</v>
      </c>
      <c r="C1907" s="1" t="s">
        <v>1311</v>
      </c>
      <c r="D1907" s="1" t="s">
        <v>1617</v>
      </c>
      <c r="E1907" s="1" t="s">
        <v>1791</v>
      </c>
    </row>
    <row r="1908">
      <c r="A1908" s="2">
        <v>45823.41736111111</v>
      </c>
      <c r="B1908" s="1" t="s">
        <v>1111</v>
      </c>
      <c r="C1908" s="1" t="s">
        <v>1311</v>
      </c>
      <c r="D1908" s="1" t="s">
        <v>1617</v>
      </c>
      <c r="E1908" s="1" t="s">
        <v>1792</v>
      </c>
    </row>
    <row r="1909">
      <c r="A1909" s="2">
        <v>45823.41806712963</v>
      </c>
      <c r="B1909" s="1" t="s">
        <v>1111</v>
      </c>
      <c r="C1909" s="1" t="s">
        <v>1311</v>
      </c>
      <c r="D1909" s="1" t="s">
        <v>1617</v>
      </c>
      <c r="E1909" s="1" t="s">
        <v>1793</v>
      </c>
    </row>
    <row r="1910">
      <c r="A1910" s="2">
        <v>45823.43568287037</v>
      </c>
      <c r="B1910" s="1" t="s">
        <v>1111</v>
      </c>
      <c r="C1910" s="1" t="s">
        <v>1311</v>
      </c>
      <c r="D1910" s="1" t="s">
        <v>1617</v>
      </c>
      <c r="E1910" s="1" t="s">
        <v>1794</v>
      </c>
    </row>
    <row r="1911">
      <c r="A1911" s="2">
        <v>45823.44840277778</v>
      </c>
      <c r="B1911" s="1" t="s">
        <v>1111</v>
      </c>
      <c r="C1911" s="1" t="s">
        <v>1311</v>
      </c>
      <c r="D1911" s="1" t="s">
        <v>1617</v>
      </c>
      <c r="E1911" s="1" t="s">
        <v>1795</v>
      </c>
    </row>
    <row r="1912">
      <c r="A1912" s="2">
        <v>45823.75103009259</v>
      </c>
      <c r="B1912" s="1" t="s">
        <v>844</v>
      </c>
      <c r="C1912" s="1" t="s">
        <v>845</v>
      </c>
      <c r="D1912" s="1" t="s">
        <v>1796</v>
      </c>
      <c r="E1912" s="1" t="s">
        <v>847</v>
      </c>
    </row>
    <row r="1913">
      <c r="A1913" s="2">
        <v>45823.75109953704</v>
      </c>
      <c r="B1913" s="1" t="s">
        <v>844</v>
      </c>
      <c r="C1913" s="1" t="s">
        <v>1036</v>
      </c>
      <c r="D1913" s="1" t="s">
        <v>1797</v>
      </c>
      <c r="E1913" s="1" t="s">
        <v>847</v>
      </c>
    </row>
    <row r="1914">
      <c r="A1914" s="2">
        <v>45824.44497685185</v>
      </c>
      <c r="B1914" s="1" t="s">
        <v>857</v>
      </c>
      <c r="C1914" s="1" t="s">
        <v>845</v>
      </c>
      <c r="D1914" s="1" t="s">
        <v>1421</v>
      </c>
      <c r="E1914" s="1" t="s">
        <v>847</v>
      </c>
    </row>
    <row r="1915">
      <c r="A1915" s="2">
        <v>45824.46885416667</v>
      </c>
      <c r="B1915" s="1" t="s">
        <v>1713</v>
      </c>
      <c r="C1915" s="1" t="s">
        <v>1311</v>
      </c>
      <c r="D1915" s="1" t="s">
        <v>1798</v>
      </c>
      <c r="E1915" s="1" t="s">
        <v>1799</v>
      </c>
    </row>
    <row r="1916">
      <c r="A1916" s="2">
        <v>45824.40045138889</v>
      </c>
      <c r="B1916" s="1" t="s">
        <v>1311</v>
      </c>
      <c r="C1916" s="1" t="s">
        <v>1111</v>
      </c>
      <c r="D1916" s="1" t="s">
        <v>1800</v>
      </c>
      <c r="E1916" s="1" t="s">
        <v>1801</v>
      </c>
    </row>
    <row r="1917">
      <c r="A1917" s="2">
        <v>45824.439305555556</v>
      </c>
      <c r="B1917" s="1" t="s">
        <v>1802</v>
      </c>
      <c r="C1917" s="1" t="s">
        <v>1649</v>
      </c>
      <c r="D1917" s="1" t="s">
        <v>1803</v>
      </c>
      <c r="E1917" s="1" t="s">
        <v>1801</v>
      </c>
    </row>
    <row r="1918">
      <c r="A1918" s="2">
        <v>45824.458020833335</v>
      </c>
      <c r="B1918" s="1" t="s">
        <v>1311</v>
      </c>
      <c r="C1918" s="1" t="s">
        <v>1111</v>
      </c>
      <c r="E1918" s="1" t="s">
        <v>1804</v>
      </c>
    </row>
    <row r="1919">
      <c r="A1919" s="2">
        <v>45824.65332175926</v>
      </c>
      <c r="B1919" s="1" t="s">
        <v>844</v>
      </c>
      <c r="C1919" s="1" t="s">
        <v>845</v>
      </c>
      <c r="D1919" s="1" t="s">
        <v>1403</v>
      </c>
      <c r="E1919" s="1" t="s">
        <v>847</v>
      </c>
    </row>
    <row r="1920">
      <c r="A1920" s="2">
        <v>45824.98237268518</v>
      </c>
      <c r="B1920" s="1" t="s">
        <v>857</v>
      </c>
      <c r="C1920" s="1" t="s">
        <v>1036</v>
      </c>
      <c r="D1920" s="1" t="s">
        <v>858</v>
      </c>
      <c r="E1920" s="1" t="s">
        <v>847</v>
      </c>
    </row>
    <row r="1921">
      <c r="A1921" s="2">
        <v>45825.44898148148</v>
      </c>
      <c r="B1921" s="1" t="s">
        <v>857</v>
      </c>
      <c r="C1921" s="1" t="s">
        <v>845</v>
      </c>
      <c r="D1921" s="3" t="str">
        <f>?UTF-8?q?50%_off_your_next_3_orders_-_just_for_you_=F0=9F=91=80?=</f>
        <v>#ERROR!</v>
      </c>
      <c r="E1921" s="1" t="s">
        <v>847</v>
      </c>
    </row>
    <row r="1922">
      <c r="A1922" s="2">
        <v>45825.46863425926</v>
      </c>
      <c r="B1922" s="1" t="s">
        <v>1713</v>
      </c>
      <c r="C1922" s="1" t="s">
        <v>1311</v>
      </c>
      <c r="D1922" s="1" t="s">
        <v>1805</v>
      </c>
      <c r="E1922" s="1" t="s">
        <v>1806</v>
      </c>
    </row>
    <row r="1923">
      <c r="A1923" s="2">
        <v>45825.526921296296</v>
      </c>
      <c r="B1923" s="1" t="s">
        <v>1564</v>
      </c>
      <c r="C1923" s="1" t="s">
        <v>845</v>
      </c>
      <c r="D1923" s="1" t="s">
        <v>1807</v>
      </c>
      <c r="E1923" s="1" t="s">
        <v>1808</v>
      </c>
    </row>
    <row r="1924">
      <c r="A1924" s="2">
        <v>45825.58628472222</v>
      </c>
      <c r="B1924" s="1" t="s">
        <v>857</v>
      </c>
      <c r="C1924" s="1" t="s">
        <v>1036</v>
      </c>
      <c r="D1924" s="1" t="s">
        <v>861</v>
      </c>
      <c r="E1924" s="1" t="s">
        <v>847</v>
      </c>
    </row>
    <row r="1925">
      <c r="A1925" s="2">
        <v>45825.652662037035</v>
      </c>
      <c r="B1925" s="1" t="s">
        <v>857</v>
      </c>
      <c r="C1925" s="1" t="s">
        <v>845</v>
      </c>
      <c r="D1925" s="1" t="s">
        <v>861</v>
      </c>
      <c r="E1925" s="1" t="s">
        <v>847</v>
      </c>
    </row>
    <row r="1926">
      <c r="A1926" s="2">
        <v>45825.70866898148</v>
      </c>
      <c r="B1926" s="1" t="s">
        <v>1809</v>
      </c>
      <c r="C1926" s="1" t="s">
        <v>845</v>
      </c>
      <c r="D1926" s="1" t="s">
        <v>1810</v>
      </c>
      <c r="E1926" s="1" t="s">
        <v>1811</v>
      </c>
    </row>
    <row r="1927">
      <c r="A1927" s="2">
        <v>45825.76902777778</v>
      </c>
      <c r="B1927" s="1" t="s">
        <v>1311</v>
      </c>
      <c r="C1927" s="1" t="s">
        <v>1755</v>
      </c>
      <c r="D1927" s="1" t="s">
        <v>1812</v>
      </c>
      <c r="E1927" s="1" t="s">
        <v>1813</v>
      </c>
    </row>
    <row r="1928">
      <c r="A1928" s="2">
        <v>45825.943761574075</v>
      </c>
      <c r="B1928" s="1" t="s">
        <v>1814</v>
      </c>
      <c r="C1928" s="1" t="s">
        <v>845</v>
      </c>
      <c r="D1928" s="1" t="s">
        <v>1815</v>
      </c>
      <c r="E1928" s="1" t="s">
        <v>1816</v>
      </c>
    </row>
    <row r="1929">
      <c r="A1929" s="2">
        <v>45826.08362268518</v>
      </c>
      <c r="B1929" s="1" t="s">
        <v>1655</v>
      </c>
      <c r="C1929" s="1" t="s">
        <v>849</v>
      </c>
      <c r="D1929" s="1" t="s">
        <v>1817</v>
      </c>
      <c r="E1929" s="1" t="s">
        <v>1818</v>
      </c>
    </row>
    <row r="1930">
      <c r="A1930" s="2">
        <v>45826.46861111111</v>
      </c>
      <c r="B1930" s="1" t="s">
        <v>1713</v>
      </c>
      <c r="C1930" s="1" t="s">
        <v>1311</v>
      </c>
      <c r="D1930" s="1" t="s">
        <v>1819</v>
      </c>
      <c r="E1930" s="1" t="s">
        <v>1820</v>
      </c>
    </row>
    <row r="1931">
      <c r="A1931" s="2">
        <v>45826.363657407404</v>
      </c>
      <c r="B1931" s="1" t="s">
        <v>1311</v>
      </c>
      <c r="C1931" s="1" t="s">
        <v>1111</v>
      </c>
      <c r="D1931" s="1" t="s">
        <v>1821</v>
      </c>
      <c r="E1931" s="1" t="s">
        <v>1822</v>
      </c>
    </row>
    <row r="1932">
      <c r="A1932" s="2">
        <v>45826.3809375</v>
      </c>
      <c r="B1932" s="1" t="s">
        <v>1311</v>
      </c>
      <c r="C1932" s="1" t="s">
        <v>1823</v>
      </c>
      <c r="D1932" s="1" t="s">
        <v>1824</v>
      </c>
      <c r="E1932" s="1" t="s">
        <v>1825</v>
      </c>
    </row>
    <row r="1933">
      <c r="A1933" s="2">
        <v>45826.397210648145</v>
      </c>
      <c r="B1933" s="1" t="s">
        <v>1311</v>
      </c>
      <c r="C1933" s="1" t="s">
        <v>1826</v>
      </c>
      <c r="D1933" s="1" t="s">
        <v>1824</v>
      </c>
      <c r="E1933" s="1" t="s">
        <v>1827</v>
      </c>
    </row>
    <row r="1934">
      <c r="A1934" s="2">
        <v>45826.538194444445</v>
      </c>
      <c r="B1934" s="1" t="s">
        <v>1224</v>
      </c>
      <c r="C1934" s="1" t="s">
        <v>1828</v>
      </c>
      <c r="D1934" s="1" t="s">
        <v>1829</v>
      </c>
      <c r="E1934" s="1" t="s">
        <v>1830</v>
      </c>
    </row>
    <row r="1935">
      <c r="A1935" s="2">
        <v>45826.41925925926</v>
      </c>
      <c r="B1935" s="1" t="s">
        <v>1311</v>
      </c>
      <c r="C1935" s="1" t="s">
        <v>1224</v>
      </c>
      <c r="D1935" s="1" t="s">
        <v>1831</v>
      </c>
      <c r="E1935" s="1" t="s">
        <v>1832</v>
      </c>
    </row>
    <row r="1936">
      <c r="A1936" s="2">
        <v>45826.42178240741</v>
      </c>
      <c r="B1936" s="1" t="s">
        <v>1311</v>
      </c>
      <c r="C1936" s="1" t="s">
        <v>1111</v>
      </c>
      <c r="E1936" s="1" t="s">
        <v>1833</v>
      </c>
    </row>
    <row r="1937">
      <c r="A1937" s="2">
        <v>45826.45076388889</v>
      </c>
      <c r="B1937" s="1" t="s">
        <v>1111</v>
      </c>
      <c r="C1937" s="1" t="s">
        <v>1311</v>
      </c>
      <c r="D1937" s="1" t="s">
        <v>1834</v>
      </c>
      <c r="E1937" s="1" t="s">
        <v>1835</v>
      </c>
    </row>
    <row r="1938">
      <c r="A1938" s="2">
        <v>45826.45171296296</v>
      </c>
      <c r="B1938" s="1" t="s">
        <v>1111</v>
      </c>
      <c r="C1938" s="1" t="s">
        <v>1311</v>
      </c>
      <c r="D1938" s="1" t="s">
        <v>1617</v>
      </c>
      <c r="E1938" s="1" t="s">
        <v>1836</v>
      </c>
    </row>
    <row r="1939">
      <c r="A1939" s="2">
        <v>45826.45224537037</v>
      </c>
      <c r="B1939" s="1" t="s">
        <v>1111</v>
      </c>
      <c r="C1939" s="1" t="s">
        <v>1311</v>
      </c>
      <c r="D1939" s="1" t="s">
        <v>1617</v>
      </c>
      <c r="E1939" s="1" t="s">
        <v>1837</v>
      </c>
    </row>
    <row r="1940">
      <c r="A1940" s="2">
        <v>45826.45309027778</v>
      </c>
      <c r="B1940" s="1" t="s">
        <v>1111</v>
      </c>
      <c r="C1940" s="1" t="s">
        <v>1311</v>
      </c>
      <c r="D1940" s="1" t="s">
        <v>1617</v>
      </c>
      <c r="E1940" s="1" t="s">
        <v>1838</v>
      </c>
    </row>
    <row r="1941">
      <c r="A1941" s="2">
        <v>45826.45394675926</v>
      </c>
      <c r="B1941" s="1" t="s">
        <v>1111</v>
      </c>
      <c r="C1941" s="1" t="s">
        <v>1311</v>
      </c>
      <c r="D1941" s="1" t="s">
        <v>1617</v>
      </c>
      <c r="E1941" s="1" t="s">
        <v>1839</v>
      </c>
    </row>
    <row r="1942">
      <c r="A1942" s="2">
        <v>45826.45491898148</v>
      </c>
      <c r="B1942" s="1" t="s">
        <v>1311</v>
      </c>
      <c r="C1942" s="1" t="s">
        <v>1111</v>
      </c>
      <c r="D1942" s="1" t="s">
        <v>1617</v>
      </c>
      <c r="E1942" s="1" t="s">
        <v>1840</v>
      </c>
    </row>
    <row r="1943">
      <c r="A1943" s="2">
        <v>45826.45501157407</v>
      </c>
      <c r="B1943" s="1" t="s">
        <v>1111</v>
      </c>
      <c r="C1943" s="1" t="s">
        <v>1311</v>
      </c>
      <c r="D1943" s="1" t="s">
        <v>1617</v>
      </c>
      <c r="E1943" s="1" t="s">
        <v>1841</v>
      </c>
    </row>
    <row r="1944">
      <c r="A1944" s="2">
        <v>45826.455243055556</v>
      </c>
      <c r="B1944" s="1" t="s">
        <v>1311</v>
      </c>
      <c r="C1944" s="1" t="s">
        <v>1111</v>
      </c>
      <c r="D1944" s="1" t="s">
        <v>1617</v>
      </c>
      <c r="E1944" s="1" t="s">
        <v>1842</v>
      </c>
    </row>
    <row r="1945">
      <c r="A1945" s="2">
        <v>45826.45548611111</v>
      </c>
      <c r="B1945" s="1" t="s">
        <v>1311</v>
      </c>
      <c r="C1945" s="1" t="s">
        <v>1111</v>
      </c>
      <c r="D1945" s="1" t="s">
        <v>1617</v>
      </c>
      <c r="E1945" s="1" t="s">
        <v>1843</v>
      </c>
    </row>
    <row r="1946">
      <c r="A1946" s="2">
        <v>45826.457349537035</v>
      </c>
      <c r="B1946" s="1" t="s">
        <v>1311</v>
      </c>
      <c r="C1946" s="1" t="s">
        <v>1111</v>
      </c>
      <c r="D1946" s="1" t="s">
        <v>1617</v>
      </c>
      <c r="E1946" s="1" t="s">
        <v>1844</v>
      </c>
    </row>
    <row r="1947">
      <c r="A1947" s="2">
        <v>45826.458136574074</v>
      </c>
      <c r="B1947" s="1" t="s">
        <v>1311</v>
      </c>
      <c r="C1947" s="1" t="s">
        <v>1111</v>
      </c>
      <c r="D1947" s="1" t="s">
        <v>1617</v>
      </c>
      <c r="E1947" s="1" t="s">
        <v>1845</v>
      </c>
    </row>
    <row r="1948">
      <c r="A1948" s="2">
        <v>45826.460486111115</v>
      </c>
      <c r="B1948" s="1" t="s">
        <v>1311</v>
      </c>
      <c r="C1948" s="1" t="s">
        <v>1111</v>
      </c>
      <c r="D1948" s="1" t="s">
        <v>1617</v>
      </c>
      <c r="E1948" s="1" t="s">
        <v>1846</v>
      </c>
    </row>
    <row r="1949">
      <c r="A1949" s="2">
        <v>45826.461180555554</v>
      </c>
      <c r="B1949" s="1" t="s">
        <v>1311</v>
      </c>
      <c r="C1949" s="1" t="s">
        <v>1111</v>
      </c>
      <c r="D1949" s="1" t="s">
        <v>1617</v>
      </c>
      <c r="E1949" s="1" t="s">
        <v>1847</v>
      </c>
    </row>
    <row r="1950">
      <c r="A1950" s="2">
        <v>45826.4799537037</v>
      </c>
      <c r="B1950" s="1" t="s">
        <v>1311</v>
      </c>
      <c r="C1950" s="1" t="s">
        <v>1111</v>
      </c>
      <c r="D1950" s="1" t="s">
        <v>1834</v>
      </c>
      <c r="E1950" s="1" t="s">
        <v>1848</v>
      </c>
    </row>
    <row r="1951">
      <c r="A1951" s="2">
        <v>45826.48131944444</v>
      </c>
      <c r="B1951" s="1" t="s">
        <v>1311</v>
      </c>
      <c r="C1951" s="1" t="s">
        <v>1111</v>
      </c>
      <c r="D1951" s="1" t="s">
        <v>1834</v>
      </c>
      <c r="E1951" s="1" t="s">
        <v>1849</v>
      </c>
    </row>
    <row r="1952">
      <c r="A1952" s="2">
        <v>45826.48542824074</v>
      </c>
      <c r="B1952" s="1" t="s">
        <v>1111</v>
      </c>
      <c r="C1952" s="1" t="s">
        <v>1311</v>
      </c>
      <c r="D1952" s="1" t="s">
        <v>1834</v>
      </c>
      <c r="E1952" s="1" t="s">
        <v>1850</v>
      </c>
    </row>
    <row r="1953">
      <c r="A1953" s="2">
        <v>45826.48568287037</v>
      </c>
      <c r="B1953" s="1" t="s">
        <v>1111</v>
      </c>
      <c r="C1953" s="1" t="s">
        <v>1311</v>
      </c>
      <c r="D1953" s="1" t="s">
        <v>1834</v>
      </c>
      <c r="E1953" s="1" t="s">
        <v>1851</v>
      </c>
    </row>
    <row r="1954">
      <c r="A1954" s="2">
        <v>45826.486030092594</v>
      </c>
      <c r="B1954" s="1" t="s">
        <v>1111</v>
      </c>
      <c r="C1954" s="1" t="s">
        <v>1311</v>
      </c>
      <c r="D1954" s="1" t="s">
        <v>1617</v>
      </c>
      <c r="E1954" s="1" t="s">
        <v>1852</v>
      </c>
    </row>
    <row r="1955">
      <c r="A1955" s="2">
        <v>45826.48645833333</v>
      </c>
      <c r="B1955" s="1" t="s">
        <v>1111</v>
      </c>
      <c r="C1955" s="1" t="s">
        <v>1311</v>
      </c>
      <c r="D1955" s="1" t="s">
        <v>1617</v>
      </c>
      <c r="E1955" s="1" t="s">
        <v>1853</v>
      </c>
    </row>
    <row r="1956">
      <c r="A1956" s="2">
        <v>45826.48855324074</v>
      </c>
      <c r="B1956" s="1" t="s">
        <v>1311</v>
      </c>
      <c r="C1956" s="1" t="s">
        <v>1111</v>
      </c>
      <c r="D1956" s="1" t="s">
        <v>1854</v>
      </c>
      <c r="E1956" s="1" t="s">
        <v>1855</v>
      </c>
    </row>
    <row r="1957">
      <c r="A1957" s="2">
        <v>45826.49159722222</v>
      </c>
      <c r="B1957" s="1" t="s">
        <v>1111</v>
      </c>
      <c r="C1957" s="1" t="s">
        <v>1311</v>
      </c>
      <c r="D1957" s="1" t="s">
        <v>1856</v>
      </c>
      <c r="E1957" s="1" t="s">
        <v>1857</v>
      </c>
    </row>
    <row r="1958">
      <c r="A1958" s="2">
        <v>45826.491944444446</v>
      </c>
      <c r="B1958" s="1" t="s">
        <v>1111</v>
      </c>
      <c r="C1958" s="1" t="s">
        <v>1311</v>
      </c>
      <c r="D1958" s="1" t="s">
        <v>1856</v>
      </c>
      <c r="E1958" s="1" t="s">
        <v>1858</v>
      </c>
    </row>
    <row r="1959">
      <c r="A1959" s="2">
        <v>45826.493576388886</v>
      </c>
      <c r="B1959" s="1" t="s">
        <v>1111</v>
      </c>
      <c r="C1959" s="1" t="s">
        <v>1311</v>
      </c>
      <c r="D1959" s="1" t="s">
        <v>1856</v>
      </c>
      <c r="E1959" s="1" t="s">
        <v>1859</v>
      </c>
    </row>
    <row r="1960">
      <c r="A1960" s="2">
        <v>45826.5284375</v>
      </c>
      <c r="B1960" s="1" t="s">
        <v>1311</v>
      </c>
      <c r="C1960" s="1" t="s">
        <v>1111</v>
      </c>
      <c r="D1960" s="1" t="s">
        <v>1856</v>
      </c>
      <c r="E1960" s="1" t="s">
        <v>1860</v>
      </c>
    </row>
    <row r="1961">
      <c r="A1961" s="2">
        <v>45826.528958333336</v>
      </c>
      <c r="B1961" s="1" t="s">
        <v>1311</v>
      </c>
      <c r="C1961" s="1" t="s">
        <v>1111</v>
      </c>
      <c r="D1961" s="1" t="s">
        <v>1856</v>
      </c>
      <c r="E1961" s="1" t="s">
        <v>1861</v>
      </c>
    </row>
    <row r="1962">
      <c r="A1962" s="2">
        <v>45826.53333333333</v>
      </c>
      <c r="B1962" s="1" t="s">
        <v>1311</v>
      </c>
      <c r="C1962" s="1" t="s">
        <v>1111</v>
      </c>
      <c r="D1962" s="1" t="s">
        <v>1834</v>
      </c>
      <c r="E1962" s="1" t="s">
        <v>1862</v>
      </c>
    </row>
    <row r="1963">
      <c r="A1963" s="2">
        <v>45826.70364583333</v>
      </c>
      <c r="B1963" s="1" t="s">
        <v>1311</v>
      </c>
      <c r="C1963" s="1" t="s">
        <v>1111</v>
      </c>
      <c r="D1963" s="1" t="s">
        <v>1856</v>
      </c>
      <c r="E1963" s="1" t="s">
        <v>1863</v>
      </c>
    </row>
    <row r="1964">
      <c r="A1964" s="2">
        <v>45826.703888888886</v>
      </c>
      <c r="B1964" s="1" t="s">
        <v>1311</v>
      </c>
      <c r="C1964" s="1" t="s">
        <v>1111</v>
      </c>
      <c r="D1964" s="1" t="s">
        <v>1856</v>
      </c>
      <c r="E1964" s="1" t="s">
        <v>1864</v>
      </c>
    </row>
    <row r="1965">
      <c r="A1965" s="2">
        <v>45827.45966435185</v>
      </c>
      <c r="B1965" s="1" t="s">
        <v>844</v>
      </c>
      <c r="C1965" s="1" t="s">
        <v>1036</v>
      </c>
      <c r="D1965" s="1" t="s">
        <v>1865</v>
      </c>
      <c r="E1965" s="1" t="s">
        <v>847</v>
      </c>
    </row>
    <row r="1966">
      <c r="A1966" s="2">
        <v>45827.468877314815</v>
      </c>
      <c r="B1966" s="1" t="s">
        <v>1713</v>
      </c>
      <c r="C1966" s="1" t="s">
        <v>1311</v>
      </c>
      <c r="D1966" s="1" t="s">
        <v>1866</v>
      </c>
      <c r="E1966" s="1" t="s">
        <v>1867</v>
      </c>
    </row>
    <row r="1967">
      <c r="A1967" s="2">
        <v>45827.382256944446</v>
      </c>
      <c r="B1967" s="1" t="s">
        <v>1311</v>
      </c>
      <c r="C1967" s="1" t="s">
        <v>1111</v>
      </c>
      <c r="D1967" s="1" t="s">
        <v>1868</v>
      </c>
      <c r="E1967" s="1" t="s">
        <v>1869</v>
      </c>
    </row>
    <row r="1968">
      <c r="A1968" s="2">
        <v>45827.29287037037</v>
      </c>
      <c r="B1968" s="1" t="s">
        <v>1317</v>
      </c>
      <c r="C1968" s="1" t="s">
        <v>849</v>
      </c>
      <c r="D1968" s="1" t="s">
        <v>1870</v>
      </c>
      <c r="E1968" s="1" t="s">
        <v>1871</v>
      </c>
    </row>
    <row r="1969">
      <c r="A1969" s="2">
        <v>45827.75131944445</v>
      </c>
      <c r="B1969" s="1" t="s">
        <v>844</v>
      </c>
      <c r="C1969" s="1" t="s">
        <v>1036</v>
      </c>
      <c r="D1969" s="1" t="s">
        <v>1872</v>
      </c>
      <c r="E1969" s="1" t="s">
        <v>847</v>
      </c>
    </row>
    <row r="1970">
      <c r="A1970" s="2">
        <v>45827.756064814814</v>
      </c>
      <c r="B1970" s="1" t="s">
        <v>844</v>
      </c>
      <c r="C1970" s="1" t="s">
        <v>845</v>
      </c>
      <c r="D1970" s="1" t="s">
        <v>1489</v>
      </c>
      <c r="E1970" s="1" t="s">
        <v>847</v>
      </c>
    </row>
    <row r="1971">
      <c r="A1971" s="2">
        <v>45827.7184837963</v>
      </c>
      <c r="B1971" s="1" t="s">
        <v>1311</v>
      </c>
      <c r="C1971" s="1" t="s">
        <v>1649</v>
      </c>
      <c r="D1971" s="1" t="s">
        <v>1873</v>
      </c>
      <c r="E1971" s="1" t="s">
        <v>1874</v>
      </c>
    </row>
    <row r="1972">
      <c r="A1972" s="2">
        <v>45827.87196759259</v>
      </c>
      <c r="B1972" s="1" t="s">
        <v>1732</v>
      </c>
      <c r="C1972" s="1" t="s">
        <v>1311</v>
      </c>
      <c r="D1972" s="1" t="s">
        <v>1875</v>
      </c>
      <c r="E1972" s="1" t="s">
        <v>1876</v>
      </c>
    </row>
    <row r="1973">
      <c r="A1973" s="2">
        <v>45827.768541666665</v>
      </c>
      <c r="B1973" s="1" t="s">
        <v>1311</v>
      </c>
      <c r="C1973" s="1" t="s">
        <v>1732</v>
      </c>
      <c r="D1973" s="1" t="s">
        <v>1875</v>
      </c>
      <c r="E1973" s="1" t="s">
        <v>1877</v>
      </c>
    </row>
    <row r="1974">
      <c r="A1974" s="2">
        <v>45827.92186342592</v>
      </c>
      <c r="B1974" s="1" t="s">
        <v>1732</v>
      </c>
      <c r="C1974" s="1" t="s">
        <v>1311</v>
      </c>
      <c r="D1974" s="1" t="s">
        <v>1875</v>
      </c>
      <c r="E1974" s="1" t="s">
        <v>1878</v>
      </c>
    </row>
    <row r="1975">
      <c r="A1975" s="2">
        <v>45827.92454861111</v>
      </c>
      <c r="B1975" s="1" t="s">
        <v>1732</v>
      </c>
      <c r="C1975" s="1" t="s">
        <v>1311</v>
      </c>
      <c r="D1975" s="1" t="s">
        <v>1875</v>
      </c>
      <c r="E1975" s="1" t="s">
        <v>1879</v>
      </c>
    </row>
    <row r="1976">
      <c r="A1976" s="2">
        <v>45827.927453703705</v>
      </c>
      <c r="B1976" s="1" t="s">
        <v>1732</v>
      </c>
      <c r="C1976" s="1" t="s">
        <v>1311</v>
      </c>
      <c r="D1976" s="1" t="s">
        <v>1875</v>
      </c>
      <c r="E1976" s="1" t="s">
        <v>1880</v>
      </c>
    </row>
    <row r="1977">
      <c r="A1977" s="2">
        <v>45827.94122685185</v>
      </c>
      <c r="B1977" s="1" t="s">
        <v>1311</v>
      </c>
      <c r="C1977" s="1" t="s">
        <v>1732</v>
      </c>
      <c r="D1977" s="1" t="s">
        <v>1875</v>
      </c>
      <c r="E1977" s="1" t="s">
        <v>1881</v>
      </c>
    </row>
    <row r="1978">
      <c r="A1978" s="2">
        <v>45828.344826388886</v>
      </c>
      <c r="B1978" s="1" t="s">
        <v>325</v>
      </c>
      <c r="C1978" s="1" t="s">
        <v>1036</v>
      </c>
      <c r="D1978" s="1" t="s">
        <v>1882</v>
      </c>
      <c r="E1978" s="1" t="s">
        <v>1883</v>
      </c>
    </row>
    <row r="1979">
      <c r="A1979" s="2">
        <v>45828.43729166667</v>
      </c>
      <c r="B1979" s="1" t="s">
        <v>857</v>
      </c>
      <c r="C1979" s="1" t="s">
        <v>1036</v>
      </c>
      <c r="D1979" s="1" t="s">
        <v>1884</v>
      </c>
      <c r="E1979" s="1" t="s">
        <v>908</v>
      </c>
    </row>
    <row r="1980">
      <c r="A1980" s="2">
        <v>45828.4687037037</v>
      </c>
      <c r="B1980" s="1" t="s">
        <v>1713</v>
      </c>
      <c r="C1980" s="1" t="s">
        <v>1311</v>
      </c>
      <c r="D1980" s="1" t="s">
        <v>1885</v>
      </c>
      <c r="E1980" s="1" t="s">
        <v>1886</v>
      </c>
    </row>
    <row r="1981">
      <c r="A1981" s="2">
        <v>45828.48982638889</v>
      </c>
      <c r="B1981" s="1" t="s">
        <v>1732</v>
      </c>
      <c r="C1981" s="1" t="s">
        <v>1311</v>
      </c>
      <c r="D1981" s="1" t="s">
        <v>1875</v>
      </c>
      <c r="E1981" s="1" t="s">
        <v>1887</v>
      </c>
    </row>
    <row r="1982">
      <c r="A1982" s="2">
        <v>45828.490439814814</v>
      </c>
      <c r="B1982" s="1" t="s">
        <v>1732</v>
      </c>
      <c r="C1982" s="1" t="s">
        <v>1311</v>
      </c>
      <c r="D1982" s="1" t="s">
        <v>1875</v>
      </c>
      <c r="E1982" s="1" t="s">
        <v>1888</v>
      </c>
    </row>
    <row r="1983">
      <c r="A1983" s="2">
        <v>45828.49081018518</v>
      </c>
      <c r="B1983" s="1" t="s">
        <v>1732</v>
      </c>
      <c r="C1983" s="1" t="s">
        <v>1311</v>
      </c>
      <c r="D1983" s="1" t="s">
        <v>1875</v>
      </c>
      <c r="E1983" s="1" t="s">
        <v>1889</v>
      </c>
    </row>
    <row r="1984">
      <c r="A1984" s="2">
        <v>45828.56820601852</v>
      </c>
      <c r="B1984" s="1" t="s">
        <v>860</v>
      </c>
      <c r="C1984" s="1" t="s">
        <v>849</v>
      </c>
      <c r="D1984" s="1" t="s">
        <v>1411</v>
      </c>
      <c r="E1984" s="1" t="s">
        <v>851</v>
      </c>
    </row>
    <row r="1985">
      <c r="A1985" s="2">
        <v>45828.53210648148</v>
      </c>
      <c r="B1985" s="1" t="s">
        <v>1311</v>
      </c>
      <c r="C1985" s="1" t="s">
        <v>1224</v>
      </c>
      <c r="D1985" s="1" t="s">
        <v>1831</v>
      </c>
      <c r="E1985" s="1" t="s">
        <v>1890</v>
      </c>
    </row>
    <row r="1986">
      <c r="A1986" s="2">
        <v>45828.664039351854</v>
      </c>
      <c r="B1986" s="1" t="s">
        <v>844</v>
      </c>
      <c r="C1986" s="1" t="s">
        <v>1036</v>
      </c>
      <c r="D1986" s="1" t="s">
        <v>1674</v>
      </c>
      <c r="E1986" s="1" t="s">
        <v>847</v>
      </c>
    </row>
    <row r="1987">
      <c r="A1987" s="2">
        <v>45828.669803240744</v>
      </c>
      <c r="B1987" s="1" t="s">
        <v>1891</v>
      </c>
      <c r="C1987" s="1" t="s">
        <v>1311</v>
      </c>
      <c r="D1987" s="1" t="s">
        <v>1829</v>
      </c>
      <c r="E1987" s="1" t="s">
        <v>1892</v>
      </c>
    </row>
    <row r="1988">
      <c r="A1988" s="2">
        <v>45828.552465277775</v>
      </c>
      <c r="B1988" s="1" t="s">
        <v>1311</v>
      </c>
      <c r="C1988" s="1" t="s">
        <v>1891</v>
      </c>
      <c r="D1988" s="1" t="s">
        <v>1831</v>
      </c>
      <c r="E1988" s="1" t="s">
        <v>1893</v>
      </c>
    </row>
    <row r="1989">
      <c r="A1989" s="2">
        <v>45828.6834375</v>
      </c>
      <c r="B1989" s="1" t="s">
        <v>1891</v>
      </c>
      <c r="C1989" s="1" t="s">
        <v>1311</v>
      </c>
      <c r="D1989" s="1" t="s">
        <v>1829</v>
      </c>
      <c r="E1989" s="1" t="s">
        <v>1894</v>
      </c>
    </row>
    <row r="1990">
      <c r="A1990" s="2">
        <v>45828.825011574074</v>
      </c>
      <c r="B1990" s="1" t="s">
        <v>1015</v>
      </c>
      <c r="C1990" s="1" t="s">
        <v>845</v>
      </c>
      <c r="D1990" s="1" t="s">
        <v>1228</v>
      </c>
      <c r="E1990" s="1" t="s">
        <v>847</v>
      </c>
    </row>
    <row r="1991">
      <c r="A1991" s="2">
        <v>45829.4687962963</v>
      </c>
      <c r="B1991" s="1" t="s">
        <v>1713</v>
      </c>
      <c r="C1991" s="1" t="s">
        <v>1311</v>
      </c>
      <c r="D1991" s="1" t="s">
        <v>1895</v>
      </c>
      <c r="E1991" s="1" t="s">
        <v>1896</v>
      </c>
    </row>
    <row r="1992">
      <c r="A1992" s="2">
        <v>45829.652766203704</v>
      </c>
      <c r="B1992" s="1" t="s">
        <v>865</v>
      </c>
      <c r="C1992" s="1" t="s">
        <v>1036</v>
      </c>
      <c r="D1992" s="1" t="s">
        <v>1897</v>
      </c>
      <c r="E1992" s="1" t="s">
        <v>908</v>
      </c>
    </row>
    <row r="1993">
      <c r="A1993" s="2">
        <v>45829.750023148146</v>
      </c>
      <c r="B1993" s="1" t="s">
        <v>1809</v>
      </c>
      <c r="C1993" s="1" t="s">
        <v>845</v>
      </c>
      <c r="D1993" s="3" t="str">
        <f>?UTF-8?B?RG9u4oCZdA==?= forget to activate your Lumin workspace</f>
        <v>#ERROR!</v>
      </c>
      <c r="E1993" s="1" t="s">
        <v>1898</v>
      </c>
    </row>
    <row r="1994">
      <c r="A1994" s="2">
        <v>45830.399305555555</v>
      </c>
      <c r="B1994" s="1" t="s">
        <v>1311</v>
      </c>
      <c r="C1994" s="1" t="s">
        <v>1732</v>
      </c>
      <c r="D1994" s="1" t="s">
        <v>1875</v>
      </c>
      <c r="E1994" s="1" t="s">
        <v>1899</v>
      </c>
    </row>
    <row r="1995">
      <c r="A1995" s="2">
        <v>45830.42805555555</v>
      </c>
      <c r="B1995" s="3" t="str">
        <f>?UTF-8?B?THVuYSDigKI=?= &lt;lunacraigcep@gmail.com&gt;</f>
        <v>#ERROR!</v>
      </c>
      <c r="C1995" s="1" t="s">
        <v>1900</v>
      </c>
      <c r="D1995" s="1" t="s">
        <v>1901</v>
      </c>
      <c r="E1995" s="1" t="s">
        <v>1902</v>
      </c>
    </row>
    <row r="1996">
      <c r="A1996" s="2">
        <v>45830.91900462963</v>
      </c>
      <c r="B1996" s="1" t="s">
        <v>1311</v>
      </c>
      <c r="C1996" s="1" t="s">
        <v>1311</v>
      </c>
      <c r="D1996" s="1" t="s">
        <v>1903</v>
      </c>
      <c r="E1996" s="1" t="s">
        <v>1904</v>
      </c>
    </row>
    <row r="1997">
      <c r="A1997" s="2">
        <v>45831.45479166666</v>
      </c>
      <c r="B1997" s="1" t="s">
        <v>857</v>
      </c>
      <c r="C1997" s="1" t="s">
        <v>845</v>
      </c>
      <c r="D1997" s="1" t="s">
        <v>1421</v>
      </c>
      <c r="E1997" s="1" t="s">
        <v>847</v>
      </c>
    </row>
    <row r="1998">
      <c r="A1998" s="2">
        <v>45831.46869212963</v>
      </c>
      <c r="B1998" s="1" t="s">
        <v>1713</v>
      </c>
      <c r="C1998" s="1" t="s">
        <v>1311</v>
      </c>
      <c r="D1998" s="1" t="s">
        <v>1905</v>
      </c>
      <c r="E1998" s="1" t="s">
        <v>1906</v>
      </c>
    </row>
    <row r="1999">
      <c r="A1999" s="2">
        <v>45831.76138888889</v>
      </c>
      <c r="B1999" s="1" t="s">
        <v>844</v>
      </c>
      <c r="C1999" s="1" t="s">
        <v>1036</v>
      </c>
      <c r="D1999" s="1" t="s">
        <v>1685</v>
      </c>
      <c r="E1999" s="1" t="s">
        <v>847</v>
      </c>
    </row>
    <row r="2000">
      <c r="A2000" s="2">
        <v>45831.76447916667</v>
      </c>
      <c r="B2000" s="1" t="s">
        <v>844</v>
      </c>
      <c r="C2000" s="1" t="s">
        <v>845</v>
      </c>
      <c r="D2000" s="1" t="s">
        <v>1907</v>
      </c>
      <c r="E2000" s="1" t="s">
        <v>847</v>
      </c>
    </row>
    <row r="2001">
      <c r="A2001" s="2">
        <v>45831.98564814815</v>
      </c>
      <c r="B2001" s="1" t="s">
        <v>857</v>
      </c>
      <c r="C2001" s="1" t="s">
        <v>1036</v>
      </c>
      <c r="D2001" s="1" t="s">
        <v>1908</v>
      </c>
      <c r="E2001" s="1" t="s">
        <v>908</v>
      </c>
    </row>
    <row r="2002">
      <c r="A2002" s="2">
        <v>45832.46885416667</v>
      </c>
      <c r="B2002" s="1" t="s">
        <v>1713</v>
      </c>
      <c r="C2002" s="1" t="s">
        <v>1311</v>
      </c>
      <c r="D2002" s="1" t="s">
        <v>1909</v>
      </c>
      <c r="E2002" s="1" t="s">
        <v>1910</v>
      </c>
    </row>
    <row r="2003">
      <c r="A2003" s="2">
        <v>45832.3953125</v>
      </c>
      <c r="B2003" s="1" t="s">
        <v>1311</v>
      </c>
      <c r="C2003" s="1" t="s">
        <v>1111</v>
      </c>
      <c r="D2003" s="1" t="s">
        <v>1911</v>
      </c>
      <c r="E2003" s="1" t="s">
        <v>1912</v>
      </c>
    </row>
    <row r="2004">
      <c r="A2004" s="2">
        <v>45832.60486111111</v>
      </c>
      <c r="B2004" s="1" t="s">
        <v>860</v>
      </c>
      <c r="C2004" s="1" t="s">
        <v>849</v>
      </c>
      <c r="D2004" s="3" t="str">
        <f>?utf-8?q?50%_off_your_next_3_orders_-_just_for_you_=F0=9F=91=80?=</f>
        <v>#ERROR!</v>
      </c>
      <c r="E2004" s="1" t="s">
        <v>851</v>
      </c>
    </row>
    <row r="2005">
      <c r="A2005" s="2">
        <v>45832.55806712963</v>
      </c>
      <c r="B2005" s="1" t="s">
        <v>1111</v>
      </c>
      <c r="C2005" s="1" t="s">
        <v>1311</v>
      </c>
      <c r="D2005" s="1" t="s">
        <v>1911</v>
      </c>
      <c r="E2005" s="1" t="s">
        <v>1913</v>
      </c>
    </row>
    <row r="2006">
      <c r="A2006" s="2">
        <v>45832.59787037037</v>
      </c>
      <c r="B2006" s="1" t="s">
        <v>1311</v>
      </c>
      <c r="C2006" s="1" t="s">
        <v>1111</v>
      </c>
      <c r="D2006" s="1" t="s">
        <v>1911</v>
      </c>
      <c r="E2006" s="1" t="s">
        <v>1914</v>
      </c>
    </row>
    <row r="2007">
      <c r="A2007" s="2">
        <v>45832.82104166667</v>
      </c>
      <c r="B2007" s="1" t="s">
        <v>857</v>
      </c>
      <c r="C2007" s="1" t="s">
        <v>845</v>
      </c>
      <c r="D2007" s="1" t="s">
        <v>861</v>
      </c>
      <c r="E2007" s="1" t="s">
        <v>847</v>
      </c>
    </row>
    <row r="2008">
      <c r="A2008" s="2">
        <v>45832.899409722224</v>
      </c>
      <c r="B2008" s="1" t="s">
        <v>844</v>
      </c>
      <c r="C2008" s="1" t="s">
        <v>1036</v>
      </c>
      <c r="D2008" s="3" t="str">
        <f>?UTF-8?q?Get_$40_off_your_first_order_=E2=80=94_don=E2=80=99t_miss_out!?=</f>
        <v>#ERROR!</v>
      </c>
      <c r="E2008" s="1" t="s">
        <v>847</v>
      </c>
    </row>
    <row r="2009">
      <c r="A2009" s="2">
        <v>45832.78450231482</v>
      </c>
      <c r="B2009" s="1" t="s">
        <v>1311</v>
      </c>
      <c r="C2009" s="1" t="s">
        <v>1111</v>
      </c>
      <c r="D2009" s="1" t="s">
        <v>1911</v>
      </c>
      <c r="E2009" s="1" t="s">
        <v>1915</v>
      </c>
    </row>
    <row r="2010">
      <c r="A2010" s="2">
        <v>45832.78954861111</v>
      </c>
      <c r="B2010" s="1" t="s">
        <v>1111</v>
      </c>
      <c r="C2010" s="1" t="s">
        <v>1311</v>
      </c>
      <c r="D2010" s="1" t="s">
        <v>1911</v>
      </c>
      <c r="E2010" s="1" t="s">
        <v>1916</v>
      </c>
    </row>
    <row r="2011">
      <c r="A2011" s="2">
        <v>45832.79033564815</v>
      </c>
      <c r="B2011" s="1" t="s">
        <v>1111</v>
      </c>
      <c r="C2011" s="1" t="s">
        <v>1311</v>
      </c>
      <c r="D2011" s="1" t="s">
        <v>1911</v>
      </c>
      <c r="E2011" s="1" t="s">
        <v>1917</v>
      </c>
    </row>
    <row r="2012">
      <c r="A2012" s="2">
        <v>45832.92519675926</v>
      </c>
      <c r="B2012" s="1" t="s">
        <v>1918</v>
      </c>
      <c r="C2012" s="1" t="s">
        <v>845</v>
      </c>
      <c r="D2012" s="1" t="s">
        <v>1919</v>
      </c>
      <c r="E2012" s="1" t="s">
        <v>1920</v>
      </c>
    </row>
    <row r="2013">
      <c r="A2013" s="2">
        <v>45832.80085648148</v>
      </c>
      <c r="B2013" s="1" t="s">
        <v>1111</v>
      </c>
      <c r="C2013" s="1" t="s">
        <v>1311</v>
      </c>
      <c r="D2013" s="1" t="s">
        <v>1911</v>
      </c>
      <c r="E2013" s="1" t="s">
        <v>1921</v>
      </c>
    </row>
    <row r="2014">
      <c r="A2014" s="2">
        <v>45832.85128472222</v>
      </c>
      <c r="B2014" s="1" t="s">
        <v>1311</v>
      </c>
      <c r="C2014" s="1" t="s">
        <v>1111</v>
      </c>
      <c r="D2014" s="1" t="s">
        <v>1911</v>
      </c>
      <c r="E2014" s="1" t="s">
        <v>1922</v>
      </c>
    </row>
    <row r="2015">
      <c r="A2015" s="2">
        <v>45832.85664351852</v>
      </c>
      <c r="B2015" s="1" t="s">
        <v>1111</v>
      </c>
      <c r="C2015" s="1" t="s">
        <v>1311</v>
      </c>
      <c r="D2015" s="1" t="s">
        <v>1911</v>
      </c>
      <c r="E2015" s="1" t="s">
        <v>1923</v>
      </c>
    </row>
    <row r="2016">
      <c r="A2016" s="2">
        <v>45832.861712962964</v>
      </c>
      <c r="B2016" s="1" t="s">
        <v>1111</v>
      </c>
      <c r="C2016" s="1" t="s">
        <v>1311</v>
      </c>
      <c r="D2016" s="1" t="s">
        <v>1911</v>
      </c>
      <c r="E2016" s="1" t="s">
        <v>1924</v>
      </c>
    </row>
    <row r="2017">
      <c r="A2017" s="2">
        <v>45832.86516203704</v>
      </c>
      <c r="B2017" s="1" t="s">
        <v>1311</v>
      </c>
      <c r="C2017" s="1" t="s">
        <v>1111</v>
      </c>
      <c r="D2017" s="1" t="s">
        <v>1911</v>
      </c>
      <c r="E2017" s="1" t="s">
        <v>1925</v>
      </c>
    </row>
    <row r="2018">
      <c r="A2018" s="2">
        <v>45832.75747685185</v>
      </c>
      <c r="B2018" s="1" t="s">
        <v>1108</v>
      </c>
      <c r="C2018" s="1" t="s">
        <v>849</v>
      </c>
      <c r="D2018" s="1" t="s">
        <v>1926</v>
      </c>
      <c r="E2018" s="1" t="s">
        <v>1534</v>
      </c>
    </row>
    <row r="2019">
      <c r="A2019" s="2">
        <v>45833.46865740741</v>
      </c>
      <c r="B2019" s="1" t="s">
        <v>1713</v>
      </c>
      <c r="C2019" s="1" t="s">
        <v>1311</v>
      </c>
      <c r="D2019" s="1" t="s">
        <v>1927</v>
      </c>
      <c r="E2019" s="1" t="s">
        <v>1928</v>
      </c>
    </row>
    <row r="2020">
      <c r="A2020" s="2">
        <v>45833.48023148148</v>
      </c>
      <c r="B2020" s="1" t="s">
        <v>844</v>
      </c>
      <c r="C2020" s="1" t="s">
        <v>845</v>
      </c>
      <c r="D2020" s="1" t="s">
        <v>1529</v>
      </c>
      <c r="E2020" s="1" t="s">
        <v>847</v>
      </c>
    </row>
    <row r="2021">
      <c r="A2021" s="2">
        <v>45833.52612268519</v>
      </c>
      <c r="B2021" s="1" t="s">
        <v>1311</v>
      </c>
      <c r="C2021" s="1" t="s">
        <v>1111</v>
      </c>
      <c r="D2021" s="1" t="s">
        <v>1911</v>
      </c>
      <c r="E2021" s="1" t="s">
        <v>1929</v>
      </c>
    </row>
    <row r="2022">
      <c r="A2022" s="2">
        <v>45833.54109953704</v>
      </c>
      <c r="B2022" s="1" t="s">
        <v>1311</v>
      </c>
      <c r="C2022" s="1" t="s">
        <v>1071</v>
      </c>
      <c r="D2022" s="1" t="s">
        <v>1930</v>
      </c>
      <c r="E2022" s="1" t="s">
        <v>1931</v>
      </c>
    </row>
    <row r="2023">
      <c r="A2023" s="2">
        <v>45833.72619212963</v>
      </c>
      <c r="B2023" s="1" t="s">
        <v>1311</v>
      </c>
      <c r="C2023" s="1" t="s">
        <v>1111</v>
      </c>
      <c r="D2023" s="1" t="s">
        <v>1911</v>
      </c>
      <c r="E2023" s="1" t="s">
        <v>1932</v>
      </c>
    </row>
    <row r="2024">
      <c r="A2024" s="2">
        <v>45833.93733796296</v>
      </c>
      <c r="B2024" s="1" t="s">
        <v>1311</v>
      </c>
      <c r="C2024" s="1" t="s">
        <v>1111</v>
      </c>
      <c r="D2024" s="1" t="s">
        <v>1911</v>
      </c>
      <c r="E2024" s="1" t="s">
        <v>1933</v>
      </c>
    </row>
    <row r="2025">
      <c r="A2025" s="2">
        <v>45833.94133101852</v>
      </c>
      <c r="B2025" s="1" t="s">
        <v>1311</v>
      </c>
      <c r="C2025" s="1" t="s">
        <v>1302</v>
      </c>
      <c r="D2025" s="1" t="s">
        <v>1934</v>
      </c>
      <c r="E2025" s="1" t="s">
        <v>1935</v>
      </c>
    </row>
    <row r="2026">
      <c r="A2026" s="2">
        <v>45834.44184027778</v>
      </c>
      <c r="B2026" s="1" t="s">
        <v>857</v>
      </c>
      <c r="C2026" s="1" t="s">
        <v>845</v>
      </c>
      <c r="D2026" s="3" t="str">
        <f>?UTF-8?b?Q2FuYWRhIERheSBEZWFscyDwn4eo8J+Hpg==?=</f>
        <v>#ERROR!</v>
      </c>
      <c r="E2026" s="1" t="s">
        <v>847</v>
      </c>
    </row>
    <row r="2027">
      <c r="A2027" s="2">
        <v>45834.338900462964</v>
      </c>
      <c r="B2027" s="1" t="s">
        <v>1311</v>
      </c>
      <c r="C2027" s="1" t="s">
        <v>1649</v>
      </c>
      <c r="D2027" s="1" t="s">
        <v>1936</v>
      </c>
      <c r="E2027" s="1" t="s">
        <v>1937</v>
      </c>
    </row>
    <row r="2028">
      <c r="A2028" s="2">
        <v>45834.342685185184</v>
      </c>
      <c r="B2028" s="1" t="s">
        <v>1111</v>
      </c>
      <c r="C2028" s="1" t="s">
        <v>1311</v>
      </c>
      <c r="D2028" s="1" t="s">
        <v>1938</v>
      </c>
      <c r="E2028" s="1" t="s">
        <v>1939</v>
      </c>
    </row>
    <row r="2029">
      <c r="A2029" s="2">
        <v>45834.46871527778</v>
      </c>
      <c r="B2029" s="1" t="s">
        <v>1713</v>
      </c>
      <c r="C2029" s="1" t="s">
        <v>1311</v>
      </c>
      <c r="D2029" s="1" t="s">
        <v>1940</v>
      </c>
      <c r="E2029" s="1" t="s">
        <v>1941</v>
      </c>
    </row>
    <row r="2030">
      <c r="A2030" s="2">
        <v>45834.36767361111</v>
      </c>
      <c r="B2030" s="1" t="s">
        <v>1311</v>
      </c>
      <c r="C2030" s="1" t="s">
        <v>1111</v>
      </c>
      <c r="D2030" s="1" t="s">
        <v>1938</v>
      </c>
      <c r="E2030" s="1" t="s">
        <v>1942</v>
      </c>
    </row>
    <row r="2031">
      <c r="A2031" s="2">
        <v>45834.36912037037</v>
      </c>
      <c r="B2031" s="1" t="s">
        <v>1311</v>
      </c>
      <c r="C2031" s="1" t="s">
        <v>1111</v>
      </c>
      <c r="D2031" s="1" t="s">
        <v>1938</v>
      </c>
      <c r="E2031" s="1" t="s">
        <v>1943</v>
      </c>
    </row>
    <row r="2032">
      <c r="A2032" s="2">
        <v>45834.36924768519</v>
      </c>
      <c r="B2032" s="1" t="s">
        <v>1111</v>
      </c>
      <c r="C2032" s="1" t="s">
        <v>1311</v>
      </c>
      <c r="D2032" s="1" t="s">
        <v>1938</v>
      </c>
      <c r="E2032" s="1" t="s">
        <v>1944</v>
      </c>
    </row>
    <row r="2033">
      <c r="A2033" s="2">
        <v>45834.37018518519</v>
      </c>
      <c r="B2033" s="1" t="s">
        <v>1311</v>
      </c>
      <c r="C2033" s="1" t="s">
        <v>1111</v>
      </c>
      <c r="D2033" s="1" t="s">
        <v>1938</v>
      </c>
      <c r="E2033" s="1" t="s">
        <v>1945</v>
      </c>
    </row>
    <row r="2034">
      <c r="A2034" s="2">
        <v>45834.37834490741</v>
      </c>
      <c r="B2034" s="1" t="s">
        <v>1111</v>
      </c>
      <c r="C2034" s="1" t="s">
        <v>1311</v>
      </c>
      <c r="D2034" s="1" t="s">
        <v>1938</v>
      </c>
      <c r="E2034" s="1" t="s">
        <v>1946</v>
      </c>
    </row>
    <row r="2035">
      <c r="A2035" s="2">
        <v>45834.38037037037</v>
      </c>
      <c r="B2035" s="1" t="s">
        <v>1111</v>
      </c>
      <c r="C2035" s="1" t="s">
        <v>1311</v>
      </c>
      <c r="D2035" s="1" t="s">
        <v>1938</v>
      </c>
      <c r="E2035" s="1" t="s">
        <v>1947</v>
      </c>
    </row>
    <row r="2036">
      <c r="A2036" s="2">
        <v>45834.38055555556</v>
      </c>
      <c r="B2036" s="1" t="s">
        <v>1111</v>
      </c>
      <c r="C2036" s="1" t="s">
        <v>1311</v>
      </c>
      <c r="D2036" s="1" t="s">
        <v>1938</v>
      </c>
      <c r="E2036" s="1" t="s">
        <v>1948</v>
      </c>
    </row>
    <row r="2037">
      <c r="A2037" s="2">
        <v>45834.382256944446</v>
      </c>
      <c r="B2037" s="1" t="s">
        <v>1311</v>
      </c>
      <c r="C2037" s="1" t="s">
        <v>1111</v>
      </c>
      <c r="D2037" s="1" t="s">
        <v>1938</v>
      </c>
      <c r="E2037" s="1" t="s">
        <v>1949</v>
      </c>
    </row>
    <row r="2038">
      <c r="A2038" s="2">
        <v>45834.40415509259</v>
      </c>
      <c r="B2038" s="1" t="s">
        <v>1311</v>
      </c>
      <c r="C2038" s="1" t="s">
        <v>1111</v>
      </c>
      <c r="D2038" s="1" t="s">
        <v>1938</v>
      </c>
      <c r="E2038" s="1" t="s">
        <v>1950</v>
      </c>
    </row>
    <row r="2039">
      <c r="A2039" s="2">
        <v>45834.29381944444</v>
      </c>
      <c r="B2039" s="1" t="s">
        <v>1317</v>
      </c>
      <c r="C2039" s="1" t="s">
        <v>849</v>
      </c>
      <c r="D2039" s="3" t="str">
        <f>?UTF-8?B?WW91ciBjb21lYmFjayBzdGFydHMgd2l0aCB0aGlz4oCmIPCfkYc=?=</f>
        <v>#ERROR!</v>
      </c>
      <c r="E2039" s="1" t="s">
        <v>1951</v>
      </c>
    </row>
    <row r="2040">
      <c r="A2040" s="2">
        <v>45834.46606481481</v>
      </c>
      <c r="B2040" s="1" t="s">
        <v>1111</v>
      </c>
      <c r="C2040" s="1" t="s">
        <v>1311</v>
      </c>
      <c r="D2040" s="1" t="s">
        <v>1938</v>
      </c>
      <c r="E2040" s="1" t="s">
        <v>1952</v>
      </c>
    </row>
    <row r="2041">
      <c r="A2041" s="2">
        <v>45834.557800925926</v>
      </c>
      <c r="B2041" s="1" t="s">
        <v>1311</v>
      </c>
      <c r="C2041" s="1" t="s">
        <v>1111</v>
      </c>
      <c r="D2041" s="1" t="s">
        <v>1938</v>
      </c>
      <c r="E2041" s="1" t="s">
        <v>1953</v>
      </c>
    </row>
    <row r="2042">
      <c r="A2042" s="2">
        <v>45834.64873842592</v>
      </c>
      <c r="B2042" s="1" t="s">
        <v>1311</v>
      </c>
      <c r="C2042" s="1" t="s">
        <v>1954</v>
      </c>
      <c r="D2042" s="1" t="s">
        <v>1955</v>
      </c>
      <c r="E2042" s="1" t="s">
        <v>1956</v>
      </c>
    </row>
    <row r="2043">
      <c r="A2043" s="2">
        <v>45835.2416087963</v>
      </c>
      <c r="B2043" s="1" t="s">
        <v>1311</v>
      </c>
      <c r="C2043" s="1" t="s">
        <v>1111</v>
      </c>
      <c r="E2043" s="1" t="s">
        <v>1957</v>
      </c>
    </row>
    <row r="2044">
      <c r="A2044" s="2">
        <v>45835.07509259259</v>
      </c>
      <c r="B2044" s="1" t="s">
        <v>1958</v>
      </c>
      <c r="C2044" s="1" t="s">
        <v>845</v>
      </c>
      <c r="D2044" s="1" t="s">
        <v>1959</v>
      </c>
      <c r="E2044" s="1" t="s">
        <v>1957</v>
      </c>
    </row>
    <row r="2045">
      <c r="A2045" s="2">
        <v>45835.25105324074</v>
      </c>
      <c r="B2045" s="1" t="s">
        <v>1311</v>
      </c>
      <c r="C2045" s="1" t="s">
        <v>1111</v>
      </c>
      <c r="D2045" s="1" t="s">
        <v>1960</v>
      </c>
      <c r="E2045" s="1" t="s">
        <v>1961</v>
      </c>
    </row>
    <row r="2046">
      <c r="A2046" s="2">
        <v>45835.08453703704</v>
      </c>
      <c r="B2046" s="1" t="s">
        <v>1958</v>
      </c>
      <c r="C2046" s="1" t="s">
        <v>845</v>
      </c>
      <c r="D2046" s="1" t="s">
        <v>1959</v>
      </c>
      <c r="E2046" s="1" t="s">
        <v>1961</v>
      </c>
    </row>
    <row r="2047">
      <c r="A2047" s="2">
        <v>45835.25679398148</v>
      </c>
      <c r="B2047" s="1" t="s">
        <v>1311</v>
      </c>
      <c r="C2047" s="1" t="s">
        <v>1111</v>
      </c>
      <c r="E2047" s="1" t="s">
        <v>1962</v>
      </c>
    </row>
    <row r="2048">
      <c r="A2048" s="2">
        <v>45835.09028935185</v>
      </c>
      <c r="B2048" s="1" t="s">
        <v>1958</v>
      </c>
      <c r="C2048" s="1" t="s">
        <v>845</v>
      </c>
      <c r="D2048" s="1" t="s">
        <v>1959</v>
      </c>
      <c r="E2048" s="1" t="s">
        <v>1962</v>
      </c>
    </row>
    <row r="2049">
      <c r="A2049" s="2">
        <v>45835.46875</v>
      </c>
      <c r="B2049" s="1" t="s">
        <v>1713</v>
      </c>
      <c r="C2049" s="1" t="s">
        <v>1311</v>
      </c>
      <c r="D2049" s="1" t="s">
        <v>1963</v>
      </c>
      <c r="E2049" s="1" t="s">
        <v>1964</v>
      </c>
    </row>
    <row r="2050">
      <c r="A2050" s="2">
        <v>45835.56891203704</v>
      </c>
      <c r="B2050" s="1" t="s">
        <v>857</v>
      </c>
      <c r="C2050" s="1" t="s">
        <v>845</v>
      </c>
      <c r="D2050" s="1" t="s">
        <v>1411</v>
      </c>
      <c r="E2050" s="1" t="s">
        <v>847</v>
      </c>
    </row>
    <row r="2051">
      <c r="A2051" s="2">
        <v>45835.54760416667</v>
      </c>
      <c r="B2051" s="1" t="s">
        <v>1311</v>
      </c>
      <c r="C2051" s="1" t="s">
        <v>1826</v>
      </c>
      <c r="D2051" s="1" t="s">
        <v>1965</v>
      </c>
      <c r="E2051" s="1" t="s">
        <v>1966</v>
      </c>
    </row>
    <row r="2052">
      <c r="A2052" s="2">
        <v>45835.69351851852</v>
      </c>
      <c r="B2052" s="1" t="s">
        <v>1891</v>
      </c>
      <c r="C2052" s="1" t="s">
        <v>1967</v>
      </c>
      <c r="D2052" s="1" t="s">
        <v>1968</v>
      </c>
      <c r="E2052" s="1" t="s">
        <v>1969</v>
      </c>
    </row>
    <row r="2053">
      <c r="A2053" s="2">
        <v>45835.75104166667</v>
      </c>
      <c r="B2053" s="1" t="s">
        <v>844</v>
      </c>
      <c r="C2053" s="1" t="s">
        <v>845</v>
      </c>
      <c r="D2053" s="1" t="s">
        <v>1970</v>
      </c>
      <c r="E2053" s="1" t="s">
        <v>847</v>
      </c>
    </row>
    <row r="2054">
      <c r="A2054" s="2">
        <v>45835.751122685186</v>
      </c>
      <c r="B2054" s="1" t="s">
        <v>848</v>
      </c>
      <c r="C2054" s="1" t="s">
        <v>1602</v>
      </c>
      <c r="D2054" s="3" t="str">
        <f>?utf-8?q?Get_up_to_50%_off_the_essentials_you_need_=F0=9F=9B=92?=</f>
        <v>#ERROR!</v>
      </c>
      <c r="E2054" s="1" t="s">
        <v>851</v>
      </c>
    </row>
    <row r="2055">
      <c r="A2055" s="2">
        <v>45835.676400462966</v>
      </c>
      <c r="B2055" s="1" t="s">
        <v>1108</v>
      </c>
      <c r="C2055" s="1" t="s">
        <v>849</v>
      </c>
      <c r="D2055" s="3" t="str">
        <f>?utf-8?B?V2hhdOKAmXMgZ290IGluZmx1ZW5jZXJzIHNvIGV4Y2l0ZWQ/IA==?=
 =?utf-8?B?8J+RgA==?=</f>
        <v>#ERROR!</v>
      </c>
      <c r="E2055" s="1" t="s">
        <v>1534</v>
      </c>
    </row>
    <row r="2056">
      <c r="A2056" s="2">
        <v>45836.46871527778</v>
      </c>
      <c r="B2056" s="1" t="s">
        <v>1713</v>
      </c>
      <c r="C2056" s="1" t="s">
        <v>1311</v>
      </c>
      <c r="D2056" s="1" t="s">
        <v>1971</v>
      </c>
      <c r="E2056" s="1" t="s">
        <v>1972</v>
      </c>
    </row>
    <row r="2057">
      <c r="A2057" s="2">
        <v>45836.738912037035</v>
      </c>
      <c r="B2057" s="1" t="s">
        <v>844</v>
      </c>
      <c r="C2057" s="1" t="s">
        <v>1036</v>
      </c>
      <c r="D2057" s="1" t="s">
        <v>1973</v>
      </c>
      <c r="E2057" s="1" t="s">
        <v>847</v>
      </c>
    </row>
    <row r="2058">
      <c r="A2058" s="2">
        <v>45836.805138888885</v>
      </c>
      <c r="B2058" s="1" t="s">
        <v>1311</v>
      </c>
      <c r="C2058" s="1" t="s">
        <v>1649</v>
      </c>
      <c r="D2058" s="1" t="s">
        <v>1974</v>
      </c>
      <c r="E2058" s="1" t="s">
        <v>1975</v>
      </c>
    </row>
    <row r="2059">
      <c r="A2059" s="2">
        <v>45836.63862268518</v>
      </c>
      <c r="B2059" s="1" t="s">
        <v>1958</v>
      </c>
      <c r="C2059" s="1" t="s">
        <v>845</v>
      </c>
      <c r="D2059" s="1" t="s">
        <v>1959</v>
      </c>
      <c r="E2059" s="1" t="s">
        <v>1975</v>
      </c>
    </row>
    <row r="2060">
      <c r="A2060" s="2">
        <v>45838.45806712963</v>
      </c>
      <c r="B2060" s="1" t="s">
        <v>857</v>
      </c>
      <c r="C2060" s="1" t="s">
        <v>845</v>
      </c>
      <c r="D2060" s="1" t="s">
        <v>1368</v>
      </c>
      <c r="E2060" s="1" t="s">
        <v>847</v>
      </c>
    </row>
    <row r="2061">
      <c r="A2061" s="2">
        <v>45838.46888888889</v>
      </c>
      <c r="B2061" s="1" t="s">
        <v>1713</v>
      </c>
      <c r="C2061" s="1" t="s">
        <v>1311</v>
      </c>
      <c r="D2061" s="1" t="s">
        <v>1976</v>
      </c>
      <c r="E2061" s="1" t="s">
        <v>1977</v>
      </c>
    </row>
    <row r="2062">
      <c r="A2062" s="2">
        <v>45838.627905092595</v>
      </c>
      <c r="B2062" s="1" t="s">
        <v>1745</v>
      </c>
      <c r="C2062" s="1" t="s">
        <v>845</v>
      </c>
      <c r="D2062" s="3" t="str">
        <f>?UTF-8?B?TWVldGluZyByZWNvcmRzOiDigJxoYXJwZXIgbiBkYWTigJ0gSnVuIDMwLCAyMDI1?=</f>
        <v>#ERROR!</v>
      </c>
      <c r="E2062" s="1" t="s">
        <v>1746</v>
      </c>
    </row>
    <row r="2063">
      <c r="A2063" s="2">
        <v>45838.64084490741</v>
      </c>
      <c r="B2063" s="1" t="s">
        <v>844</v>
      </c>
      <c r="C2063" s="1" t="s">
        <v>845</v>
      </c>
      <c r="D2063" s="1" t="s">
        <v>1464</v>
      </c>
      <c r="E2063" s="1" t="s">
        <v>847</v>
      </c>
    </row>
    <row r="2064">
      <c r="A2064" s="2">
        <v>45838.68814814815</v>
      </c>
      <c r="B2064" s="1" t="s">
        <v>1015</v>
      </c>
      <c r="C2064" s="1" t="s">
        <v>845</v>
      </c>
      <c r="D2064" s="1" t="s">
        <v>1228</v>
      </c>
      <c r="E2064" s="1" t="s">
        <v>847</v>
      </c>
    </row>
    <row r="2065">
      <c r="A2065" s="2">
        <v>45838.70600694444</v>
      </c>
      <c r="B2065" s="1" t="s">
        <v>1311</v>
      </c>
      <c r="C2065" s="1" t="s">
        <v>1688</v>
      </c>
      <c r="D2065" s="1" t="s">
        <v>1978</v>
      </c>
      <c r="E2065" s="1" t="s">
        <v>1979</v>
      </c>
    </row>
    <row r="2066">
      <c r="A2066" s="2">
        <v>45838.539502314816</v>
      </c>
      <c r="B2066" s="1" t="s">
        <v>1958</v>
      </c>
      <c r="C2066" s="1" t="s">
        <v>845</v>
      </c>
      <c r="D2066" s="1" t="s">
        <v>1959</v>
      </c>
      <c r="E2066" s="1" t="s">
        <v>1979</v>
      </c>
    </row>
    <row r="2067">
      <c r="A2067" s="2">
        <v>45839.00219907407</v>
      </c>
      <c r="B2067" s="1" t="s">
        <v>1229</v>
      </c>
      <c r="C2067" s="1" t="s">
        <v>845</v>
      </c>
      <c r="D2067" s="1" t="s">
        <v>1386</v>
      </c>
      <c r="E2067" s="1" t="s">
        <v>1387</v>
      </c>
    </row>
    <row r="2068">
      <c r="A2068" s="2">
        <v>45838.89357638889</v>
      </c>
      <c r="B2068" s="1" t="s">
        <v>1311</v>
      </c>
      <c r="C2068" s="1" t="s">
        <v>1649</v>
      </c>
      <c r="D2068" s="1" t="s">
        <v>1980</v>
      </c>
      <c r="E2068" s="1" t="s">
        <v>1981</v>
      </c>
    </row>
    <row r="2069">
      <c r="A2069" s="2">
        <v>45839.059594907405</v>
      </c>
      <c r="B2069" s="1" t="s">
        <v>857</v>
      </c>
      <c r="C2069" s="1" t="s">
        <v>1036</v>
      </c>
      <c r="D2069" s="3" t="str">
        <f>?UTF-8?q?30%_off_your_next__order_-_just_for_you_=F0=9F=91=80?=</f>
        <v>#ERROR!</v>
      </c>
      <c r="E2069" s="1" t="s">
        <v>847</v>
      </c>
    </row>
    <row r="2070">
      <c r="A2070" s="2">
        <v>45839.44391203704</v>
      </c>
      <c r="B2070" s="1" t="s">
        <v>857</v>
      </c>
      <c r="C2070" s="1" t="s">
        <v>1036</v>
      </c>
      <c r="D2070" s="1" t="s">
        <v>997</v>
      </c>
      <c r="E2070" s="1" t="s">
        <v>847</v>
      </c>
    </row>
    <row r="2071">
      <c r="A2071" s="2">
        <v>45839.46878472222</v>
      </c>
      <c r="B2071" s="1" t="s">
        <v>1713</v>
      </c>
      <c r="C2071" s="1" t="s">
        <v>1311</v>
      </c>
      <c r="D2071" s="1" t="s">
        <v>1982</v>
      </c>
      <c r="E2071" s="1" t="s">
        <v>1983</v>
      </c>
    </row>
    <row r="2072">
      <c r="A2072" s="2">
        <v>45839.76011574074</v>
      </c>
      <c r="B2072" s="1" t="s">
        <v>844</v>
      </c>
      <c r="C2072" s="1" t="s">
        <v>1036</v>
      </c>
      <c r="D2072" s="1" t="s">
        <v>1984</v>
      </c>
      <c r="E2072" s="1" t="s">
        <v>847</v>
      </c>
    </row>
    <row r="2073">
      <c r="A2073" s="2">
        <v>45839.76025462963</v>
      </c>
      <c r="B2073" s="1" t="s">
        <v>848</v>
      </c>
      <c r="C2073" s="1" t="s">
        <v>849</v>
      </c>
      <c r="D2073" s="3" t="str">
        <f>?utf-8?q?Craig_n_Emma,_don=E2=80=99t_miss_these_popular_finds=E2=80=94sh?= =?utf-8?q?op_now_=F0=9F=9B=92?=</f>
        <v>#ERROR!</v>
      </c>
      <c r="E2073" s="1" t="s">
        <v>851</v>
      </c>
    </row>
    <row r="2074">
      <c r="A2074" s="2">
        <v>45840.468773148146</v>
      </c>
      <c r="B2074" s="1" t="s">
        <v>1713</v>
      </c>
      <c r="C2074" s="1" t="s">
        <v>1311</v>
      </c>
      <c r="D2074" s="1" t="s">
        <v>1985</v>
      </c>
      <c r="E2074" s="1" t="s">
        <v>1986</v>
      </c>
    </row>
    <row r="2075">
      <c r="A2075" s="2">
        <v>45840.47671296296</v>
      </c>
      <c r="B2075" s="1" t="s">
        <v>848</v>
      </c>
      <c r="C2075" s="1" t="s">
        <v>849</v>
      </c>
      <c r="D2075" s="1" t="s">
        <v>1403</v>
      </c>
      <c r="E2075" s="1" t="s">
        <v>851</v>
      </c>
    </row>
    <row r="2076">
      <c r="A2076" s="2">
        <v>45840.75193287037</v>
      </c>
      <c r="B2076" s="1" t="s">
        <v>844</v>
      </c>
      <c r="C2076" s="1" t="s">
        <v>1036</v>
      </c>
      <c r="D2076" s="1" t="s">
        <v>1987</v>
      </c>
      <c r="E2076" s="1" t="s">
        <v>847</v>
      </c>
    </row>
    <row r="2077">
      <c r="A2077" s="2">
        <v>45841.468726851854</v>
      </c>
      <c r="B2077" s="1" t="s">
        <v>1713</v>
      </c>
      <c r="C2077" s="1" t="s">
        <v>1311</v>
      </c>
      <c r="D2077" s="1" t="s">
        <v>1988</v>
      </c>
      <c r="E2077" s="1" t="s">
        <v>1989</v>
      </c>
    </row>
    <row r="2078">
      <c r="A2078" s="2">
        <v>45842.56760416667</v>
      </c>
      <c r="B2078" s="1" t="s">
        <v>857</v>
      </c>
      <c r="C2078" s="1" t="s">
        <v>845</v>
      </c>
      <c r="D2078" s="1" t="s">
        <v>1532</v>
      </c>
      <c r="E2078" s="1" t="s">
        <v>847</v>
      </c>
    </row>
    <row r="2079">
      <c r="A2079" s="2">
        <v>45842.60034722222</v>
      </c>
      <c r="B2079" s="1" t="s">
        <v>1111</v>
      </c>
      <c r="C2079" s="1" t="s">
        <v>1311</v>
      </c>
      <c r="D2079" s="1" t="s">
        <v>1990</v>
      </c>
      <c r="E2079" s="1" t="s">
        <v>1991</v>
      </c>
    </row>
    <row r="2080">
      <c r="A2080" s="2">
        <v>45842.6028125</v>
      </c>
      <c r="B2080" s="1" t="s">
        <v>1311</v>
      </c>
      <c r="C2080" s="1" t="s">
        <v>1111</v>
      </c>
      <c r="D2080" s="1" t="s">
        <v>1990</v>
      </c>
      <c r="E2080" s="1" t="s">
        <v>1992</v>
      </c>
    </row>
    <row r="2081">
      <c r="A2081" s="2">
        <v>45842.60517361111</v>
      </c>
      <c r="B2081" s="1" t="s">
        <v>1311</v>
      </c>
      <c r="C2081" s="1" t="s">
        <v>1111</v>
      </c>
      <c r="D2081" s="1" t="s">
        <v>1990</v>
      </c>
      <c r="E2081" s="1" t="s">
        <v>1993</v>
      </c>
    </row>
    <row r="2082">
      <c r="A2082" s="2">
        <v>45842.734143518515</v>
      </c>
      <c r="B2082" s="1" t="s">
        <v>1732</v>
      </c>
      <c r="C2082" s="1" t="s">
        <v>1311</v>
      </c>
      <c r="D2082" s="1" t="s">
        <v>1834</v>
      </c>
      <c r="E2082" s="1" t="s">
        <v>1994</v>
      </c>
    </row>
    <row r="2083">
      <c r="A2083" s="2">
        <v>45842.61005787037</v>
      </c>
      <c r="B2083" s="1" t="s">
        <v>1111</v>
      </c>
      <c r="C2083" s="1" t="s">
        <v>1311</v>
      </c>
      <c r="D2083" s="1" t="s">
        <v>1990</v>
      </c>
      <c r="E2083" s="1" t="s">
        <v>1995</v>
      </c>
    </row>
    <row r="2084">
      <c r="A2084" s="2">
        <v>45842.61032407408</v>
      </c>
      <c r="B2084" s="1" t="s">
        <v>1111</v>
      </c>
      <c r="C2084" s="1" t="s">
        <v>1311</v>
      </c>
      <c r="D2084" s="1" t="s">
        <v>1990</v>
      </c>
      <c r="E2084" s="1" t="s">
        <v>1996</v>
      </c>
    </row>
    <row r="2085">
      <c r="A2085" s="2">
        <v>45842.61125</v>
      </c>
      <c r="B2085" s="1" t="s">
        <v>1111</v>
      </c>
      <c r="C2085" s="1" t="s">
        <v>1311</v>
      </c>
      <c r="D2085" s="1" t="s">
        <v>1990</v>
      </c>
      <c r="E2085" s="1" t="s">
        <v>1997</v>
      </c>
    </row>
    <row r="2086">
      <c r="A2086" s="2">
        <v>45842.61219907407</v>
      </c>
      <c r="B2086" s="1" t="s">
        <v>1311</v>
      </c>
      <c r="C2086" s="1" t="s">
        <v>1111</v>
      </c>
      <c r="D2086" s="1" t="s">
        <v>1990</v>
      </c>
      <c r="E2086" s="1" t="s">
        <v>1998</v>
      </c>
    </row>
    <row r="2087">
      <c r="A2087" s="2">
        <v>45842.61287037037</v>
      </c>
      <c r="B2087" s="1" t="s">
        <v>1311</v>
      </c>
      <c r="C2087" s="1" t="s">
        <v>1732</v>
      </c>
      <c r="D2087" s="1" t="s">
        <v>1834</v>
      </c>
      <c r="E2087" s="1" t="s">
        <v>1999</v>
      </c>
    </row>
    <row r="2088">
      <c r="A2088" s="2">
        <v>45842.61456018518</v>
      </c>
      <c r="B2088" s="1" t="s">
        <v>1311</v>
      </c>
      <c r="C2088" s="1" t="s">
        <v>1111</v>
      </c>
      <c r="D2088" s="1" t="s">
        <v>1990</v>
      </c>
      <c r="E2088" s="1" t="s">
        <v>2000</v>
      </c>
    </row>
    <row r="2089">
      <c r="A2089" s="2">
        <v>45842.61534722222</v>
      </c>
      <c r="B2089" s="1" t="s">
        <v>1311</v>
      </c>
      <c r="C2089" s="1" t="s">
        <v>1311</v>
      </c>
      <c r="E2089" s="1" t="s">
        <v>2000</v>
      </c>
    </row>
    <row r="2090">
      <c r="A2090" s="2">
        <v>45842.618368055555</v>
      </c>
      <c r="B2090" s="1" t="s">
        <v>1111</v>
      </c>
      <c r="C2090" s="1" t="s">
        <v>1311</v>
      </c>
      <c r="D2090" s="1" t="s">
        <v>1990</v>
      </c>
      <c r="E2090" s="1" t="s">
        <v>2001</v>
      </c>
    </row>
    <row r="2091">
      <c r="A2091" s="2">
        <v>45842.63849537037</v>
      </c>
      <c r="B2091" s="1" t="s">
        <v>1111</v>
      </c>
      <c r="C2091" s="1" t="s">
        <v>1311</v>
      </c>
      <c r="D2091" s="1" t="s">
        <v>1990</v>
      </c>
      <c r="E2091" s="1" t="s">
        <v>2002</v>
      </c>
    </row>
    <row r="2092">
      <c r="A2092" s="2">
        <v>45842.680925925924</v>
      </c>
      <c r="B2092" s="1" t="s">
        <v>1311</v>
      </c>
      <c r="C2092" s="1" t="s">
        <v>1111</v>
      </c>
      <c r="D2092" s="1" t="s">
        <v>1990</v>
      </c>
      <c r="E2092" s="1" t="s">
        <v>2003</v>
      </c>
    </row>
    <row r="2093">
      <c r="A2093" s="2">
        <v>45842.83269675926</v>
      </c>
      <c r="B2093" s="1" t="s">
        <v>1108</v>
      </c>
      <c r="C2093" s="1" t="s">
        <v>849</v>
      </c>
      <c r="D2093" s="3" t="str">
        <f>?utf-8?B?TGFzdCBjaGFuY2UhIFJlc2VydmUgeW91ciBzcG90IGZvciBhIA==?=
 =?utf-8?B?c2xlZWsgcmV2ZWFsLiDij7A=?=</f>
        <v>#ERROR!</v>
      </c>
      <c r="E2093" s="1" t="s">
        <v>1534</v>
      </c>
    </row>
    <row r="2094">
      <c r="A2094" s="2">
        <v>45843.033472222225</v>
      </c>
      <c r="B2094" s="1" t="s">
        <v>1311</v>
      </c>
      <c r="C2094" s="1" t="s">
        <v>1111</v>
      </c>
      <c r="D2094" s="1" t="s">
        <v>1990</v>
      </c>
      <c r="E2094" s="1" t="s">
        <v>2004</v>
      </c>
    </row>
    <row r="2095">
      <c r="A2095" s="2">
        <v>45843.46865740741</v>
      </c>
      <c r="B2095" s="1" t="s">
        <v>1713</v>
      </c>
      <c r="C2095" s="1" t="s">
        <v>1311</v>
      </c>
      <c r="D2095" s="1" t="s">
        <v>2005</v>
      </c>
      <c r="E2095" s="1" t="s">
        <v>2006</v>
      </c>
    </row>
    <row r="2096">
      <c r="A2096" s="2">
        <v>45843.47175925926</v>
      </c>
      <c r="B2096" s="1" t="s">
        <v>1311</v>
      </c>
      <c r="C2096" s="1" t="s">
        <v>1111</v>
      </c>
      <c r="D2096" s="1" t="s">
        <v>1990</v>
      </c>
      <c r="E2096" s="1" t="s">
        <v>2007</v>
      </c>
    </row>
    <row r="2097">
      <c r="A2097" s="2">
        <v>45843.48142361111</v>
      </c>
      <c r="B2097" s="1" t="s">
        <v>1311</v>
      </c>
      <c r="C2097" s="1" t="s">
        <v>1111</v>
      </c>
      <c r="D2097" s="1" t="s">
        <v>1990</v>
      </c>
      <c r="E2097" s="1" t="s">
        <v>2008</v>
      </c>
    </row>
    <row r="2098">
      <c r="A2098" s="2">
        <v>45843.517013888886</v>
      </c>
      <c r="B2098" s="1" t="s">
        <v>1311</v>
      </c>
      <c r="C2098" s="1" t="s">
        <v>1311</v>
      </c>
      <c r="E2098" s="1" t="s">
        <v>1961</v>
      </c>
    </row>
    <row r="2099">
      <c r="A2099" s="2">
        <v>45843.76291666667</v>
      </c>
      <c r="B2099" s="1" t="s">
        <v>844</v>
      </c>
      <c r="C2099" s="1" t="s">
        <v>1036</v>
      </c>
      <c r="D2099" s="1" t="s">
        <v>2009</v>
      </c>
      <c r="E2099" s="1" t="s">
        <v>847</v>
      </c>
    </row>
    <row r="2100">
      <c r="A2100" s="2">
        <v>45843.76390046296</v>
      </c>
      <c r="B2100" s="1" t="s">
        <v>844</v>
      </c>
      <c r="C2100" s="1" t="s">
        <v>845</v>
      </c>
      <c r="D2100" s="3" t="str">
        <f>?UTF-8?q?Check_out_what=E2=80=99s_popular_right_now?=</f>
        <v>#ERROR!</v>
      </c>
      <c r="E2100" s="1" t="s">
        <v>847</v>
      </c>
    </row>
    <row r="2101">
      <c r="A2101" s="2">
        <v>45844.586064814815</v>
      </c>
      <c r="B2101" s="1" t="s">
        <v>1311</v>
      </c>
      <c r="C2101" s="1" t="s">
        <v>2010</v>
      </c>
      <c r="D2101" s="1" t="s">
        <v>2011</v>
      </c>
      <c r="E2101" s="1" t="s">
        <v>2012</v>
      </c>
    </row>
    <row r="2102">
      <c r="A2102" s="2">
        <v>45844.610925925925</v>
      </c>
      <c r="B2102" s="1" t="s">
        <v>1311</v>
      </c>
      <c r="C2102" s="1" t="s">
        <v>1071</v>
      </c>
      <c r="D2102" s="1" t="s">
        <v>2013</v>
      </c>
      <c r="E2102" s="1" t="s">
        <v>2014</v>
      </c>
    </row>
    <row r="2103">
      <c r="A2103" s="2">
        <v>45844.62693287037</v>
      </c>
      <c r="B2103" s="1" t="s">
        <v>1311</v>
      </c>
      <c r="C2103" s="1" t="s">
        <v>1649</v>
      </c>
      <c r="D2103" s="1" t="s">
        <v>1978</v>
      </c>
      <c r="E2103" s="1" t="s">
        <v>2015</v>
      </c>
    </row>
    <row r="2104">
      <c r="A2104" s="2">
        <v>45845.46886574074</v>
      </c>
      <c r="B2104" s="1" t="s">
        <v>1713</v>
      </c>
      <c r="C2104" s="1" t="s">
        <v>1311</v>
      </c>
      <c r="D2104" s="1" t="s">
        <v>2016</v>
      </c>
      <c r="E2104" s="1" t="s">
        <v>2017</v>
      </c>
    </row>
    <row r="2105">
      <c r="A2105" s="2">
        <v>45845.97824074074</v>
      </c>
      <c r="B2105" s="1" t="s">
        <v>857</v>
      </c>
      <c r="C2105" s="1" t="s">
        <v>1036</v>
      </c>
      <c r="D2105" s="1" t="s">
        <v>1726</v>
      </c>
      <c r="E2105" s="1" t="s">
        <v>847</v>
      </c>
    </row>
    <row r="2106">
      <c r="A2106" s="2">
        <v>45846.447604166664</v>
      </c>
      <c r="B2106" s="1" t="s">
        <v>857</v>
      </c>
      <c r="C2106" s="1" t="s">
        <v>1036</v>
      </c>
      <c r="D2106" s="1" t="s">
        <v>997</v>
      </c>
      <c r="E2106" s="1" t="s">
        <v>847</v>
      </c>
    </row>
    <row r="2107">
      <c r="A2107" s="2">
        <v>45846.46857638889</v>
      </c>
      <c r="B2107" s="1" t="s">
        <v>1713</v>
      </c>
      <c r="C2107" s="1" t="s">
        <v>1311</v>
      </c>
      <c r="D2107" s="1" t="s">
        <v>2018</v>
      </c>
      <c r="E2107" s="1" t="s">
        <v>2019</v>
      </c>
    </row>
    <row r="2108">
      <c r="A2108" s="2">
        <v>45846.621458333335</v>
      </c>
      <c r="B2108" s="1" t="s">
        <v>1564</v>
      </c>
      <c r="C2108" s="1" t="s">
        <v>845</v>
      </c>
      <c r="D2108" s="1" t="s">
        <v>2020</v>
      </c>
      <c r="E2108" s="1" t="s">
        <v>2021</v>
      </c>
    </row>
    <row r="2109">
      <c r="A2109" s="2">
        <v>45846.78158564815</v>
      </c>
      <c r="B2109" s="1" t="s">
        <v>1015</v>
      </c>
      <c r="C2109" s="1" t="s">
        <v>845</v>
      </c>
      <c r="D2109" s="1" t="s">
        <v>1228</v>
      </c>
      <c r="E2109" s="1" t="s">
        <v>847</v>
      </c>
    </row>
    <row r="2110">
      <c r="A2110" s="2">
        <v>45847.07848379629</v>
      </c>
      <c r="B2110" s="1" t="s">
        <v>865</v>
      </c>
      <c r="C2110" s="1" t="s">
        <v>1036</v>
      </c>
      <c r="D2110" s="1" t="s">
        <v>1711</v>
      </c>
      <c r="E2110" s="1" t="s">
        <v>908</v>
      </c>
    </row>
    <row r="2111">
      <c r="A2111" s="2">
        <v>45847.46885416667</v>
      </c>
      <c r="B2111" s="1" t="s">
        <v>1713</v>
      </c>
      <c r="C2111" s="1" t="s">
        <v>1311</v>
      </c>
      <c r="D2111" s="1" t="s">
        <v>2022</v>
      </c>
      <c r="E2111" s="1" t="s">
        <v>2023</v>
      </c>
    </row>
    <row r="2112">
      <c r="A2112" s="2">
        <v>45847.758425925924</v>
      </c>
      <c r="B2112" s="1" t="s">
        <v>844</v>
      </c>
      <c r="C2112" s="1" t="s">
        <v>845</v>
      </c>
      <c r="D2112" s="3" t="str">
        <f>?UTF-8?q?Come_back_for_deals=E2=80=94from_products_to_supplies?=</f>
        <v>#ERROR!</v>
      </c>
      <c r="E2112" s="1" t="s">
        <v>847</v>
      </c>
    </row>
    <row r="2113">
      <c r="A2113" s="2">
        <v>45847.63606481482</v>
      </c>
      <c r="B2113" s="1" t="s">
        <v>1311</v>
      </c>
      <c r="C2113" s="1" t="s">
        <v>1311</v>
      </c>
      <c r="D2113" s="1" t="s">
        <v>2024</v>
      </c>
      <c r="E2113" s="1" t="s">
        <v>2025</v>
      </c>
    </row>
    <row r="2114">
      <c r="A2114" s="2">
        <v>45847.63626157407</v>
      </c>
      <c r="B2114" s="1" t="s">
        <v>1311</v>
      </c>
      <c r="C2114" s="1" t="s">
        <v>1311</v>
      </c>
      <c r="D2114" s="1" t="s">
        <v>2026</v>
      </c>
      <c r="E2114" s="1" t="s">
        <v>2027</v>
      </c>
    </row>
    <row r="2115">
      <c r="A2115" s="2">
        <v>45847.57591435185</v>
      </c>
      <c r="B2115" s="1" t="s">
        <v>1108</v>
      </c>
      <c r="C2115" s="1" t="s">
        <v>849</v>
      </c>
      <c r="D2115" s="1" t="s">
        <v>2028</v>
      </c>
      <c r="E2115" s="1" t="s">
        <v>1534</v>
      </c>
    </row>
    <row r="2116">
      <c r="A2116" s="2">
        <v>45847.8537037037</v>
      </c>
      <c r="B2116" s="1" t="s">
        <v>1311</v>
      </c>
      <c r="C2116" s="1" t="s">
        <v>1302</v>
      </c>
      <c r="D2116" s="1" t="s">
        <v>2029</v>
      </c>
      <c r="E2116" s="1" t="s">
        <v>2030</v>
      </c>
    </row>
    <row r="2117">
      <c r="A2117" s="2">
        <v>45848.20866898148</v>
      </c>
      <c r="B2117" s="1" t="s">
        <v>1311</v>
      </c>
      <c r="C2117" s="1" t="s">
        <v>1311</v>
      </c>
      <c r="D2117" s="1" t="s">
        <v>2031</v>
      </c>
      <c r="E2117" s="1" t="s">
        <v>2032</v>
      </c>
    </row>
    <row r="2118">
      <c r="A2118" s="2">
        <v>45848.21052083333</v>
      </c>
      <c r="B2118" s="1" t="s">
        <v>1311</v>
      </c>
      <c r="C2118" s="1" t="s">
        <v>1311</v>
      </c>
      <c r="D2118" s="1" t="s">
        <v>2033</v>
      </c>
      <c r="E2118" s="1" t="s">
        <v>2034</v>
      </c>
    </row>
    <row r="2119">
      <c r="A2119" s="2">
        <v>45848.919016203705</v>
      </c>
      <c r="B2119" s="1" t="s">
        <v>2035</v>
      </c>
      <c r="C2119" s="1" t="s">
        <v>845</v>
      </c>
      <c r="D2119" s="3" t="str">
        <f>?utf-8?Q?Hey_CRAIG,_welcome_to_Mo?=
 =?utf-8?Q?z_Pro_=E2=80=93_I=E2=80=99m_here_to_help!?=</f>
        <v>#ERROR!</v>
      </c>
      <c r="E2119" s="1" t="s">
        <v>2036</v>
      </c>
    </row>
    <row r="2120">
      <c r="A2120" s="2">
        <v>45849.17118055555</v>
      </c>
      <c r="B2120" s="1" t="s">
        <v>377</v>
      </c>
      <c r="C2120" s="1" t="s">
        <v>1900</v>
      </c>
      <c r="D2120" s="1" t="s">
        <v>378</v>
      </c>
      <c r="E2120" s="1" t="s">
        <v>2037</v>
      </c>
    </row>
    <row r="2121">
      <c r="A2121" s="2">
        <v>45850.2937962963</v>
      </c>
      <c r="B2121" s="1" t="s">
        <v>1317</v>
      </c>
      <c r="C2121" s="1" t="s">
        <v>849</v>
      </c>
      <c r="D2121" s="1" t="s">
        <v>2038</v>
      </c>
      <c r="E2121" s="1" t="s">
        <v>2039</v>
      </c>
    </row>
    <row r="2122">
      <c r="A2122" s="2">
        <v>45850.76082175926</v>
      </c>
      <c r="B2122" s="1" t="s">
        <v>1311</v>
      </c>
      <c r="C2122" s="1" t="s">
        <v>1649</v>
      </c>
      <c r="D2122" s="1" t="s">
        <v>2040</v>
      </c>
      <c r="E2122" s="1" t="s">
        <v>2041</v>
      </c>
    </row>
    <row r="2123">
      <c r="A2123" s="2">
        <v>45850.819872685184</v>
      </c>
      <c r="B2123" s="1" t="s">
        <v>1111</v>
      </c>
      <c r="C2123" s="1" t="s">
        <v>1311</v>
      </c>
      <c r="D2123" s="1" t="s">
        <v>2042</v>
      </c>
      <c r="E2123" s="1" t="s">
        <v>2043</v>
      </c>
    </row>
    <row r="2124">
      <c r="A2124" s="2">
        <v>45850.86283564815</v>
      </c>
      <c r="B2124" s="1" t="s">
        <v>1311</v>
      </c>
      <c r="C2124" s="1" t="s">
        <v>1111</v>
      </c>
      <c r="D2124" s="1" t="s">
        <v>2044</v>
      </c>
      <c r="E2124" s="1" t="s">
        <v>2045</v>
      </c>
    </row>
    <row r="2125">
      <c r="A2125" s="2">
        <v>45850.90347222222</v>
      </c>
      <c r="B2125" s="1" t="s">
        <v>1311</v>
      </c>
      <c r="C2125" s="1" t="s">
        <v>1649</v>
      </c>
      <c r="D2125" s="1" t="s">
        <v>2046</v>
      </c>
      <c r="E2125" s="1" t="s">
        <v>2047</v>
      </c>
    </row>
    <row r="2126">
      <c r="A2126" s="2">
        <v>45851.60967592592</v>
      </c>
      <c r="B2126" s="1" t="s">
        <v>1311</v>
      </c>
      <c r="C2126" s="1" t="s">
        <v>1111</v>
      </c>
      <c r="D2126" s="1" t="s">
        <v>2048</v>
      </c>
      <c r="E2126" s="1" t="s">
        <v>2049</v>
      </c>
    </row>
    <row r="2127">
      <c r="A2127" s="2">
        <v>45851.75035879629</v>
      </c>
      <c r="B2127" s="1" t="s">
        <v>848</v>
      </c>
      <c r="C2127" s="1" t="s">
        <v>849</v>
      </c>
      <c r="D2127" s="1" t="s">
        <v>1420</v>
      </c>
      <c r="E2127" s="1" t="s">
        <v>851</v>
      </c>
    </row>
    <row r="2128">
      <c r="A2128" s="2">
        <v>45851.750601851854</v>
      </c>
      <c r="B2128" s="1" t="s">
        <v>844</v>
      </c>
      <c r="C2128" s="1" t="s">
        <v>1036</v>
      </c>
      <c r="D2128" s="1" t="s">
        <v>2050</v>
      </c>
      <c r="E2128" s="1" t="s">
        <v>847</v>
      </c>
    </row>
    <row r="2129">
      <c r="A2129" s="2">
        <v>45852.3040625</v>
      </c>
      <c r="B2129" s="1" t="s">
        <v>1311</v>
      </c>
      <c r="C2129" s="3" t="str">
        <f>?UTF-8?B?THVuYSDigKI=?= &lt;lunacraigcep@gmail.com&gt;, 
	CRAIG S &lt;placed.sj@gmail.com&gt;</f>
        <v>#ERROR!</v>
      </c>
      <c r="D2129" s="1" t="s">
        <v>2051</v>
      </c>
      <c r="E2129" s="1" t="s">
        <v>2052</v>
      </c>
    </row>
    <row r="2130">
      <c r="A2130" s="2">
        <v>45852.430451388886</v>
      </c>
      <c r="B2130" s="1" t="s">
        <v>1918</v>
      </c>
      <c r="C2130" s="1" t="s">
        <v>845</v>
      </c>
      <c r="D2130" s="1" t="s">
        <v>2053</v>
      </c>
      <c r="E2130" s="1" t="s">
        <v>2054</v>
      </c>
    </row>
    <row r="2131">
      <c r="A2131" s="2">
        <v>45852.436793981484</v>
      </c>
      <c r="B2131" s="1" t="s">
        <v>1918</v>
      </c>
      <c r="C2131" s="1" t="s">
        <v>845</v>
      </c>
      <c r="D2131" s="1" t="s">
        <v>2055</v>
      </c>
      <c r="E2131" s="1" t="s">
        <v>2056</v>
      </c>
    </row>
    <row r="2132">
      <c r="A2132" s="2">
        <v>45852.44446759259</v>
      </c>
      <c r="B2132" s="1" t="s">
        <v>857</v>
      </c>
      <c r="C2132" s="1" t="s">
        <v>845</v>
      </c>
      <c r="D2132" s="1" t="s">
        <v>1368</v>
      </c>
      <c r="E2132" s="1" t="s">
        <v>847</v>
      </c>
    </row>
    <row r="2133">
      <c r="A2133" s="2">
        <v>45852.423263888886</v>
      </c>
      <c r="B2133" s="1" t="s">
        <v>1111</v>
      </c>
      <c r="C2133" s="1" t="s">
        <v>1311</v>
      </c>
      <c r="D2133" s="1" t="s">
        <v>2057</v>
      </c>
      <c r="E2133" s="1" t="s">
        <v>2058</v>
      </c>
    </row>
    <row r="2134">
      <c r="A2134" s="2">
        <v>45852.42386574074</v>
      </c>
      <c r="B2134" s="1" t="s">
        <v>1111</v>
      </c>
      <c r="C2134" s="1" t="s">
        <v>1311</v>
      </c>
      <c r="D2134" s="1" t="s">
        <v>2057</v>
      </c>
      <c r="E2134" s="1" t="s">
        <v>2059</v>
      </c>
    </row>
    <row r="2135">
      <c r="A2135" s="2">
        <v>45852.42427083333</v>
      </c>
      <c r="B2135" s="1" t="s">
        <v>1111</v>
      </c>
      <c r="C2135" s="1" t="s">
        <v>1311</v>
      </c>
      <c r="D2135" s="1" t="s">
        <v>2057</v>
      </c>
      <c r="E2135" s="1" t="s">
        <v>2060</v>
      </c>
    </row>
    <row r="2136">
      <c r="A2136" s="2">
        <v>45852.49721064815</v>
      </c>
      <c r="B2136" s="1" t="s">
        <v>1311</v>
      </c>
      <c r="C2136" s="1" t="s">
        <v>1111</v>
      </c>
      <c r="D2136" s="1" t="s">
        <v>2057</v>
      </c>
      <c r="E2136" s="1" t="s">
        <v>2061</v>
      </c>
    </row>
    <row r="2137">
      <c r="A2137" s="2">
        <v>45852.49884259259</v>
      </c>
      <c r="B2137" s="1" t="s">
        <v>1311</v>
      </c>
      <c r="C2137" s="1" t="s">
        <v>1111</v>
      </c>
      <c r="D2137" s="1" t="s">
        <v>2057</v>
      </c>
      <c r="E2137" s="1" t="s">
        <v>2062</v>
      </c>
    </row>
    <row r="2138">
      <c r="A2138" s="2">
        <v>45852.78057870371</v>
      </c>
      <c r="B2138" s="1" t="s">
        <v>2063</v>
      </c>
      <c r="C2138" s="1" t="s">
        <v>1105</v>
      </c>
      <c r="D2138" s="1" t="s">
        <v>2064</v>
      </c>
      <c r="E2138" s="1" t="s">
        <v>2065</v>
      </c>
    </row>
    <row r="2139">
      <c r="A2139" s="2">
        <v>45852.801041666666</v>
      </c>
      <c r="B2139" s="1" t="s">
        <v>1311</v>
      </c>
      <c r="C2139" s="1" t="s">
        <v>2066</v>
      </c>
      <c r="D2139" s="1" t="s">
        <v>2067</v>
      </c>
      <c r="E2139" s="1" t="s">
        <v>2068</v>
      </c>
    </row>
    <row r="2140">
      <c r="A2140" s="2">
        <v>45852.989583333336</v>
      </c>
      <c r="B2140" s="1" t="s">
        <v>857</v>
      </c>
      <c r="C2140" s="1" t="s">
        <v>1036</v>
      </c>
      <c r="D2140" s="3" t="str">
        <f>?UTF-8?q?50%_off_your_next_3_orders_-_just_for_you_=F0=9F=91=80?=</f>
        <v>#ERROR!</v>
      </c>
      <c r="E2140" s="1" t="s">
        <v>847</v>
      </c>
    </row>
    <row r="2141">
      <c r="A2141" s="2">
        <v>45852.99115740741</v>
      </c>
      <c r="B2141" s="1" t="s">
        <v>857</v>
      </c>
      <c r="C2141" s="1" t="s">
        <v>845</v>
      </c>
      <c r="D2141" s="1" t="s">
        <v>858</v>
      </c>
      <c r="E2141" s="1" t="s">
        <v>847</v>
      </c>
    </row>
    <row r="2142">
      <c r="A2142" s="2">
        <v>45852.71107638889</v>
      </c>
      <c r="B2142" s="1" t="s">
        <v>1108</v>
      </c>
      <c r="C2142" s="1" t="s">
        <v>849</v>
      </c>
      <c r="D2142" s="1" t="s">
        <v>2069</v>
      </c>
      <c r="E2142" s="1" t="s">
        <v>1534</v>
      </c>
    </row>
    <row r="2143">
      <c r="A2143" s="2">
        <v>45853.43077546296</v>
      </c>
      <c r="B2143" s="1" t="s">
        <v>857</v>
      </c>
      <c r="C2143" s="1" t="s">
        <v>845</v>
      </c>
      <c r="D2143" s="1" t="s">
        <v>861</v>
      </c>
      <c r="E2143" s="1" t="s">
        <v>847</v>
      </c>
    </row>
    <row r="2144">
      <c r="A2144" s="2">
        <v>45853.61653935185</v>
      </c>
      <c r="B2144" s="1" t="s">
        <v>1564</v>
      </c>
      <c r="C2144" s="1" t="s">
        <v>845</v>
      </c>
      <c r="D2144" s="1" t="s">
        <v>2070</v>
      </c>
      <c r="E2144" s="1" t="s">
        <v>2071</v>
      </c>
    </row>
    <row r="2145">
      <c r="A2145" s="2">
        <v>45853.652337962965</v>
      </c>
      <c r="B2145" s="1" t="s">
        <v>857</v>
      </c>
      <c r="C2145" s="1" t="s">
        <v>1036</v>
      </c>
      <c r="D2145" s="1" t="s">
        <v>861</v>
      </c>
      <c r="E2145" s="1" t="s">
        <v>847</v>
      </c>
    </row>
    <row r="2146">
      <c r="A2146" s="2">
        <v>45853.75133101852</v>
      </c>
      <c r="B2146" s="1" t="s">
        <v>222</v>
      </c>
      <c r="C2146" s="1" t="s">
        <v>845</v>
      </c>
      <c r="D2146" s="1" t="s">
        <v>1770</v>
      </c>
      <c r="E2146" s="1" t="s">
        <v>2072</v>
      </c>
    </row>
    <row r="2147">
      <c r="A2147" s="2">
        <v>45854.89797453704</v>
      </c>
      <c r="B2147" s="1" t="s">
        <v>1579</v>
      </c>
      <c r="C2147" s="1" t="s">
        <v>845</v>
      </c>
      <c r="D2147" s="1" t="s">
        <v>2073</v>
      </c>
      <c r="E2147" s="1" t="s">
        <v>908</v>
      </c>
    </row>
    <row r="2148">
      <c r="A2148" s="2">
        <v>45855.135983796295</v>
      </c>
      <c r="B2148" s="1" t="s">
        <v>1311</v>
      </c>
      <c r="C2148" s="1" t="s">
        <v>1111</v>
      </c>
      <c r="D2148" s="1" t="s">
        <v>2074</v>
      </c>
      <c r="E2148" s="1" t="s">
        <v>2075</v>
      </c>
    </row>
    <row r="2149">
      <c r="A2149" s="2">
        <v>45855.29513888889</v>
      </c>
      <c r="B2149" s="1" t="s">
        <v>1317</v>
      </c>
      <c r="C2149" s="1" t="s">
        <v>849</v>
      </c>
      <c r="D2149" s="1" t="s">
        <v>2076</v>
      </c>
      <c r="E2149" s="1" t="s">
        <v>2077</v>
      </c>
    </row>
    <row r="2150">
      <c r="A2150" s="2">
        <v>45855.61524305555</v>
      </c>
      <c r="B2150" s="1" t="s">
        <v>2078</v>
      </c>
      <c r="C2150" s="1" t="s">
        <v>845</v>
      </c>
      <c r="D2150" s="3" t="str">
        <f>?utf-8?B?MTEwIGltcHJvdmVtZW50cyBhbHJlYWR5IHNoaXBwZWQgaW4gMjAy?=
	=?utf-8?B?NSEg8J+OiQ==?=</f>
        <v>#ERROR!</v>
      </c>
      <c r="E2150" s="1" t="s">
        <v>2079</v>
      </c>
    </row>
    <row r="2151">
      <c r="A2151" s="2">
        <v>45855.759050925924</v>
      </c>
      <c r="B2151" s="1" t="s">
        <v>844</v>
      </c>
      <c r="C2151" s="1" t="s">
        <v>845</v>
      </c>
      <c r="D2151" s="1" t="s">
        <v>1489</v>
      </c>
      <c r="E2151" s="1" t="s">
        <v>847</v>
      </c>
    </row>
    <row r="2152">
      <c r="A2152" s="2">
        <v>45856.33755787037</v>
      </c>
      <c r="B2152" s="1" t="s">
        <v>1596</v>
      </c>
      <c r="C2152" s="1" t="s">
        <v>1105</v>
      </c>
      <c r="D2152" s="3" t="str">
        <f>?UTF-8?B?8J+Plu+4jw==?= Stop selling your time</f>
        <v>#ERROR!</v>
      </c>
      <c r="E2152" s="1" t="s">
        <v>1597</v>
      </c>
    </row>
    <row r="2153">
      <c r="A2153" s="2">
        <v>45856.659375</v>
      </c>
      <c r="B2153" s="1" t="s">
        <v>2080</v>
      </c>
      <c r="C2153" s="1" t="s">
        <v>845</v>
      </c>
      <c r="D2153" s="3" t="str">
        <f>?utf-8?B?TmV3IEFJIEFnZW50IFVJLCBBdXRvIFJldHJhaW4sIFEmQSBBbmFseXRpY3MsIGFuZCBHcm9rIDQgTm93IExpdmUgb24gQ2hhdGJhc2U=?=</f>
        <v>#ERROR!</v>
      </c>
      <c r="E2153" s="1" t="s">
        <v>2081</v>
      </c>
    </row>
    <row r="2154">
      <c r="A2154" s="2">
        <v>45856.7175462963</v>
      </c>
      <c r="B2154" s="1" t="s">
        <v>857</v>
      </c>
      <c r="C2154" s="1" t="s">
        <v>845</v>
      </c>
      <c r="D2154" s="1" t="s">
        <v>2082</v>
      </c>
      <c r="E2154" s="1" t="s">
        <v>847</v>
      </c>
    </row>
    <row r="2155">
      <c r="A2155" s="2">
        <v>45857.10361111111</v>
      </c>
      <c r="B2155" s="1" t="s">
        <v>1311</v>
      </c>
      <c r="C2155" s="1" t="s">
        <v>1111</v>
      </c>
      <c r="E2155" s="1" t="s">
        <v>2083</v>
      </c>
    </row>
    <row r="2156">
      <c r="A2156" s="2">
        <v>45857.431493055556</v>
      </c>
      <c r="B2156" s="1" t="s">
        <v>844</v>
      </c>
      <c r="C2156" s="1" t="s">
        <v>1036</v>
      </c>
      <c r="D2156" s="1" t="s">
        <v>2084</v>
      </c>
      <c r="E2156" s="1" t="s">
        <v>847</v>
      </c>
    </row>
    <row r="2157">
      <c r="A2157" s="2">
        <v>45858.896574074075</v>
      </c>
      <c r="B2157" s="1" t="s">
        <v>1579</v>
      </c>
      <c r="C2157" s="1" t="s">
        <v>845</v>
      </c>
      <c r="D2157" s="1" t="s">
        <v>2085</v>
      </c>
      <c r="E2157" s="1" t="s">
        <v>908</v>
      </c>
    </row>
    <row r="2158">
      <c r="A2158" s="2">
        <v>45859.44079861111</v>
      </c>
      <c r="B2158" s="1" t="s">
        <v>860</v>
      </c>
      <c r="C2158" s="1" t="s">
        <v>849</v>
      </c>
      <c r="D2158" s="1" t="s">
        <v>1368</v>
      </c>
      <c r="E2158" s="1" t="s">
        <v>851</v>
      </c>
    </row>
    <row r="2159">
      <c r="A2159" s="2">
        <v>45859.76672453704</v>
      </c>
      <c r="B2159" s="1" t="s">
        <v>844</v>
      </c>
      <c r="C2159" s="1" t="s">
        <v>1036</v>
      </c>
      <c r="D2159" s="1" t="s">
        <v>2086</v>
      </c>
      <c r="E2159" s="1" t="s">
        <v>847</v>
      </c>
    </row>
    <row r="2160">
      <c r="A2160" s="2">
        <v>45859.82240740741</v>
      </c>
      <c r="B2160" s="1" t="s">
        <v>848</v>
      </c>
      <c r="C2160" s="1" t="s">
        <v>849</v>
      </c>
      <c r="D2160" s="1" t="s">
        <v>1708</v>
      </c>
      <c r="E2160" s="1" t="s">
        <v>851</v>
      </c>
    </row>
    <row r="2161">
      <c r="A2161" s="2">
        <v>45859.813726851855</v>
      </c>
      <c r="B2161" s="1" t="s">
        <v>1108</v>
      </c>
      <c r="C2161" s="1" t="s">
        <v>849</v>
      </c>
      <c r="D2161" s="3" t="str">
        <f>?utf-8?B?IEVuZGluZyBzb29uISBCdW5kbGUgdXAgZm9yIHVwIHRvICQyLA==?=
 =?utf-8?B?Njg2LjQ5IG9mZi4g4oyb?=</f>
        <v>#ERROR!</v>
      </c>
      <c r="E2161" s="1" t="s">
        <v>2087</v>
      </c>
    </row>
    <row r="2162">
      <c r="A2162" s="2">
        <v>45860.66296296296</v>
      </c>
      <c r="B2162" s="1" t="s">
        <v>857</v>
      </c>
      <c r="C2162" s="1" t="s">
        <v>1036</v>
      </c>
      <c r="D2162" s="3" t="str">
        <f>?UTF-8?q?50%_off_your_next_3_orders_-_just_for_you_=F0=9F=91=80?=</f>
        <v>#ERROR!</v>
      </c>
      <c r="E2162" s="1" t="s">
        <v>847</v>
      </c>
    </row>
    <row r="2163">
      <c r="A2163" s="2">
        <v>45860.663356481484</v>
      </c>
      <c r="B2163" s="1" t="s">
        <v>857</v>
      </c>
      <c r="C2163" s="1" t="s">
        <v>845</v>
      </c>
      <c r="D2163" s="1" t="s">
        <v>858</v>
      </c>
      <c r="E2163" s="1" t="s">
        <v>847</v>
      </c>
    </row>
    <row r="2164">
      <c r="A2164" s="2">
        <v>45860.85724537037</v>
      </c>
      <c r="B2164" s="1" t="s">
        <v>857</v>
      </c>
      <c r="C2164" s="1" t="s">
        <v>1036</v>
      </c>
      <c r="D2164" s="1" t="s">
        <v>861</v>
      </c>
      <c r="E2164" s="1" t="s">
        <v>847</v>
      </c>
    </row>
    <row r="2165">
      <c r="A2165" s="2">
        <v>45860.86377314815</v>
      </c>
      <c r="B2165" s="1" t="s">
        <v>857</v>
      </c>
      <c r="C2165" s="1" t="s">
        <v>845</v>
      </c>
      <c r="D2165" s="1" t="s">
        <v>861</v>
      </c>
      <c r="E2165" s="1" t="s">
        <v>847</v>
      </c>
    </row>
    <row r="2166">
      <c r="A2166" s="2">
        <v>45860.707233796296</v>
      </c>
      <c r="B2166" s="1" t="s">
        <v>1108</v>
      </c>
      <c r="C2166" s="1" t="s">
        <v>849</v>
      </c>
      <c r="D2166" s="1" t="s">
        <v>2088</v>
      </c>
      <c r="E2166" s="1" t="s">
        <v>2089</v>
      </c>
    </row>
    <row r="2167">
      <c r="A2167" s="2">
        <v>45861.48237268518</v>
      </c>
      <c r="B2167" s="1" t="s">
        <v>1579</v>
      </c>
      <c r="C2167" s="1" t="s">
        <v>845</v>
      </c>
      <c r="D2167" s="1" t="s">
        <v>2073</v>
      </c>
      <c r="E2167" s="1" t="s">
        <v>908</v>
      </c>
    </row>
    <row r="2168">
      <c r="A2168" s="2">
        <v>45862.50105324074</v>
      </c>
      <c r="B2168" s="1" t="s">
        <v>1814</v>
      </c>
      <c r="C2168" s="1" t="s">
        <v>845</v>
      </c>
      <c r="D2168" s="1" t="s">
        <v>2090</v>
      </c>
      <c r="E2168" s="1" t="s">
        <v>2091</v>
      </c>
    </row>
    <row r="2169">
      <c r="A2169" s="2">
        <v>45862.55328703704</v>
      </c>
      <c r="B2169" s="1" t="s">
        <v>2092</v>
      </c>
      <c r="C2169" s="1" t="s">
        <v>1311</v>
      </c>
      <c r="D2169" s="1" t="s">
        <v>2093</v>
      </c>
      <c r="E2169" s="1" t="s">
        <v>2094</v>
      </c>
    </row>
    <row r="2170">
      <c r="A2170" s="2">
        <v>45863.7091087963</v>
      </c>
      <c r="B2170" s="1" t="s">
        <v>857</v>
      </c>
      <c r="C2170" s="1" t="s">
        <v>845</v>
      </c>
      <c r="D2170" s="1" t="s">
        <v>1532</v>
      </c>
      <c r="E2170" s="1" t="s">
        <v>847</v>
      </c>
    </row>
    <row r="2171">
      <c r="A2171" s="2">
        <v>45863.75271990741</v>
      </c>
      <c r="B2171" s="1" t="s">
        <v>844</v>
      </c>
      <c r="C2171" s="1" t="s">
        <v>1036</v>
      </c>
      <c r="D2171" s="3" t="str">
        <f>?UTF-8?q?Knock,_knock=E2=80=94deals_are_at_your_door?=</f>
        <v>#ERROR!</v>
      </c>
      <c r="E2171" s="1" t="s">
        <v>847</v>
      </c>
    </row>
    <row r="2172">
      <c r="A2172" s="2">
        <v>45864.43672453704</v>
      </c>
      <c r="B2172" s="1" t="s">
        <v>844</v>
      </c>
      <c r="C2172" s="1" t="s">
        <v>1036</v>
      </c>
      <c r="D2172" s="3" t="str">
        <f>?UTF-8?q?Use_your_50%_off_promo_before_it=E2=80=99s_gone!?=</f>
        <v>#ERROR!</v>
      </c>
      <c r="E2172" s="1" t="s">
        <v>847</v>
      </c>
    </row>
    <row r="2173">
      <c r="A2173" s="2">
        <v>45864.31266203704</v>
      </c>
      <c r="B2173" s="1" t="s">
        <v>1311</v>
      </c>
      <c r="C2173" s="1" t="s">
        <v>1111</v>
      </c>
      <c r="D2173" s="1" t="s">
        <v>2095</v>
      </c>
      <c r="E2173" s="1" t="s">
        <v>2096</v>
      </c>
    </row>
    <row r="2174">
      <c r="A2174" s="2">
        <v>45864.42927083333</v>
      </c>
      <c r="B2174" s="1" t="s">
        <v>1111</v>
      </c>
      <c r="C2174" s="1" t="s">
        <v>1311</v>
      </c>
      <c r="D2174" s="1" t="s">
        <v>2097</v>
      </c>
      <c r="E2174" s="1" t="s">
        <v>2098</v>
      </c>
    </row>
    <row r="2175">
      <c r="A2175" s="2">
        <v>45864.59846064815</v>
      </c>
      <c r="B2175" s="1" t="s">
        <v>844</v>
      </c>
      <c r="C2175" s="1" t="s">
        <v>845</v>
      </c>
      <c r="D2175" s="1" t="s">
        <v>1489</v>
      </c>
      <c r="E2175" s="1" t="s">
        <v>847</v>
      </c>
    </row>
    <row r="2176">
      <c r="A2176" s="2">
        <v>45864.74690972222</v>
      </c>
      <c r="B2176" s="1" t="s">
        <v>1311</v>
      </c>
      <c r="C2176" s="1" t="s">
        <v>1111</v>
      </c>
      <c r="D2176" s="1" t="s">
        <v>2097</v>
      </c>
      <c r="E2176" s="1" t="s">
        <v>2099</v>
      </c>
    </row>
    <row r="2177">
      <c r="A2177" s="2">
        <v>45865.33756944445</v>
      </c>
      <c r="B2177" s="1" t="s">
        <v>1311</v>
      </c>
      <c r="C2177" s="1" t="s">
        <v>1649</v>
      </c>
      <c r="D2177" s="1" t="s">
        <v>2100</v>
      </c>
      <c r="E2177" s="1" t="s">
        <v>2101</v>
      </c>
    </row>
    <row r="2178">
      <c r="A2178" s="2">
        <v>45865.483935185184</v>
      </c>
      <c r="B2178" s="1" t="s">
        <v>1579</v>
      </c>
      <c r="C2178" s="1" t="s">
        <v>845</v>
      </c>
      <c r="D2178" s="1" t="s">
        <v>2085</v>
      </c>
      <c r="E2178" s="1" t="s">
        <v>908</v>
      </c>
    </row>
    <row r="2179">
      <c r="A2179" s="2">
        <v>45865.292905092596</v>
      </c>
      <c r="B2179" s="1" t="s">
        <v>1317</v>
      </c>
      <c r="C2179" s="1" t="s">
        <v>849</v>
      </c>
      <c r="D2179" s="3" t="str">
        <f>?UTF-8?B?Q2F1Z2h0IGluIHRoZSBBY3TigKYgb2YgR2V0dGluZyBNYXRjaGVk?=
 =?UTF-8?B?IQ==?=</f>
        <v>#ERROR!</v>
      </c>
      <c r="E2179" s="1" t="s">
        <v>2102</v>
      </c>
    </row>
    <row r="2180">
      <c r="A2180" s="2">
        <v>45866.52961805555</v>
      </c>
      <c r="B2180" s="1" t="s">
        <v>2103</v>
      </c>
      <c r="C2180" s="1" t="s">
        <v>845</v>
      </c>
      <c r="D2180" s="1" t="s">
        <v>2104</v>
      </c>
      <c r="E2180" s="1" t="s">
        <v>2105</v>
      </c>
    </row>
    <row r="2181">
      <c r="A2181" s="2">
        <v>45867.337233796294</v>
      </c>
      <c r="B2181" s="1" t="s">
        <v>1596</v>
      </c>
      <c r="C2181" s="1" t="s">
        <v>1105</v>
      </c>
      <c r="D2181" s="3" t="str">
        <f>?UTF-8?B?8J+YjA==?= Calm your founder mind</f>
        <v>#ERROR!</v>
      </c>
      <c r="E2181" s="1" t="s">
        <v>1597</v>
      </c>
    </row>
    <row r="2182">
      <c r="A2182" s="2">
        <v>45867.626909722225</v>
      </c>
      <c r="B2182" s="1" t="s">
        <v>1564</v>
      </c>
      <c r="C2182" s="1" t="s">
        <v>845</v>
      </c>
      <c r="D2182" s="1" t="s">
        <v>2106</v>
      </c>
      <c r="E2182" s="1" t="s">
        <v>2107</v>
      </c>
    </row>
    <row r="2183">
      <c r="A2183" s="2">
        <v>45867.75408564815</v>
      </c>
      <c r="B2183" s="1" t="s">
        <v>844</v>
      </c>
      <c r="C2183" s="1" t="s">
        <v>845</v>
      </c>
      <c r="D2183" s="1" t="s">
        <v>1796</v>
      </c>
      <c r="E2183" s="1" t="s">
        <v>847</v>
      </c>
    </row>
    <row r="2184">
      <c r="A2184" s="2">
        <v>45867.75548611111</v>
      </c>
      <c r="B2184" s="1" t="s">
        <v>844</v>
      </c>
      <c r="C2184" s="1" t="s">
        <v>1036</v>
      </c>
      <c r="D2184" s="1" t="s">
        <v>1984</v>
      </c>
      <c r="E2184" s="1" t="s">
        <v>847</v>
      </c>
    </row>
    <row r="2185">
      <c r="A2185" s="2">
        <v>45868.91096064815</v>
      </c>
      <c r="B2185" s="1" t="s">
        <v>1579</v>
      </c>
      <c r="C2185" s="1" t="s">
        <v>845</v>
      </c>
      <c r="D2185" s="1" t="s">
        <v>2073</v>
      </c>
      <c r="E2185" s="1" t="s">
        <v>908</v>
      </c>
    </row>
    <row r="2186">
      <c r="A2186" s="2">
        <v>45869.44697916666</v>
      </c>
      <c r="B2186" s="1" t="s">
        <v>1311</v>
      </c>
      <c r="C2186" s="1" t="s">
        <v>1111</v>
      </c>
      <c r="D2186" s="1" t="s">
        <v>1978</v>
      </c>
      <c r="E2186" s="1" t="s">
        <v>2108</v>
      </c>
    </row>
    <row r="2187">
      <c r="A2187" s="2">
        <v>45869.53996527778</v>
      </c>
      <c r="B2187" s="1" t="s">
        <v>2109</v>
      </c>
      <c r="C2187" s="1" t="s">
        <v>845</v>
      </c>
      <c r="D2187" s="3" t="str">
        <f>?utf-8?Q?Our_biggest_design_update?=
 =?utf-8?Q?_yet_=E2=80=94_see_what=E2=80=99s_new_=F0=9F=8E=A8=C2=A0?=</f>
        <v>#ERROR!</v>
      </c>
      <c r="E2187" s="1" t="s">
        <v>2110</v>
      </c>
    </row>
    <row r="2188">
      <c r="A2188" s="2">
        <v>45870.63311342592</v>
      </c>
      <c r="B2188" s="1" t="s">
        <v>1665</v>
      </c>
      <c r="C2188" s="1" t="s">
        <v>845</v>
      </c>
      <c r="D2188" s="3" t="str">
        <f>?UTF-8?Q?=F0=9F=9A=80_Big_Upgrades_to_Shed_Suite!?=</f>
        <v>#ERROR!</v>
      </c>
      <c r="E2188" s="1" t="s">
        <v>2111</v>
      </c>
    </row>
    <row r="2189">
      <c r="A2189" s="2">
        <v>45870.93917824074</v>
      </c>
      <c r="B2189" s="1" t="s">
        <v>1311</v>
      </c>
      <c r="C2189" s="1" t="s">
        <v>1111</v>
      </c>
      <c r="D2189" s="1" t="s">
        <v>2112</v>
      </c>
      <c r="E2189" s="1" t="s">
        <v>2113</v>
      </c>
    </row>
    <row r="2190">
      <c r="A2190" s="2">
        <v>45871.07953703704</v>
      </c>
      <c r="B2190" s="1" t="s">
        <v>1111</v>
      </c>
      <c r="C2190" s="1" t="s">
        <v>1311</v>
      </c>
      <c r="D2190" s="1" t="s">
        <v>2114</v>
      </c>
      <c r="E2190" s="1" t="s">
        <v>2115</v>
      </c>
    </row>
    <row r="2191">
      <c r="A2191" s="2">
        <v>45871.09998842593</v>
      </c>
      <c r="B2191" s="1" t="s">
        <v>1311</v>
      </c>
      <c r="C2191" s="1" t="s">
        <v>1111</v>
      </c>
      <c r="D2191" s="1" t="s">
        <v>2114</v>
      </c>
      <c r="E2191" s="1" t="s">
        <v>2116</v>
      </c>
    </row>
    <row r="2192">
      <c r="A2192" s="2">
        <v>45871.1141087963</v>
      </c>
      <c r="B2192" s="1" t="s">
        <v>1311</v>
      </c>
      <c r="C2192" s="1" t="s">
        <v>1111</v>
      </c>
      <c r="D2192" s="1" t="s">
        <v>2114</v>
      </c>
      <c r="E2192" s="1" t="s">
        <v>2117</v>
      </c>
    </row>
    <row r="2193">
      <c r="A2193" s="2">
        <v>45871.61623842592</v>
      </c>
      <c r="B2193" s="1" t="s">
        <v>1311</v>
      </c>
      <c r="C2193" s="1" t="s">
        <v>1111</v>
      </c>
      <c r="D2193" s="1" t="s">
        <v>2118</v>
      </c>
      <c r="E2193" s="1" t="s">
        <v>2119</v>
      </c>
    </row>
    <row r="2194">
      <c r="A2194" s="2">
        <v>45871.75708333333</v>
      </c>
      <c r="B2194" s="1" t="s">
        <v>844</v>
      </c>
      <c r="C2194" s="1" t="s">
        <v>845</v>
      </c>
      <c r="D2194" s="3" t="str">
        <f>?UTF-8?q?See_what=E2=80=99s_trending_today?=</f>
        <v>#ERROR!</v>
      </c>
      <c r="E2194" s="1" t="s">
        <v>847</v>
      </c>
    </row>
    <row r="2195">
      <c r="A2195" s="2">
        <v>45871.63995370371</v>
      </c>
      <c r="B2195" s="1" t="s">
        <v>1111</v>
      </c>
      <c r="C2195" s="1" t="s">
        <v>1311</v>
      </c>
      <c r="D2195" s="1" t="s">
        <v>2120</v>
      </c>
      <c r="E2195" s="1" t="s">
        <v>2121</v>
      </c>
    </row>
    <row r="2196">
      <c r="A2196" s="2">
        <v>45871.64077546296</v>
      </c>
      <c r="B2196" s="1" t="s">
        <v>1111</v>
      </c>
      <c r="C2196" s="1" t="s">
        <v>1311</v>
      </c>
      <c r="D2196" s="1" t="s">
        <v>2120</v>
      </c>
      <c r="E2196" s="1" t="s">
        <v>2122</v>
      </c>
    </row>
    <row r="2197">
      <c r="A2197" s="2">
        <v>45871.64890046296</v>
      </c>
      <c r="B2197" s="1" t="s">
        <v>1311</v>
      </c>
      <c r="C2197" s="1" t="s">
        <v>1111</v>
      </c>
      <c r="D2197" s="1" t="s">
        <v>2120</v>
      </c>
      <c r="E2197" s="1" t="s">
        <v>2123</v>
      </c>
    </row>
    <row r="2198">
      <c r="A2198" s="2">
        <v>45871.64952546296</v>
      </c>
      <c r="B2198" s="1" t="s">
        <v>1311</v>
      </c>
      <c r="C2198" s="1" t="s">
        <v>1111</v>
      </c>
      <c r="D2198" s="1" t="s">
        <v>2120</v>
      </c>
      <c r="E2198" s="1" t="s">
        <v>2124</v>
      </c>
    </row>
    <row r="2199">
      <c r="A2199" s="2">
        <v>45871.91133101852</v>
      </c>
      <c r="B2199" s="1" t="s">
        <v>1111</v>
      </c>
      <c r="C2199" s="1" t="s">
        <v>1311</v>
      </c>
      <c r="D2199" s="1" t="s">
        <v>2120</v>
      </c>
      <c r="E2199" s="1" t="s">
        <v>2125</v>
      </c>
    </row>
    <row r="2200">
      <c r="A2200" s="2">
        <v>45871.93445601852</v>
      </c>
      <c r="B2200" s="1" t="s">
        <v>1111</v>
      </c>
      <c r="C2200" s="1" t="s">
        <v>1311</v>
      </c>
      <c r="D2200" s="1" t="s">
        <v>2120</v>
      </c>
      <c r="E2200" s="1" t="s">
        <v>2126</v>
      </c>
    </row>
    <row r="2201">
      <c r="A2201" s="2">
        <v>45871.94724537037</v>
      </c>
      <c r="B2201" s="1" t="s">
        <v>1311</v>
      </c>
      <c r="C2201" s="1" t="s">
        <v>1111</v>
      </c>
      <c r="D2201" s="1" t="s">
        <v>2120</v>
      </c>
      <c r="E2201" s="1" t="s">
        <v>2127</v>
      </c>
    </row>
    <row r="2202">
      <c r="A2202" s="2">
        <v>45871.947916666664</v>
      </c>
      <c r="B2202" s="1" t="s">
        <v>1311</v>
      </c>
      <c r="C2202" s="1" t="s">
        <v>1111</v>
      </c>
      <c r="D2202" s="1" t="s">
        <v>2120</v>
      </c>
      <c r="E2202" s="1" t="s">
        <v>2128</v>
      </c>
    </row>
    <row r="2203">
      <c r="A2203" s="2">
        <v>45871.98189814815</v>
      </c>
      <c r="B2203" s="1" t="s">
        <v>1311</v>
      </c>
      <c r="C2203" s="1" t="s">
        <v>1111</v>
      </c>
      <c r="D2203" s="1" t="s">
        <v>2120</v>
      </c>
      <c r="E2203" s="1" t="s">
        <v>2129</v>
      </c>
    </row>
    <row r="2204">
      <c r="A2204" s="2">
        <v>45871.98730324074</v>
      </c>
      <c r="B2204" s="1" t="s">
        <v>1311</v>
      </c>
      <c r="C2204" s="1" t="s">
        <v>1111</v>
      </c>
      <c r="D2204" s="1" t="s">
        <v>2120</v>
      </c>
      <c r="E2204" s="1" t="s">
        <v>2130</v>
      </c>
    </row>
    <row r="2205">
      <c r="A2205" s="2">
        <v>45872.31508101852</v>
      </c>
      <c r="B2205" s="1" t="s">
        <v>1111</v>
      </c>
      <c r="C2205" s="1" t="s">
        <v>1311</v>
      </c>
      <c r="D2205" s="1" t="s">
        <v>2120</v>
      </c>
      <c r="E2205" s="1" t="s">
        <v>2131</v>
      </c>
    </row>
    <row r="2206">
      <c r="A2206" s="2">
        <v>45872.31613425926</v>
      </c>
      <c r="B2206" s="1" t="s">
        <v>1111</v>
      </c>
      <c r="C2206" s="1" t="s">
        <v>1311</v>
      </c>
      <c r="D2206" s="1" t="s">
        <v>2120</v>
      </c>
      <c r="E2206" s="1" t="s">
        <v>2132</v>
      </c>
    </row>
    <row r="2207">
      <c r="A2207" s="2">
        <v>45872.317766203705</v>
      </c>
      <c r="B2207" s="1" t="s">
        <v>1111</v>
      </c>
      <c r="C2207" s="1" t="s">
        <v>1311</v>
      </c>
      <c r="D2207" s="1" t="s">
        <v>2120</v>
      </c>
      <c r="E2207" s="1" t="s">
        <v>2133</v>
      </c>
    </row>
    <row r="2208">
      <c r="A2208" s="2">
        <v>45872.48116898148</v>
      </c>
      <c r="B2208" s="1" t="s">
        <v>844</v>
      </c>
      <c r="C2208" s="1" t="s">
        <v>845</v>
      </c>
      <c r="D2208" s="1" t="s">
        <v>1507</v>
      </c>
      <c r="E2208" s="1" t="s">
        <v>847</v>
      </c>
    </row>
    <row r="2209">
      <c r="A2209" s="2">
        <v>45872.293078703704</v>
      </c>
      <c r="B2209" s="1" t="s">
        <v>1317</v>
      </c>
      <c r="C2209" s="1" t="s">
        <v>849</v>
      </c>
      <c r="D2209" s="3" t="str">
        <f>?UTF-8?B?QSBwbGF5ZXIgd2Fsa3MgaW50byBhIGNhc2lub+KApg==?=</f>
        <v>#ERROR!</v>
      </c>
      <c r="E2209" s="1" t="s">
        <v>2134</v>
      </c>
    </row>
    <row r="2210">
      <c r="A2210" s="2">
        <v>45872.41940972222</v>
      </c>
      <c r="B2210" s="1" t="s">
        <v>1311</v>
      </c>
      <c r="C2210" s="1" t="s">
        <v>1111</v>
      </c>
      <c r="D2210" s="1" t="s">
        <v>2120</v>
      </c>
      <c r="E2210" s="1" t="s">
        <v>2135</v>
      </c>
    </row>
    <row r="2211">
      <c r="A2211" s="2">
        <v>45872.476273148146</v>
      </c>
      <c r="B2211" s="1" t="s">
        <v>1311</v>
      </c>
      <c r="C2211" s="1" t="s">
        <v>1111</v>
      </c>
      <c r="D2211" s="1" t="s">
        <v>2120</v>
      </c>
      <c r="E2211" s="1" t="s">
        <v>2136</v>
      </c>
    </row>
    <row r="2212">
      <c r="A2212" s="2">
        <v>45872.6025</v>
      </c>
      <c r="B2212" s="1" t="s">
        <v>1311</v>
      </c>
      <c r="C2212" s="1" t="s">
        <v>1111</v>
      </c>
      <c r="D2212" s="1" t="s">
        <v>2120</v>
      </c>
      <c r="E2212" s="1" t="s">
        <v>2137</v>
      </c>
    </row>
    <row r="2213">
      <c r="A2213" s="2">
        <v>45872.610972222225</v>
      </c>
      <c r="B2213" s="1" t="s">
        <v>1311</v>
      </c>
      <c r="C2213" s="1" t="s">
        <v>1111</v>
      </c>
      <c r="D2213" s="1" t="s">
        <v>2120</v>
      </c>
      <c r="E2213" s="1" t="s">
        <v>2138</v>
      </c>
    </row>
    <row r="2214">
      <c r="A2214" s="2">
        <v>45872.90703703704</v>
      </c>
      <c r="B2214" s="1" t="s">
        <v>1579</v>
      </c>
      <c r="C2214" s="1" t="s">
        <v>845</v>
      </c>
      <c r="D2214" s="1" t="s">
        <v>2085</v>
      </c>
      <c r="E2214" s="1" t="s">
        <v>908</v>
      </c>
    </row>
    <row r="2215">
      <c r="A2215" s="2">
        <v>45873.44908564815</v>
      </c>
      <c r="B2215" s="1" t="s">
        <v>857</v>
      </c>
      <c r="C2215" s="1" t="s">
        <v>845</v>
      </c>
      <c r="D2215" s="1" t="s">
        <v>1368</v>
      </c>
      <c r="E2215" s="1" t="s">
        <v>847</v>
      </c>
    </row>
    <row r="2216">
      <c r="A2216" s="2">
        <v>45874.49725694444</v>
      </c>
      <c r="B2216" s="1" t="s">
        <v>844</v>
      </c>
      <c r="C2216" s="1" t="s">
        <v>845</v>
      </c>
      <c r="D2216" s="1" t="s">
        <v>1721</v>
      </c>
      <c r="E2216" s="1" t="s">
        <v>847</v>
      </c>
    </row>
    <row r="2217">
      <c r="A2217" s="2">
        <v>45874.686006944445</v>
      </c>
      <c r="B2217" s="1" t="s">
        <v>1564</v>
      </c>
      <c r="C2217" s="1" t="s">
        <v>845</v>
      </c>
      <c r="D2217" s="1" t="s">
        <v>2139</v>
      </c>
      <c r="E2217" s="1" t="s">
        <v>2140</v>
      </c>
    </row>
    <row r="2218">
      <c r="A2218" s="2">
        <v>45874.73972222222</v>
      </c>
      <c r="B2218" s="1" t="s">
        <v>1564</v>
      </c>
      <c r="C2218" s="1" t="s">
        <v>2141</v>
      </c>
      <c r="D2218" s="1" t="s">
        <v>2139</v>
      </c>
      <c r="E2218" s="1" t="s">
        <v>2142</v>
      </c>
    </row>
    <row r="2219">
      <c r="A2219" s="2">
        <v>45874.95427083333</v>
      </c>
      <c r="B2219" s="1" t="s">
        <v>1083</v>
      </c>
      <c r="C2219" s="1" t="s">
        <v>845</v>
      </c>
      <c r="D2219" s="3" t="str">
        <f>?UTF-8?q?Earn_250_Aeroplan_points_towards_your_next_trip=E2=9C=88?=
 =?UTF-8?q?=EF=B8=8F?=</f>
        <v>#ERROR!</v>
      </c>
      <c r="E2219" s="1" t="s">
        <v>847</v>
      </c>
    </row>
    <row r="2220">
      <c r="A2220" s="2">
        <v>45874.70898148148</v>
      </c>
      <c r="B2220" s="1" t="s">
        <v>2143</v>
      </c>
      <c r="C2220" s="1" t="s">
        <v>2144</v>
      </c>
      <c r="D2220" s="1" t="s">
        <v>2145</v>
      </c>
      <c r="E2220" s="1" t="s">
        <v>2146</v>
      </c>
    </row>
    <row r="2221">
      <c r="A2221" s="2">
        <v>45874.920810185184</v>
      </c>
      <c r="B2221" s="1" t="s">
        <v>533</v>
      </c>
      <c r="C2221" s="1" t="s">
        <v>526</v>
      </c>
      <c r="D2221" s="3" t="str">
        <f>?utf-8?B?T04gTk9XOiBVcCB0byAkMjUgaW4gdmFsdWUgYmFjay10by1zYw==?=
 =?utf-8?B?aG9vbCBzaG9wcGluZyDwn46S?=</f>
        <v>#ERROR!</v>
      </c>
      <c r="E2221" s="1" t="s">
        <v>887</v>
      </c>
    </row>
    <row r="2222">
      <c r="A2222" s="2">
        <v>45874.920810185184</v>
      </c>
      <c r="B2222" s="1" t="s">
        <v>535</v>
      </c>
      <c r="C2222" s="1" t="s">
        <v>524</v>
      </c>
      <c r="D2222" s="3" t="str">
        <f>?utf-8?B?T04gTk9XOiBVcCB0byAkMjUgaW4gdmFsdWUgYmFjay10by1zYw==?=
 =?utf-8?B?aG9vbCBzaG9wcGluZyDwn46S?=</f>
        <v>#ERROR!</v>
      </c>
      <c r="E2222" s="1" t="s">
        <v>887</v>
      </c>
    </row>
    <row r="2223">
      <c r="A2223" s="2">
        <v>45874.92103009259</v>
      </c>
      <c r="B2223" s="1" t="s">
        <v>259</v>
      </c>
      <c r="C2223" s="1" t="s">
        <v>2144</v>
      </c>
      <c r="D2223" s="3" t="str">
        <f>?utf-8?B?T04gTk9XOiBVcCB0byAkMjUgaW4gdmFsdWUgYmFjay10by1zYw==?=
 =?utf-8?B?aG9vbCBzaG9wcGluZyDwn46S?=</f>
        <v>#ERROR!</v>
      </c>
      <c r="E2223" s="1" t="s">
        <v>887</v>
      </c>
    </row>
    <row r="2224">
      <c r="A2224" s="2">
        <v>45875.00896990741</v>
      </c>
      <c r="B2224" s="1" t="s">
        <v>1311</v>
      </c>
      <c r="C2224" s="1" t="s">
        <v>1111</v>
      </c>
      <c r="D2224" s="1" t="s">
        <v>2147</v>
      </c>
      <c r="E2224" s="1" t="s">
        <v>2148</v>
      </c>
    </row>
    <row r="2225">
      <c r="A2225" s="2">
        <v>45875.293078703704</v>
      </c>
      <c r="B2225" s="1" t="s">
        <v>1317</v>
      </c>
      <c r="C2225" s="1" t="s">
        <v>849</v>
      </c>
      <c r="D2225" s="3" t="str">
        <f>?UTF-8?B?SeKAmWQgaGl0IHRoYXTigKYgU3Bpbi1hdGEgdGltZSE=?=</f>
        <v>#ERROR!</v>
      </c>
      <c r="E2225" s="1" t="s">
        <v>2149</v>
      </c>
    </row>
    <row r="2226">
      <c r="A2226" s="2">
        <v>45875.42699074074</v>
      </c>
      <c r="B2226" s="1" t="s">
        <v>533</v>
      </c>
      <c r="C2226" s="1" t="s">
        <v>526</v>
      </c>
      <c r="D2226" s="3" t="str">
        <f>?utf-8?B?WW91IGRvbuKAmXQgd2FubmEgbWlzcyBvdXQgb24gJDU1IGluIA==?=
 =?utf-8?B?dmFsdWUgd2l0aCBBSVIgTUlMRVMgQ2FzaCwgZG8geW91P/CfkYA=?=</f>
        <v>#ERROR!</v>
      </c>
      <c r="E2226" s="1" t="s">
        <v>887</v>
      </c>
    </row>
    <row r="2227">
      <c r="A2227" s="2">
        <v>45875.44871527778</v>
      </c>
      <c r="B2227" s="1" t="s">
        <v>259</v>
      </c>
      <c r="C2227" s="1" t="s">
        <v>2144</v>
      </c>
      <c r="D2227" s="3" t="str">
        <f>?utf-8?B?WW91IGRvbuKAmXQgd2FubmEgbWlzcyBvdXQgb24gJDU1IGluIA==?=
 =?utf-8?B?dmFsdWUgd2l0aCBBSVIgTUlMRVMgQ2FzaCwgZG8geW91P/CfkYA=?=</f>
        <v>#ERROR!</v>
      </c>
      <c r="E2227" s="1" t="s">
        <v>887</v>
      </c>
    </row>
    <row r="2228">
      <c r="A2228" s="2">
        <v>45875.510462962964</v>
      </c>
      <c r="B2228" s="1" t="s">
        <v>535</v>
      </c>
      <c r="C2228" s="1" t="s">
        <v>524</v>
      </c>
      <c r="D2228" s="3" t="str">
        <f>?utf-8?B?WW91IGRvbuKAmXQgd2FubmEgbWlzcyBvdXQgb24gJDU1IGluIA==?=
 =?utf-8?B?dmFsdWUgd2l0aCBBSVIgTUlMRVMgQ2FzaCwgZG8geW91P/CfkYA=?=</f>
        <v>#ERROR!</v>
      </c>
      <c r="E2228" s="1" t="s">
        <v>887</v>
      </c>
    </row>
    <row r="2229">
      <c r="A2229" s="2">
        <v>45875.752546296295</v>
      </c>
      <c r="B2229" s="1" t="s">
        <v>844</v>
      </c>
      <c r="C2229" s="1" t="s">
        <v>845</v>
      </c>
      <c r="D2229" s="1" t="s">
        <v>1489</v>
      </c>
      <c r="E2229" s="1" t="s">
        <v>847</v>
      </c>
    </row>
    <row r="2230">
      <c r="A2230" s="2">
        <v>45875.746412037035</v>
      </c>
      <c r="B2230" s="1" t="s">
        <v>535</v>
      </c>
      <c r="C2230" s="1" t="s">
        <v>524</v>
      </c>
      <c r="D2230" s="3" t="str">
        <f>?windows-1252?Q?It=92s_now_or_never:_Shop_the_Block_ends_soon?=</f>
        <v>#ERROR!</v>
      </c>
      <c r="E2230" s="1" t="s">
        <v>887</v>
      </c>
    </row>
    <row r="2231">
      <c r="A2231" s="2">
        <v>45875.95128472222</v>
      </c>
      <c r="B2231" s="1" t="s">
        <v>857</v>
      </c>
      <c r="C2231" s="1" t="s">
        <v>1036</v>
      </c>
      <c r="D2231" s="1" t="s">
        <v>1726</v>
      </c>
      <c r="E2231" s="1" t="s">
        <v>847</v>
      </c>
    </row>
    <row r="2232">
      <c r="A2232" s="2">
        <v>45875.89971064815</v>
      </c>
      <c r="B2232" s="1" t="s">
        <v>259</v>
      </c>
      <c r="C2232" s="1" t="s">
        <v>2144</v>
      </c>
      <c r="D2232" s="3" t="str">
        <f>?windows-1252?Q?Meet_this_month=92s_new-to-the-crew_brands!__?=</f>
        <v>#ERROR!</v>
      </c>
      <c r="E2232" s="1" t="s">
        <v>887</v>
      </c>
    </row>
    <row r="2233">
      <c r="A2233" s="2">
        <v>45875.90038194445</v>
      </c>
      <c r="B2233" s="1" t="s">
        <v>535</v>
      </c>
      <c r="C2233" s="1" t="s">
        <v>524</v>
      </c>
      <c r="D2233" s="3" t="str">
        <f>?windows-1252?Q?Meet_this_month=92s_new-to-the-crew_brands!__?=</f>
        <v>#ERROR!</v>
      </c>
      <c r="E2233" s="1" t="s">
        <v>887</v>
      </c>
    </row>
    <row r="2234">
      <c r="A2234" s="2">
        <v>45876.4465625</v>
      </c>
      <c r="B2234" s="1" t="s">
        <v>857</v>
      </c>
      <c r="C2234" s="1" t="s">
        <v>1036</v>
      </c>
      <c r="D2234" s="1" t="s">
        <v>997</v>
      </c>
      <c r="E2234" s="1" t="s">
        <v>847</v>
      </c>
    </row>
    <row r="2235">
      <c r="A2235" s="2">
        <v>45876.47002314815</v>
      </c>
      <c r="B2235" s="1" t="s">
        <v>1579</v>
      </c>
      <c r="C2235" s="1" t="s">
        <v>845</v>
      </c>
      <c r="D2235" s="1" t="s">
        <v>2073</v>
      </c>
      <c r="E2235" s="1" t="s">
        <v>908</v>
      </c>
    </row>
    <row r="2236">
      <c r="A2236" s="2">
        <v>45876.57837962963</v>
      </c>
      <c r="B2236" s="1" t="s">
        <v>533</v>
      </c>
      <c r="C2236" s="1" t="s">
        <v>526</v>
      </c>
      <c r="D2236" s="3" t="str">
        <f>?utf-8?B?TmV3IE9ybGVhbnMgaXMgY2FsbGluZywgd2l0aCA5MDAgQm9udQ==?=
 =?utf-8?B?cyBNaWxlc++4jyBmb3IgeW91?=</f>
        <v>#ERROR!</v>
      </c>
      <c r="E2236" s="1" t="s">
        <v>887</v>
      </c>
    </row>
    <row r="2237">
      <c r="A2237" s="2">
        <v>45876.57837962963</v>
      </c>
      <c r="B2237" s="1" t="s">
        <v>535</v>
      </c>
      <c r="C2237" s="1" t="s">
        <v>524</v>
      </c>
      <c r="D2237" s="3" t="str">
        <f>?utf-8?B?TmV3IE9ybGVhbnMgaXMgY2FsbGluZywgd2l0aCA5MDAgQm9udQ==?=
 =?utf-8?B?cyBNaWxlc++4jyBmb3IgeW91?=</f>
        <v>#ERROR!</v>
      </c>
      <c r="E2237" s="1" t="s">
        <v>887</v>
      </c>
    </row>
    <row r="2238">
      <c r="A2238" s="2">
        <v>45876.74755787037</v>
      </c>
      <c r="B2238" s="1" t="s">
        <v>259</v>
      </c>
      <c r="C2238" s="1" t="s">
        <v>2144</v>
      </c>
      <c r="D2238" s="3" t="str">
        <f>?utf-8?B?R2V0IGEganVtcCBvbiBiYWNrLXRvLXNjaG9vbCB3aXRoIHVwIA==?=
 =?utf-8?B?dG8gMjUwIEJvbnVzIE1pbGVzIHRocm91Z2ggYWlybWlsZXNzaG9wcy5jYQ==?=
 =?utf-8?B?IPCfk5rinKggICA=?=</f>
        <v>#ERROR!</v>
      </c>
      <c r="E2238" s="1" t="s">
        <v>880</v>
      </c>
    </row>
    <row r="2239">
      <c r="A2239" s="2">
        <v>45876.74820601852</v>
      </c>
      <c r="B2239" s="1" t="s">
        <v>533</v>
      </c>
      <c r="C2239" s="1" t="s">
        <v>526</v>
      </c>
      <c r="D2239" s="3" t="str">
        <f>?utf-8?B?R2V0IGEganVtcCBvbiBiYWNrLXRvLXNjaG9vbCB3aXRoIHVwIA==?=
 =?utf-8?B?dG8gMjUwIEJvbnVzIE1pbGVzIHRocm91Z2ggYWlybWlsZXNzaG9wcy5jYQ==?=
 =?utf-8?B?IPCfk5rinKggICA=?=</f>
        <v>#ERROR!</v>
      </c>
      <c r="E2239" s="1" t="s">
        <v>880</v>
      </c>
    </row>
    <row r="2240">
      <c r="A2240" s="2">
        <v>45876.91684027778</v>
      </c>
      <c r="B2240" s="1" t="s">
        <v>1814</v>
      </c>
      <c r="C2240" s="1" t="s">
        <v>845</v>
      </c>
      <c r="D2240" s="3" t="str">
        <f>?UTF-8?q?=F0=9F=9A=80_Time_to_ship:_Get_your_mobile_app_live_and_win_big?=
 =?UTF-8?q?!?=</f>
        <v>#ERROR!</v>
      </c>
      <c r="E2240" s="1" t="s">
        <v>2150</v>
      </c>
    </row>
    <row r="2241">
      <c r="A2241" s="2">
        <v>45877.33967592593</v>
      </c>
      <c r="B2241" s="1" t="s">
        <v>1311</v>
      </c>
      <c r="C2241" s="1" t="s">
        <v>1111</v>
      </c>
      <c r="D2241" s="1" t="s">
        <v>2151</v>
      </c>
      <c r="E2241" s="1" t="s">
        <v>2152</v>
      </c>
    </row>
    <row r="2242">
      <c r="A2242" s="2">
        <v>45877.29273148148</v>
      </c>
      <c r="B2242" s="1" t="s">
        <v>1317</v>
      </c>
      <c r="C2242" s="1" t="s">
        <v>849</v>
      </c>
      <c r="D2242" s="3" t="str">
        <f>?UTF-8?B?RGlkbuKAmXQgd2UgaGF2ZSBhIHBsYXlkYXRlPw==?=</f>
        <v>#ERROR!</v>
      </c>
      <c r="E2242" s="1" t="s">
        <v>2153</v>
      </c>
    </row>
    <row r="2243">
      <c r="A2243" s="2">
        <v>45877.67818287037</v>
      </c>
      <c r="B2243" s="1" t="s">
        <v>857</v>
      </c>
      <c r="C2243" s="1" t="s">
        <v>845</v>
      </c>
      <c r="D2243" s="1" t="s">
        <v>1532</v>
      </c>
      <c r="E2243" s="1" t="s">
        <v>847</v>
      </c>
    </row>
    <row r="2244">
      <c r="A2244" s="2">
        <v>45877.68113425926</v>
      </c>
      <c r="B2244" s="1" t="s">
        <v>2154</v>
      </c>
      <c r="C2244" s="1" t="s">
        <v>2141</v>
      </c>
      <c r="D2244" s="1" t="s">
        <v>2155</v>
      </c>
      <c r="E2244" s="1" t="s">
        <v>2156</v>
      </c>
    </row>
    <row r="2245">
      <c r="A2245" s="2">
        <v>45878.892175925925</v>
      </c>
      <c r="B2245" s="1" t="s">
        <v>1311</v>
      </c>
      <c r="C2245" s="1" t="s">
        <v>1111</v>
      </c>
      <c r="D2245" s="1" t="s">
        <v>2157</v>
      </c>
      <c r="E2245" s="1" t="s">
        <v>2158</v>
      </c>
    </row>
    <row r="2246">
      <c r="A2246" s="2">
        <v>45879.38543981482</v>
      </c>
      <c r="B2246" s="1" t="s">
        <v>1311</v>
      </c>
      <c r="C2246" s="1" t="s">
        <v>1111</v>
      </c>
      <c r="D2246" s="1" t="s">
        <v>1978</v>
      </c>
      <c r="E2246" s="1" t="s">
        <v>2159</v>
      </c>
    </row>
    <row r="2247">
      <c r="A2247" s="2">
        <v>45879.755590277775</v>
      </c>
      <c r="B2247" s="1" t="s">
        <v>844</v>
      </c>
      <c r="C2247" s="1" t="s">
        <v>845</v>
      </c>
      <c r="D2247" s="3" t="str">
        <f>?UTF-8?q?Shopping_made_easy=E2=80=94see_what=E2=80=99s_popular_and_ready?=
 =?UTF-8?q?_for_you.?=</f>
        <v>#ERROR!</v>
      </c>
      <c r="E2247" s="1" t="s">
        <v>847</v>
      </c>
    </row>
    <row r="2248">
      <c r="A2248" s="2">
        <v>45880.05902777778</v>
      </c>
      <c r="B2248" s="1" t="s">
        <v>1311</v>
      </c>
      <c r="C2248" s="1" t="s">
        <v>1649</v>
      </c>
      <c r="D2248" s="1" t="s">
        <v>2160</v>
      </c>
      <c r="E2248" s="1" t="s">
        <v>2161</v>
      </c>
    </row>
    <row r="2249">
      <c r="A2249" s="2">
        <v>45880.46314814815</v>
      </c>
      <c r="B2249" s="1" t="s">
        <v>1579</v>
      </c>
      <c r="C2249" s="1" t="s">
        <v>845</v>
      </c>
      <c r="D2249" s="1" t="s">
        <v>2085</v>
      </c>
      <c r="E2249" s="1" t="s">
        <v>908</v>
      </c>
    </row>
    <row r="2250">
      <c r="A2250" s="2">
        <v>45880.516851851855</v>
      </c>
      <c r="B2250" s="1" t="s">
        <v>844</v>
      </c>
      <c r="C2250" s="1" t="s">
        <v>1036</v>
      </c>
      <c r="D2250" s="3" t="str">
        <f>?UTF-8?q?Use_your_50%_off_promo_before_it=E2=80=99s_gone!?=</f>
        <v>#ERROR!</v>
      </c>
      <c r="E2250" s="1" t="s">
        <v>847</v>
      </c>
    </row>
    <row r="2251">
      <c r="A2251" s="2">
        <v>45880.53653935185</v>
      </c>
      <c r="B2251" s="1" t="s">
        <v>1311</v>
      </c>
      <c r="C2251" s="1" t="s">
        <v>1649</v>
      </c>
      <c r="D2251" s="1" t="s">
        <v>2162</v>
      </c>
      <c r="E2251" s="1" t="s">
        <v>2163</v>
      </c>
    </row>
    <row r="2252">
      <c r="A2252" s="2">
        <v>45880.708715277775</v>
      </c>
      <c r="B2252" s="1" t="s">
        <v>848</v>
      </c>
      <c r="C2252" s="1" t="s">
        <v>849</v>
      </c>
      <c r="D2252" s="1" t="s">
        <v>1403</v>
      </c>
      <c r="E2252" s="1" t="s">
        <v>851</v>
      </c>
    </row>
    <row r="2253">
      <c r="A2253" s="2">
        <v>45880.7394212963</v>
      </c>
      <c r="B2253" s="1" t="s">
        <v>535</v>
      </c>
      <c r="C2253" s="1" t="s">
        <v>524</v>
      </c>
      <c r="D2253" s="3" t="str">
        <f>?utf-8?B?R2V0IHNjaG9vbC1yZWFkeSB3aXRoIDV4IE1pbGVzIGF0IEFtYQ==?=
 =?utf-8?B?em9uIPCfjpLwn5Oa?=</f>
        <v>#ERROR!</v>
      </c>
      <c r="E2253" s="1" t="s">
        <v>887</v>
      </c>
    </row>
    <row r="2254">
      <c r="A2254" s="2">
        <v>45880.97754629629</v>
      </c>
      <c r="B2254" s="1" t="s">
        <v>857</v>
      </c>
      <c r="C2254" s="1" t="s">
        <v>1036</v>
      </c>
      <c r="D2254" s="3" t="str">
        <f>?UTF-8?q?50%_off_your_next_3_orders_-_just_for_you_=F0=9F=91=80?=</f>
        <v>#ERROR!</v>
      </c>
      <c r="E2254" s="1" t="s">
        <v>847</v>
      </c>
    </row>
    <row r="2255">
      <c r="A2255" s="2">
        <v>45881.43787037037</v>
      </c>
      <c r="B2255" s="1" t="s">
        <v>857</v>
      </c>
      <c r="C2255" s="1" t="s">
        <v>845</v>
      </c>
      <c r="D2255" s="3" t="str">
        <f>?UTF-8?q?50%_off_your_next_3_orders_-_just_for_you_=F0=9F=91=80?=</f>
        <v>#ERROR!</v>
      </c>
      <c r="E2255" s="1" t="s">
        <v>847</v>
      </c>
    </row>
    <row r="2256">
      <c r="A2256" s="2">
        <v>45881.34637731482</v>
      </c>
      <c r="B2256" s="1" t="s">
        <v>1111</v>
      </c>
      <c r="C2256" s="1" t="s">
        <v>1311</v>
      </c>
      <c r="D2256" s="1" t="s">
        <v>2164</v>
      </c>
      <c r="E2256" s="1" t="s">
        <v>2165</v>
      </c>
    </row>
    <row r="2257">
      <c r="A2257" s="2">
        <v>45881.62552083333</v>
      </c>
      <c r="B2257" s="1" t="s">
        <v>2166</v>
      </c>
      <c r="C2257" s="1" t="s">
        <v>845</v>
      </c>
      <c r="D2257" s="1" t="s">
        <v>2167</v>
      </c>
      <c r="E2257" s="1" t="s">
        <v>2168</v>
      </c>
    </row>
    <row r="2258">
      <c r="A2258" s="2">
        <v>45881.62732638889</v>
      </c>
      <c r="B2258" s="1" t="s">
        <v>857</v>
      </c>
      <c r="C2258" s="1" t="s">
        <v>1036</v>
      </c>
      <c r="D2258" s="1" t="s">
        <v>861</v>
      </c>
      <c r="E2258" s="1" t="s">
        <v>847</v>
      </c>
    </row>
    <row r="2259">
      <c r="A2259" s="2">
        <v>45881.66028935185</v>
      </c>
      <c r="B2259" s="1" t="s">
        <v>857</v>
      </c>
      <c r="C2259" s="1" t="s">
        <v>845</v>
      </c>
      <c r="D2259" s="1" t="s">
        <v>861</v>
      </c>
      <c r="E2259" s="1" t="s">
        <v>847</v>
      </c>
    </row>
    <row r="2260">
      <c r="A2260" s="2">
        <v>45881.49400462963</v>
      </c>
      <c r="B2260" s="1" t="s">
        <v>735</v>
      </c>
      <c r="C2260" s="1" t="s">
        <v>524</v>
      </c>
      <c r="D2260" s="3" t="str">
        <f>?utf-8?B?WW91IGNvdWxkIHdpbiB1cCB0byBhIE1JTExJT04gTWlsZXMhIA==?=
 =?utf-8?B?8J+kkQ==?=</f>
        <v>#ERROR!</v>
      </c>
      <c r="E2260" s="1" t="s">
        <v>887</v>
      </c>
    </row>
    <row r="2261">
      <c r="A2261" s="2">
        <v>45881.678564814814</v>
      </c>
      <c r="B2261" s="1" t="s">
        <v>294</v>
      </c>
      <c r="C2261" s="1" t="s">
        <v>2144</v>
      </c>
      <c r="D2261" s="1" t="s">
        <v>2169</v>
      </c>
      <c r="E2261" s="1" t="s">
        <v>887</v>
      </c>
    </row>
    <row r="2262">
      <c r="A2262" s="2">
        <v>45881.741319444445</v>
      </c>
      <c r="B2262" s="1" t="s">
        <v>745</v>
      </c>
      <c r="C2262" s="1" t="s">
        <v>526</v>
      </c>
      <c r="D2262" s="1" t="s">
        <v>2169</v>
      </c>
      <c r="E2262" s="1" t="s">
        <v>887</v>
      </c>
    </row>
    <row r="2263">
      <c r="A2263" s="2">
        <v>45881.78271990741</v>
      </c>
      <c r="B2263" s="1" t="s">
        <v>735</v>
      </c>
      <c r="C2263" s="1" t="s">
        <v>524</v>
      </c>
      <c r="D2263" s="1" t="s">
        <v>2169</v>
      </c>
      <c r="E2263" s="1" t="s">
        <v>887</v>
      </c>
    </row>
    <row r="2264">
      <c r="A2264" s="2">
        <v>45881.91075231481</v>
      </c>
      <c r="B2264" s="1" t="s">
        <v>1311</v>
      </c>
      <c r="C2264" s="1" t="s">
        <v>1111</v>
      </c>
      <c r="D2264" s="1" t="s">
        <v>2164</v>
      </c>
      <c r="E2264" s="1" t="s">
        <v>2170</v>
      </c>
    </row>
    <row r="2265">
      <c r="A2265" s="2">
        <v>45881.91222222222</v>
      </c>
      <c r="B2265" s="1" t="s">
        <v>1311</v>
      </c>
      <c r="C2265" s="1" t="s">
        <v>1111</v>
      </c>
      <c r="D2265" s="1" t="s">
        <v>2164</v>
      </c>
      <c r="E2265" s="1" t="s">
        <v>2171</v>
      </c>
    </row>
    <row r="2266">
      <c r="A2266" s="2">
        <v>45881.945543981485</v>
      </c>
      <c r="B2266" s="1" t="s">
        <v>1311</v>
      </c>
      <c r="C2266" s="1" t="s">
        <v>1111</v>
      </c>
      <c r="D2266" s="1" t="s">
        <v>2164</v>
      </c>
      <c r="E2266" s="1" t="s">
        <v>2172</v>
      </c>
    </row>
    <row r="2267">
      <c r="A2267" s="2">
        <v>45882.45013888889</v>
      </c>
      <c r="B2267" s="1" t="s">
        <v>1083</v>
      </c>
      <c r="C2267" s="1" t="s">
        <v>845</v>
      </c>
      <c r="D2267" s="3" t="str">
        <f>?UTF-8?q?Last_chance_to_score_250_Aeroplan_points=E2=9C=88=EF=B8=8F?=</f>
        <v>#ERROR!</v>
      </c>
      <c r="E2267" s="1" t="s">
        <v>847</v>
      </c>
    </row>
    <row r="2268">
      <c r="A2268" s="2">
        <v>45882.48180555556</v>
      </c>
      <c r="B2268" s="1" t="s">
        <v>745</v>
      </c>
      <c r="C2268" s="1" t="s">
        <v>526</v>
      </c>
      <c r="D2268" s="3" t="str">
        <f>?utf-8?B?VGhlcmXigJlzIHN0aWxsIHRpbWUgdG8gcGxheSB0aGUgc3VtbQ==?=
 =?utf-8?B?ZXIgZ2FtZSDwn4+G?=</f>
        <v>#ERROR!</v>
      </c>
      <c r="E2268" s="1" t="s">
        <v>887</v>
      </c>
    </row>
    <row r="2269">
      <c r="A2269" s="2">
        <v>45882.83744212963</v>
      </c>
      <c r="B2269" s="1" t="s">
        <v>2173</v>
      </c>
      <c r="C2269" s="1" t="s">
        <v>849</v>
      </c>
      <c r="D2269" s="1" t="s">
        <v>2073</v>
      </c>
      <c r="E2269" s="1" t="s">
        <v>2174</v>
      </c>
    </row>
    <row r="2270">
      <c r="A2270" s="2">
        <v>45882.79715277778</v>
      </c>
      <c r="B2270" s="1" t="s">
        <v>1311</v>
      </c>
      <c r="C2270" s="1" t="s">
        <v>1111</v>
      </c>
      <c r="D2270" s="1" t="s">
        <v>2175</v>
      </c>
      <c r="E2270" s="1" t="s">
        <v>2176</v>
      </c>
    </row>
    <row r="2271">
      <c r="A2271" s="2">
        <v>45882.82021990741</v>
      </c>
      <c r="B2271" s="1" t="s">
        <v>1311</v>
      </c>
      <c r="C2271" s="1" t="s">
        <v>1111</v>
      </c>
      <c r="D2271" s="1" t="s">
        <v>2175</v>
      </c>
      <c r="E2271" s="1" t="s">
        <v>2177</v>
      </c>
    </row>
    <row r="2272">
      <c r="A2272" s="2">
        <v>45882.82800925926</v>
      </c>
      <c r="B2272" s="1" t="s">
        <v>1311</v>
      </c>
      <c r="C2272" s="1" t="s">
        <v>1111</v>
      </c>
      <c r="D2272" s="1" t="s">
        <v>2175</v>
      </c>
      <c r="E2272" s="1" t="s">
        <v>2178</v>
      </c>
    </row>
    <row r="2273">
      <c r="A2273" s="2">
        <v>45883.49717592593</v>
      </c>
      <c r="B2273" s="1" t="s">
        <v>294</v>
      </c>
      <c r="C2273" s="1" t="s">
        <v>2144</v>
      </c>
      <c r="D2273" s="1" t="s">
        <v>2179</v>
      </c>
      <c r="E2273" s="1" t="s">
        <v>2180</v>
      </c>
    </row>
    <row r="2274">
      <c r="A2274" s="2">
        <v>45883.68890046296</v>
      </c>
      <c r="B2274" s="1" t="s">
        <v>2181</v>
      </c>
      <c r="C2274" s="1" t="s">
        <v>845</v>
      </c>
      <c r="D2274" s="1" t="s">
        <v>2182</v>
      </c>
      <c r="E2274" s="1" t="s">
        <v>2183</v>
      </c>
    </row>
    <row r="2275">
      <c r="A2275" s="2">
        <v>45888.46158564815</v>
      </c>
      <c r="B2275" s="1" t="s">
        <v>1311</v>
      </c>
      <c r="C2275" s="1" t="s">
        <v>1111</v>
      </c>
      <c r="D2275" s="1" t="s">
        <v>2184</v>
      </c>
      <c r="E2275" s="1" t="s">
        <v>2185</v>
      </c>
    </row>
    <row r="2276">
      <c r="A2276" s="2">
        <v>45888.52513888889</v>
      </c>
      <c r="B2276" s="1" t="s">
        <v>1111</v>
      </c>
      <c r="C2276" s="1" t="s">
        <v>1311</v>
      </c>
      <c r="D2276" s="1" t="s">
        <v>2186</v>
      </c>
      <c r="E2276" s="1" t="s">
        <v>2187</v>
      </c>
    </row>
    <row r="2277">
      <c r="A2277" s="2">
        <v>45888.65255787037</v>
      </c>
      <c r="B2277" s="1" t="s">
        <v>857</v>
      </c>
      <c r="C2277" s="1" t="s">
        <v>845</v>
      </c>
      <c r="D2277" s="1" t="s">
        <v>861</v>
      </c>
      <c r="E2277" s="1" t="s">
        <v>847</v>
      </c>
    </row>
    <row r="2278">
      <c r="A2278" s="2">
        <v>45888.576516203706</v>
      </c>
      <c r="B2278" s="1" t="s">
        <v>1311</v>
      </c>
      <c r="C2278" s="1" t="s">
        <v>1111</v>
      </c>
      <c r="D2278" s="1" t="s">
        <v>2186</v>
      </c>
      <c r="E2278" s="1" t="s">
        <v>2188</v>
      </c>
    </row>
    <row r="2279">
      <c r="A2279" s="2">
        <v>45888.73553240741</v>
      </c>
      <c r="B2279" s="1" t="s">
        <v>1311</v>
      </c>
      <c r="C2279" s="1" t="s">
        <v>1111</v>
      </c>
      <c r="E2279" s="1" t="s">
        <v>2189</v>
      </c>
    </row>
    <row r="2280">
      <c r="A2280" s="2">
        <v>45888.72991898148</v>
      </c>
      <c r="B2280" s="1" t="s">
        <v>735</v>
      </c>
      <c r="C2280" s="1" t="s">
        <v>524</v>
      </c>
      <c r="D2280" s="3" t="str">
        <f>?utf-8?B?WW91IGNvdWxkIHdpbiB1cCB0byBhIE1JTExJT04gTWlsZXMhIA==?=
 =?utf-8?B?8J+kkQ==?=</f>
        <v>#ERROR!</v>
      </c>
      <c r="E2280" s="1" t="s">
        <v>887</v>
      </c>
    </row>
    <row r="2281">
      <c r="A2281" s="2">
        <v>45888.70885416667</v>
      </c>
      <c r="B2281" s="1" t="s">
        <v>2143</v>
      </c>
      <c r="C2281" s="1" t="s">
        <v>2144</v>
      </c>
      <c r="D2281" s="3" t="str">
        <f>?UTF-8?B?Q3JhaWcsIHlvdXIgZnVubmllc3Qg4oCcbWVtZeKAnW9yaWVzIGNv?=
 =?UTF-8?B?dWxkIHdpbiogYSAkMTAwIGdpZnQgY2FyZCE=?=</f>
        <v>#ERROR!</v>
      </c>
      <c r="E2281" s="1" t="s">
        <v>2190</v>
      </c>
    </row>
    <row r="2282">
      <c r="A2282" s="2">
        <v>45888.88146990741</v>
      </c>
      <c r="B2282" s="1" t="s">
        <v>1311</v>
      </c>
      <c r="C2282" s="1" t="s">
        <v>1071</v>
      </c>
      <c r="D2282" s="1" t="s">
        <v>2191</v>
      </c>
      <c r="E2282" s="1" t="s">
        <v>2192</v>
      </c>
    </row>
    <row r="2283">
      <c r="A2283" s="2">
        <v>45888.8921412037</v>
      </c>
      <c r="B2283" s="1" t="s">
        <v>1311</v>
      </c>
      <c r="C2283" s="1" t="s">
        <v>1111</v>
      </c>
      <c r="D2283" s="1" t="s">
        <v>2186</v>
      </c>
      <c r="E2283" s="1" t="s">
        <v>2193</v>
      </c>
    </row>
    <row r="2284">
      <c r="A2284" s="2">
        <v>45888.900092592594</v>
      </c>
      <c r="B2284" s="1" t="s">
        <v>535</v>
      </c>
      <c r="C2284" s="1" t="s">
        <v>524</v>
      </c>
      <c r="D2284" s="3" t="str">
        <f>?utf-8?B?TGFzdCBjaGFuY2UgZm9yIHVwIHRvICQyNSBpbiB2YWx1ZSBvbg==?=
 =?utf-8?B?IGJhY2stdG8tc2Nob29sIPCfk5o=?=</f>
        <v>#ERROR!</v>
      </c>
      <c r="E2284" s="1" t="s">
        <v>887</v>
      </c>
    </row>
    <row r="2285">
      <c r="A2285" s="2">
        <v>45888.9003125</v>
      </c>
      <c r="B2285" s="1" t="s">
        <v>259</v>
      </c>
      <c r="C2285" s="1" t="s">
        <v>2144</v>
      </c>
      <c r="D2285" s="3" t="str">
        <f>?utf-8?B?TGFzdCBjaGFuY2UgZm9yIHVwIHRvICQyNSBpbiB2YWx1ZSBvbg==?=
 =?utf-8?B?IGJhY2stdG8tc2Nob29sIPCfk5o=?=</f>
        <v>#ERROR!</v>
      </c>
      <c r="E2285" s="1" t="s">
        <v>887</v>
      </c>
    </row>
    <row r="2286">
      <c r="A2286" s="2">
        <v>45889.4916087963</v>
      </c>
      <c r="B2286" s="1" t="s">
        <v>848</v>
      </c>
      <c r="C2286" s="1" t="s">
        <v>849</v>
      </c>
      <c r="D2286" s="1" t="s">
        <v>1529</v>
      </c>
      <c r="E2286" s="1" t="s">
        <v>851</v>
      </c>
    </row>
    <row r="2287">
      <c r="A2287" s="2">
        <v>45889.55260416667</v>
      </c>
      <c r="B2287" s="1" t="s">
        <v>535</v>
      </c>
      <c r="C2287" s="1" t="s">
        <v>524</v>
      </c>
      <c r="D2287" s="1" t="s">
        <v>2194</v>
      </c>
      <c r="E2287" s="1" t="s">
        <v>887</v>
      </c>
    </row>
    <row r="2288">
      <c r="A2288" s="2">
        <v>45889.55260416667</v>
      </c>
      <c r="B2288" s="1" t="s">
        <v>533</v>
      </c>
      <c r="C2288" s="1" t="s">
        <v>526</v>
      </c>
      <c r="D2288" s="1" t="s">
        <v>2194</v>
      </c>
      <c r="E2288" s="1" t="s">
        <v>887</v>
      </c>
    </row>
    <row r="2289">
      <c r="A2289" s="2">
        <v>45889.55275462963</v>
      </c>
      <c r="B2289" s="1" t="s">
        <v>259</v>
      </c>
      <c r="C2289" s="1" t="s">
        <v>2144</v>
      </c>
      <c r="D2289" s="1" t="s">
        <v>2194</v>
      </c>
      <c r="E2289" s="1" t="s">
        <v>887</v>
      </c>
    </row>
    <row r="2290">
      <c r="A2290" s="2">
        <v>45889.77197916667</v>
      </c>
      <c r="B2290" s="1" t="s">
        <v>535</v>
      </c>
      <c r="C2290" s="1" t="s">
        <v>524</v>
      </c>
      <c r="D2290" s="1" t="s">
        <v>2195</v>
      </c>
      <c r="E2290" s="1" t="s">
        <v>887</v>
      </c>
    </row>
    <row r="2291">
      <c r="A2291" s="2">
        <v>45889.8205787037</v>
      </c>
      <c r="B2291" s="1" t="s">
        <v>1311</v>
      </c>
      <c r="C2291" s="1" t="s">
        <v>2196</v>
      </c>
      <c r="D2291" s="1" t="s">
        <v>2197</v>
      </c>
      <c r="E2291" s="1" t="s">
        <v>2198</v>
      </c>
    </row>
    <row r="2292">
      <c r="A2292" s="2">
        <v>45889.871099537035</v>
      </c>
      <c r="B2292" s="1" t="s">
        <v>259</v>
      </c>
      <c r="C2292" s="1" t="s">
        <v>2144</v>
      </c>
      <c r="D2292" s="3" t="str">
        <f>?utf-8?B?8J+NjiBHZXQgdXAgdG8gMjUwIEJvbnVzIE1pbGVzICsgYSBiYQ==?=
 =?utf-8?B?Y2twYWNrIGZ1bGwgb2YgZGVhbHMh?=</f>
        <v>#ERROR!</v>
      </c>
      <c r="E2292" s="1" t="s">
        <v>887</v>
      </c>
    </row>
    <row r="2293">
      <c r="A2293" s="2">
        <v>45889.956342592595</v>
      </c>
      <c r="B2293" s="1" t="s">
        <v>1311</v>
      </c>
      <c r="C2293" s="1" t="s">
        <v>2199</v>
      </c>
      <c r="D2293" s="1" t="s">
        <v>2200</v>
      </c>
      <c r="E2293" s="1" t="s">
        <v>2201</v>
      </c>
    </row>
    <row r="2294">
      <c r="A2294" s="2">
        <v>45890.51142361111</v>
      </c>
      <c r="B2294" s="1" t="s">
        <v>294</v>
      </c>
      <c r="C2294" s="1" t="s">
        <v>2144</v>
      </c>
      <c r="D2294" s="1" t="s">
        <v>2202</v>
      </c>
      <c r="E2294" s="1" t="s">
        <v>2180</v>
      </c>
    </row>
    <row r="2295">
      <c r="A2295" s="2">
        <v>45890.64319444444</v>
      </c>
      <c r="B2295" s="1" t="s">
        <v>745</v>
      </c>
      <c r="C2295" s="1" t="s">
        <v>526</v>
      </c>
      <c r="D2295" s="3" t="str">
        <f>?utf-8?B?R2V0IDEwMCBCb251cyBNaWxlcyBhdCBHbG9iYWwgUGV0IEZvbw==?=
 =?utf-8?B?ZHMg8J+Qvg==?=</f>
        <v>#ERROR!</v>
      </c>
      <c r="E2295" s="1" t="s">
        <v>887</v>
      </c>
    </row>
    <row r="2296">
      <c r="A2296" s="2">
        <v>45890.657997685186</v>
      </c>
      <c r="B2296" s="1" t="s">
        <v>294</v>
      </c>
      <c r="C2296" s="1" t="s">
        <v>2144</v>
      </c>
      <c r="D2296" s="3" t="str">
        <f>?utf-8?B?R2V0IDEwMCBCb251cyBNaWxlcyBhdCBHbG9iYWwgUGV0IEZvbw==?=
 =?utf-8?B?ZHMg8J+Qvg==?=</f>
        <v>#ERROR!</v>
      </c>
      <c r="E2296" s="1" t="s">
        <v>887</v>
      </c>
    </row>
    <row r="2297">
      <c r="A2297" s="2">
        <v>45890.88940972222</v>
      </c>
      <c r="B2297" s="1" t="s">
        <v>2173</v>
      </c>
      <c r="C2297" s="1" t="s">
        <v>849</v>
      </c>
      <c r="D2297" s="1" t="s">
        <v>2073</v>
      </c>
      <c r="E2297" s="1" t="s">
        <v>2174</v>
      </c>
    </row>
    <row r="2298">
      <c r="A2298" s="2">
        <v>45890.74076388889</v>
      </c>
      <c r="B2298" s="1" t="s">
        <v>735</v>
      </c>
      <c r="C2298" s="1" t="s">
        <v>524</v>
      </c>
      <c r="D2298" s="3" t="str">
        <f>?utf-8?B?R2V0IDEwMCBCb251cyBNaWxlcyBhdCBHbG9iYWwgUGV0IEZvbw==?=
 =?utf-8?B?ZHMg8J+Qvg==?=</f>
        <v>#ERROR!</v>
      </c>
      <c r="E2298" s="1" t="s">
        <v>887</v>
      </c>
    </row>
    <row r="2299">
      <c r="A2299" s="2">
        <v>45890.79671296296</v>
      </c>
      <c r="B2299" s="1" t="s">
        <v>1311</v>
      </c>
      <c r="C2299" s="1" t="s">
        <v>2196</v>
      </c>
      <c r="D2299" s="1" t="s">
        <v>2203</v>
      </c>
      <c r="E2299" s="1" t="s">
        <v>2204</v>
      </c>
    </row>
    <row r="2300">
      <c r="A2300" s="2">
        <v>45890.95612268519</v>
      </c>
      <c r="B2300" s="1" t="s">
        <v>2205</v>
      </c>
      <c r="C2300" s="1" t="s">
        <v>845</v>
      </c>
      <c r="D2300" s="3" t="str">
        <f>?utf-8?B?U2NhbGUgYW5kIGNlbnRyYWxpemUgeW91ciB0ZWFtJ3MgcmVzZWFyY2g=?=</f>
        <v>#ERROR!</v>
      </c>
      <c r="E2300" s="1" t="s">
        <v>2206</v>
      </c>
    </row>
    <row r="2301">
      <c r="A2301" s="2">
        <v>45890.83744212963</v>
      </c>
      <c r="B2301" s="1" t="s">
        <v>1311</v>
      </c>
      <c r="C2301" s="1" t="s">
        <v>1111</v>
      </c>
      <c r="D2301" s="1" t="s">
        <v>2207</v>
      </c>
      <c r="E2301" s="1" t="s">
        <v>2208</v>
      </c>
    </row>
    <row r="2302">
      <c r="A2302" s="2">
        <v>45891.085543981484</v>
      </c>
      <c r="B2302" s="1" t="s">
        <v>1317</v>
      </c>
      <c r="C2302" s="1" t="s">
        <v>849</v>
      </c>
      <c r="D2302" s="1" t="s">
        <v>2209</v>
      </c>
      <c r="E2302" s="1" t="s">
        <v>2210</v>
      </c>
    </row>
    <row r="2303">
      <c r="A2303" s="2">
        <v>45891.26361111111</v>
      </c>
      <c r="B2303" s="1" t="s">
        <v>1311</v>
      </c>
      <c r="C2303" s="1" t="s">
        <v>1826</v>
      </c>
      <c r="D2303" s="3" t="str">
        <f>?UTF-8?Q?Urgent_Request_for_Assistance_with_Family_Law_Case_?=
	=?UTF-8?Q?=E2=80=93_Harper_Ryan=E2=80=99s_Safety?=</f>
        <v>#ERROR!</v>
      </c>
      <c r="E2303" s="1" t="s">
        <v>2211</v>
      </c>
    </row>
    <row r="2304">
      <c r="A2304" s="2">
        <v>45891.26378472222</v>
      </c>
      <c r="B2304" s="1" t="s">
        <v>1311</v>
      </c>
      <c r="C2304" s="1" t="s">
        <v>2196</v>
      </c>
      <c r="D2304" s="1" t="s">
        <v>2212</v>
      </c>
      <c r="E2304" s="1" t="s">
        <v>2213</v>
      </c>
    </row>
    <row r="2305">
      <c r="A2305" s="2">
        <v>45891.389340277776</v>
      </c>
      <c r="B2305" s="1" t="s">
        <v>1891</v>
      </c>
      <c r="C2305" s="1" t="s">
        <v>1311</v>
      </c>
      <c r="D2305" s="3" t="str">
        <f>?Windows-1252?Q?Automatic_reply:_Urgent_Request_for_Assistance_with_Fami?=
 =?Windows-1252?Q?ly_Law_Case_=96_Harper_Ryan=92s_Safety?=</f>
        <v>#ERROR!</v>
      </c>
      <c r="E2305" s="1" t="s">
        <v>2214</v>
      </c>
    </row>
    <row r="2306">
      <c r="A2306" s="2">
        <v>45891.32131944445</v>
      </c>
      <c r="B2306" s="1" t="s">
        <v>1311</v>
      </c>
      <c r="C2306" s="1" t="s">
        <v>2215</v>
      </c>
      <c r="D2306" s="1" t="s">
        <v>2216</v>
      </c>
      <c r="E2306" s="1" t="s">
        <v>2217</v>
      </c>
    </row>
    <row r="2307">
      <c r="A2307" s="2">
        <v>45891.51615740741</v>
      </c>
      <c r="B2307" s="1" t="s">
        <v>2218</v>
      </c>
      <c r="C2307" s="1" t="s">
        <v>2219</v>
      </c>
      <c r="D2307" s="1" t="s">
        <v>2220</v>
      </c>
      <c r="E2307" s="1" t="s">
        <v>2221</v>
      </c>
    </row>
    <row r="2308">
      <c r="A2308" s="2">
        <v>45891.52564814815</v>
      </c>
      <c r="B2308" s="1" t="s">
        <v>2196</v>
      </c>
      <c r="C2308" s="1" t="s">
        <v>1311</v>
      </c>
      <c r="D2308" s="1" t="s">
        <v>2222</v>
      </c>
      <c r="E2308" s="1" t="s">
        <v>2223</v>
      </c>
    </row>
    <row r="2309">
      <c r="A2309" s="2">
        <v>45891.45068287037</v>
      </c>
      <c r="B2309" s="1" t="s">
        <v>1311</v>
      </c>
      <c r="C2309" s="1" t="s">
        <v>2196</v>
      </c>
      <c r="D2309" s="1" t="s">
        <v>2224</v>
      </c>
      <c r="E2309" s="1" t="s">
        <v>2225</v>
      </c>
    </row>
    <row r="2310">
      <c r="A2310" s="2">
        <v>45891.66054398148</v>
      </c>
      <c r="B2310" s="1" t="s">
        <v>857</v>
      </c>
      <c r="C2310" s="1" t="s">
        <v>845</v>
      </c>
      <c r="D2310" s="1" t="s">
        <v>2082</v>
      </c>
      <c r="E2310" s="1" t="s">
        <v>847</v>
      </c>
    </row>
    <row r="2311">
      <c r="A2311" s="2">
        <v>45891.59612268519</v>
      </c>
      <c r="B2311" s="1" t="s">
        <v>1311</v>
      </c>
      <c r="C2311" s="1" t="s">
        <v>1111</v>
      </c>
      <c r="D2311" s="1" t="s">
        <v>2226</v>
      </c>
      <c r="E2311" s="1" t="s">
        <v>2227</v>
      </c>
    </row>
    <row r="2312">
      <c r="A2312" s="2">
        <v>45891.67667824074</v>
      </c>
      <c r="B2312" s="1" t="s">
        <v>259</v>
      </c>
      <c r="C2312" s="1" t="s">
        <v>2144</v>
      </c>
      <c r="D2312" s="3" t="str">
        <f>?utf-8?B?U2hhd24sIHlvdXIgYmVzdCBvZmZlcnMgdGhpcyB3ZWVrIGFyZQ==?=
 =?utf-8?B?IGhlcmUhIPCfjok=?=</f>
        <v>#ERROR!</v>
      </c>
      <c r="E2312" s="1" t="s">
        <v>880</v>
      </c>
    </row>
    <row r="2313">
      <c r="A2313" s="2">
        <v>45891.67748842593</v>
      </c>
      <c r="B2313" s="1" t="s">
        <v>533</v>
      </c>
      <c r="C2313" s="1" t="s">
        <v>526</v>
      </c>
      <c r="D2313" s="3" t="str">
        <f>?utf-8?B?TGl0LCB5b3VyIGJlc3Qgb2ZmZXJzIHRoaXMgd2VlayBhcmUgaA==?=
 =?utf-8?B?ZXJlISDwn46J?=</f>
        <v>#ERROR!</v>
      </c>
      <c r="E2313" s="1" t="s">
        <v>880</v>
      </c>
    </row>
    <row r="2314">
      <c r="A2314" s="2">
        <v>45891.86671296296</v>
      </c>
      <c r="B2314" s="1" t="s">
        <v>844</v>
      </c>
      <c r="C2314" s="1" t="s">
        <v>845</v>
      </c>
      <c r="D2314" s="3" t="str">
        <f>?UTF-8?q?Shop._Save._Repeat._=F0=9F=94=81?=</f>
        <v>#ERROR!</v>
      </c>
      <c r="E2314" s="1" t="s">
        <v>847</v>
      </c>
    </row>
    <row r="2315">
      <c r="A2315" s="2">
        <v>45891.743935185186</v>
      </c>
      <c r="B2315" s="1" t="s">
        <v>1311</v>
      </c>
      <c r="C2315" s="1" t="s">
        <v>1111</v>
      </c>
      <c r="D2315" s="1" t="s">
        <v>2228</v>
      </c>
      <c r="E2315" s="1" t="s">
        <v>2229</v>
      </c>
    </row>
    <row r="2316">
      <c r="A2316" s="2">
        <v>45891.857615740744</v>
      </c>
      <c r="B2316" s="1" t="s">
        <v>1311</v>
      </c>
      <c r="C2316" s="1" t="s">
        <v>1111</v>
      </c>
      <c r="D2316" s="1" t="s">
        <v>2230</v>
      </c>
      <c r="E2316" s="1" t="s">
        <v>2231</v>
      </c>
    </row>
    <row r="2317">
      <c r="A2317" s="2">
        <v>45891.90662037037</v>
      </c>
      <c r="B2317" s="1" t="s">
        <v>1311</v>
      </c>
      <c r="C2317" s="1" t="s">
        <v>2232</v>
      </c>
      <c r="D2317" s="1" t="s">
        <v>2228</v>
      </c>
      <c r="E2317" s="1" t="s">
        <v>2233</v>
      </c>
    </row>
    <row r="2318">
      <c r="A2318" s="2">
        <v>45891.994155092594</v>
      </c>
      <c r="B2318" s="1" t="s">
        <v>1311</v>
      </c>
      <c r="C2318" s="1" t="s">
        <v>1649</v>
      </c>
      <c r="D2318" s="1" t="s">
        <v>2234</v>
      </c>
      <c r="E2318" s="1" t="s">
        <v>2235</v>
      </c>
    </row>
    <row r="2319">
      <c r="A2319" s="2">
        <v>45892.45300925926</v>
      </c>
      <c r="B2319" s="1" t="s">
        <v>844</v>
      </c>
      <c r="C2319" s="1" t="s">
        <v>1036</v>
      </c>
      <c r="D2319" s="3" t="str">
        <f>?UTF-8?q?Use_your_30%_off_promo_before_it=E2=80=99s_gone!?=</f>
        <v>#ERROR!</v>
      </c>
      <c r="E2319" s="1" t="s">
        <v>847</v>
      </c>
    </row>
    <row r="2320">
      <c r="A2320" s="2">
        <v>45892.360289351855</v>
      </c>
      <c r="B2320" s="1" t="s">
        <v>1311</v>
      </c>
      <c r="C2320" s="1" t="s">
        <v>1649</v>
      </c>
      <c r="D2320" s="1" t="s">
        <v>2236</v>
      </c>
      <c r="E2320" s="1" t="s">
        <v>2237</v>
      </c>
    </row>
    <row r="2321">
      <c r="A2321" s="2">
        <v>45892.363703703704</v>
      </c>
      <c r="B2321" s="1" t="s">
        <v>1311</v>
      </c>
      <c r="C2321" s="1" t="s">
        <v>1649</v>
      </c>
      <c r="D2321" s="1" t="s">
        <v>2238</v>
      </c>
      <c r="E2321" s="1" t="s">
        <v>2239</v>
      </c>
    </row>
    <row r="2322">
      <c r="A2322" s="2">
        <v>45892.364641203705</v>
      </c>
      <c r="B2322" s="1" t="s">
        <v>1311</v>
      </c>
      <c r="C2322" s="1" t="s">
        <v>1111</v>
      </c>
      <c r="D2322" s="1" t="s">
        <v>2240</v>
      </c>
      <c r="E2322" s="1" t="s">
        <v>2241</v>
      </c>
    </row>
    <row r="2323">
      <c r="A2323" s="2">
        <v>45892.29289351852</v>
      </c>
      <c r="B2323" s="1" t="s">
        <v>1317</v>
      </c>
      <c r="C2323" s="1" t="s">
        <v>849</v>
      </c>
      <c r="D2323" s="1" t="s">
        <v>2242</v>
      </c>
      <c r="E2323" s="1" t="s">
        <v>2243</v>
      </c>
    </row>
    <row r="2324">
      <c r="A2324" s="2">
        <v>45892.65159722222</v>
      </c>
      <c r="B2324" s="1" t="s">
        <v>844</v>
      </c>
      <c r="C2324" s="1" t="s">
        <v>1036</v>
      </c>
      <c r="D2324" s="1" t="s">
        <v>2244</v>
      </c>
      <c r="E2324" s="1" t="s">
        <v>847</v>
      </c>
    </row>
    <row r="2325">
      <c r="A2325" s="2">
        <v>45892.79761574074</v>
      </c>
      <c r="B2325" s="1" t="s">
        <v>2245</v>
      </c>
      <c r="C2325" s="1" t="s">
        <v>2141</v>
      </c>
      <c r="D2325" s="1" t="s">
        <v>2246</v>
      </c>
      <c r="E2325" s="1" t="s">
        <v>2247</v>
      </c>
    </row>
    <row r="2326">
      <c r="A2326" s="2">
        <v>45893.53040509259</v>
      </c>
      <c r="B2326" s="1" t="s">
        <v>1311</v>
      </c>
      <c r="C2326" s="1" t="s">
        <v>2248</v>
      </c>
      <c r="E2326" s="1" t="s">
        <v>2249</v>
      </c>
    </row>
    <row r="2327">
      <c r="A2327" s="2">
        <v>45893.532847222225</v>
      </c>
      <c r="B2327" s="1" t="s">
        <v>1311</v>
      </c>
      <c r="C2327" s="1" t="s">
        <v>2250</v>
      </c>
      <c r="D2327" s="3" t="str">
        <f>?UTF-8?Q?Formal_Demand_=E2=80=93_Outstanding_Wages=2C_Unauthorized_Us?=
	=?UTF-8?Q?e_of_Materials=2C_and_Defamatory_Statements?=</f>
        <v>#ERROR!</v>
      </c>
      <c r="E2327" s="1" t="s">
        <v>2251</v>
      </c>
    </row>
    <row r="2328">
      <c r="A2328" s="2">
        <v>45893.533854166664</v>
      </c>
      <c r="B2328" s="1" t="s">
        <v>1311</v>
      </c>
      <c r="C2328" s="1" t="s">
        <v>2252</v>
      </c>
      <c r="D2328" s="3" t="str">
        <f>?UTF-8?Q?FWD=3A_Formal_Demand_=E2=80=93_Outstanding_Wages=2C_Unauthoriz?=
	=?UTF-8?Q?ed_Use_of_Materials=2C_and_Defamatory_Statements?=</f>
        <v>#ERROR!</v>
      </c>
      <c r="E2328" s="1" t="s">
        <v>2251</v>
      </c>
    </row>
    <row r="2329">
      <c r="A2329" s="2">
        <v>45893.80868055556</v>
      </c>
      <c r="B2329" s="1" t="s">
        <v>325</v>
      </c>
      <c r="C2329" s="1" t="s">
        <v>2141</v>
      </c>
      <c r="D2329" s="1" t="s">
        <v>2253</v>
      </c>
      <c r="E2329" s="1" t="s">
        <v>2254</v>
      </c>
    </row>
    <row r="2330">
      <c r="A2330" s="2">
        <v>45894.4465625</v>
      </c>
      <c r="B2330" s="1" t="s">
        <v>857</v>
      </c>
      <c r="C2330" s="1" t="s">
        <v>845</v>
      </c>
      <c r="D2330" s="1" t="s">
        <v>1368</v>
      </c>
      <c r="E2330" s="1" t="s">
        <v>847</v>
      </c>
    </row>
    <row r="2331">
      <c r="A2331" s="2">
        <v>45894.333333333336</v>
      </c>
      <c r="B2331" s="1" t="s">
        <v>1311</v>
      </c>
      <c r="C2331" s="1" t="s">
        <v>1649</v>
      </c>
      <c r="D2331" s="1" t="s">
        <v>2255</v>
      </c>
      <c r="E2331" s="1" t="s">
        <v>2256</v>
      </c>
    </row>
    <row r="2332">
      <c r="A2332" s="2">
        <v>45894.66443287037</v>
      </c>
      <c r="B2332" s="1" t="s">
        <v>844</v>
      </c>
      <c r="C2332" s="1" t="s">
        <v>845</v>
      </c>
      <c r="D2332" s="1" t="s">
        <v>1464</v>
      </c>
      <c r="E2332" s="1" t="s">
        <v>847</v>
      </c>
    </row>
    <row r="2333">
      <c r="A2333" s="2">
        <v>45894.66993055555</v>
      </c>
      <c r="B2333" s="1" t="s">
        <v>2257</v>
      </c>
      <c r="C2333" s="1" t="s">
        <v>845</v>
      </c>
      <c r="D2333" s="3" t="str">
        <f>?utf-8?B?V2hhdCdzIE5ldyBpbiBQZXJwbGV4aXR5IEVudGVycHJpc2UgUHJv?=</f>
        <v>#ERROR!</v>
      </c>
      <c r="E2333" s="1" t="s">
        <v>2258</v>
      </c>
    </row>
    <row r="2334">
      <c r="A2334" s="2">
        <v>45894.60178240741</v>
      </c>
      <c r="B2334" s="1" t="s">
        <v>745</v>
      </c>
      <c r="C2334" s="1" t="s">
        <v>526</v>
      </c>
      <c r="D2334" s="3" t="str">
        <f>?utf-8?B?4pu98J+NqiBGdWVsIHVwISBTbmFjayB1cCEgR2V0IHVwIHRvIA==?=
 =?utf-8?B?MTI1IEJvbnVzIE1pbGVzIQ==?=</f>
        <v>#ERROR!</v>
      </c>
      <c r="E2334" s="1" t="s">
        <v>887</v>
      </c>
    </row>
    <row r="2335">
      <c r="A2335" s="2">
        <v>45894.49060185185</v>
      </c>
      <c r="B2335" s="1" t="s">
        <v>1958</v>
      </c>
      <c r="C2335" s="1" t="s">
        <v>845</v>
      </c>
      <c r="D2335" s="1" t="s">
        <v>2259</v>
      </c>
      <c r="E2335" s="1" t="s">
        <v>2251</v>
      </c>
    </row>
    <row r="2336">
      <c r="A2336" s="2">
        <v>45894.714212962965</v>
      </c>
      <c r="B2336" s="1" t="s">
        <v>294</v>
      </c>
      <c r="C2336" s="1" t="s">
        <v>2144</v>
      </c>
      <c r="D2336" s="3" t="str">
        <f>?utf-8?B?4pu98J+NqiBGdWVsIHVwISBTbmFjayB1cCEgR2V0IHVwIHRvIA==?=
 =?utf-8?B?MTI1IEJvbnVzIE1pbGVzIQ==?=</f>
        <v>#ERROR!</v>
      </c>
      <c r="E2336" s="1" t="s">
        <v>887</v>
      </c>
    </row>
    <row r="2337">
      <c r="A2337" s="2">
        <v>45894.72582175926</v>
      </c>
      <c r="B2337" s="1" t="s">
        <v>735</v>
      </c>
      <c r="C2337" s="1" t="s">
        <v>524</v>
      </c>
      <c r="D2337" s="3" t="str">
        <f>?utf-8?B?4pu98J+NqiBGdWVsIHVwISBTbmFjayB1cCEgR2V0IHVwIHRvIA==?=
 =?utf-8?B?MTI1IEJvbnVzIE1pbGVzIQ==?=</f>
        <v>#ERROR!</v>
      </c>
      <c r="E2337" s="1" t="s">
        <v>887</v>
      </c>
    </row>
    <row r="2338">
      <c r="A2338" s="2">
        <v>45894.85290509259</v>
      </c>
      <c r="B2338" s="1" t="s">
        <v>745</v>
      </c>
      <c r="C2338" s="1" t="s">
        <v>526</v>
      </c>
      <c r="D2338" s="3" t="str">
        <f>?utf-8?B?R2V0IDUgQm9udXMgTWlsZXMgZm9yIHRlbGxpbmcgdXMgYWJvdQ==?=
 =?utf-8?B?dCB5b3VyIHBldCEg8J+QiCDwn5CV?=</f>
        <v>#ERROR!</v>
      </c>
      <c r="E2338" s="1" t="s">
        <v>887</v>
      </c>
    </row>
    <row r="2339">
      <c r="A2339" s="2">
        <v>45894.85290509259</v>
      </c>
      <c r="B2339" s="1" t="s">
        <v>735</v>
      </c>
      <c r="C2339" s="1" t="s">
        <v>524</v>
      </c>
      <c r="D2339" s="3" t="str">
        <f>?utf-8?B?R2V0IDUgQm9udXMgTWlsZXMgZm9yIHRlbGxpbmcgdXMgYWJvdQ==?=
 =?utf-8?B?dCB5b3VyIHBldCEg8J+QiCDwn5CV?=</f>
        <v>#ERROR!</v>
      </c>
      <c r="E2339" s="1" t="s">
        <v>887</v>
      </c>
    </row>
    <row r="2340">
      <c r="A2340" s="2">
        <v>45894.853125</v>
      </c>
      <c r="B2340" s="1" t="s">
        <v>294</v>
      </c>
      <c r="C2340" s="1" t="s">
        <v>2144</v>
      </c>
      <c r="D2340" s="3" t="str">
        <f>?utf-8?B?R2V0IDUgQm9udXMgTWlsZXMgZm9yIHRlbGxpbmcgdXMgYWJvdQ==?=
 =?utf-8?B?dCB5b3VyIHBldCEg8J+QiCDwn5CV?=</f>
        <v>#ERROR!</v>
      </c>
      <c r="E2340" s="1" t="s">
        <v>887</v>
      </c>
    </row>
    <row r="2341">
      <c r="A2341" s="2">
        <v>45895.461909722224</v>
      </c>
      <c r="B2341" s="1" t="s">
        <v>1579</v>
      </c>
      <c r="C2341" s="1" t="s">
        <v>845</v>
      </c>
      <c r="D2341" s="1" t="s">
        <v>2085</v>
      </c>
      <c r="E2341" s="1" t="s">
        <v>908</v>
      </c>
    </row>
    <row r="2342">
      <c r="A2342" s="2">
        <v>45895.3906712963</v>
      </c>
      <c r="B2342" s="1" t="s">
        <v>1958</v>
      </c>
      <c r="C2342" s="1" t="s">
        <v>845</v>
      </c>
      <c r="D2342" s="1" t="s">
        <v>2259</v>
      </c>
      <c r="E2342" s="1" t="s">
        <v>2251</v>
      </c>
    </row>
    <row r="2343">
      <c r="A2343" s="2">
        <v>45895.76375</v>
      </c>
      <c r="B2343" s="1" t="s">
        <v>844</v>
      </c>
      <c r="C2343" s="1" t="s">
        <v>845</v>
      </c>
      <c r="D2343" s="3" t="str">
        <f>?UTF-8?q?Check_out_what=E2=80=99s_popular_right_now?=</f>
        <v>#ERROR!</v>
      </c>
      <c r="E2343" s="1" t="s">
        <v>847</v>
      </c>
    </row>
    <row r="2344">
      <c r="A2344" s="2">
        <v>45895.66532407407</v>
      </c>
      <c r="B2344" s="1" t="s">
        <v>535</v>
      </c>
      <c r="C2344" s="1" t="s">
        <v>524</v>
      </c>
      <c r="D2344" s="3" t="str">
        <f>?utf-8?B?8J+ToyBFYXJuIEJJRyB3aXRoIDEweCBNaWxlcyBhdCBIUCA=?=</f>
        <v>#ERROR!</v>
      </c>
      <c r="E2344" s="1" t="s">
        <v>887</v>
      </c>
    </row>
    <row r="2345">
      <c r="A2345" s="2">
        <v>45895.66533564815</v>
      </c>
      <c r="B2345" s="1" t="s">
        <v>259</v>
      </c>
      <c r="C2345" s="1" t="s">
        <v>2144</v>
      </c>
      <c r="D2345" s="3" t="str">
        <f>?utf-8?B?8J+ToyBFYXJuIEJJRyB3aXRoIDEweCBNaWxlcyBhdCBIUCA=?=</f>
        <v>#ERROR!</v>
      </c>
      <c r="E2345" s="1" t="s">
        <v>887</v>
      </c>
    </row>
    <row r="2346">
      <c r="A2346" s="2">
        <v>45895.671585648146</v>
      </c>
      <c r="B2346" s="1" t="s">
        <v>294</v>
      </c>
      <c r="C2346" s="1" t="s">
        <v>2144</v>
      </c>
      <c r="D2346" s="3" t="str">
        <f>?windows-1252?Q?LAST_DAYS!_Get_BMO=92s_all-new_Welcome_Bonus?=</f>
        <v>#ERROR!</v>
      </c>
      <c r="E2346" s="1" t="s">
        <v>887</v>
      </c>
    </row>
    <row r="2347">
      <c r="A2347" s="2">
        <v>45895.733564814815</v>
      </c>
      <c r="B2347" s="1" t="s">
        <v>745</v>
      </c>
      <c r="C2347" s="1" t="s">
        <v>526</v>
      </c>
      <c r="D2347" s="3" t="str">
        <f>?windows-1252?Q?LAST_DAYS!_Get_BMO=92s_all-new_Welcome_Bonus?=</f>
        <v>#ERROR!</v>
      </c>
      <c r="E2347" s="1" t="s">
        <v>887</v>
      </c>
    </row>
    <row r="2348">
      <c r="A2348" s="2">
        <v>45895.77570601852</v>
      </c>
      <c r="B2348" s="1" t="s">
        <v>735</v>
      </c>
      <c r="C2348" s="1" t="s">
        <v>524</v>
      </c>
      <c r="D2348" s="3" t="str">
        <f>?windows-1252?Q?LAST_DAYS!_Get_BMO=92s_all-new_Welcome_Bonus?=</f>
        <v>#ERROR!</v>
      </c>
      <c r="E2348" s="1" t="s">
        <v>887</v>
      </c>
    </row>
    <row r="2349">
      <c r="A2349" s="2">
        <v>45896.39283564815</v>
      </c>
      <c r="B2349" s="1" t="s">
        <v>1311</v>
      </c>
      <c r="C2349" s="1" t="s">
        <v>1732</v>
      </c>
      <c r="D2349" s="1" t="s">
        <v>2260</v>
      </c>
      <c r="E2349" s="1" t="s">
        <v>2261</v>
      </c>
    </row>
    <row r="2350">
      <c r="A2350" s="2">
        <v>45896.52496527778</v>
      </c>
      <c r="B2350" s="1" t="s">
        <v>844</v>
      </c>
      <c r="C2350" s="1" t="s">
        <v>845</v>
      </c>
      <c r="D2350" s="1" t="s">
        <v>2262</v>
      </c>
      <c r="E2350" s="1" t="s">
        <v>847</v>
      </c>
    </row>
    <row r="2351">
      <c r="A2351" s="2">
        <v>45896.52599537037</v>
      </c>
      <c r="B2351" s="1" t="s">
        <v>1732</v>
      </c>
      <c r="C2351" s="1" t="s">
        <v>1311</v>
      </c>
      <c r="D2351" s="1" t="s">
        <v>2260</v>
      </c>
      <c r="E2351" s="1" t="s">
        <v>2263</v>
      </c>
    </row>
    <row r="2352">
      <c r="A2352" s="2">
        <v>45896.521365740744</v>
      </c>
      <c r="B2352" s="1" t="s">
        <v>1311</v>
      </c>
      <c r="C2352" s="1" t="s">
        <v>1732</v>
      </c>
      <c r="D2352" s="1" t="s">
        <v>2260</v>
      </c>
      <c r="E2352" s="1" t="s">
        <v>2264</v>
      </c>
    </row>
    <row r="2353">
      <c r="A2353" s="2">
        <v>45896.65456018518</v>
      </c>
      <c r="B2353" s="1" t="s">
        <v>1732</v>
      </c>
      <c r="C2353" s="1" t="s">
        <v>1311</v>
      </c>
      <c r="D2353" s="1" t="s">
        <v>2260</v>
      </c>
      <c r="E2353" s="1" t="s">
        <v>2265</v>
      </c>
    </row>
    <row r="2354">
      <c r="A2354" s="2">
        <v>45896.53094907408</v>
      </c>
      <c r="B2354" s="1" t="s">
        <v>1311</v>
      </c>
      <c r="C2354" s="1" t="s">
        <v>1732</v>
      </c>
      <c r="D2354" s="1" t="s">
        <v>2260</v>
      </c>
      <c r="E2354" s="1" t="s">
        <v>2266</v>
      </c>
    </row>
    <row r="2355">
      <c r="A2355" s="2">
        <v>45896.659421296295</v>
      </c>
      <c r="B2355" s="1" t="s">
        <v>1732</v>
      </c>
      <c r="C2355" s="1" t="s">
        <v>1311</v>
      </c>
      <c r="D2355" s="1" t="s">
        <v>2260</v>
      </c>
      <c r="E2355" s="1" t="s">
        <v>2267</v>
      </c>
    </row>
    <row r="2356">
      <c r="A2356" s="2">
        <v>45896.53631944444</v>
      </c>
      <c r="B2356" s="1" t="s">
        <v>1311</v>
      </c>
      <c r="C2356" s="1" t="s">
        <v>1732</v>
      </c>
      <c r="D2356" s="1" t="s">
        <v>2260</v>
      </c>
      <c r="E2356" s="1" t="s">
        <v>2268</v>
      </c>
    </row>
    <row r="2357">
      <c r="A2357" s="2">
        <v>45896.53693287037</v>
      </c>
      <c r="B2357" s="1" t="s">
        <v>1311</v>
      </c>
      <c r="C2357" s="1" t="s">
        <v>1732</v>
      </c>
      <c r="D2357" s="1" t="s">
        <v>2260</v>
      </c>
      <c r="E2357" s="1" t="s">
        <v>2269</v>
      </c>
    </row>
    <row r="2358">
      <c r="A2358" s="2">
        <v>45896.53803240741</v>
      </c>
      <c r="B2358" s="1" t="s">
        <v>1311</v>
      </c>
      <c r="C2358" s="1" t="s">
        <v>1732</v>
      </c>
      <c r="D2358" s="1" t="s">
        <v>2260</v>
      </c>
      <c r="E2358" s="1" t="s">
        <v>2270</v>
      </c>
    </row>
    <row r="2359">
      <c r="A2359" s="2">
        <v>45896.6658912037</v>
      </c>
      <c r="B2359" s="1" t="s">
        <v>1732</v>
      </c>
      <c r="C2359" s="1" t="s">
        <v>1311</v>
      </c>
      <c r="D2359" s="1" t="s">
        <v>2260</v>
      </c>
      <c r="E2359" s="1" t="s">
        <v>2271</v>
      </c>
    </row>
    <row r="2360">
      <c r="A2360" s="2">
        <v>45896.66601851852</v>
      </c>
      <c r="B2360" s="1" t="s">
        <v>1732</v>
      </c>
      <c r="C2360" s="1" t="s">
        <v>1311</v>
      </c>
      <c r="D2360" s="1" t="s">
        <v>2260</v>
      </c>
      <c r="E2360" s="1" t="s">
        <v>2272</v>
      </c>
    </row>
    <row r="2361">
      <c r="A2361" s="2">
        <v>45896.66609953704</v>
      </c>
      <c r="B2361" s="1" t="s">
        <v>1732</v>
      </c>
      <c r="C2361" s="1" t="s">
        <v>1311</v>
      </c>
      <c r="D2361" s="1" t="s">
        <v>2260</v>
      </c>
      <c r="E2361" s="1" t="s">
        <v>2273</v>
      </c>
    </row>
    <row r="2362">
      <c r="A2362" s="2">
        <v>45896.66646990741</v>
      </c>
      <c r="B2362" s="1" t="s">
        <v>1732</v>
      </c>
      <c r="C2362" s="1" t="s">
        <v>1311</v>
      </c>
      <c r="D2362" s="1" t="s">
        <v>2260</v>
      </c>
      <c r="E2362" s="1" t="s">
        <v>2274</v>
      </c>
    </row>
    <row r="2363">
      <c r="A2363" s="2">
        <v>45896.54215277778</v>
      </c>
      <c r="B2363" s="1" t="s">
        <v>1311</v>
      </c>
      <c r="C2363" s="1" t="s">
        <v>1732</v>
      </c>
      <c r="D2363" s="1" t="s">
        <v>2260</v>
      </c>
      <c r="E2363" s="1" t="s">
        <v>2275</v>
      </c>
    </row>
    <row r="2364">
      <c r="A2364" s="2">
        <v>45896.66737268519</v>
      </c>
      <c r="B2364" s="1" t="s">
        <v>1732</v>
      </c>
      <c r="C2364" s="1" t="s">
        <v>1311</v>
      </c>
      <c r="D2364" s="1" t="s">
        <v>2260</v>
      </c>
      <c r="E2364" s="1" t="s">
        <v>2276</v>
      </c>
    </row>
    <row r="2365">
      <c r="A2365" s="2">
        <v>45896.543275462966</v>
      </c>
      <c r="B2365" s="1" t="s">
        <v>1311</v>
      </c>
      <c r="C2365" s="1" t="s">
        <v>1732</v>
      </c>
      <c r="D2365" s="1" t="s">
        <v>2260</v>
      </c>
      <c r="E2365" s="1" t="s">
        <v>2277</v>
      </c>
    </row>
    <row r="2366">
      <c r="A2366" s="2">
        <v>45896.669282407405</v>
      </c>
      <c r="B2366" s="1" t="s">
        <v>1732</v>
      </c>
      <c r="C2366" s="1" t="s">
        <v>1311</v>
      </c>
      <c r="D2366" s="1" t="s">
        <v>2260</v>
      </c>
      <c r="E2366" s="1" t="s">
        <v>2278</v>
      </c>
    </row>
    <row r="2367">
      <c r="A2367" s="2">
        <v>45896.5453587963</v>
      </c>
      <c r="B2367" s="1" t="s">
        <v>1311</v>
      </c>
      <c r="C2367" s="1" t="s">
        <v>1732</v>
      </c>
      <c r="D2367" s="1" t="s">
        <v>2260</v>
      </c>
      <c r="E2367" s="1" t="s">
        <v>2279</v>
      </c>
    </row>
    <row r="2368">
      <c r="A2368" s="2">
        <v>45896.54620370371</v>
      </c>
      <c r="B2368" s="1" t="s">
        <v>1311</v>
      </c>
      <c r="C2368" s="1" t="s">
        <v>1732</v>
      </c>
      <c r="D2368" s="1" t="s">
        <v>2260</v>
      </c>
      <c r="E2368" s="1" t="s">
        <v>2280</v>
      </c>
    </row>
    <row r="2369">
      <c r="A2369" s="2">
        <v>45896.40380787037</v>
      </c>
      <c r="B2369" s="1" t="s">
        <v>1958</v>
      </c>
      <c r="C2369" s="1" t="s">
        <v>845</v>
      </c>
      <c r="D2369" s="1" t="s">
        <v>1959</v>
      </c>
      <c r="E2369" s="1" t="s">
        <v>2251</v>
      </c>
    </row>
    <row r="2370">
      <c r="A2370" s="2">
        <v>45896.70777777778</v>
      </c>
      <c r="B2370" s="1" t="s">
        <v>1732</v>
      </c>
      <c r="C2370" s="1" t="s">
        <v>1311</v>
      </c>
      <c r="D2370" s="1" t="s">
        <v>2260</v>
      </c>
      <c r="E2370" s="1" t="s">
        <v>2281</v>
      </c>
    </row>
    <row r="2371">
      <c r="A2371" s="2">
        <v>45896.70792824074</v>
      </c>
      <c r="B2371" s="1" t="s">
        <v>1732</v>
      </c>
      <c r="C2371" s="1" t="s">
        <v>1311</v>
      </c>
      <c r="D2371" s="1" t="s">
        <v>2260</v>
      </c>
      <c r="E2371" s="1" t="s">
        <v>2282</v>
      </c>
    </row>
    <row r="2372">
      <c r="A2372" s="2">
        <v>45896.59027777778</v>
      </c>
      <c r="B2372" s="1" t="s">
        <v>1311</v>
      </c>
      <c r="C2372" s="1" t="s">
        <v>1732</v>
      </c>
      <c r="D2372" s="1" t="s">
        <v>2260</v>
      </c>
      <c r="E2372" s="1" t="s">
        <v>2283</v>
      </c>
    </row>
    <row r="2373">
      <c r="A2373" s="2">
        <v>45896.59166666667</v>
      </c>
      <c r="B2373" s="1" t="s">
        <v>1311</v>
      </c>
      <c r="C2373" s="1" t="s">
        <v>1732</v>
      </c>
      <c r="D2373" s="1" t="s">
        <v>2260</v>
      </c>
      <c r="E2373" s="1" t="s">
        <v>2284</v>
      </c>
    </row>
    <row r="2374">
      <c r="A2374" s="2">
        <v>45896.73903935185</v>
      </c>
      <c r="B2374" s="1" t="s">
        <v>1732</v>
      </c>
      <c r="C2374" s="1" t="s">
        <v>1311</v>
      </c>
      <c r="D2374" s="1" t="s">
        <v>2260</v>
      </c>
      <c r="E2374" s="1" t="s">
        <v>2285</v>
      </c>
    </row>
    <row r="2375">
      <c r="A2375" s="2">
        <v>45896.74849537037</v>
      </c>
      <c r="B2375" s="1" t="s">
        <v>1732</v>
      </c>
      <c r="C2375" s="1" t="s">
        <v>1311</v>
      </c>
      <c r="D2375" s="1" t="s">
        <v>2260</v>
      </c>
      <c r="E2375" s="1" t="s">
        <v>2286</v>
      </c>
    </row>
    <row r="2376">
      <c r="A2376" s="2">
        <v>45896.74862268518</v>
      </c>
      <c r="B2376" s="1" t="s">
        <v>1732</v>
      </c>
      <c r="C2376" s="1" t="s">
        <v>1311</v>
      </c>
      <c r="D2376" s="1" t="s">
        <v>2260</v>
      </c>
      <c r="E2376" s="1" t="s">
        <v>2287</v>
      </c>
    </row>
    <row r="2377">
      <c r="A2377" s="2">
        <v>45896.660046296296</v>
      </c>
      <c r="B2377" s="1" t="s">
        <v>1311</v>
      </c>
      <c r="C2377" s="1" t="s">
        <v>1732</v>
      </c>
      <c r="D2377" s="1" t="s">
        <v>2260</v>
      </c>
      <c r="E2377" s="1" t="s">
        <v>2288</v>
      </c>
    </row>
    <row r="2378">
      <c r="A2378" s="2">
        <v>45896.66275462963</v>
      </c>
      <c r="B2378" s="1" t="s">
        <v>1311</v>
      </c>
      <c r="C2378" s="1" t="s">
        <v>1732</v>
      </c>
      <c r="D2378" s="1" t="s">
        <v>2260</v>
      </c>
      <c r="E2378" s="1" t="s">
        <v>2289</v>
      </c>
    </row>
    <row r="2379">
      <c r="A2379" s="2">
        <v>45896.69541666667</v>
      </c>
      <c r="B2379" s="1" t="s">
        <v>1311</v>
      </c>
      <c r="C2379" s="1" t="s">
        <v>1732</v>
      </c>
      <c r="D2379" s="1" t="s">
        <v>2260</v>
      </c>
      <c r="E2379" s="1" t="s">
        <v>2290</v>
      </c>
    </row>
    <row r="2380">
      <c r="A2380" s="2">
        <v>45897.46097222222</v>
      </c>
      <c r="B2380" s="1" t="s">
        <v>844</v>
      </c>
      <c r="C2380" s="1" t="s">
        <v>1036</v>
      </c>
      <c r="D2380" s="1" t="s">
        <v>2291</v>
      </c>
      <c r="E2380" s="1" t="s">
        <v>847</v>
      </c>
    </row>
    <row r="2381">
      <c r="A2381" s="2">
        <v>45897.49797453704</v>
      </c>
      <c r="B2381" s="1" t="s">
        <v>745</v>
      </c>
      <c r="C2381" s="1" t="s">
        <v>526</v>
      </c>
      <c r="D2381" s="3" t="str">
        <f>?utf-8?B?RG9u4oCZdCBtaXNzIDEwMCBCb251cyBNaWxlcyBhdCBHbG9iYQ==?=
 =?utf-8?B?bCBQZXQgRm9vZHMg8J+Qvg==?=</f>
        <v>#ERROR!</v>
      </c>
      <c r="E2381" s="1" t="s">
        <v>887</v>
      </c>
    </row>
    <row r="2382">
      <c r="A2382" s="2">
        <v>45897.513020833336</v>
      </c>
      <c r="B2382" s="1" t="s">
        <v>294</v>
      </c>
      <c r="C2382" s="1" t="s">
        <v>2144</v>
      </c>
      <c r="D2382" s="3" t="str">
        <f>?utf-8?B?RG9u4oCZdCBtaXNzIDEwMCBCb251cyBNaWxlcyBhdCBHbG9iYQ==?=
 =?utf-8?B?bCBQZXQgRm9vZHMg8J+Qvg==?=</f>
        <v>#ERROR!</v>
      </c>
      <c r="E2382" s="1" t="s">
        <v>887</v>
      </c>
    </row>
    <row r="2383">
      <c r="A2383" s="2">
        <v>45897.55506944445</v>
      </c>
      <c r="B2383" s="1" t="s">
        <v>735</v>
      </c>
      <c r="C2383" s="1" t="s">
        <v>524</v>
      </c>
      <c r="D2383" s="3" t="str">
        <f>?utf-8?B?RG9u4oCZdCBtaXNzIDEwMCBCb251cyBNaWxlcyBhdCBHbG9iYQ==?=
 =?utf-8?B?bCBQZXQgRm9vZHMg8J+Qvg==?=</f>
        <v>#ERROR!</v>
      </c>
      <c r="E2383" s="1" t="s">
        <v>887</v>
      </c>
    </row>
    <row r="2384">
      <c r="A2384" s="2">
        <v>45897.70261574074</v>
      </c>
      <c r="B2384" s="1" t="s">
        <v>259</v>
      </c>
      <c r="C2384" s="1" t="s">
        <v>2144</v>
      </c>
      <c r="D2384" s="3" t="str">
        <f>?utf-8?B?U2hhd24sIHlvdXIgYmVzdCBvZmZlcnMgdGhpcyB3ZWVrIGFyZQ==?=
 =?utf-8?B?IGhlcmUhIPCfjok=?=</f>
        <v>#ERROR!</v>
      </c>
      <c r="E2384" s="1" t="s">
        <v>880</v>
      </c>
    </row>
    <row r="2385">
      <c r="A2385" s="2">
        <v>45897.954733796294</v>
      </c>
      <c r="B2385" s="1" t="s">
        <v>222</v>
      </c>
      <c r="C2385" s="1" t="s">
        <v>2141</v>
      </c>
      <c r="D2385" s="1" t="s">
        <v>2292</v>
      </c>
      <c r="E2385" s="1" t="s">
        <v>2293</v>
      </c>
    </row>
    <row r="2386">
      <c r="A2386" s="2">
        <v>45897.72809027778</v>
      </c>
      <c r="B2386" s="1" t="s">
        <v>1300</v>
      </c>
      <c r="C2386" s="1" t="s">
        <v>845</v>
      </c>
      <c r="D2386" s="1" t="s">
        <v>2294</v>
      </c>
      <c r="E2386" s="1" t="s">
        <v>2295</v>
      </c>
    </row>
    <row r="2387">
      <c r="A2387" s="2">
        <v>45898.50119212963</v>
      </c>
      <c r="B2387" s="1" t="s">
        <v>844</v>
      </c>
      <c r="C2387" s="1" t="s">
        <v>1036</v>
      </c>
      <c r="D2387" s="1" t="s">
        <v>1865</v>
      </c>
      <c r="E2387" s="1" t="s">
        <v>847</v>
      </c>
    </row>
    <row r="2388">
      <c r="A2388" s="2">
        <v>45898.29369212963</v>
      </c>
      <c r="B2388" s="1" t="s">
        <v>1317</v>
      </c>
      <c r="C2388" s="1" t="s">
        <v>849</v>
      </c>
      <c r="D2388" s="1" t="s">
        <v>2296</v>
      </c>
      <c r="E2388" s="1" t="s">
        <v>2297</v>
      </c>
    </row>
    <row r="2389">
      <c r="A2389" s="2">
        <v>45898.59326388889</v>
      </c>
      <c r="B2389" s="1" t="s">
        <v>857</v>
      </c>
      <c r="C2389" s="1" t="s">
        <v>845</v>
      </c>
      <c r="D2389" s="1" t="s">
        <v>2082</v>
      </c>
      <c r="E2389" s="1" t="s">
        <v>847</v>
      </c>
    </row>
    <row r="2390">
      <c r="A2390" s="2">
        <v>45898.82667824074</v>
      </c>
      <c r="B2390" s="1" t="s">
        <v>1311</v>
      </c>
      <c r="C2390" s="1" t="s">
        <v>2298</v>
      </c>
      <c r="D2390" s="1" t="s">
        <v>2299</v>
      </c>
      <c r="E2390" s="1" t="s">
        <v>2300</v>
      </c>
    </row>
    <row r="2391">
      <c r="A2391" s="2">
        <v>45898.936203703706</v>
      </c>
      <c r="B2391" s="1" t="s">
        <v>1311</v>
      </c>
      <c r="C2391" s="1" t="s">
        <v>2301</v>
      </c>
      <c r="D2391" s="3" t="str">
        <f>?UTF-8?Q?Request_for_no=E2=80=91cost_access_code_and_CPST_next_step?=
	=?UTF-8?Q?s_=E2=80=93_Quispamsis=2C_NB?=</f>
        <v>#ERROR!</v>
      </c>
      <c r="E2391" s="1" t="s">
        <v>2302</v>
      </c>
    </row>
    <row r="2392">
      <c r="A2392" s="2">
        <v>45899.34391203704</v>
      </c>
      <c r="B2392" s="1" t="s">
        <v>325</v>
      </c>
      <c r="C2392" s="1" t="s">
        <v>1036</v>
      </c>
      <c r="D2392" s="1" t="s">
        <v>2303</v>
      </c>
      <c r="E2392" s="1" t="s">
        <v>2304</v>
      </c>
    </row>
    <row r="2393">
      <c r="A2393" s="2">
        <v>45899.40835648148</v>
      </c>
      <c r="B2393" s="1" t="s">
        <v>1311</v>
      </c>
      <c r="C2393" s="1" t="s">
        <v>1649</v>
      </c>
      <c r="D2393" s="1" t="s">
        <v>1978</v>
      </c>
      <c r="E2393" s="1" t="s">
        <v>2305</v>
      </c>
    </row>
    <row r="2394">
      <c r="A2394" s="2">
        <v>45899.424212962964</v>
      </c>
      <c r="B2394" s="1" t="s">
        <v>1111</v>
      </c>
      <c r="C2394" s="1" t="s">
        <v>1311</v>
      </c>
      <c r="D2394" s="1" t="s">
        <v>2306</v>
      </c>
      <c r="E2394" s="1" t="s">
        <v>2307</v>
      </c>
    </row>
    <row r="2395">
      <c r="A2395" s="2">
        <v>45899.427083333336</v>
      </c>
      <c r="B2395" s="1" t="s">
        <v>1111</v>
      </c>
      <c r="C2395" s="1" t="s">
        <v>1311</v>
      </c>
      <c r="D2395" s="1" t="s">
        <v>2306</v>
      </c>
      <c r="E2395" s="1" t="s">
        <v>2308</v>
      </c>
    </row>
    <row r="2396">
      <c r="A2396" s="2">
        <v>45899.4906712963</v>
      </c>
      <c r="B2396" s="1" t="s">
        <v>1311</v>
      </c>
      <c r="C2396" s="1" t="s">
        <v>1111</v>
      </c>
      <c r="D2396" s="1" t="s">
        <v>2306</v>
      </c>
      <c r="E2396" s="1" t="s">
        <v>2309</v>
      </c>
    </row>
    <row r="2397">
      <c r="A2397" s="2">
        <v>45899.57716435185</v>
      </c>
      <c r="B2397" s="1" t="s">
        <v>1311</v>
      </c>
      <c r="C2397" s="1" t="s">
        <v>1111</v>
      </c>
      <c r="D2397" s="1" t="s">
        <v>2306</v>
      </c>
      <c r="E2397" s="1" t="s">
        <v>2310</v>
      </c>
    </row>
    <row r="2398">
      <c r="A2398" s="2">
        <v>45899.75792824074</v>
      </c>
      <c r="B2398" s="1" t="s">
        <v>844</v>
      </c>
      <c r="C2398" s="1" t="s">
        <v>845</v>
      </c>
      <c r="D2398" s="3" t="str">
        <f>?UTF-8?q?There=E2=80=99s_no_better_time_to_order_again=E2=80=94save_now?=</f>
        <v>#ERROR!</v>
      </c>
      <c r="E2398" s="1" t="s">
        <v>847</v>
      </c>
    </row>
    <row r="2399">
      <c r="A2399" s="2">
        <v>45899.55425925926</v>
      </c>
      <c r="B2399" s="1" t="s">
        <v>2311</v>
      </c>
      <c r="C2399" s="1" t="s">
        <v>845</v>
      </c>
      <c r="D2399" s="1" t="s">
        <v>2312</v>
      </c>
      <c r="E2399" s="1" t="s">
        <v>2313</v>
      </c>
    </row>
    <row r="2400">
      <c r="A2400" s="2">
        <v>45899.65962962963</v>
      </c>
      <c r="B2400" s="1" t="s">
        <v>1311</v>
      </c>
      <c r="C2400" s="1" t="s">
        <v>1311</v>
      </c>
      <c r="D2400" s="1" t="s">
        <v>2314</v>
      </c>
      <c r="E2400" s="1" t="s">
        <v>1920</v>
      </c>
    </row>
    <row r="2401">
      <c r="A2401" s="2">
        <v>45899.664675925924</v>
      </c>
      <c r="B2401" s="1" t="s">
        <v>1311</v>
      </c>
      <c r="C2401" s="1" t="s">
        <v>1311</v>
      </c>
      <c r="D2401" s="1" t="s">
        <v>2315</v>
      </c>
      <c r="E2401" s="1" t="s">
        <v>1187</v>
      </c>
    </row>
    <row r="2402">
      <c r="A2402" s="2">
        <v>45899.67642361111</v>
      </c>
      <c r="B2402" s="1" t="s">
        <v>1311</v>
      </c>
      <c r="C2402" s="1" t="s">
        <v>1111</v>
      </c>
      <c r="D2402" s="1" t="s">
        <v>2316</v>
      </c>
      <c r="E2402" s="1" t="s">
        <v>2317</v>
      </c>
    </row>
    <row r="2403">
      <c r="A2403" s="2">
        <v>45899.733078703706</v>
      </c>
      <c r="B2403" s="1" t="s">
        <v>1111</v>
      </c>
      <c r="C2403" s="1" t="s">
        <v>1311</v>
      </c>
      <c r="D2403" s="1" t="s">
        <v>2306</v>
      </c>
      <c r="E2403" s="1" t="s">
        <v>2318</v>
      </c>
    </row>
    <row r="2404">
      <c r="A2404" s="2">
        <v>45899.736446759256</v>
      </c>
      <c r="B2404" s="1" t="s">
        <v>1111</v>
      </c>
      <c r="C2404" s="1" t="s">
        <v>1311</v>
      </c>
      <c r="D2404" s="1" t="s">
        <v>2306</v>
      </c>
      <c r="E2404" s="1" t="s">
        <v>2319</v>
      </c>
    </row>
    <row r="2405">
      <c r="A2405" s="2">
        <v>45899.811203703706</v>
      </c>
      <c r="B2405" s="1" t="s">
        <v>1311</v>
      </c>
      <c r="C2405" s="1" t="s">
        <v>1111</v>
      </c>
      <c r="D2405" s="1" t="s">
        <v>2306</v>
      </c>
      <c r="E2405" s="1" t="s">
        <v>2320</v>
      </c>
    </row>
    <row r="2406">
      <c r="A2406" s="2">
        <v>45899.81689814815</v>
      </c>
      <c r="B2406" s="1" t="s">
        <v>1311</v>
      </c>
      <c r="C2406" s="1" t="s">
        <v>1111</v>
      </c>
      <c r="D2406" s="1" t="s">
        <v>2306</v>
      </c>
      <c r="E2406" s="1" t="s">
        <v>2321</v>
      </c>
    </row>
    <row r="2407">
      <c r="A2407" s="2">
        <v>45899.71013888889</v>
      </c>
      <c r="B2407" s="1" t="s">
        <v>2143</v>
      </c>
      <c r="C2407" s="1" t="s">
        <v>2144</v>
      </c>
      <c r="D2407" s="3" t="str">
        <f>?UTF-8?B?V2FudCBhIHRvb2wgdG8gaGVscCBzdXBwb3J0IGRldmVsb3BtZW50?=
 =?UTF-8?B?PyBFbmZhbWlsIEErIE5ldXJvUHJvIPCfmYw=?=</f>
        <v>#ERROR!</v>
      </c>
      <c r="E2407" s="1" t="s">
        <v>2322</v>
      </c>
    </row>
    <row r="2408">
      <c r="A2408" s="2">
        <v>45899.84967592593</v>
      </c>
      <c r="B2408" s="1" t="s">
        <v>1111</v>
      </c>
      <c r="C2408" s="1" t="s">
        <v>1311</v>
      </c>
      <c r="D2408" s="1" t="s">
        <v>2316</v>
      </c>
      <c r="E2408" s="1" t="s">
        <v>2323</v>
      </c>
    </row>
    <row r="2409">
      <c r="A2409" s="2">
        <v>45899.85482638889</v>
      </c>
      <c r="B2409" s="1" t="s">
        <v>1111</v>
      </c>
      <c r="C2409" s="1" t="s">
        <v>1311</v>
      </c>
      <c r="D2409" s="1" t="s">
        <v>2306</v>
      </c>
      <c r="E2409" s="1" t="s">
        <v>2324</v>
      </c>
    </row>
    <row r="2410">
      <c r="A2410" s="2">
        <v>45899.89741898148</v>
      </c>
      <c r="B2410" s="1" t="s">
        <v>1311</v>
      </c>
      <c r="C2410" s="1" t="s">
        <v>1138</v>
      </c>
      <c r="D2410" s="1" t="s">
        <v>2325</v>
      </c>
      <c r="E2410" s="1" t="s">
        <v>2326</v>
      </c>
    </row>
    <row r="2411">
      <c r="A2411" s="2">
        <v>45899.95313657408</v>
      </c>
      <c r="B2411" s="1" t="s">
        <v>1111</v>
      </c>
      <c r="C2411" s="1" t="s">
        <v>1311</v>
      </c>
      <c r="D2411" s="1" t="s">
        <v>2316</v>
      </c>
      <c r="E2411" s="1" t="s">
        <v>2327</v>
      </c>
    </row>
    <row r="2412">
      <c r="A2412" s="2">
        <v>45899.954988425925</v>
      </c>
      <c r="B2412" s="1" t="s">
        <v>1111</v>
      </c>
      <c r="C2412" s="1" t="s">
        <v>1311</v>
      </c>
      <c r="D2412" s="1" t="s">
        <v>2306</v>
      </c>
      <c r="E2412" s="1" t="s">
        <v>2328</v>
      </c>
    </row>
    <row r="2413">
      <c r="A2413" s="2">
        <v>45899.98291666667</v>
      </c>
      <c r="B2413" s="1" t="s">
        <v>1311</v>
      </c>
      <c r="C2413" s="1" t="s">
        <v>1138</v>
      </c>
      <c r="D2413" s="1" t="s">
        <v>2329</v>
      </c>
      <c r="E2413" s="1" t="s">
        <v>2330</v>
      </c>
    </row>
    <row r="2414">
      <c r="A2414" s="2">
        <v>45899.98527777778</v>
      </c>
      <c r="B2414" s="1" t="s">
        <v>1311</v>
      </c>
      <c r="C2414" s="1" t="s">
        <v>2331</v>
      </c>
      <c r="D2414" s="1" t="s">
        <v>2332</v>
      </c>
      <c r="E2414" s="1" t="s">
        <v>2333</v>
      </c>
    </row>
    <row r="2415">
      <c r="A2415" s="2">
        <v>45900.013287037036</v>
      </c>
      <c r="B2415" s="1" t="s">
        <v>1311</v>
      </c>
      <c r="C2415" s="1" t="s">
        <v>1302</v>
      </c>
      <c r="D2415" s="1" t="s">
        <v>2334</v>
      </c>
      <c r="E2415" s="1" t="s">
        <v>2335</v>
      </c>
    </row>
    <row r="2416">
      <c r="A2416" s="2">
        <v>45900.01390046296</v>
      </c>
      <c r="B2416" s="1" t="s">
        <v>1311</v>
      </c>
      <c r="C2416" s="1" t="s">
        <v>2331</v>
      </c>
      <c r="D2416" s="1" t="s">
        <v>2336</v>
      </c>
      <c r="E2416" s="1" t="s">
        <v>2337</v>
      </c>
    </row>
    <row r="2417">
      <c r="A2417" s="2">
        <v>45900.01614583333</v>
      </c>
      <c r="B2417" s="1" t="s">
        <v>1311</v>
      </c>
      <c r="C2417" s="1" t="s">
        <v>2338</v>
      </c>
      <c r="D2417" s="1" t="s">
        <v>2339</v>
      </c>
      <c r="E2417" s="1" t="s">
        <v>2340</v>
      </c>
    </row>
    <row r="2418">
      <c r="A2418" s="2">
        <v>45900.37976851852</v>
      </c>
      <c r="B2418" s="1" t="s">
        <v>1311</v>
      </c>
      <c r="C2418" s="1" t="s">
        <v>1111</v>
      </c>
      <c r="D2418" s="1" t="s">
        <v>2316</v>
      </c>
      <c r="E2418" s="1" t="s">
        <v>2341</v>
      </c>
    </row>
    <row r="2419">
      <c r="A2419" s="2">
        <v>45900.41405092592</v>
      </c>
      <c r="B2419" s="1" t="s">
        <v>1311</v>
      </c>
      <c r="C2419" s="1" t="s">
        <v>1111</v>
      </c>
      <c r="D2419" s="1" t="s">
        <v>2306</v>
      </c>
      <c r="E2419" s="1" t="s">
        <v>2342</v>
      </c>
    </row>
    <row r="2420">
      <c r="A2420" s="2">
        <v>45900.42329861111</v>
      </c>
      <c r="B2420" s="1" t="s">
        <v>1311</v>
      </c>
      <c r="C2420" s="1" t="s">
        <v>1111</v>
      </c>
      <c r="D2420" s="1" t="s">
        <v>2306</v>
      </c>
      <c r="E2420" s="1" t="s">
        <v>2343</v>
      </c>
    </row>
    <row r="2421">
      <c r="A2421" s="2">
        <v>45900.43040509259</v>
      </c>
      <c r="B2421" s="1" t="s">
        <v>1311</v>
      </c>
      <c r="C2421" s="1" t="s">
        <v>2344</v>
      </c>
      <c r="D2421" s="1" t="s">
        <v>2345</v>
      </c>
      <c r="E2421" s="1" t="s">
        <v>2346</v>
      </c>
    </row>
    <row r="2422">
      <c r="A2422" s="2">
        <v>45900.439050925925</v>
      </c>
      <c r="B2422" s="1" t="s">
        <v>1311</v>
      </c>
      <c r="C2422" s="1" t="s">
        <v>2344</v>
      </c>
      <c r="D2422" s="1" t="s">
        <v>2347</v>
      </c>
      <c r="E2422" s="1" t="s">
        <v>2348</v>
      </c>
    </row>
    <row r="2423">
      <c r="A2423" s="2">
        <v>45900.50803240741</v>
      </c>
      <c r="B2423" s="1" t="s">
        <v>1311</v>
      </c>
      <c r="C2423" s="1" t="s">
        <v>2349</v>
      </c>
      <c r="D2423" s="1" t="s">
        <v>2350</v>
      </c>
      <c r="E2423" s="1" t="s">
        <v>2351</v>
      </c>
    </row>
    <row r="2424">
      <c r="A2424" s="2">
        <v>45900.580416666664</v>
      </c>
      <c r="B2424" s="1" t="s">
        <v>1111</v>
      </c>
      <c r="C2424" s="1" t="s">
        <v>1311</v>
      </c>
      <c r="D2424" s="1" t="s">
        <v>2306</v>
      </c>
      <c r="E2424" s="1" t="s">
        <v>2352</v>
      </c>
    </row>
    <row r="2425">
      <c r="A2425" s="2">
        <v>45900.59100694444</v>
      </c>
      <c r="B2425" s="1" t="s">
        <v>1311</v>
      </c>
      <c r="C2425" s="1" t="s">
        <v>1111</v>
      </c>
      <c r="D2425" s="1" t="s">
        <v>2306</v>
      </c>
      <c r="E2425" s="1" t="s">
        <v>2353</v>
      </c>
    </row>
    <row r="2426">
      <c r="A2426" s="2">
        <v>45900.814722222225</v>
      </c>
      <c r="B2426" s="1" t="s">
        <v>1311</v>
      </c>
      <c r="C2426" s="1" t="s">
        <v>2354</v>
      </c>
      <c r="D2426" s="1" t="s">
        <v>2355</v>
      </c>
      <c r="E2426" s="1" t="s">
        <v>2356</v>
      </c>
    </row>
    <row r="2427">
      <c r="A2427" s="2">
        <v>45900.830358796295</v>
      </c>
      <c r="B2427" s="1" t="s">
        <v>1311</v>
      </c>
      <c r="C2427" s="1" t="s">
        <v>2349</v>
      </c>
      <c r="D2427" s="1" t="s">
        <v>2357</v>
      </c>
      <c r="E2427" s="1" t="s">
        <v>2358</v>
      </c>
    </row>
    <row r="2428">
      <c r="A2428" s="2">
        <v>45900.86255787037</v>
      </c>
      <c r="B2428" s="1" t="s">
        <v>1311</v>
      </c>
      <c r="C2428" s="1" t="s">
        <v>2359</v>
      </c>
      <c r="D2428" s="1" t="s">
        <v>2360</v>
      </c>
      <c r="E2428" s="1" t="s">
        <v>2361</v>
      </c>
    </row>
    <row r="2429">
      <c r="A2429" s="2">
        <v>45901.45502314815</v>
      </c>
      <c r="B2429" s="1" t="s">
        <v>857</v>
      </c>
      <c r="C2429" s="1" t="s">
        <v>845</v>
      </c>
      <c r="D2429" s="1" t="s">
        <v>1368</v>
      </c>
      <c r="E2429" s="1" t="s">
        <v>847</v>
      </c>
    </row>
    <row r="2430">
      <c r="A2430" s="2">
        <v>45901.361655092594</v>
      </c>
      <c r="B2430" s="1" t="s">
        <v>1111</v>
      </c>
      <c r="C2430" s="1" t="s">
        <v>1311</v>
      </c>
      <c r="D2430" s="1" t="s">
        <v>2306</v>
      </c>
      <c r="E2430" s="1" t="s">
        <v>2362</v>
      </c>
    </row>
    <row r="2431">
      <c r="A2431" s="2">
        <v>45901.36230324074</v>
      </c>
      <c r="B2431" s="1" t="s">
        <v>1111</v>
      </c>
      <c r="C2431" s="1" t="s">
        <v>1311</v>
      </c>
      <c r="D2431" s="1" t="s">
        <v>2306</v>
      </c>
      <c r="E2431" s="1" t="s">
        <v>2363</v>
      </c>
    </row>
    <row r="2432">
      <c r="A2432" s="2">
        <v>45901.47318287037</v>
      </c>
      <c r="B2432" s="1" t="s">
        <v>1311</v>
      </c>
      <c r="C2432" s="1" t="s">
        <v>1111</v>
      </c>
      <c r="D2432" s="1" t="s">
        <v>2306</v>
      </c>
      <c r="E2432" s="1" t="s">
        <v>2364</v>
      </c>
    </row>
    <row r="2433">
      <c r="A2433" s="2">
        <v>45901.47399305556</v>
      </c>
      <c r="B2433" s="1" t="s">
        <v>1311</v>
      </c>
      <c r="C2433" s="1" t="s">
        <v>1111</v>
      </c>
      <c r="D2433" s="1" t="s">
        <v>2306</v>
      </c>
      <c r="E2433" s="1" t="s">
        <v>2365</v>
      </c>
    </row>
    <row r="2434">
      <c r="A2434" s="2">
        <v>45901.47577546296</v>
      </c>
      <c r="B2434" s="1" t="s">
        <v>1311</v>
      </c>
      <c r="C2434" s="1" t="s">
        <v>1111</v>
      </c>
      <c r="D2434" s="1" t="s">
        <v>2306</v>
      </c>
      <c r="E2434" s="1" t="s">
        <v>2366</v>
      </c>
    </row>
    <row r="2435">
      <c r="A2435" s="2">
        <v>45901.47791666666</v>
      </c>
      <c r="B2435" s="1" t="s">
        <v>1311</v>
      </c>
      <c r="C2435" s="1" t="s">
        <v>1111</v>
      </c>
      <c r="D2435" s="1" t="s">
        <v>2306</v>
      </c>
      <c r="E2435" s="1" t="s">
        <v>2367</v>
      </c>
    </row>
    <row r="2436">
      <c r="A2436" s="2">
        <v>45901.489432870374</v>
      </c>
      <c r="B2436" s="1" t="s">
        <v>1111</v>
      </c>
      <c r="C2436" s="1" t="s">
        <v>1311</v>
      </c>
      <c r="D2436" s="1" t="s">
        <v>2306</v>
      </c>
      <c r="E2436" s="1" t="s">
        <v>2368</v>
      </c>
    </row>
    <row r="2437">
      <c r="A2437" s="2">
        <v>45901.65027777778</v>
      </c>
      <c r="B2437" s="1" t="s">
        <v>1732</v>
      </c>
      <c r="C2437" s="1" t="s">
        <v>2369</v>
      </c>
      <c r="D2437" s="1" t="s">
        <v>1617</v>
      </c>
      <c r="E2437" s="1" t="s">
        <v>2370</v>
      </c>
    </row>
    <row r="2438">
      <c r="A2438" s="2">
        <v>45901.529641203706</v>
      </c>
      <c r="B2438" s="1" t="s">
        <v>1311</v>
      </c>
      <c r="C2438" s="1" t="s">
        <v>1111</v>
      </c>
      <c r="D2438" s="1" t="s">
        <v>2306</v>
      </c>
      <c r="E2438" s="1" t="s">
        <v>2371</v>
      </c>
    </row>
    <row r="2439">
      <c r="A2439" s="2">
        <v>45901.53003472222</v>
      </c>
      <c r="B2439" s="1" t="s">
        <v>1802</v>
      </c>
      <c r="C2439" s="1" t="s">
        <v>1732</v>
      </c>
      <c r="D2439" s="1" t="s">
        <v>1617</v>
      </c>
      <c r="E2439" s="1" t="s">
        <v>2372</v>
      </c>
    </row>
    <row r="2440">
      <c r="A2440" s="2">
        <v>45901.54615740741</v>
      </c>
      <c r="B2440" s="1" t="s">
        <v>1111</v>
      </c>
      <c r="C2440" s="1" t="s">
        <v>1311</v>
      </c>
      <c r="D2440" s="1" t="s">
        <v>2306</v>
      </c>
      <c r="E2440" s="1" t="s">
        <v>2373</v>
      </c>
    </row>
    <row r="2441">
      <c r="A2441" s="2">
        <v>45901.60194444445</v>
      </c>
      <c r="B2441" s="1" t="s">
        <v>1311</v>
      </c>
      <c r="C2441" s="1" t="s">
        <v>1111</v>
      </c>
      <c r="D2441" s="1" t="s">
        <v>2306</v>
      </c>
      <c r="E2441" s="1" t="s">
        <v>2374</v>
      </c>
    </row>
    <row r="2442">
      <c r="A2442" s="2">
        <v>45901.60340277778</v>
      </c>
      <c r="B2442" s="1" t="s">
        <v>1311</v>
      </c>
      <c r="C2442" s="1" t="s">
        <v>1111</v>
      </c>
      <c r="D2442" s="1" t="s">
        <v>2306</v>
      </c>
      <c r="E2442" s="1" t="s">
        <v>2375</v>
      </c>
    </row>
    <row r="2443">
      <c r="A2443" s="2">
        <v>45901.61415509259</v>
      </c>
      <c r="B2443" s="1" t="s">
        <v>1111</v>
      </c>
      <c r="C2443" s="1" t="s">
        <v>1311</v>
      </c>
      <c r="D2443" s="1" t="s">
        <v>2306</v>
      </c>
      <c r="E2443" s="1" t="s">
        <v>2376</v>
      </c>
    </row>
    <row r="2444">
      <c r="A2444" s="2">
        <v>45901.61472222222</v>
      </c>
      <c r="B2444" s="1" t="s">
        <v>1111</v>
      </c>
      <c r="C2444" s="1" t="s">
        <v>1311</v>
      </c>
      <c r="D2444" s="1" t="s">
        <v>2306</v>
      </c>
      <c r="E2444" s="1" t="s">
        <v>2377</v>
      </c>
    </row>
    <row r="2445">
      <c r="A2445" s="2">
        <v>45901.615648148145</v>
      </c>
      <c r="B2445" s="1" t="s">
        <v>1111</v>
      </c>
      <c r="C2445" s="1" t="s">
        <v>1311</v>
      </c>
      <c r="D2445" s="1" t="s">
        <v>2306</v>
      </c>
      <c r="E2445" s="1" t="s">
        <v>2378</v>
      </c>
    </row>
    <row r="2446">
      <c r="A2446" s="2">
        <v>45901.616215277776</v>
      </c>
      <c r="B2446" s="1" t="s">
        <v>1111</v>
      </c>
      <c r="C2446" s="1" t="s">
        <v>1311</v>
      </c>
      <c r="D2446" s="1" t="s">
        <v>2306</v>
      </c>
      <c r="E2446" s="1" t="s">
        <v>2379</v>
      </c>
    </row>
    <row r="2447">
      <c r="A2447" s="2">
        <v>45901.62126157407</v>
      </c>
      <c r="B2447" s="1" t="s">
        <v>1111</v>
      </c>
      <c r="C2447" s="1" t="s">
        <v>1311</v>
      </c>
      <c r="D2447" s="1" t="s">
        <v>2306</v>
      </c>
      <c r="E2447" s="1" t="s">
        <v>2380</v>
      </c>
    </row>
    <row r="2448">
      <c r="A2448" s="2">
        <v>45901.62153935185</v>
      </c>
      <c r="B2448" s="1" t="s">
        <v>1111</v>
      </c>
      <c r="C2448" s="1" t="s">
        <v>1311</v>
      </c>
      <c r="D2448" s="1" t="s">
        <v>2306</v>
      </c>
      <c r="E2448" s="1" t="s">
        <v>2381</v>
      </c>
    </row>
    <row r="2449">
      <c r="A2449" s="2">
        <v>45901.625625</v>
      </c>
      <c r="B2449" s="1" t="s">
        <v>1311</v>
      </c>
      <c r="C2449" s="1" t="s">
        <v>2382</v>
      </c>
      <c r="D2449" s="1" t="s">
        <v>2383</v>
      </c>
      <c r="E2449" s="1" t="s">
        <v>2384</v>
      </c>
    </row>
    <row r="2450">
      <c r="A2450" s="2">
        <v>45901.63821759259</v>
      </c>
      <c r="B2450" s="1" t="s">
        <v>1111</v>
      </c>
      <c r="C2450" s="1" t="s">
        <v>1311</v>
      </c>
      <c r="D2450" s="1" t="s">
        <v>2306</v>
      </c>
      <c r="E2450" s="1" t="s">
        <v>2385</v>
      </c>
    </row>
    <row r="2451">
      <c r="A2451" s="2">
        <v>45901.65252314815</v>
      </c>
      <c r="B2451" s="1" t="s">
        <v>1311</v>
      </c>
      <c r="C2451" s="1" t="s">
        <v>2386</v>
      </c>
      <c r="D2451" s="1" t="s">
        <v>2387</v>
      </c>
      <c r="E2451" s="1" t="s">
        <v>2388</v>
      </c>
    </row>
    <row r="2452">
      <c r="A2452" s="2">
        <v>45901.66601851852</v>
      </c>
      <c r="B2452" s="1" t="s">
        <v>1311</v>
      </c>
      <c r="C2452" s="1" t="s">
        <v>2389</v>
      </c>
      <c r="D2452" s="1" t="s">
        <v>2390</v>
      </c>
      <c r="E2452" s="1" t="s">
        <v>2388</v>
      </c>
    </row>
    <row r="2453">
      <c r="A2453" s="2">
        <v>45901.694710648146</v>
      </c>
      <c r="B2453" s="1" t="s">
        <v>1311</v>
      </c>
      <c r="C2453" s="1" t="s">
        <v>2391</v>
      </c>
      <c r="D2453" s="1" t="s">
        <v>2387</v>
      </c>
      <c r="E2453" s="1" t="s">
        <v>2392</v>
      </c>
    </row>
    <row r="2454">
      <c r="A2454" s="2">
        <v>45901.70180555555</v>
      </c>
      <c r="B2454" s="1" t="s">
        <v>1311</v>
      </c>
      <c r="C2454" s="1" t="s">
        <v>2393</v>
      </c>
      <c r="D2454" s="1" t="s">
        <v>2387</v>
      </c>
      <c r="E2454" s="1" t="s">
        <v>2388</v>
      </c>
    </row>
    <row r="2455">
      <c r="A2455" s="2">
        <v>45901.70491898148</v>
      </c>
      <c r="B2455" s="1" t="s">
        <v>1111</v>
      </c>
      <c r="C2455" s="1" t="s">
        <v>1311</v>
      </c>
      <c r="D2455" s="1" t="s">
        <v>2306</v>
      </c>
      <c r="E2455" s="1" t="s">
        <v>2394</v>
      </c>
    </row>
    <row r="2456">
      <c r="A2456" s="2">
        <v>45901.711539351854</v>
      </c>
      <c r="B2456" s="1" t="s">
        <v>1311</v>
      </c>
      <c r="C2456" s="1" t="s">
        <v>1111</v>
      </c>
      <c r="D2456" s="1" t="s">
        <v>2306</v>
      </c>
      <c r="E2456" s="1" t="s">
        <v>2395</v>
      </c>
    </row>
    <row r="2457">
      <c r="A2457" s="2">
        <v>45901.715</v>
      </c>
      <c r="B2457" s="1" t="s">
        <v>1111</v>
      </c>
      <c r="C2457" s="1" t="s">
        <v>1311</v>
      </c>
      <c r="D2457" s="1" t="s">
        <v>2306</v>
      </c>
      <c r="E2457" s="1" t="s">
        <v>2396</v>
      </c>
    </row>
    <row r="2458">
      <c r="A2458" s="2">
        <v>45901.71528935185</v>
      </c>
      <c r="B2458" s="1" t="s">
        <v>1311</v>
      </c>
      <c r="C2458" s="1" t="s">
        <v>1111</v>
      </c>
      <c r="D2458" s="1" t="s">
        <v>2306</v>
      </c>
      <c r="E2458" s="1" t="s">
        <v>2397</v>
      </c>
    </row>
    <row r="2459">
      <c r="A2459" s="2">
        <v>45901.715625</v>
      </c>
      <c r="B2459" s="1" t="s">
        <v>1311</v>
      </c>
      <c r="C2459" s="1" t="s">
        <v>1111</v>
      </c>
      <c r="D2459" s="1" t="s">
        <v>2306</v>
      </c>
      <c r="E2459" s="1" t="s">
        <v>2398</v>
      </c>
    </row>
    <row r="2460">
      <c r="A2460" s="2">
        <v>45901.72336805556</v>
      </c>
      <c r="B2460" s="1" t="s">
        <v>1111</v>
      </c>
      <c r="C2460" s="1" t="s">
        <v>1311</v>
      </c>
      <c r="D2460" s="1" t="s">
        <v>2306</v>
      </c>
      <c r="E2460" s="1" t="s">
        <v>2399</v>
      </c>
    </row>
    <row r="2461">
      <c r="A2461" s="2">
        <v>45901.723912037036</v>
      </c>
      <c r="B2461" s="1" t="s">
        <v>1111</v>
      </c>
      <c r="C2461" s="1" t="s">
        <v>1311</v>
      </c>
      <c r="D2461" s="1" t="s">
        <v>2306</v>
      </c>
      <c r="E2461" s="1" t="s">
        <v>2400</v>
      </c>
    </row>
    <row r="2462">
      <c r="A2462" s="2">
        <v>45901.72833333333</v>
      </c>
      <c r="B2462" s="1" t="s">
        <v>1111</v>
      </c>
      <c r="C2462" s="1" t="s">
        <v>1311</v>
      </c>
      <c r="D2462" s="1" t="s">
        <v>2306</v>
      </c>
      <c r="E2462" s="1" t="s">
        <v>2401</v>
      </c>
    </row>
    <row r="2463">
      <c r="A2463" s="2">
        <v>45901.728784722225</v>
      </c>
      <c r="B2463" s="1" t="s">
        <v>1311</v>
      </c>
      <c r="C2463" s="1" t="s">
        <v>1111</v>
      </c>
      <c r="D2463" s="1" t="s">
        <v>2306</v>
      </c>
      <c r="E2463" s="1" t="s">
        <v>2402</v>
      </c>
    </row>
    <row r="2464">
      <c r="A2464" s="2">
        <v>45901.73583333333</v>
      </c>
      <c r="B2464" s="1" t="s">
        <v>1111</v>
      </c>
      <c r="C2464" s="1" t="s">
        <v>1311</v>
      </c>
      <c r="D2464" s="1" t="s">
        <v>2306</v>
      </c>
      <c r="E2464" s="1" t="s">
        <v>2403</v>
      </c>
    </row>
    <row r="2465">
      <c r="A2465" s="2">
        <v>45901.73706018519</v>
      </c>
      <c r="B2465" s="1" t="s">
        <v>1111</v>
      </c>
      <c r="C2465" s="1" t="s">
        <v>1311</v>
      </c>
      <c r="D2465" s="1" t="s">
        <v>2306</v>
      </c>
      <c r="E2465" s="1" t="s">
        <v>2404</v>
      </c>
    </row>
    <row r="2466">
      <c r="A2466" s="2">
        <v>45901.74460648148</v>
      </c>
      <c r="B2466" s="1" t="s">
        <v>1311</v>
      </c>
      <c r="C2466" s="1" t="s">
        <v>2405</v>
      </c>
      <c r="D2466" s="1" t="s">
        <v>2406</v>
      </c>
      <c r="E2466" s="1" t="s">
        <v>2407</v>
      </c>
    </row>
    <row r="2467">
      <c r="A2467" s="2">
        <v>45901.74564814815</v>
      </c>
      <c r="B2467" s="1" t="s">
        <v>1311</v>
      </c>
      <c r="C2467" s="1" t="s">
        <v>2405</v>
      </c>
      <c r="D2467" s="1" t="s">
        <v>2408</v>
      </c>
      <c r="E2467" s="1" t="s">
        <v>2388</v>
      </c>
    </row>
    <row r="2468">
      <c r="A2468" s="2">
        <v>45901.756585648145</v>
      </c>
      <c r="B2468" s="1" t="s">
        <v>1311</v>
      </c>
      <c r="C2468" s="1" t="s">
        <v>2409</v>
      </c>
      <c r="D2468" s="1" t="s">
        <v>2387</v>
      </c>
      <c r="E2468" s="1" t="s">
        <v>2410</v>
      </c>
    </row>
    <row r="2469">
      <c r="A2469" s="2">
        <v>45901.75815972222</v>
      </c>
      <c r="B2469" s="1" t="s">
        <v>1311</v>
      </c>
      <c r="C2469" s="1" t="s">
        <v>2389</v>
      </c>
      <c r="D2469" s="1" t="s">
        <v>2387</v>
      </c>
      <c r="E2469" s="1" t="s">
        <v>2388</v>
      </c>
    </row>
    <row r="2470">
      <c r="A2470" s="2">
        <v>45901.77128472222</v>
      </c>
      <c r="B2470" s="1" t="s">
        <v>1111</v>
      </c>
      <c r="C2470" s="1" t="s">
        <v>1311</v>
      </c>
      <c r="D2470" s="1" t="s">
        <v>2306</v>
      </c>
      <c r="E2470" s="1" t="s">
        <v>2411</v>
      </c>
    </row>
    <row r="2471">
      <c r="A2471" s="2">
        <v>45901.79152777778</v>
      </c>
      <c r="B2471" s="1" t="s">
        <v>1311</v>
      </c>
      <c r="C2471" s="1" t="s">
        <v>1111</v>
      </c>
      <c r="D2471" s="1" t="s">
        <v>2306</v>
      </c>
      <c r="E2471" s="1" t="s">
        <v>2412</v>
      </c>
    </row>
    <row r="2472">
      <c r="A2472" s="2">
        <v>45902.48280092593</v>
      </c>
      <c r="B2472" s="1" t="s">
        <v>1311</v>
      </c>
      <c r="C2472" s="1" t="s">
        <v>2413</v>
      </c>
      <c r="D2472" s="1" t="s">
        <v>2414</v>
      </c>
      <c r="E2472" s="1" t="s">
        <v>2415</v>
      </c>
    </row>
    <row r="2473">
      <c r="A2473" s="2">
        <v>45902.664988425924</v>
      </c>
      <c r="B2473" s="1" t="s">
        <v>1564</v>
      </c>
      <c r="C2473" s="1" t="s">
        <v>845</v>
      </c>
      <c r="D2473" s="1" t="s">
        <v>2416</v>
      </c>
      <c r="E2473" s="1" t="s">
        <v>2417</v>
      </c>
    </row>
    <row r="2474">
      <c r="A2474" s="2">
        <v>45902.73568287037</v>
      </c>
      <c r="B2474" s="1" t="s">
        <v>1564</v>
      </c>
      <c r="C2474" s="1" t="s">
        <v>2141</v>
      </c>
      <c r="D2474" s="1" t="s">
        <v>2416</v>
      </c>
      <c r="E2474" s="1" t="s">
        <v>2418</v>
      </c>
    </row>
    <row r="2475">
      <c r="A2475" s="2">
        <v>45902.80815972222</v>
      </c>
      <c r="B2475" s="1" t="s">
        <v>1579</v>
      </c>
      <c r="C2475" s="1" t="s">
        <v>845</v>
      </c>
      <c r="D2475" s="1" t="s">
        <v>2419</v>
      </c>
      <c r="E2475" s="1" t="s">
        <v>847</v>
      </c>
    </row>
    <row r="2476">
      <c r="A2476" s="2">
        <v>45902.703726851854</v>
      </c>
      <c r="B2476" s="1" t="s">
        <v>735</v>
      </c>
      <c r="C2476" s="1" t="s">
        <v>524</v>
      </c>
      <c r="D2476" s="3" t="str">
        <f>?windows-1252?Q?Here=92s_your_exclusive_bonus_offer_from_Irving!?=</f>
        <v>#ERROR!</v>
      </c>
      <c r="E2476" s="1" t="s">
        <v>887</v>
      </c>
    </row>
    <row r="2477">
      <c r="A2477" s="2">
        <v>45902.913831018515</v>
      </c>
      <c r="B2477" s="1" t="s">
        <v>222</v>
      </c>
      <c r="C2477" s="1" t="s">
        <v>2141</v>
      </c>
      <c r="D2477" s="1" t="s">
        <v>2420</v>
      </c>
      <c r="E2477" s="1" t="s">
        <v>2421</v>
      </c>
    </row>
    <row r="2478">
      <c r="A2478" s="2">
        <v>45902.7509375</v>
      </c>
      <c r="B2478" s="1" t="s">
        <v>2143</v>
      </c>
      <c r="C2478" s="1" t="s">
        <v>2144</v>
      </c>
      <c r="D2478" s="1" t="s">
        <v>2145</v>
      </c>
      <c r="E2478" s="1" t="s">
        <v>2422</v>
      </c>
    </row>
    <row r="2479">
      <c r="A2479" s="2">
        <v>45903.57508101852</v>
      </c>
      <c r="B2479" s="1" t="s">
        <v>2423</v>
      </c>
      <c r="C2479" s="1" t="s">
        <v>1105</v>
      </c>
      <c r="D2479" s="1" t="s">
        <v>2424</v>
      </c>
      <c r="E2479" s="1" t="s">
        <v>2425</v>
      </c>
    </row>
    <row r="2480">
      <c r="A2480" s="2">
        <v>45903.57609953704</v>
      </c>
      <c r="B2480" s="1" t="s">
        <v>2423</v>
      </c>
      <c r="C2480" s="1" t="s">
        <v>1105</v>
      </c>
      <c r="D2480" s="1" t="s">
        <v>2426</v>
      </c>
      <c r="E2480" s="1" t="s">
        <v>2427</v>
      </c>
    </row>
    <row r="2481">
      <c r="A2481" s="2">
        <v>45903.59071759259</v>
      </c>
      <c r="B2481" s="1" t="s">
        <v>1311</v>
      </c>
      <c r="C2481" s="1" t="s">
        <v>2428</v>
      </c>
      <c r="D2481" s="1" t="s">
        <v>2429</v>
      </c>
      <c r="E2481" s="1" t="s">
        <v>2430</v>
      </c>
    </row>
    <row r="2482">
      <c r="A2482" s="2">
        <v>45903.596400462964</v>
      </c>
      <c r="B2482" s="1" t="s">
        <v>1311</v>
      </c>
      <c r="C2482" s="1" t="s">
        <v>2428</v>
      </c>
      <c r="D2482" s="1" t="s">
        <v>2431</v>
      </c>
      <c r="E2482" s="1" t="s">
        <v>2432</v>
      </c>
    </row>
    <row r="2483">
      <c r="A2483" s="2">
        <v>45903.59788194444</v>
      </c>
      <c r="B2483" s="1" t="s">
        <v>1311</v>
      </c>
      <c r="C2483" s="1" t="s">
        <v>2433</v>
      </c>
      <c r="D2483" s="1" t="s">
        <v>2434</v>
      </c>
      <c r="E2483" s="1" t="s">
        <v>2388</v>
      </c>
    </row>
    <row r="2484">
      <c r="A2484" s="2">
        <v>45903.7746875</v>
      </c>
      <c r="B2484" s="1" t="s">
        <v>848</v>
      </c>
      <c r="C2484" s="1" t="s">
        <v>849</v>
      </c>
      <c r="D2484" s="3" t="str">
        <f>?utf-8?q?Shopping_made_easy=E2=80=94see_what=E2=80=99s_popular_and_ready?= =?utf-8?q?_for_you.?=</f>
        <v>#ERROR!</v>
      </c>
      <c r="E2484" s="1" t="s">
        <v>851</v>
      </c>
    </row>
    <row r="2485">
      <c r="A2485" s="2">
        <v>45903.67859953704</v>
      </c>
      <c r="B2485" s="1" t="s">
        <v>1311</v>
      </c>
      <c r="C2485" s="1" t="s">
        <v>1311</v>
      </c>
      <c r="D2485" s="1" t="s">
        <v>2435</v>
      </c>
      <c r="E2485" s="1" t="s">
        <v>2358</v>
      </c>
    </row>
    <row r="2486">
      <c r="A2486" s="2">
        <v>45903.67940972222</v>
      </c>
      <c r="B2486" s="1" t="s">
        <v>294</v>
      </c>
      <c r="C2486" s="1" t="s">
        <v>2144</v>
      </c>
      <c r="D2486" s="3" t="str">
        <f>?utf-8?B?8J+SpSBTYXZlIGEgJDMwIHZhbHVlIG9uIGEgZnV0dXJlIGZpbA==?=
 =?utf-8?B?bC11cCB3aXRoIFNoZWxsIEdvKw==?=</f>
        <v>#ERROR!</v>
      </c>
      <c r="E2486" s="1" t="s">
        <v>887</v>
      </c>
    </row>
    <row r="2487">
      <c r="A2487" s="2">
        <v>45903.74643518519</v>
      </c>
      <c r="B2487" s="1" t="s">
        <v>535</v>
      </c>
      <c r="C2487" s="1" t="s">
        <v>524</v>
      </c>
      <c r="D2487" s="1" t="s">
        <v>2436</v>
      </c>
      <c r="E2487" s="1" t="s">
        <v>887</v>
      </c>
    </row>
    <row r="2488">
      <c r="A2488" s="2">
        <v>45903.654074074075</v>
      </c>
      <c r="B2488" s="1" t="s">
        <v>2437</v>
      </c>
      <c r="C2488" s="1" t="s">
        <v>1900</v>
      </c>
      <c r="D2488" s="1" t="s">
        <v>2438</v>
      </c>
      <c r="E2488" s="1" t="s">
        <v>2439</v>
      </c>
    </row>
    <row r="2489">
      <c r="A2489" s="2">
        <v>45904.49251157408</v>
      </c>
      <c r="B2489" s="1" t="s">
        <v>844</v>
      </c>
      <c r="C2489" s="1" t="s">
        <v>1036</v>
      </c>
      <c r="D2489" s="1" t="s">
        <v>2440</v>
      </c>
      <c r="E2489" s="1" t="s">
        <v>847</v>
      </c>
    </row>
    <row r="2490">
      <c r="A2490" s="2">
        <v>45904.561261574076</v>
      </c>
      <c r="B2490" s="1" t="s">
        <v>1311</v>
      </c>
      <c r="C2490" s="1" t="s">
        <v>1688</v>
      </c>
      <c r="D2490" s="1" t="s">
        <v>2441</v>
      </c>
      <c r="E2490" s="1" t="s">
        <v>2442</v>
      </c>
    </row>
    <row r="2491">
      <c r="A2491" s="2">
        <v>45904.82069444445</v>
      </c>
      <c r="B2491" s="1" t="s">
        <v>1732</v>
      </c>
      <c r="C2491" s="1" t="s">
        <v>1311</v>
      </c>
      <c r="D2491" s="1" t="s">
        <v>2443</v>
      </c>
      <c r="E2491" s="1" t="s">
        <v>2444</v>
      </c>
    </row>
    <row r="2492">
      <c r="A2492" s="2">
        <v>45904.721041666664</v>
      </c>
      <c r="B2492" s="1" t="s">
        <v>1311</v>
      </c>
      <c r="C2492" s="1" t="s">
        <v>1732</v>
      </c>
      <c r="D2492" s="1" t="s">
        <v>2443</v>
      </c>
      <c r="E2492" s="1" t="s">
        <v>2445</v>
      </c>
    </row>
    <row r="2493">
      <c r="A2493" s="2">
        <v>45904.778344907405</v>
      </c>
      <c r="B2493" s="1" t="s">
        <v>1311</v>
      </c>
      <c r="C2493" s="1" t="s">
        <v>1732</v>
      </c>
      <c r="D2493" s="1" t="s">
        <v>2443</v>
      </c>
      <c r="E2493" s="1" t="s">
        <v>2446</v>
      </c>
    </row>
    <row r="2494">
      <c r="A2494" s="2">
        <v>45904.79701388889</v>
      </c>
      <c r="B2494" s="1" t="s">
        <v>259</v>
      </c>
      <c r="C2494" s="1" t="s">
        <v>2144</v>
      </c>
      <c r="D2494" s="3" t="str">
        <f>?utf-8?B?U2hhd24sIHlvdXIgYmVzdCBvZmZlcnMgdGhpcyB3ZWVrIGFyZQ==?=
 =?utf-8?B?IGhlcmUhIPCfjok=?=</f>
        <v>#ERROR!</v>
      </c>
      <c r="E2494" s="1" t="s">
        <v>880</v>
      </c>
    </row>
    <row r="2495">
      <c r="A2495" s="2">
        <v>45904.99369212963</v>
      </c>
      <c r="B2495" s="1" t="s">
        <v>1732</v>
      </c>
      <c r="C2495" s="1" t="s">
        <v>1311</v>
      </c>
      <c r="D2495" s="1" t="s">
        <v>2443</v>
      </c>
      <c r="E2495" s="1" t="s">
        <v>2447</v>
      </c>
    </row>
    <row r="2496">
      <c r="A2496" s="2">
        <v>45904.994479166664</v>
      </c>
      <c r="B2496" s="1" t="s">
        <v>1732</v>
      </c>
      <c r="C2496" s="1" t="s">
        <v>1311</v>
      </c>
      <c r="D2496" s="1" t="s">
        <v>2443</v>
      </c>
      <c r="E2496" s="1" t="s">
        <v>2448</v>
      </c>
    </row>
    <row r="2497">
      <c r="A2497" s="2">
        <v>45905.00607638889</v>
      </c>
      <c r="B2497" s="1" t="s">
        <v>1732</v>
      </c>
      <c r="C2497" s="1" t="s">
        <v>1311</v>
      </c>
      <c r="D2497" s="1" t="s">
        <v>2443</v>
      </c>
      <c r="E2497" s="1" t="s">
        <v>2449</v>
      </c>
    </row>
    <row r="2498">
      <c r="A2498" s="2">
        <v>45904.927083333336</v>
      </c>
      <c r="B2498" s="1" t="s">
        <v>1311</v>
      </c>
      <c r="C2498" s="1" t="s">
        <v>1732</v>
      </c>
      <c r="D2498" s="1" t="s">
        <v>2443</v>
      </c>
      <c r="E2498" s="1" t="s">
        <v>2450</v>
      </c>
    </row>
    <row r="2499">
      <c r="A2499" s="2">
        <v>45904.928819444445</v>
      </c>
      <c r="B2499" s="1" t="s">
        <v>1311</v>
      </c>
      <c r="C2499" s="1" t="s">
        <v>1732</v>
      </c>
      <c r="D2499" s="1" t="s">
        <v>2443</v>
      </c>
      <c r="E2499" s="1" t="s">
        <v>2451</v>
      </c>
    </row>
    <row r="2500">
      <c r="A2500" s="2">
        <v>45904.93054398148</v>
      </c>
      <c r="B2500" s="1" t="s">
        <v>1311</v>
      </c>
      <c r="C2500" s="1" t="s">
        <v>1732</v>
      </c>
      <c r="D2500" s="1" t="s">
        <v>2443</v>
      </c>
      <c r="E2500" s="1" t="s">
        <v>2452</v>
      </c>
    </row>
    <row r="2501">
      <c r="A2501" s="2">
        <v>45905.08761574074</v>
      </c>
      <c r="B2501" s="1" t="s">
        <v>325</v>
      </c>
      <c r="C2501" s="1" t="s">
        <v>2141</v>
      </c>
      <c r="D2501" s="1" t="s">
        <v>2253</v>
      </c>
      <c r="E2501" s="1" t="s">
        <v>2453</v>
      </c>
    </row>
    <row r="2502">
      <c r="A2502" s="2">
        <v>45905.45445601852</v>
      </c>
      <c r="B2502" s="1" t="s">
        <v>1732</v>
      </c>
      <c r="C2502" s="1" t="s">
        <v>1311</v>
      </c>
      <c r="D2502" s="1" t="s">
        <v>2443</v>
      </c>
      <c r="E2502" s="1" t="s">
        <v>2454</v>
      </c>
    </row>
    <row r="2503">
      <c r="A2503" s="2">
        <v>45905.45483796296</v>
      </c>
      <c r="B2503" s="1" t="s">
        <v>1732</v>
      </c>
      <c r="C2503" s="1" t="s">
        <v>1311</v>
      </c>
      <c r="D2503" s="1" t="s">
        <v>2443</v>
      </c>
      <c r="E2503" s="1" t="s">
        <v>2455</v>
      </c>
    </row>
    <row r="2504">
      <c r="A2504" s="2">
        <v>45905.45909722222</v>
      </c>
      <c r="B2504" s="1" t="s">
        <v>1732</v>
      </c>
      <c r="C2504" s="1" t="s">
        <v>1311</v>
      </c>
      <c r="D2504" s="1" t="s">
        <v>2443</v>
      </c>
      <c r="E2504" s="1" t="s">
        <v>2456</v>
      </c>
    </row>
    <row r="2505">
      <c r="A2505" s="2">
        <v>45905.45930555555</v>
      </c>
      <c r="B2505" s="1" t="s">
        <v>1732</v>
      </c>
      <c r="C2505" s="1" t="s">
        <v>1311</v>
      </c>
      <c r="D2505" s="1" t="s">
        <v>2443</v>
      </c>
      <c r="E2505" s="1" t="s">
        <v>2457</v>
      </c>
    </row>
    <row r="2506">
      <c r="A2506" s="2">
        <v>45905.34258101852</v>
      </c>
      <c r="B2506" s="1" t="s">
        <v>1311</v>
      </c>
      <c r="C2506" s="1" t="s">
        <v>1732</v>
      </c>
      <c r="D2506" s="1" t="s">
        <v>2443</v>
      </c>
      <c r="E2506" s="1" t="s">
        <v>2458</v>
      </c>
    </row>
    <row r="2507">
      <c r="A2507" s="2">
        <v>45905.475</v>
      </c>
      <c r="B2507" s="1" t="s">
        <v>1732</v>
      </c>
      <c r="C2507" s="1" t="s">
        <v>1311</v>
      </c>
      <c r="D2507" s="1" t="s">
        <v>2443</v>
      </c>
      <c r="E2507" s="1" t="s">
        <v>2459</v>
      </c>
    </row>
    <row r="2508">
      <c r="A2508" s="2">
        <v>45905.47730324074</v>
      </c>
      <c r="B2508" s="1" t="s">
        <v>2423</v>
      </c>
      <c r="C2508" s="1" t="s">
        <v>1105</v>
      </c>
      <c r="D2508" s="1" t="s">
        <v>2460</v>
      </c>
      <c r="E2508" s="1" t="s">
        <v>2461</v>
      </c>
    </row>
    <row r="2509">
      <c r="A2509" s="2">
        <v>45905.47990740741</v>
      </c>
      <c r="B2509" s="1" t="s">
        <v>1732</v>
      </c>
      <c r="C2509" s="1" t="s">
        <v>1311</v>
      </c>
      <c r="D2509" s="1" t="s">
        <v>2443</v>
      </c>
      <c r="E2509" s="1" t="s">
        <v>2462</v>
      </c>
    </row>
    <row r="2510">
      <c r="A2510" s="2">
        <v>45905.35590277778</v>
      </c>
      <c r="B2510" s="1" t="s">
        <v>1311</v>
      </c>
      <c r="C2510" s="1" t="s">
        <v>1732</v>
      </c>
      <c r="D2510" s="1" t="s">
        <v>2443</v>
      </c>
      <c r="E2510" s="1" t="s">
        <v>2463</v>
      </c>
    </row>
    <row r="2511">
      <c r="A2511" s="2">
        <v>45905.356412037036</v>
      </c>
      <c r="B2511" s="1" t="s">
        <v>1311</v>
      </c>
      <c r="C2511" s="1" t="s">
        <v>1732</v>
      </c>
      <c r="D2511" s="1" t="s">
        <v>2443</v>
      </c>
      <c r="E2511" s="1" t="s">
        <v>2464</v>
      </c>
    </row>
    <row r="2512">
      <c r="A2512" s="2">
        <v>45905.35697916667</v>
      </c>
      <c r="B2512" s="1" t="s">
        <v>1311</v>
      </c>
      <c r="C2512" s="1" t="s">
        <v>1732</v>
      </c>
      <c r="D2512" s="1" t="s">
        <v>2443</v>
      </c>
      <c r="E2512" s="1" t="s">
        <v>2465</v>
      </c>
    </row>
    <row r="2513">
      <c r="A2513" s="2">
        <v>45905.35733796296</v>
      </c>
      <c r="B2513" s="1" t="s">
        <v>1311</v>
      </c>
      <c r="C2513" s="1" t="s">
        <v>1732</v>
      </c>
      <c r="D2513" s="1" t="s">
        <v>2443</v>
      </c>
      <c r="E2513" s="1" t="s">
        <v>2466</v>
      </c>
    </row>
    <row r="2514">
      <c r="A2514" s="2">
        <v>45905.35973379629</v>
      </c>
      <c r="B2514" s="1" t="s">
        <v>1311</v>
      </c>
      <c r="C2514" s="1" t="s">
        <v>2428</v>
      </c>
      <c r="D2514" s="1" t="s">
        <v>2467</v>
      </c>
      <c r="E2514" s="1" t="s">
        <v>2468</v>
      </c>
    </row>
    <row r="2515">
      <c r="A2515" s="2">
        <v>45905.48579861111</v>
      </c>
      <c r="B2515" s="1" t="s">
        <v>1732</v>
      </c>
      <c r="C2515" s="1" t="s">
        <v>1311</v>
      </c>
      <c r="D2515" s="1" t="s">
        <v>2443</v>
      </c>
      <c r="E2515" s="1" t="s">
        <v>2469</v>
      </c>
    </row>
    <row r="2516">
      <c r="A2516" s="2">
        <v>45905.487488425926</v>
      </c>
      <c r="B2516" s="1" t="s">
        <v>1732</v>
      </c>
      <c r="C2516" s="1" t="s">
        <v>1311</v>
      </c>
      <c r="D2516" s="1" t="s">
        <v>2443</v>
      </c>
      <c r="E2516" s="1" t="s">
        <v>2470</v>
      </c>
    </row>
    <row r="2517">
      <c r="A2517" s="2">
        <v>45905.36305555556</v>
      </c>
      <c r="B2517" s="1" t="s">
        <v>1311</v>
      </c>
      <c r="C2517" s="1" t="s">
        <v>1732</v>
      </c>
      <c r="D2517" s="1" t="s">
        <v>2443</v>
      </c>
      <c r="E2517" s="1" t="s">
        <v>2471</v>
      </c>
    </row>
    <row r="2518">
      <c r="A2518" s="2">
        <v>45905.4887962963</v>
      </c>
      <c r="B2518" s="1" t="s">
        <v>1732</v>
      </c>
      <c r="C2518" s="1" t="s">
        <v>1311</v>
      </c>
      <c r="D2518" s="1" t="s">
        <v>2443</v>
      </c>
      <c r="E2518" s="1" t="s">
        <v>2472</v>
      </c>
    </row>
    <row r="2519">
      <c r="A2519" s="2">
        <v>45905.36386574074</v>
      </c>
      <c r="B2519" s="1" t="s">
        <v>1311</v>
      </c>
      <c r="C2519" s="1" t="s">
        <v>1732</v>
      </c>
      <c r="D2519" s="1" t="s">
        <v>2443</v>
      </c>
      <c r="E2519" s="1" t="s">
        <v>2473</v>
      </c>
    </row>
    <row r="2520">
      <c r="A2520" s="2">
        <v>45905.364641203705</v>
      </c>
      <c r="B2520" s="1" t="s">
        <v>1311</v>
      </c>
      <c r="C2520" s="1" t="s">
        <v>1732</v>
      </c>
      <c r="D2520" s="1" t="s">
        <v>2443</v>
      </c>
      <c r="E2520" s="1" t="s">
        <v>2474</v>
      </c>
    </row>
    <row r="2521">
      <c r="A2521" s="2">
        <v>45905.4940625</v>
      </c>
      <c r="B2521" s="1" t="s">
        <v>1732</v>
      </c>
      <c r="C2521" s="1" t="s">
        <v>1311</v>
      </c>
      <c r="D2521" s="1" t="s">
        <v>2443</v>
      </c>
      <c r="E2521" s="1" t="s">
        <v>2475</v>
      </c>
    </row>
    <row r="2522">
      <c r="A2522" s="2">
        <v>45905.4949537037</v>
      </c>
      <c r="B2522" s="1" t="s">
        <v>1732</v>
      </c>
      <c r="C2522" s="1" t="s">
        <v>1311</v>
      </c>
      <c r="E2522" s="1" t="s">
        <v>2476</v>
      </c>
    </row>
    <row r="2523">
      <c r="A2523" s="2">
        <v>45905.40453703704</v>
      </c>
      <c r="B2523" s="1" t="s">
        <v>1311</v>
      </c>
      <c r="C2523" s="1" t="s">
        <v>1732</v>
      </c>
      <c r="D2523" s="1" t="s">
        <v>1617</v>
      </c>
      <c r="E2523" s="1" t="s">
        <v>2477</v>
      </c>
    </row>
    <row r="2524">
      <c r="A2524" s="2">
        <v>45905.567245370374</v>
      </c>
      <c r="B2524" s="1" t="s">
        <v>2423</v>
      </c>
      <c r="C2524" s="1" t="s">
        <v>1311</v>
      </c>
      <c r="D2524" s="1" t="s">
        <v>2478</v>
      </c>
      <c r="E2524" s="1" t="s">
        <v>2479</v>
      </c>
    </row>
    <row r="2525">
      <c r="A2525" s="2">
        <v>45905.58329861111</v>
      </c>
      <c r="B2525" s="1" t="s">
        <v>1732</v>
      </c>
      <c r="C2525" s="1" t="s">
        <v>1311</v>
      </c>
      <c r="D2525" s="1" t="s">
        <v>1617</v>
      </c>
      <c r="E2525" s="1" t="s">
        <v>2480</v>
      </c>
    </row>
    <row r="2526">
      <c r="A2526" s="2">
        <v>45905.49475694444</v>
      </c>
      <c r="B2526" s="1" t="s">
        <v>1311</v>
      </c>
      <c r="C2526" s="1" t="s">
        <v>2428</v>
      </c>
      <c r="D2526" s="1" t="s">
        <v>2429</v>
      </c>
      <c r="E2526" s="1" t="s">
        <v>2481</v>
      </c>
    </row>
    <row r="2527">
      <c r="A2527" s="2">
        <v>45905.4955787037</v>
      </c>
      <c r="B2527" s="1" t="s">
        <v>1311</v>
      </c>
      <c r="C2527" s="1" t="s">
        <v>1732</v>
      </c>
      <c r="D2527" s="1" t="s">
        <v>1617</v>
      </c>
      <c r="E2527" s="1" t="s">
        <v>2482</v>
      </c>
    </row>
    <row r="2528">
      <c r="A2528" s="2">
        <v>45905.49686342593</v>
      </c>
      <c r="B2528" s="1" t="s">
        <v>1311</v>
      </c>
      <c r="C2528" s="1" t="s">
        <v>1732</v>
      </c>
      <c r="D2528" s="1" t="s">
        <v>1617</v>
      </c>
      <c r="E2528" s="1" t="s">
        <v>2483</v>
      </c>
    </row>
    <row r="2529">
      <c r="A2529" s="2">
        <v>45905.66614583333</v>
      </c>
      <c r="B2529" s="1" t="s">
        <v>857</v>
      </c>
      <c r="C2529" s="1" t="s">
        <v>845</v>
      </c>
      <c r="D2529" s="1" t="s">
        <v>1532</v>
      </c>
      <c r="E2529" s="1" t="s">
        <v>847</v>
      </c>
    </row>
    <row r="2530">
      <c r="A2530" s="2">
        <v>45905.72324074074</v>
      </c>
      <c r="B2530" s="1" t="s">
        <v>1732</v>
      </c>
      <c r="C2530" s="1" t="s">
        <v>1311</v>
      </c>
      <c r="D2530" s="1" t="s">
        <v>1617</v>
      </c>
      <c r="E2530" s="1" t="s">
        <v>2484</v>
      </c>
    </row>
    <row r="2531">
      <c r="A2531" s="2">
        <v>45905.72741898148</v>
      </c>
      <c r="B2531" s="1" t="s">
        <v>1732</v>
      </c>
      <c r="C2531" s="1" t="s">
        <v>1311</v>
      </c>
      <c r="D2531" s="1" t="s">
        <v>1617</v>
      </c>
      <c r="E2531" s="1" t="s">
        <v>2485</v>
      </c>
    </row>
    <row r="2532">
      <c r="A2532" s="2">
        <v>45905.731469907405</v>
      </c>
      <c r="B2532" s="1" t="s">
        <v>1732</v>
      </c>
      <c r="C2532" s="1" t="s">
        <v>1311</v>
      </c>
      <c r="D2532" s="1" t="s">
        <v>1617</v>
      </c>
      <c r="E2532" s="1" t="s">
        <v>2486</v>
      </c>
    </row>
    <row r="2533">
      <c r="A2533" s="2">
        <v>45905.785787037035</v>
      </c>
      <c r="B2533" s="1" t="s">
        <v>1732</v>
      </c>
      <c r="C2533" s="1" t="s">
        <v>1311</v>
      </c>
      <c r="D2533" s="1" t="s">
        <v>1617</v>
      </c>
      <c r="E2533" s="1" t="s">
        <v>2487</v>
      </c>
    </row>
    <row r="2534">
      <c r="A2534" s="2">
        <v>45905.66627314815</v>
      </c>
      <c r="B2534" s="1" t="s">
        <v>1311</v>
      </c>
      <c r="C2534" s="1" t="s">
        <v>1732</v>
      </c>
      <c r="D2534" s="1" t="s">
        <v>1617</v>
      </c>
      <c r="E2534" s="1" t="s">
        <v>2488</v>
      </c>
    </row>
    <row r="2535">
      <c r="A2535" s="2">
        <v>45905.86618055555</v>
      </c>
      <c r="B2535" s="1" t="s">
        <v>1732</v>
      </c>
      <c r="C2535" s="1" t="s">
        <v>1311</v>
      </c>
      <c r="D2535" s="1" t="s">
        <v>1617</v>
      </c>
      <c r="E2535" s="1" t="s">
        <v>2489</v>
      </c>
    </row>
    <row r="2536">
      <c r="A2536" s="2">
        <v>45905.79957175926</v>
      </c>
      <c r="B2536" s="1" t="s">
        <v>1311</v>
      </c>
      <c r="C2536" s="1" t="s">
        <v>1732</v>
      </c>
      <c r="D2536" s="1" t="s">
        <v>1617</v>
      </c>
      <c r="E2536" s="1" t="s">
        <v>2490</v>
      </c>
    </row>
    <row r="2537">
      <c r="A2537" s="2">
        <v>45905.78224537037</v>
      </c>
      <c r="B2537" s="1" t="s">
        <v>259</v>
      </c>
      <c r="C2537" s="1" t="s">
        <v>2144</v>
      </c>
      <c r="D2537" s="3" t="str">
        <f>?windows-1252?Q?Meet_this_month=92s_new-to-the-crew_brands!__?=</f>
        <v>#ERROR!</v>
      </c>
      <c r="E2537" s="1" t="s">
        <v>887</v>
      </c>
    </row>
    <row r="2538">
      <c r="A2538" s="2">
        <v>45905.690104166664</v>
      </c>
      <c r="B2538" s="1" t="s">
        <v>1108</v>
      </c>
      <c r="C2538" s="1" t="s">
        <v>2144</v>
      </c>
      <c r="D2538" s="1" t="s">
        <v>2491</v>
      </c>
      <c r="E2538" s="1" t="s">
        <v>2492</v>
      </c>
    </row>
    <row r="2539">
      <c r="A2539" s="2">
        <v>45905.69363425926</v>
      </c>
      <c r="B2539" s="1" t="s">
        <v>1108</v>
      </c>
      <c r="C2539" s="1" t="s">
        <v>849</v>
      </c>
      <c r="D2539" s="1" t="s">
        <v>2493</v>
      </c>
      <c r="E2539" s="1" t="s">
        <v>2492</v>
      </c>
    </row>
    <row r="2540">
      <c r="A2540" s="2">
        <v>45906.45107638889</v>
      </c>
      <c r="B2540" s="1" t="s">
        <v>1732</v>
      </c>
      <c r="C2540" s="1" t="s">
        <v>1311</v>
      </c>
      <c r="D2540" s="1" t="s">
        <v>1617</v>
      </c>
      <c r="E2540" s="1" t="s">
        <v>2494</v>
      </c>
    </row>
    <row r="2541">
      <c r="A2541" s="2">
        <v>45906.45222222222</v>
      </c>
      <c r="B2541" s="1" t="s">
        <v>1732</v>
      </c>
      <c r="C2541" s="1" t="s">
        <v>1311</v>
      </c>
      <c r="D2541" s="1" t="s">
        <v>1617</v>
      </c>
      <c r="E2541" s="1" t="s">
        <v>2495</v>
      </c>
    </row>
    <row r="2542">
      <c r="A2542" s="2">
        <v>45906.45601851852</v>
      </c>
      <c r="B2542" s="1" t="s">
        <v>1732</v>
      </c>
      <c r="C2542" s="1" t="s">
        <v>1311</v>
      </c>
      <c r="D2542" s="1" t="s">
        <v>1617</v>
      </c>
      <c r="E2542" s="1" t="s">
        <v>2496</v>
      </c>
    </row>
    <row r="2543">
      <c r="A2543" s="2">
        <v>45906.45947916667</v>
      </c>
      <c r="B2543" s="1" t="s">
        <v>844</v>
      </c>
      <c r="C2543" s="1" t="s">
        <v>1036</v>
      </c>
      <c r="D2543" s="1" t="s">
        <v>2291</v>
      </c>
      <c r="E2543" s="1" t="s">
        <v>847</v>
      </c>
    </row>
    <row r="2544">
      <c r="A2544" s="2">
        <v>45906.46333333333</v>
      </c>
      <c r="B2544" s="1" t="s">
        <v>1732</v>
      </c>
      <c r="C2544" s="1" t="s">
        <v>1311</v>
      </c>
      <c r="D2544" s="1" t="s">
        <v>1617</v>
      </c>
      <c r="E2544" s="1" t="s">
        <v>2497</v>
      </c>
    </row>
    <row r="2545">
      <c r="A2545" s="2">
        <v>45906.341203703705</v>
      </c>
      <c r="B2545" s="1" t="s">
        <v>1311</v>
      </c>
      <c r="C2545" s="1" t="s">
        <v>1732</v>
      </c>
      <c r="D2545" s="1" t="s">
        <v>1617</v>
      </c>
      <c r="E2545" s="1" t="s">
        <v>2498</v>
      </c>
    </row>
    <row r="2546">
      <c r="A2546" s="2">
        <v>45906.34799768519</v>
      </c>
      <c r="B2546" s="1" t="s">
        <v>1311</v>
      </c>
      <c r="C2546" s="1" t="s">
        <v>1732</v>
      </c>
      <c r="D2546" s="1" t="s">
        <v>1617</v>
      </c>
      <c r="E2546" s="1" t="s">
        <v>2499</v>
      </c>
    </row>
    <row r="2547">
      <c r="A2547" s="2">
        <v>45906.47646990741</v>
      </c>
      <c r="B2547" s="1" t="s">
        <v>844</v>
      </c>
      <c r="C2547" s="1" t="s">
        <v>845</v>
      </c>
      <c r="D2547" s="3" t="str">
        <f>?UTF-8?q?Back_on_Uber_Eats=3F_We_got_it_all_=F0=9F=9B=92?=</f>
        <v>#ERROR!</v>
      </c>
      <c r="E2547" s="1" t="s">
        <v>847</v>
      </c>
    </row>
    <row r="2548">
      <c r="A2548" s="2">
        <v>45906.519421296296</v>
      </c>
      <c r="B2548" s="1" t="s">
        <v>1732</v>
      </c>
      <c r="C2548" s="1" t="s">
        <v>1311</v>
      </c>
      <c r="D2548" s="1" t="s">
        <v>1617</v>
      </c>
      <c r="E2548" s="1" t="s">
        <v>2500</v>
      </c>
    </row>
    <row r="2549">
      <c r="A2549" s="2">
        <v>45906.52111111111</v>
      </c>
      <c r="B2549" s="1" t="s">
        <v>1732</v>
      </c>
      <c r="C2549" s="1" t="s">
        <v>1311</v>
      </c>
      <c r="D2549" s="1" t="s">
        <v>1617</v>
      </c>
      <c r="E2549" s="1" t="s">
        <v>2501</v>
      </c>
    </row>
    <row r="2550">
      <c r="A2550" s="2">
        <v>45906.52427083333</v>
      </c>
      <c r="B2550" s="1" t="s">
        <v>1732</v>
      </c>
      <c r="C2550" s="1" t="s">
        <v>1311</v>
      </c>
      <c r="D2550" s="1" t="s">
        <v>1617</v>
      </c>
      <c r="E2550" s="1" t="s">
        <v>2502</v>
      </c>
    </row>
    <row r="2551">
      <c r="A2551" s="2">
        <v>45906.52460648148</v>
      </c>
      <c r="B2551" s="1" t="s">
        <v>1732</v>
      </c>
      <c r="C2551" s="1" t="s">
        <v>1311</v>
      </c>
      <c r="D2551" s="1" t="s">
        <v>1617</v>
      </c>
      <c r="E2551" s="1" t="s">
        <v>2503</v>
      </c>
    </row>
    <row r="2552">
      <c r="A2552" s="2">
        <v>45906.52627314815</v>
      </c>
      <c r="B2552" s="1" t="s">
        <v>1732</v>
      </c>
      <c r="C2552" s="1" t="s">
        <v>1311</v>
      </c>
      <c r="D2552" s="1" t="s">
        <v>1617</v>
      </c>
      <c r="E2552" s="1" t="s">
        <v>2504</v>
      </c>
    </row>
    <row r="2553">
      <c r="A2553" s="2">
        <v>45906.52712962963</v>
      </c>
      <c r="B2553" s="1" t="s">
        <v>1732</v>
      </c>
      <c r="C2553" s="1" t="s">
        <v>1311</v>
      </c>
      <c r="D2553" s="1" t="s">
        <v>1617</v>
      </c>
      <c r="E2553" s="1" t="s">
        <v>2505</v>
      </c>
    </row>
    <row r="2554">
      <c r="A2554" s="2">
        <v>45906.52837962963</v>
      </c>
      <c r="B2554" s="1" t="s">
        <v>1732</v>
      </c>
      <c r="C2554" s="1" t="s">
        <v>1311</v>
      </c>
      <c r="D2554" s="1" t="s">
        <v>1617</v>
      </c>
      <c r="E2554" s="1" t="s">
        <v>2506</v>
      </c>
    </row>
    <row r="2555">
      <c r="A2555" s="2">
        <v>45906.52976851852</v>
      </c>
      <c r="B2555" s="1" t="s">
        <v>1732</v>
      </c>
      <c r="C2555" s="1" t="s">
        <v>1311</v>
      </c>
      <c r="D2555" s="1" t="s">
        <v>1617</v>
      </c>
      <c r="E2555" s="1" t="s">
        <v>2507</v>
      </c>
    </row>
    <row r="2556">
      <c r="A2556" s="2">
        <v>45906.53197916667</v>
      </c>
      <c r="B2556" s="1" t="s">
        <v>1732</v>
      </c>
      <c r="C2556" s="1" t="s">
        <v>1311</v>
      </c>
      <c r="D2556" s="1" t="s">
        <v>2508</v>
      </c>
      <c r="E2556" s="1" t="s">
        <v>2509</v>
      </c>
    </row>
    <row r="2557">
      <c r="A2557" s="2">
        <v>45906.29371527778</v>
      </c>
      <c r="B2557" s="1" t="s">
        <v>1317</v>
      </c>
      <c r="C2557" s="1" t="s">
        <v>849</v>
      </c>
      <c r="D2557" s="1" t="s">
        <v>2510</v>
      </c>
      <c r="E2557" s="1" t="s">
        <v>2511</v>
      </c>
    </row>
    <row r="2558">
      <c r="A2558" s="2">
        <v>45906.56837962963</v>
      </c>
      <c r="B2558" s="1" t="s">
        <v>1732</v>
      </c>
      <c r="C2558" s="1" t="s">
        <v>1311</v>
      </c>
      <c r="D2558" s="1" t="s">
        <v>1617</v>
      </c>
      <c r="E2558" s="1" t="s">
        <v>2512</v>
      </c>
    </row>
    <row r="2559">
      <c r="A2559" s="2">
        <v>45906.583958333336</v>
      </c>
      <c r="B2559" s="1" t="s">
        <v>325</v>
      </c>
      <c r="C2559" s="1" t="s">
        <v>1036</v>
      </c>
      <c r="D2559" s="1" t="s">
        <v>2303</v>
      </c>
      <c r="E2559" s="1" t="s">
        <v>2304</v>
      </c>
    </row>
    <row r="2560">
      <c r="A2560" s="2">
        <v>45906.81395833333</v>
      </c>
      <c r="B2560" s="1" t="s">
        <v>1311</v>
      </c>
      <c r="C2560" s="1" t="s">
        <v>1732</v>
      </c>
      <c r="D2560" s="1" t="s">
        <v>2513</v>
      </c>
      <c r="E2560" s="1" t="s">
        <v>2514</v>
      </c>
    </row>
    <row r="2561">
      <c r="A2561" s="2">
        <v>45908.45449074074</v>
      </c>
      <c r="B2561" s="1" t="s">
        <v>857</v>
      </c>
      <c r="C2561" s="1" t="s">
        <v>845</v>
      </c>
      <c r="D2561" s="1" t="s">
        <v>1368</v>
      </c>
      <c r="E2561" s="1" t="s">
        <v>847</v>
      </c>
    </row>
    <row r="2562">
      <c r="A2562" s="2">
        <v>45908.472592592596</v>
      </c>
      <c r="B2562" s="1" t="s">
        <v>844</v>
      </c>
      <c r="C2562" s="1" t="s">
        <v>1036</v>
      </c>
      <c r="D2562" s="1" t="s">
        <v>2515</v>
      </c>
      <c r="E2562" s="1" t="s">
        <v>847</v>
      </c>
    </row>
    <row r="2563">
      <c r="A2563" s="2">
        <v>45908.722766203704</v>
      </c>
      <c r="B2563" s="1" t="s">
        <v>2205</v>
      </c>
      <c r="C2563" s="1" t="s">
        <v>845</v>
      </c>
      <c r="D2563" s="3" t="str">
        <f>?utf-8?B?WW91J3JlIGludml0ZWQ6IFRoZSBicm93c2VyIHVzZXJzIG5ldmVyIHN3aXRjaCBmcm9t?=</f>
        <v>#ERROR!</v>
      </c>
      <c r="E2563" s="1" t="s">
        <v>2516</v>
      </c>
    </row>
    <row r="2564">
      <c r="A2564" s="2">
        <v>45908.98304398148</v>
      </c>
      <c r="B2564" s="1" t="s">
        <v>2517</v>
      </c>
      <c r="C2564" s="1" t="s">
        <v>845</v>
      </c>
      <c r="D2564" s="1" t="s">
        <v>2518</v>
      </c>
      <c r="E2564" s="1" t="s">
        <v>2519</v>
      </c>
    </row>
    <row r="2565">
      <c r="A2565" s="2">
        <v>45909.32511574074</v>
      </c>
      <c r="B2565" s="1" t="s">
        <v>1311</v>
      </c>
      <c r="C2565" s="1" t="s">
        <v>2428</v>
      </c>
      <c r="D2565" s="1" t="s">
        <v>2429</v>
      </c>
      <c r="E2565" s="1" t="s">
        <v>2520</v>
      </c>
    </row>
    <row r="2566">
      <c r="A2566" s="2">
        <v>45909.62390046296</v>
      </c>
      <c r="B2566" s="1" t="s">
        <v>857</v>
      </c>
      <c r="C2566" s="1" t="s">
        <v>845</v>
      </c>
      <c r="D2566" s="3" t="str">
        <f>?UTF-8?q?50%_off_your_next_3_orders_-_just_for_you_=F0=9F=91=80?=</f>
        <v>#ERROR!</v>
      </c>
      <c r="E2566" s="1" t="s">
        <v>847</v>
      </c>
    </row>
    <row r="2567">
      <c r="A2567" s="2">
        <v>45909.62762731482</v>
      </c>
      <c r="B2567" s="1" t="s">
        <v>857</v>
      </c>
      <c r="C2567" s="1" t="s">
        <v>1036</v>
      </c>
      <c r="D2567" s="3" t="str">
        <f>?UTF-8?q?50%_off_your_next_3_orders_-_just_for_you_=F0=9F=91=80?=</f>
        <v>#ERROR!</v>
      </c>
      <c r="E2567" s="1" t="s">
        <v>847</v>
      </c>
    </row>
    <row r="2568">
      <c r="A2568" s="2">
        <v>45909.638645833336</v>
      </c>
      <c r="B2568" s="1" t="s">
        <v>1564</v>
      </c>
      <c r="C2568" s="1" t="s">
        <v>845</v>
      </c>
      <c r="D2568" s="1" t="s">
        <v>2521</v>
      </c>
      <c r="E2568" s="1" t="s">
        <v>2522</v>
      </c>
    </row>
    <row r="2569">
      <c r="A2569" s="2">
        <v>45909.671944444446</v>
      </c>
      <c r="B2569" s="1" t="s">
        <v>1564</v>
      </c>
      <c r="C2569" s="1" t="s">
        <v>2141</v>
      </c>
      <c r="D2569" s="1" t="s">
        <v>2521</v>
      </c>
      <c r="E2569" s="1" t="s">
        <v>2523</v>
      </c>
    </row>
    <row r="2570">
      <c r="A2570" s="2">
        <v>45909.78607638889</v>
      </c>
      <c r="B2570" s="1" t="s">
        <v>1302</v>
      </c>
      <c r="C2570" s="1" t="s">
        <v>1105</v>
      </c>
      <c r="D2570" s="1" t="s">
        <v>2524</v>
      </c>
      <c r="E2570" s="1" t="s">
        <v>2525</v>
      </c>
    </row>
    <row r="2571">
      <c r="A2571" s="2">
        <v>45909.594988425924</v>
      </c>
      <c r="B2571" s="1" t="s">
        <v>2437</v>
      </c>
      <c r="C2571" s="1" t="s">
        <v>2526</v>
      </c>
      <c r="D2571" s="1" t="s">
        <v>2527</v>
      </c>
      <c r="E2571" s="1" t="s">
        <v>2528</v>
      </c>
    </row>
    <row r="2572">
      <c r="A2572" s="2">
        <v>45909.82811342592</v>
      </c>
      <c r="B2572" s="1" t="s">
        <v>1579</v>
      </c>
      <c r="C2572" s="1" t="s">
        <v>845</v>
      </c>
      <c r="D2572" s="1" t="s">
        <v>2529</v>
      </c>
      <c r="E2572" s="1" t="s">
        <v>908</v>
      </c>
    </row>
    <row r="2573">
      <c r="A2573" s="2">
        <v>45909.82815972222</v>
      </c>
      <c r="B2573" s="1" t="s">
        <v>857</v>
      </c>
      <c r="C2573" s="1" t="s">
        <v>1036</v>
      </c>
      <c r="D2573" s="1" t="s">
        <v>861</v>
      </c>
      <c r="E2573" s="1" t="s">
        <v>847</v>
      </c>
    </row>
    <row r="2574">
      <c r="A2574" s="2">
        <v>45910.03533564815</v>
      </c>
      <c r="B2574" s="1" t="s">
        <v>857</v>
      </c>
      <c r="C2574" s="1" t="s">
        <v>845</v>
      </c>
      <c r="D2574" s="1" t="s">
        <v>861</v>
      </c>
      <c r="E2574" s="1" t="s">
        <v>847</v>
      </c>
    </row>
    <row r="2575">
      <c r="A2575" s="2">
        <v>45909.91122685185</v>
      </c>
      <c r="B2575" s="1" t="s">
        <v>1311</v>
      </c>
      <c r="C2575" s="1" t="s">
        <v>1302</v>
      </c>
      <c r="D2575" s="1" t="s">
        <v>2530</v>
      </c>
      <c r="E2575" s="1" t="s">
        <v>2531</v>
      </c>
    </row>
    <row r="2576">
      <c r="A2576" s="2">
        <v>45910.469502314816</v>
      </c>
      <c r="B2576" s="1" t="s">
        <v>844</v>
      </c>
      <c r="C2576" s="1" t="s">
        <v>1036</v>
      </c>
      <c r="D2576" s="1" t="s">
        <v>2532</v>
      </c>
      <c r="E2576" s="1" t="s">
        <v>847</v>
      </c>
    </row>
    <row r="2577">
      <c r="A2577" s="2">
        <v>45910.50309027778</v>
      </c>
      <c r="B2577" s="1" t="s">
        <v>844</v>
      </c>
      <c r="C2577" s="1" t="s">
        <v>845</v>
      </c>
      <c r="D2577" s="1" t="s">
        <v>2533</v>
      </c>
      <c r="E2577" s="1" t="s">
        <v>847</v>
      </c>
    </row>
    <row r="2578">
      <c r="A2578" s="2">
        <v>45911.72017361111</v>
      </c>
      <c r="B2578" s="1" t="s">
        <v>844</v>
      </c>
      <c r="C2578" s="1" t="s">
        <v>1036</v>
      </c>
      <c r="D2578" s="3" t="str">
        <f>?UTF-8?q?Paul,_claim_$10_in_Uber_Cash_on_your_first_order!_=F0=9F=8D=95?=</f>
        <v>#ERROR!</v>
      </c>
      <c r="E2578" s="1" t="s">
        <v>847</v>
      </c>
    </row>
    <row r="2579">
      <c r="A2579" s="2">
        <v>45911.72277777778</v>
      </c>
      <c r="B2579" s="1" t="s">
        <v>2205</v>
      </c>
      <c r="C2579" s="1" t="s">
        <v>845</v>
      </c>
      <c r="D2579" s="1" t="s">
        <v>2534</v>
      </c>
      <c r="E2579" s="1" t="s">
        <v>2535</v>
      </c>
    </row>
    <row r="2580">
      <c r="A2580" s="2">
        <v>45911.934432870374</v>
      </c>
      <c r="B2580" s="1" t="s">
        <v>1311</v>
      </c>
      <c r="C2580" s="1" t="s">
        <v>2536</v>
      </c>
      <c r="D2580" s="1" t="s">
        <v>2537</v>
      </c>
      <c r="E2580" s="1" t="s">
        <v>2538</v>
      </c>
    </row>
    <row r="2581">
      <c r="A2581" s="2">
        <v>45911.89519675926</v>
      </c>
      <c r="B2581" s="1" t="s">
        <v>1108</v>
      </c>
      <c r="C2581" s="1" t="s">
        <v>2144</v>
      </c>
      <c r="D2581" s="1" t="s">
        <v>2539</v>
      </c>
      <c r="E2581" s="1" t="s">
        <v>1534</v>
      </c>
    </row>
    <row r="2582">
      <c r="A2582" s="2">
        <v>45911.89619212963</v>
      </c>
      <c r="B2582" s="1" t="s">
        <v>1108</v>
      </c>
      <c r="C2582" s="1" t="s">
        <v>849</v>
      </c>
      <c r="D2582" s="1" t="s">
        <v>2540</v>
      </c>
      <c r="E2582" s="1" t="s">
        <v>1534</v>
      </c>
    </row>
    <row r="2583">
      <c r="A2583" s="2">
        <v>45912.504375</v>
      </c>
      <c r="B2583" s="1" t="s">
        <v>848</v>
      </c>
      <c r="C2583" s="1" t="s">
        <v>849</v>
      </c>
      <c r="D2583" s="1" t="s">
        <v>2541</v>
      </c>
      <c r="E2583" s="1" t="s">
        <v>851</v>
      </c>
    </row>
    <row r="2584">
      <c r="A2584" s="2">
        <v>45912.51693287037</v>
      </c>
      <c r="B2584" s="1" t="s">
        <v>294</v>
      </c>
      <c r="C2584" s="1" t="s">
        <v>2144</v>
      </c>
      <c r="D2584" s="1" t="s">
        <v>2542</v>
      </c>
      <c r="E2584" s="1" t="s">
        <v>887</v>
      </c>
    </row>
    <row r="2585">
      <c r="A2585" s="2">
        <v>45912.57989583333</v>
      </c>
      <c r="B2585" s="1" t="s">
        <v>1311</v>
      </c>
      <c r="C2585" s="1" t="s">
        <v>2428</v>
      </c>
      <c r="D2585" s="1" t="s">
        <v>2543</v>
      </c>
      <c r="E2585" s="1" t="s">
        <v>2544</v>
      </c>
    </row>
    <row r="2586">
      <c r="A2586" s="2">
        <v>45912.586851851855</v>
      </c>
      <c r="B2586" s="1" t="s">
        <v>1311</v>
      </c>
      <c r="C2586" s="1" t="s">
        <v>1649</v>
      </c>
      <c r="D2586" s="1" t="s">
        <v>2545</v>
      </c>
      <c r="E2586" s="1" t="s">
        <v>2546</v>
      </c>
    </row>
    <row r="2587">
      <c r="A2587" s="2">
        <v>45912.738391203704</v>
      </c>
      <c r="B2587" s="1" t="s">
        <v>857</v>
      </c>
      <c r="C2587" s="1" t="s">
        <v>845</v>
      </c>
      <c r="D2587" s="1" t="s">
        <v>1532</v>
      </c>
      <c r="E2587" s="1" t="s">
        <v>847</v>
      </c>
    </row>
    <row r="2588">
      <c r="A2588" s="2">
        <v>45912.626759259256</v>
      </c>
      <c r="B2588" s="1" t="s">
        <v>1311</v>
      </c>
      <c r="C2588" s="1" t="s">
        <v>2428</v>
      </c>
      <c r="D2588" s="1" t="s">
        <v>2429</v>
      </c>
      <c r="E2588" s="1" t="s">
        <v>2544</v>
      </c>
    </row>
    <row r="2589">
      <c r="A2589" s="2">
        <v>45912.64965277778</v>
      </c>
      <c r="B2589" s="1" t="s">
        <v>259</v>
      </c>
      <c r="C2589" s="1" t="s">
        <v>2144</v>
      </c>
      <c r="D2589" s="3" t="str">
        <f>?utf-8?B?U2hhd24sIHlvdXIgYmVzdCBvZmZlcnMgdGhpcyB3ZWVrIGFyZQ==?=
 =?utf-8?B?IGhlcmUhIPCfjok=?=</f>
        <v>#ERROR!</v>
      </c>
      <c r="E2589" s="1" t="s">
        <v>880</v>
      </c>
    </row>
    <row r="2590">
      <c r="A2590" s="2">
        <v>45912.71166666667</v>
      </c>
      <c r="B2590" s="1" t="s">
        <v>2437</v>
      </c>
      <c r="C2590" s="1" t="s">
        <v>2526</v>
      </c>
      <c r="D2590" s="1" t="s">
        <v>2547</v>
      </c>
      <c r="E2590" s="1" t="s">
        <v>2548</v>
      </c>
    </row>
    <row r="2591">
      <c r="A2591" s="2">
        <v>45912.749502314815</v>
      </c>
      <c r="B2591" s="1" t="s">
        <v>1108</v>
      </c>
      <c r="C2591" s="1" t="s">
        <v>2144</v>
      </c>
      <c r="D2591" s="1" t="s">
        <v>2549</v>
      </c>
      <c r="E2591" s="1" t="s">
        <v>2550</v>
      </c>
    </row>
    <row r="2592">
      <c r="A2592" s="2">
        <v>45912.75184027778</v>
      </c>
      <c r="B2592" s="1" t="s">
        <v>1300</v>
      </c>
      <c r="C2592" s="1" t="s">
        <v>845</v>
      </c>
      <c r="D2592" s="3" t="str">
        <f>?UTF-8?Q?=F0=9F=93=B7_Make_impossible_selfies_with_Gemini?=</f>
        <v>#ERROR!</v>
      </c>
      <c r="E2592" s="1" t="s">
        <v>2551</v>
      </c>
    </row>
    <row r="2593">
      <c r="A2593" s="2">
        <v>45913.06025462963</v>
      </c>
      <c r="B2593" s="1" t="s">
        <v>2552</v>
      </c>
      <c r="C2593" s="1" t="s">
        <v>1311</v>
      </c>
      <c r="D2593" s="1" t="s">
        <v>2553</v>
      </c>
      <c r="E2593" s="1" t="s">
        <v>2554</v>
      </c>
    </row>
    <row r="2594">
      <c r="A2594" s="2">
        <v>45912.98657407407</v>
      </c>
      <c r="B2594" s="1" t="s">
        <v>1311</v>
      </c>
      <c r="C2594" s="1" t="s">
        <v>2248</v>
      </c>
      <c r="D2594" s="1" t="s">
        <v>2555</v>
      </c>
      <c r="E2594" s="1" t="s">
        <v>2556</v>
      </c>
    </row>
    <row r="2595">
      <c r="A2595" s="2">
        <v>45913.4216087963</v>
      </c>
      <c r="B2595" s="1" t="s">
        <v>848</v>
      </c>
      <c r="C2595" s="1" t="s">
        <v>1602</v>
      </c>
      <c r="D2595" s="3" t="str">
        <f>?utf-8?q?Use_your_50%_off_promo_before_it=E2=80=99s_gone!?=</f>
        <v>#ERROR!</v>
      </c>
      <c r="E2595" s="1" t="s">
        <v>851</v>
      </c>
    </row>
    <row r="2596">
      <c r="A2596" s="2">
        <v>45913.29253472222</v>
      </c>
      <c r="B2596" s="1" t="s">
        <v>1317</v>
      </c>
      <c r="C2596" s="1" t="s">
        <v>849</v>
      </c>
      <c r="D2596" s="1" t="s">
        <v>2557</v>
      </c>
      <c r="E2596" s="1" t="s">
        <v>2558</v>
      </c>
    </row>
    <row r="2597">
      <c r="A2597" s="2">
        <v>45913.42737268518</v>
      </c>
      <c r="B2597" s="1" t="s">
        <v>1311</v>
      </c>
      <c r="C2597" s="1" t="s">
        <v>1649</v>
      </c>
      <c r="D2597" s="1" t="s">
        <v>2559</v>
      </c>
      <c r="E2597" s="1" t="s">
        <v>2560</v>
      </c>
    </row>
    <row r="2598">
      <c r="A2598" s="2">
        <v>45914.47592592592</v>
      </c>
      <c r="B2598" s="1" t="s">
        <v>844</v>
      </c>
      <c r="C2598" s="1" t="s">
        <v>845</v>
      </c>
      <c r="D2598" s="1" t="s">
        <v>2561</v>
      </c>
      <c r="E2598" s="1" t="s">
        <v>847</v>
      </c>
    </row>
    <row r="2599">
      <c r="A2599" s="2">
        <v>45914.901921296296</v>
      </c>
      <c r="B2599" s="1" t="s">
        <v>1311</v>
      </c>
      <c r="C2599" s="1" t="s">
        <v>1649</v>
      </c>
      <c r="D2599" s="1" t="s">
        <v>1978</v>
      </c>
      <c r="E2599" s="1" t="s">
        <v>2562</v>
      </c>
    </row>
    <row r="2600">
      <c r="A2600" s="2">
        <v>45915.45625</v>
      </c>
      <c r="B2600" s="1" t="s">
        <v>860</v>
      </c>
      <c r="C2600" s="1" t="s">
        <v>849</v>
      </c>
      <c r="D2600" s="1" t="s">
        <v>1368</v>
      </c>
      <c r="E2600" s="1" t="s">
        <v>851</v>
      </c>
    </row>
    <row r="2601">
      <c r="A2601" s="2">
        <v>45915.336435185185</v>
      </c>
      <c r="B2601" s="1" t="s">
        <v>1317</v>
      </c>
      <c r="C2601" s="1" t="s">
        <v>849</v>
      </c>
      <c r="D2601" s="1" t="s">
        <v>2563</v>
      </c>
      <c r="E2601" s="1" t="s">
        <v>2564</v>
      </c>
    </row>
    <row r="2602">
      <c r="A2602" s="2">
        <v>45915.720185185186</v>
      </c>
      <c r="B2602" s="1" t="s">
        <v>844</v>
      </c>
      <c r="C2602" s="1" t="s">
        <v>1036</v>
      </c>
      <c r="D2602" s="3" t="str">
        <f>?UTF-8?q?Start_with_$10_in_Uber_Cash_on_your_first_Uber_Eats_order,_Paul?=
 =?UTF-8?q?_=F0=9F=A5=97?=</f>
        <v>#ERROR!</v>
      </c>
      <c r="E2602" s="1" t="s">
        <v>847</v>
      </c>
    </row>
    <row r="2603">
      <c r="A2603" s="2">
        <v>45915.72278935185</v>
      </c>
      <c r="B2603" s="1" t="s">
        <v>2205</v>
      </c>
      <c r="C2603" s="1" t="s">
        <v>845</v>
      </c>
      <c r="D2603" s="1" t="s">
        <v>2565</v>
      </c>
      <c r="E2603" s="1" t="s">
        <v>2535</v>
      </c>
    </row>
    <row r="2604">
      <c r="A2604" s="2">
        <v>45915.793171296296</v>
      </c>
      <c r="B2604" s="1" t="s">
        <v>325</v>
      </c>
      <c r="C2604" s="1" t="s">
        <v>2141</v>
      </c>
      <c r="D2604" s="1" t="s">
        <v>2253</v>
      </c>
      <c r="E2604" s="1" t="s">
        <v>2566</v>
      </c>
    </row>
    <row r="2605">
      <c r="A2605" s="2">
        <v>45915.85444444444</v>
      </c>
      <c r="B2605" s="1" t="s">
        <v>1311</v>
      </c>
      <c r="C2605" s="1" t="s">
        <v>2567</v>
      </c>
      <c r="D2605" s="1" t="s">
        <v>2568</v>
      </c>
      <c r="E2605" s="1" t="s">
        <v>2569</v>
      </c>
    </row>
    <row r="2606">
      <c r="A2606" s="2">
        <v>45915.79224537037</v>
      </c>
      <c r="B2606" s="1" t="s">
        <v>2143</v>
      </c>
      <c r="C2606" s="1" t="s">
        <v>2144</v>
      </c>
      <c r="D2606" s="3" t="str">
        <f>?UTF-8?B?Q3JhaWcsIHlvdXIgZnVubmllc3Qg4oCcbWVtZeKAnW9yaWVzIGNv?=
 =?UTF-8?B?dWxkIHdpbiogYSAkMTAwIGdpZnQgY2FyZCE=?=</f>
        <v>#ERROR!</v>
      </c>
      <c r="E2606" s="1" t="s">
        <v>2570</v>
      </c>
    </row>
    <row r="2607">
      <c r="A2607" s="2">
        <v>45916.04456018518</v>
      </c>
      <c r="B2607" s="1" t="s">
        <v>857</v>
      </c>
      <c r="C2607" s="1" t="s">
        <v>1036</v>
      </c>
      <c r="D2607" s="3" t="str">
        <f>?UTF-8?q?50%_off_your_next_3_orders_-_just_for_you_=F0=9F=91=80?=</f>
        <v>#ERROR!</v>
      </c>
      <c r="E2607" s="1" t="s">
        <v>847</v>
      </c>
    </row>
    <row r="2608">
      <c r="A2608" s="2">
        <v>45916.438125</v>
      </c>
      <c r="B2608" s="1" t="s">
        <v>325</v>
      </c>
      <c r="C2608" s="1" t="s">
        <v>1036</v>
      </c>
      <c r="D2608" s="1" t="s">
        <v>2303</v>
      </c>
      <c r="E2608" s="1" t="s">
        <v>2304</v>
      </c>
    </row>
    <row r="2609">
      <c r="A2609" s="2">
        <v>45917.64696759259</v>
      </c>
      <c r="B2609" s="1" t="s">
        <v>294</v>
      </c>
      <c r="C2609" s="1" t="s">
        <v>2144</v>
      </c>
      <c r="D2609" s="1" t="s">
        <v>2571</v>
      </c>
      <c r="E2609" s="1" t="s">
        <v>887</v>
      </c>
    </row>
    <row r="2610">
      <c r="A2610" s="2">
        <v>45917.71445601852</v>
      </c>
      <c r="B2610" s="1" t="s">
        <v>745</v>
      </c>
      <c r="C2610" s="1" t="s">
        <v>526</v>
      </c>
      <c r="D2610" s="1" t="s">
        <v>2571</v>
      </c>
      <c r="E2610" s="1" t="s">
        <v>887</v>
      </c>
    </row>
    <row r="2611">
      <c r="A2611" s="2">
        <v>45917.76880787037</v>
      </c>
      <c r="B2611" s="1" t="s">
        <v>259</v>
      </c>
      <c r="C2611" s="1" t="s">
        <v>2144</v>
      </c>
      <c r="D2611" s="3" t="str">
        <f>?utf-8?B?U29hayB1cCB0aGUgc3VuICsgMjAwIEJvbnVzIE1pbGVzIGluIA==?=
 =?utf-8?B?QXJpem9uYSDwn5iO?=</f>
        <v>#ERROR!</v>
      </c>
      <c r="E2611" s="1" t="s">
        <v>887</v>
      </c>
    </row>
    <row r="2612">
      <c r="A2612" s="2">
        <v>45918.76081018519</v>
      </c>
      <c r="B2612" s="1" t="s">
        <v>259</v>
      </c>
      <c r="C2612" s="1" t="s">
        <v>2144</v>
      </c>
      <c r="D2612" s="3" t="str">
        <f>?utf-8?B?U2hhd24sIHlvdXIgYmVzdCBvZmZlcnMgdGhpcyB3ZWVrIGFyZQ==?=
 =?utf-8?B?IGhlcmUhIPCfjok=?=</f>
        <v>#ERROR!</v>
      </c>
      <c r="E2612" s="1" t="s">
        <v>880</v>
      </c>
    </row>
    <row r="2613">
      <c r="A2613" s="2">
        <v>45919.495300925926</v>
      </c>
      <c r="B2613" s="1" t="s">
        <v>294</v>
      </c>
      <c r="C2613" s="1" t="s">
        <v>2144</v>
      </c>
      <c r="D2613" s="1" t="s">
        <v>2572</v>
      </c>
      <c r="E2613" s="1" t="s">
        <v>887</v>
      </c>
    </row>
    <row r="2614">
      <c r="A2614" s="2">
        <v>45919.781747685185</v>
      </c>
      <c r="B2614" s="1" t="s">
        <v>294</v>
      </c>
      <c r="C2614" s="1" t="s">
        <v>2144</v>
      </c>
      <c r="D2614" s="1" t="s">
        <v>2573</v>
      </c>
      <c r="E2614" s="1" t="s">
        <v>887</v>
      </c>
    </row>
    <row r="2615">
      <c r="A2615" s="2">
        <v>45919.9119212963</v>
      </c>
      <c r="B2615" s="1" t="s">
        <v>1311</v>
      </c>
      <c r="C2615" s="1" t="s">
        <v>1649</v>
      </c>
      <c r="D2615" s="1" t="s">
        <v>1978</v>
      </c>
      <c r="E2615" s="1" t="s">
        <v>2574</v>
      </c>
    </row>
    <row r="2616">
      <c r="A2616" s="2">
        <v>45920.47363425926</v>
      </c>
      <c r="B2616" s="1" t="s">
        <v>844</v>
      </c>
      <c r="C2616" s="1" t="s">
        <v>1036</v>
      </c>
      <c r="D2616" s="3" t="str">
        <f>?UTF-8?q?Use_your_50%_off_promo_before_it=E2=80=99s_gone!?=</f>
        <v>#ERROR!</v>
      </c>
      <c r="E2616" s="1" t="s">
        <v>847</v>
      </c>
    </row>
    <row r="2617">
      <c r="A2617" s="2">
        <v>45920.29366898148</v>
      </c>
      <c r="B2617" s="1" t="s">
        <v>1317</v>
      </c>
      <c r="C2617" s="1" t="s">
        <v>849</v>
      </c>
      <c r="D2617" s="3" t="str">
        <f>?UTF-8?B?Q2F1Z2h0IGluIHRoZSBBY3TigKYgb2YgR2V0dGluZyBNYXRjaGVk?=
 =?UTF-8?B?IQ==?=</f>
        <v>#ERROR!</v>
      </c>
      <c r="E2617" s="1" t="s">
        <v>2575</v>
      </c>
    </row>
    <row r="2618">
      <c r="A2618" s="2">
        <v>45921.01144675926</v>
      </c>
      <c r="B2618" s="1" t="s">
        <v>1311</v>
      </c>
      <c r="C2618" s="1" t="s">
        <v>1111</v>
      </c>
      <c r="D2618" s="1" t="s">
        <v>1978</v>
      </c>
      <c r="E2618" s="1" t="s">
        <v>2576</v>
      </c>
    </row>
    <row r="2619">
      <c r="A2619" s="2">
        <v>45921.66391203704</v>
      </c>
      <c r="B2619" s="1" t="s">
        <v>222</v>
      </c>
      <c r="C2619" s="1" t="s">
        <v>2141</v>
      </c>
      <c r="D2619" s="1" t="s">
        <v>2577</v>
      </c>
      <c r="E2619" s="1" t="s">
        <v>2578</v>
      </c>
    </row>
    <row r="2620">
      <c r="A2620" s="2">
        <v>45922.51230324074</v>
      </c>
      <c r="B2620" s="1" t="s">
        <v>735</v>
      </c>
      <c r="C2620" s="1" t="s">
        <v>524</v>
      </c>
      <c r="D2620" s="3" t="str">
        <f>?utf-8?B?QWxsIGFib2FyZCEgT3VyIGxhdGVzdCBTaGVsbCBHbysgY29udA==?=
 =?utf-8?B?ZXN0IGlzIGhlcmUg8J+ahg==?=</f>
        <v>#ERROR!</v>
      </c>
      <c r="E2620" s="1" t="s">
        <v>887</v>
      </c>
    </row>
    <row r="2621">
      <c r="A2621" s="2">
        <v>45922.982766203706</v>
      </c>
      <c r="B2621" s="1" t="s">
        <v>860</v>
      </c>
      <c r="C2621" s="1" t="s">
        <v>1602</v>
      </c>
      <c r="D2621" s="3" t="str">
        <f>?utf-8?q?50%_off_your_next_3_orders_-_just_for_you_=F0=9F=91=80?=</f>
        <v>#ERROR!</v>
      </c>
      <c r="E2621" s="1" t="s">
        <v>851</v>
      </c>
    </row>
    <row r="2622">
      <c r="A2622" s="2">
        <v>45923.419490740744</v>
      </c>
      <c r="B2622" s="1" t="s">
        <v>1311</v>
      </c>
      <c r="C2622" s="1" t="s">
        <v>2579</v>
      </c>
      <c r="D2622" s="1" t="s">
        <v>2580</v>
      </c>
      <c r="E2622" s="1" t="s">
        <v>2581</v>
      </c>
    </row>
    <row r="2623">
      <c r="A2623" s="2">
        <v>45923.42083333333</v>
      </c>
      <c r="B2623" s="1" t="s">
        <v>2582</v>
      </c>
      <c r="C2623" s="1" t="s">
        <v>845</v>
      </c>
      <c r="D2623" s="3" t="str">
        <f>?UTF-8?Q?=E2=8F=B0?= How does 3 extra billable hours per day
 sound?</f>
        <v>#ERROR!</v>
      </c>
      <c r="E2623" s="1" t="s">
        <v>2583</v>
      </c>
    </row>
    <row r="2624">
      <c r="A2624" s="2">
        <v>45923.65392361111</v>
      </c>
      <c r="B2624" s="1" t="s">
        <v>857</v>
      </c>
      <c r="C2624" s="1" t="s">
        <v>1036</v>
      </c>
      <c r="D2624" s="1" t="s">
        <v>861</v>
      </c>
      <c r="E2624" s="1" t="s">
        <v>847</v>
      </c>
    </row>
    <row r="2625">
      <c r="A2625" s="2">
        <v>45923.72756944445</v>
      </c>
      <c r="B2625" s="1" t="s">
        <v>844</v>
      </c>
      <c r="C2625" s="1" t="s">
        <v>1036</v>
      </c>
      <c r="D2625" s="1" t="s">
        <v>2584</v>
      </c>
      <c r="E2625" s="1" t="s">
        <v>847</v>
      </c>
    </row>
    <row r="2626">
      <c r="A2626" s="2">
        <v>45923.70358796296</v>
      </c>
      <c r="B2626" s="1" t="s">
        <v>1108</v>
      </c>
      <c r="C2626" s="1" t="s">
        <v>2144</v>
      </c>
      <c r="D2626" s="1" t="s">
        <v>2585</v>
      </c>
      <c r="E2626" s="1" t="s">
        <v>2550</v>
      </c>
    </row>
    <row r="2627">
      <c r="A2627" s="2">
        <v>45923.704664351855</v>
      </c>
      <c r="B2627" s="1" t="s">
        <v>1108</v>
      </c>
      <c r="C2627" s="1" t="s">
        <v>849</v>
      </c>
      <c r="D2627" s="1" t="s">
        <v>2586</v>
      </c>
      <c r="E2627" s="1" t="s">
        <v>2550</v>
      </c>
    </row>
    <row r="2628">
      <c r="A2628" s="2">
        <v>45924.35011574074</v>
      </c>
      <c r="B2628" s="1" t="s">
        <v>2582</v>
      </c>
      <c r="C2628" s="1" t="s">
        <v>845</v>
      </c>
      <c r="D2628" s="1" t="s">
        <v>2587</v>
      </c>
      <c r="E2628" s="1" t="s">
        <v>2588</v>
      </c>
    </row>
    <row r="2629">
      <c r="A2629" s="2">
        <v>45924.767592592594</v>
      </c>
      <c r="B2629" s="1" t="s">
        <v>2579</v>
      </c>
      <c r="C2629" s="1" t="s">
        <v>1311</v>
      </c>
      <c r="D2629" s="1" t="s">
        <v>2589</v>
      </c>
      <c r="E2629" s="1" t="s">
        <v>2590</v>
      </c>
    </row>
    <row r="2630">
      <c r="A2630" s="2">
        <v>45924.6850462963</v>
      </c>
      <c r="B2630" s="1" t="s">
        <v>535</v>
      </c>
      <c r="C2630" s="1" t="s">
        <v>524</v>
      </c>
      <c r="D2630" s="3" t="str">
        <f>?utf-8?B?RmFsbCBmb3IgY3Jpc3BlciBhaXIgYW5kIHVwIHRvIDEweCBtbw==?=
 =?utf-8?B?cmUgTWlsZXMg8J+Ngg==?=</f>
        <v>#ERROR!</v>
      </c>
      <c r="E2630" s="1" t="s">
        <v>887</v>
      </c>
    </row>
    <row r="2631">
      <c r="A2631" s="2">
        <v>45924.68508101852</v>
      </c>
      <c r="B2631" s="1" t="s">
        <v>259</v>
      </c>
      <c r="C2631" s="1" t="s">
        <v>2144</v>
      </c>
      <c r="D2631" s="3" t="str">
        <f>?utf-8?B?RmFsbCBmb3IgY3Jpc3BlciBhaXIgYW5kIHVwIHRvIDEweCBtbw==?=
 =?utf-8?B?cmUgTWlsZXMg8J+Ngg==?=</f>
        <v>#ERROR!</v>
      </c>
      <c r="E2631" s="1" t="s">
        <v>887</v>
      </c>
    </row>
    <row r="2632">
      <c r="A2632" s="2">
        <v>45924.69493055555</v>
      </c>
      <c r="B2632" s="1" t="s">
        <v>259</v>
      </c>
      <c r="C2632" s="1" t="s">
        <v>2144</v>
      </c>
      <c r="D2632" s="1" t="s">
        <v>2591</v>
      </c>
      <c r="E2632" s="1" t="s">
        <v>887</v>
      </c>
    </row>
    <row r="2633">
      <c r="A2633" s="2">
        <v>45924.69516203704</v>
      </c>
      <c r="B2633" s="1" t="s">
        <v>535</v>
      </c>
      <c r="C2633" s="1" t="s">
        <v>524</v>
      </c>
      <c r="D2633" s="1" t="s">
        <v>2591</v>
      </c>
      <c r="E2633" s="1" t="s">
        <v>887</v>
      </c>
    </row>
    <row r="2634">
      <c r="A2634" s="2">
        <v>45924.76378472222</v>
      </c>
      <c r="B2634" s="1" t="s">
        <v>1311</v>
      </c>
      <c r="C2634" s="1" t="s">
        <v>2579</v>
      </c>
      <c r="D2634" s="1" t="s">
        <v>2580</v>
      </c>
      <c r="E2634" s="1" t="s">
        <v>2592</v>
      </c>
    </row>
    <row r="2635">
      <c r="A2635" s="2">
        <v>45925.483773148146</v>
      </c>
      <c r="B2635" s="1" t="s">
        <v>325</v>
      </c>
      <c r="C2635" s="1" t="s">
        <v>1036</v>
      </c>
      <c r="D2635" s="1" t="s">
        <v>2303</v>
      </c>
      <c r="E2635" s="1" t="s">
        <v>2304</v>
      </c>
    </row>
    <row r="2636">
      <c r="A2636" s="2">
        <v>45925.38564814815</v>
      </c>
      <c r="B2636" s="1" t="s">
        <v>1311</v>
      </c>
      <c r="C2636" s="1" t="s">
        <v>1649</v>
      </c>
      <c r="E2636" s="1" t="s">
        <v>2593</v>
      </c>
    </row>
    <row r="2637">
      <c r="A2637" s="2">
        <v>45925.82407407407</v>
      </c>
      <c r="B2637" s="1" t="s">
        <v>735</v>
      </c>
      <c r="C2637" s="1" t="s">
        <v>524</v>
      </c>
      <c r="D2637" s="1" t="s">
        <v>2594</v>
      </c>
      <c r="E2637" s="1" t="s">
        <v>887</v>
      </c>
    </row>
    <row r="2638">
      <c r="A2638" s="2">
        <v>45926.020219907405</v>
      </c>
      <c r="B2638" s="1" t="s">
        <v>325</v>
      </c>
      <c r="C2638" s="1" t="s">
        <v>2141</v>
      </c>
      <c r="D2638" s="1" t="s">
        <v>2253</v>
      </c>
      <c r="E2638" s="1" t="s">
        <v>2595</v>
      </c>
    </row>
    <row r="2639">
      <c r="A2639" s="2">
        <v>45926.0790625</v>
      </c>
      <c r="B2639" s="1" t="s">
        <v>222</v>
      </c>
      <c r="C2639" s="1" t="s">
        <v>2141</v>
      </c>
      <c r="D2639" s="1" t="s">
        <v>911</v>
      </c>
      <c r="E2639" s="1" t="s">
        <v>2596</v>
      </c>
    </row>
    <row r="2640">
      <c r="A2640" s="2">
        <v>45926.34096064815</v>
      </c>
      <c r="B2640" s="1" t="s">
        <v>2597</v>
      </c>
      <c r="C2640" s="1" t="s">
        <v>1311</v>
      </c>
      <c r="D2640" s="1" t="s">
        <v>2598</v>
      </c>
      <c r="E2640" s="1" t="s">
        <v>2599</v>
      </c>
    </row>
    <row r="2641">
      <c r="A2641" s="2">
        <v>45926.333333333336</v>
      </c>
      <c r="B2641" s="1" t="s">
        <v>1311</v>
      </c>
      <c r="C2641" s="1" t="s">
        <v>1649</v>
      </c>
      <c r="D2641" s="1" t="s">
        <v>2600</v>
      </c>
      <c r="E2641" s="1" t="s">
        <v>2601</v>
      </c>
    </row>
    <row r="2642">
      <c r="A2642" s="2">
        <v>45926.338009259256</v>
      </c>
      <c r="B2642" s="1" t="s">
        <v>1311</v>
      </c>
      <c r="C2642" s="1" t="s">
        <v>2579</v>
      </c>
      <c r="D2642" s="1" t="s">
        <v>2580</v>
      </c>
      <c r="E2642" s="1" t="s">
        <v>2602</v>
      </c>
    </row>
    <row r="2643">
      <c r="A2643" s="2">
        <v>45926.338483796295</v>
      </c>
      <c r="B2643" s="1" t="s">
        <v>1311</v>
      </c>
      <c r="C2643" s="1" t="s">
        <v>1138</v>
      </c>
      <c r="D2643" s="1" t="s">
        <v>2603</v>
      </c>
      <c r="E2643" s="1" t="s">
        <v>2388</v>
      </c>
    </row>
    <row r="2644">
      <c r="A2644" s="2">
        <v>45926.36530092593</v>
      </c>
      <c r="B2644" s="1" t="s">
        <v>1311</v>
      </c>
      <c r="C2644" s="1" t="s">
        <v>2428</v>
      </c>
      <c r="D2644" s="1" t="s">
        <v>2429</v>
      </c>
      <c r="E2644" s="1" t="s">
        <v>2604</v>
      </c>
    </row>
    <row r="2645">
      <c r="A2645" s="2">
        <v>45926.494421296295</v>
      </c>
      <c r="B2645" s="1" t="s">
        <v>844</v>
      </c>
      <c r="C2645" s="1" t="s">
        <v>845</v>
      </c>
      <c r="D2645" s="3" t="str">
        <f>?UTF-8?q?You_deserve_delivery_deals_=F0=9F=A4=91?=</f>
        <v>#ERROR!</v>
      </c>
      <c r="E2645" s="1" t="s">
        <v>847</v>
      </c>
    </row>
    <row r="2646">
      <c r="A2646" s="2">
        <v>45926.52190972222</v>
      </c>
      <c r="B2646" s="1" t="s">
        <v>2423</v>
      </c>
      <c r="C2646" s="1" t="s">
        <v>1311</v>
      </c>
      <c r="D2646" s="1" t="s">
        <v>2478</v>
      </c>
      <c r="E2646" s="1" t="s">
        <v>2605</v>
      </c>
    </row>
    <row r="2647">
      <c r="A2647" s="2">
        <v>45926.29418981481</v>
      </c>
      <c r="B2647" s="1" t="s">
        <v>1317</v>
      </c>
      <c r="C2647" s="1" t="s">
        <v>849</v>
      </c>
      <c r="D2647" s="3" t="str">
        <f>?UTF-8?B?QSBwbGF5ZXIgd2Fsa3MgaW50byBhIGNhc2lub+KApg==?=</f>
        <v>#ERROR!</v>
      </c>
      <c r="E2647" s="1" t="s">
        <v>2606</v>
      </c>
    </row>
    <row r="2648">
      <c r="A2648" s="2">
        <v>45926.58806712963</v>
      </c>
      <c r="B2648" s="1" t="s">
        <v>2423</v>
      </c>
      <c r="C2648" s="1" t="s">
        <v>1311</v>
      </c>
      <c r="D2648" s="1" t="s">
        <v>2478</v>
      </c>
      <c r="E2648" s="1" t="s">
        <v>2607</v>
      </c>
    </row>
    <row r="2649">
      <c r="A2649" s="2">
        <v>45926.64230324074</v>
      </c>
      <c r="B2649" s="1" t="s">
        <v>2579</v>
      </c>
      <c r="C2649" s="1" t="s">
        <v>1311</v>
      </c>
      <c r="D2649" s="1" t="s">
        <v>2580</v>
      </c>
      <c r="E2649" s="1" t="s">
        <v>2608</v>
      </c>
    </row>
    <row r="2650">
      <c r="A2650" s="2">
        <v>45926.785405092596</v>
      </c>
      <c r="B2650" s="1" t="s">
        <v>844</v>
      </c>
      <c r="C2650" s="1" t="s">
        <v>1036</v>
      </c>
      <c r="D2650" s="3" t="str">
        <f>?UTF-8?q?Enjoy_50%_off_customer_favourites_=F0=9F=A4=A9?=</f>
        <v>#ERROR!</v>
      </c>
      <c r="E2650" s="1" t="s">
        <v>847</v>
      </c>
    </row>
    <row r="2651">
      <c r="A2651" s="2">
        <v>45926.62837962963</v>
      </c>
      <c r="B2651" s="1" t="s">
        <v>735</v>
      </c>
      <c r="C2651" s="1" t="s">
        <v>524</v>
      </c>
      <c r="D2651" s="3" t="str">
        <f>?utf-8?B?4pu98J+NqiBGdWVsIHVwISBTbmFjayB1cCEgR2V0IHVwIHRvIA==?=
 =?utf-8?B?MTUwIEJvbnVzIE1pbGVzIQ==?=</f>
        <v>#ERROR!</v>
      </c>
      <c r="E2651" s="1" t="s">
        <v>887</v>
      </c>
    </row>
    <row r="2652">
      <c r="A2652" s="2">
        <v>45926.697060185186</v>
      </c>
      <c r="B2652" s="1" t="s">
        <v>1108</v>
      </c>
      <c r="C2652" s="1" t="s">
        <v>2144</v>
      </c>
      <c r="D2652" s="1" t="s">
        <v>2609</v>
      </c>
      <c r="E2652" s="1" t="s">
        <v>2550</v>
      </c>
    </row>
    <row r="2653">
      <c r="A2653" s="2">
        <v>45927.25</v>
      </c>
      <c r="B2653" s="1" t="s">
        <v>1311</v>
      </c>
      <c r="C2653" s="1" t="s">
        <v>2597</v>
      </c>
      <c r="D2653" s="1" t="s">
        <v>2598</v>
      </c>
      <c r="E2653" s="1" t="s">
        <v>2610</v>
      </c>
    </row>
    <row r="2654">
      <c r="A2654" s="2">
        <v>45927.46375</v>
      </c>
      <c r="B2654" s="1" t="s">
        <v>844</v>
      </c>
      <c r="C2654" s="1" t="s">
        <v>1036</v>
      </c>
      <c r="D2654" s="1" t="s">
        <v>2611</v>
      </c>
      <c r="E2654" s="1" t="s">
        <v>847</v>
      </c>
    </row>
    <row r="2655">
      <c r="A2655" s="2">
        <v>45927.903287037036</v>
      </c>
      <c r="B2655" s="1" t="s">
        <v>1311</v>
      </c>
      <c r="C2655" s="1" t="s">
        <v>2196</v>
      </c>
      <c r="D2655" s="1" t="s">
        <v>2612</v>
      </c>
      <c r="E2655" s="1" t="s">
        <v>2613</v>
      </c>
    </row>
    <row r="2656">
      <c r="A2656" s="2">
        <v>45928.13429398148</v>
      </c>
      <c r="B2656" s="1" t="s">
        <v>1311</v>
      </c>
      <c r="C2656" s="1" t="s">
        <v>1311</v>
      </c>
      <c r="D2656" s="1" t="s">
        <v>2614</v>
      </c>
      <c r="E2656" s="1" t="s">
        <v>2388</v>
      </c>
    </row>
    <row r="2657">
      <c r="A2657" s="2">
        <v>45928.146574074075</v>
      </c>
      <c r="B2657" s="1" t="s">
        <v>1311</v>
      </c>
      <c r="C2657" s="1" t="s">
        <v>1311</v>
      </c>
      <c r="E2657" s="1" t="s">
        <v>1255</v>
      </c>
    </row>
    <row r="2658">
      <c r="A2658" s="2">
        <v>45928.735243055555</v>
      </c>
      <c r="B2658" s="1" t="s">
        <v>1311</v>
      </c>
      <c r="D2658" s="1" t="s">
        <v>1052</v>
      </c>
      <c r="E2658" s="1" t="s">
        <v>2615</v>
      </c>
    </row>
    <row r="2659">
      <c r="A2659" s="2">
        <v>45928.79221064815</v>
      </c>
      <c r="B2659" s="1" t="s">
        <v>2143</v>
      </c>
      <c r="C2659" s="1" t="s">
        <v>2144</v>
      </c>
      <c r="D2659" s="3" t="str">
        <f>?UTF-8?B?RG9uJ3QgbWlzcyBvdXQgb24gYSAkMTAwIFdhbG1hcnQgZ2lmdCBj?=
 =?UTF-8?B?YXJkIGNvbnRlc3QqIPCfmIU=?=</f>
        <v>#ERROR!</v>
      </c>
      <c r="E2659" s="1" t="s">
        <v>2616</v>
      </c>
    </row>
    <row r="2660">
      <c r="A2660" s="2">
        <v>45929.44268518518</v>
      </c>
      <c r="B2660" s="1" t="s">
        <v>857</v>
      </c>
      <c r="C2660" s="1" t="s">
        <v>845</v>
      </c>
      <c r="D2660" s="1" t="s">
        <v>1368</v>
      </c>
      <c r="E2660" s="1" t="s">
        <v>847</v>
      </c>
    </row>
    <row r="2661">
      <c r="A2661" s="2">
        <v>45929.333333333336</v>
      </c>
      <c r="B2661" s="3" t="str">
        <f>?UTF-8?B?THVuYSDigKI=?= &lt;lunacraigcep@gmail.com&gt;</f>
        <v>#ERROR!</v>
      </c>
      <c r="C2661" s="1" t="s">
        <v>1311</v>
      </c>
      <c r="D2661" s="1" t="s">
        <v>2617</v>
      </c>
      <c r="E2661" s="1" t="s">
        <v>2618</v>
      </c>
    </row>
    <row r="2662">
      <c r="A2662" s="2">
        <v>45929.56482638889</v>
      </c>
      <c r="B2662" s="1" t="s">
        <v>533</v>
      </c>
      <c r="C2662" s="1" t="s">
        <v>526</v>
      </c>
      <c r="D2662" s="1" t="s">
        <v>2619</v>
      </c>
      <c r="E2662" s="1" t="s">
        <v>887</v>
      </c>
    </row>
    <row r="2663">
      <c r="A2663" s="2">
        <v>45929.564479166664</v>
      </c>
      <c r="B2663" s="1" t="s">
        <v>2620</v>
      </c>
      <c r="C2663" s="1" t="s">
        <v>845</v>
      </c>
      <c r="D2663" s="1" t="s">
        <v>2621</v>
      </c>
      <c r="E2663" s="1" t="s">
        <v>2622</v>
      </c>
    </row>
    <row r="2664">
      <c r="A2664" s="2">
        <v>45929.62795138889</v>
      </c>
      <c r="B2664" s="1" t="s">
        <v>533</v>
      </c>
      <c r="C2664" s="1" t="s">
        <v>526</v>
      </c>
      <c r="D2664" s="3" t="str">
        <f>?utf-8?B?V2luIGJpZyB3aXRoIEFtYXpvbiDwn46J?=</f>
        <v>#ERROR!</v>
      </c>
      <c r="E2664" s="1" t="s">
        <v>887</v>
      </c>
    </row>
    <row r="2665">
      <c r="A2665" s="2">
        <v>45929.95496527778</v>
      </c>
      <c r="B2665" s="1" t="s">
        <v>1311</v>
      </c>
      <c r="C2665" s="1" t="s">
        <v>2428</v>
      </c>
      <c r="D2665" s="1" t="s">
        <v>2429</v>
      </c>
      <c r="E2665" s="1" t="s">
        <v>2623</v>
      </c>
    </row>
    <row r="2666">
      <c r="A2666" s="2">
        <v>45929.95621527778</v>
      </c>
      <c r="B2666" s="1" t="s">
        <v>1311</v>
      </c>
      <c r="C2666" s="1" t="s">
        <v>2428</v>
      </c>
      <c r="D2666" s="1" t="s">
        <v>2429</v>
      </c>
      <c r="E2666" s="1" t="s">
        <v>2624</v>
      </c>
    </row>
    <row r="2667">
      <c r="A2667" s="2">
        <v>45929.974282407406</v>
      </c>
      <c r="B2667" s="1" t="s">
        <v>1311</v>
      </c>
      <c r="C2667" s="1" t="s">
        <v>2386</v>
      </c>
      <c r="D2667" s="1" t="s">
        <v>2625</v>
      </c>
      <c r="E2667" s="1" t="s">
        <v>2626</v>
      </c>
    </row>
    <row r="2668">
      <c r="A2668" s="2">
        <v>45929.981412037036</v>
      </c>
      <c r="B2668" s="1" t="s">
        <v>1311</v>
      </c>
      <c r="C2668" s="1" t="s">
        <v>2413</v>
      </c>
      <c r="D2668" s="1" t="s">
        <v>2414</v>
      </c>
      <c r="E2668" s="1" t="s">
        <v>2627</v>
      </c>
    </row>
    <row r="2669">
      <c r="A2669" s="2">
        <v>45929.840625</v>
      </c>
      <c r="B2669" s="1" t="s">
        <v>2245</v>
      </c>
      <c r="C2669" s="1" t="s">
        <v>2141</v>
      </c>
      <c r="D2669" s="1" t="s">
        <v>2628</v>
      </c>
      <c r="E2669" s="1" t="s">
        <v>2629</v>
      </c>
    </row>
    <row r="2670">
      <c r="A2670" s="2">
        <v>45930.08553240741</v>
      </c>
      <c r="B2670" s="1" t="s">
        <v>1317</v>
      </c>
      <c r="C2670" s="1" t="s">
        <v>849</v>
      </c>
      <c r="D2670" s="1" t="s">
        <v>2630</v>
      </c>
      <c r="E2670" s="1" t="s">
        <v>2631</v>
      </c>
    </row>
    <row r="2671">
      <c r="A2671" s="2">
        <v>45930.48741898148</v>
      </c>
      <c r="B2671" s="1" t="s">
        <v>848</v>
      </c>
      <c r="C2671" s="1" t="s">
        <v>849</v>
      </c>
      <c r="D2671" s="1" t="s">
        <v>2632</v>
      </c>
      <c r="E2671" s="1" t="s">
        <v>851</v>
      </c>
    </row>
    <row r="2672">
      <c r="A2672" s="2">
        <v>45930.25131944445</v>
      </c>
      <c r="B2672" s="1" t="s">
        <v>1317</v>
      </c>
      <c r="C2672" s="1" t="s">
        <v>849</v>
      </c>
      <c r="D2672" s="1" t="s">
        <v>2633</v>
      </c>
      <c r="E2672" s="1" t="s">
        <v>2634</v>
      </c>
    </row>
    <row r="2673">
      <c r="A2673" s="2">
        <v>45930.58693287037</v>
      </c>
      <c r="B2673" s="1" t="s">
        <v>1564</v>
      </c>
      <c r="C2673" s="1" t="s">
        <v>845</v>
      </c>
      <c r="D2673" s="1" t="s">
        <v>2635</v>
      </c>
      <c r="E2673" s="1" t="s">
        <v>2636</v>
      </c>
    </row>
    <row r="2674">
      <c r="A2674" s="2">
        <v>45930.60377314815</v>
      </c>
      <c r="B2674" s="1" t="s">
        <v>1564</v>
      </c>
      <c r="C2674" s="1" t="s">
        <v>2141</v>
      </c>
      <c r="D2674" s="1" t="s">
        <v>2635</v>
      </c>
      <c r="E2674" s="1" t="s">
        <v>2637</v>
      </c>
    </row>
    <row r="2675">
      <c r="A2675" s="2">
        <v>45930.64538194444</v>
      </c>
      <c r="B2675" s="1" t="s">
        <v>2638</v>
      </c>
      <c r="C2675" s="1" t="s">
        <v>1311</v>
      </c>
      <c r="D2675" s="1" t="s">
        <v>2639</v>
      </c>
      <c r="E2675" s="1" t="s">
        <v>2640</v>
      </c>
    </row>
    <row r="2676">
      <c r="A2676" s="2">
        <v>45930.77379629629</v>
      </c>
      <c r="B2676" s="1" t="s">
        <v>844</v>
      </c>
      <c r="C2676" s="1" t="s">
        <v>1036</v>
      </c>
      <c r="D2676" s="1" t="s">
        <v>2641</v>
      </c>
      <c r="E2676" s="1" t="s">
        <v>847</v>
      </c>
    </row>
    <row r="2677">
      <c r="A2677" s="2">
        <v>45930.881157407406</v>
      </c>
      <c r="B2677" s="1" t="s">
        <v>2642</v>
      </c>
      <c r="C2677" s="1" t="s">
        <v>2643</v>
      </c>
      <c r="D2677" s="1" t="s">
        <v>2644</v>
      </c>
      <c r="E2677" s="1" t="s">
        <v>2645</v>
      </c>
    </row>
    <row r="2678">
      <c r="A2678" s="2">
        <v>45930.89675925926</v>
      </c>
      <c r="B2678" s="1" t="s">
        <v>2642</v>
      </c>
      <c r="C2678" s="1" t="s">
        <v>1311</v>
      </c>
      <c r="D2678" s="1" t="s">
        <v>2644</v>
      </c>
      <c r="E2678" s="1" t="s">
        <v>2646</v>
      </c>
    </row>
    <row r="2679">
      <c r="A2679" s="2">
        <v>45931.614652777775</v>
      </c>
      <c r="B2679" s="1" t="s">
        <v>735</v>
      </c>
      <c r="C2679" s="1" t="s">
        <v>524</v>
      </c>
      <c r="D2679" s="3" t="str">
        <f>?windows-1252?Q?Apply_and_get_up_to_9=2C000_Miles=96a_$940_value_?=
 =?windows-1252?Q?with_AIR_MILES_Cash!?=</f>
        <v>#ERROR!</v>
      </c>
      <c r="E2679" s="1" t="s">
        <v>887</v>
      </c>
    </row>
    <row r="2680">
      <c r="A2680" s="2">
        <v>45931.99321759259</v>
      </c>
      <c r="B2680" s="1" t="s">
        <v>2647</v>
      </c>
      <c r="C2680" s="1" t="s">
        <v>2141</v>
      </c>
      <c r="D2680" s="3" t="str">
        <f>?UTF-8?b?Q29sbFjigJlzIE1MQiBQbGF5b2ZmIFBpY2tzLCAyMDI1IEVkaXRpb24g4pq+?=
 =?UTF-8?b?77iP?=</f>
        <v>#ERROR!</v>
      </c>
      <c r="E2680" s="1" t="s">
        <v>2648</v>
      </c>
    </row>
    <row r="2681">
      <c r="A2681" s="2">
        <v>45931.750613425924</v>
      </c>
      <c r="B2681" s="1" t="s">
        <v>2143</v>
      </c>
      <c r="C2681" s="1" t="s">
        <v>2144</v>
      </c>
      <c r="D2681" s="1" t="s">
        <v>2145</v>
      </c>
      <c r="E2681" s="1" t="s">
        <v>2649</v>
      </c>
    </row>
    <row r="2682">
      <c r="A2682" s="2">
        <v>45932.49395833333</v>
      </c>
      <c r="B2682" s="1" t="s">
        <v>848</v>
      </c>
      <c r="C2682" s="1" t="s">
        <v>1602</v>
      </c>
      <c r="D2682" s="1" t="s">
        <v>2650</v>
      </c>
      <c r="E2682" s="1" t="s">
        <v>851</v>
      </c>
    </row>
    <row r="2683">
      <c r="A2683" s="2">
        <v>45932.43541666667</v>
      </c>
      <c r="B2683" s="1" t="s">
        <v>1311</v>
      </c>
      <c r="C2683" s="1" t="s">
        <v>1071</v>
      </c>
      <c r="D2683" s="1" t="s">
        <v>1052</v>
      </c>
      <c r="E2683" s="1" t="s">
        <v>2651</v>
      </c>
    </row>
    <row r="2684">
      <c r="A2684" s="2">
        <v>45932.619722222225</v>
      </c>
      <c r="B2684" s="1" t="s">
        <v>1071</v>
      </c>
      <c r="C2684" s="1" t="s">
        <v>1311</v>
      </c>
      <c r="D2684" s="1" t="s">
        <v>2652</v>
      </c>
      <c r="E2684" s="1" t="s">
        <v>2653</v>
      </c>
    </row>
    <row r="2685">
      <c r="A2685" s="2">
        <v>45932.682962962965</v>
      </c>
      <c r="B2685" s="1" t="s">
        <v>2257</v>
      </c>
      <c r="C2685" s="1" t="s">
        <v>845</v>
      </c>
      <c r="D2685" s="3" t="str">
        <f>?utf-8?B?TGFicy9TcGFjZXMgaWRlYXM6IERhdGEgYW5hbHlzaXMgYW5kIGJ1aWxkIGJlc3QtaW4tY2xhc3M=?=</f>
        <v>#ERROR!</v>
      </c>
      <c r="E2685" s="1" t="s">
        <v>2654</v>
      </c>
    </row>
    <row r="2686">
      <c r="A2686" s="2">
        <v>45932.558344907404</v>
      </c>
      <c r="B2686" s="1" t="s">
        <v>1311</v>
      </c>
      <c r="C2686" s="1" t="s">
        <v>1071</v>
      </c>
      <c r="D2686" s="1" t="s">
        <v>2652</v>
      </c>
      <c r="E2686" s="1" t="s">
        <v>2655</v>
      </c>
    </row>
    <row r="2687">
      <c r="A2687" s="2">
        <v>45932.619363425925</v>
      </c>
      <c r="B2687" s="1" t="s">
        <v>735</v>
      </c>
      <c r="C2687" s="1" t="s">
        <v>524</v>
      </c>
      <c r="D2687" s="3" t="str">
        <f>?windows-1252?Q?Here=92s_your_exclusive_bonus_offer_from_Irving!?=</f>
        <v>#ERROR!</v>
      </c>
      <c r="E2687" s="1" t="s">
        <v>887</v>
      </c>
    </row>
    <row r="2688">
      <c r="A2688" s="2">
        <v>45932.76315972222</v>
      </c>
      <c r="B2688" s="1" t="s">
        <v>533</v>
      </c>
      <c r="C2688" s="1" t="s">
        <v>526</v>
      </c>
      <c r="D2688" s="3" t="str">
        <f>?utf-8?B?TGl0LCB5b3VyIGJlc3Qgb2ZmZXJzIHRoaXMgd2VlayBhcmUgaA==?=
 =?utf-8?B?ZXJlISDwn46J?=</f>
        <v>#ERROR!</v>
      </c>
      <c r="E2688" s="1" t="s">
        <v>880</v>
      </c>
    </row>
    <row r="2689">
      <c r="A2689" s="2">
        <v>45932.8165625</v>
      </c>
      <c r="B2689" s="1" t="s">
        <v>1311</v>
      </c>
      <c r="C2689" s="1" t="s">
        <v>1071</v>
      </c>
      <c r="D2689" s="1" t="s">
        <v>2652</v>
      </c>
      <c r="E2689" s="1" t="s">
        <v>2656</v>
      </c>
    </row>
    <row r="2690">
      <c r="A2690" s="2">
        <v>45932.83721064815</v>
      </c>
      <c r="B2690" s="1" t="s">
        <v>735</v>
      </c>
      <c r="C2690" s="1" t="s">
        <v>524</v>
      </c>
      <c r="D2690" s="3" t="str">
        <f>?utf-8?B?8J+OuCBJdOKAmXMgb24hIE5vdyBnZXQgbGl2ZSBldmVudCB0aQ==?=
 =?utf-8?B?Y2tldHMgd2l0aCBNaWxlcyDwn4+IICA=?=</f>
        <v>#ERROR!</v>
      </c>
      <c r="E2690" s="1" t="s">
        <v>887</v>
      </c>
    </row>
    <row r="2691">
      <c r="A2691" s="2">
        <v>45933.1490162037</v>
      </c>
      <c r="B2691" s="1" t="s">
        <v>2657</v>
      </c>
      <c r="C2691" s="1" t="s">
        <v>845</v>
      </c>
      <c r="D2691" s="1" t="s">
        <v>2658</v>
      </c>
      <c r="E2691" s="1" t="s">
        <v>2659</v>
      </c>
    </row>
    <row r="2692">
      <c r="A2692" s="2">
        <v>45933.139375</v>
      </c>
      <c r="B2692" s="1" t="s">
        <v>1311</v>
      </c>
      <c r="C2692" s="1" t="s">
        <v>1111</v>
      </c>
      <c r="D2692" s="1" t="s">
        <v>2660</v>
      </c>
      <c r="E2692" s="1" t="s">
        <v>2661</v>
      </c>
    </row>
    <row r="2693">
      <c r="A2693" s="2">
        <v>45933.151354166665</v>
      </c>
      <c r="B2693" s="1" t="s">
        <v>1311</v>
      </c>
      <c r="C2693" s="1" t="s">
        <v>1311</v>
      </c>
      <c r="D2693" s="1" t="s">
        <v>2662</v>
      </c>
      <c r="E2693" s="1" t="s">
        <v>1752</v>
      </c>
    </row>
    <row r="2694">
      <c r="A2694" s="2">
        <v>45933.44939814815</v>
      </c>
      <c r="B2694" s="1" t="s">
        <v>1083</v>
      </c>
      <c r="C2694" s="1" t="s">
        <v>845</v>
      </c>
      <c r="D2694" s="1" t="s">
        <v>2663</v>
      </c>
      <c r="E2694" s="1" t="s">
        <v>847</v>
      </c>
    </row>
    <row r="2695">
      <c r="A2695" s="2">
        <v>45933.333333333336</v>
      </c>
      <c r="B2695" s="1" t="s">
        <v>1311</v>
      </c>
      <c r="C2695" s="1" t="s">
        <v>2638</v>
      </c>
      <c r="D2695" s="1" t="s">
        <v>2639</v>
      </c>
      <c r="E2695" s="1" t="s">
        <v>2664</v>
      </c>
    </row>
    <row r="2696">
      <c r="A2696" s="2">
        <v>45933.333333333336</v>
      </c>
      <c r="B2696" s="1" t="s">
        <v>1311</v>
      </c>
      <c r="C2696" s="1" t="s">
        <v>1649</v>
      </c>
      <c r="D2696" s="1" t="s">
        <v>2665</v>
      </c>
      <c r="E2696" s="1" t="s">
        <v>2666</v>
      </c>
    </row>
    <row r="2697">
      <c r="A2697" s="2">
        <v>45933.2944212963</v>
      </c>
      <c r="B2697" s="1" t="s">
        <v>1317</v>
      </c>
      <c r="C2697" s="1" t="s">
        <v>849</v>
      </c>
      <c r="D2697" s="3" t="str">
        <f>?UTF-8?B?RGlkbuKAmXQgd2UgaGF2ZSBhIHBsYXlkYXRlPw==?=</f>
        <v>#ERROR!</v>
      </c>
      <c r="E2697" s="1" t="s">
        <v>2667</v>
      </c>
    </row>
    <row r="2698">
      <c r="A2698" s="2">
        <v>45933.43230324074</v>
      </c>
      <c r="B2698" s="1" t="s">
        <v>1311</v>
      </c>
      <c r="C2698" s="1" t="s">
        <v>1826</v>
      </c>
      <c r="D2698" s="1" t="s">
        <v>2668</v>
      </c>
      <c r="E2698" s="1" t="s">
        <v>2669</v>
      </c>
    </row>
    <row r="2699">
      <c r="A2699" s="2">
        <v>45933.46386574074</v>
      </c>
      <c r="B2699" s="1" t="s">
        <v>1311</v>
      </c>
      <c r="C2699" s="1" t="s">
        <v>1071</v>
      </c>
      <c r="D2699" s="1" t="s">
        <v>2652</v>
      </c>
      <c r="E2699" s="1" t="s">
        <v>2670</v>
      </c>
    </row>
    <row r="2700">
      <c r="A2700" s="2">
        <v>45933.4687962963</v>
      </c>
      <c r="B2700" s="1" t="s">
        <v>1311</v>
      </c>
      <c r="C2700" s="1" t="s">
        <v>2196</v>
      </c>
      <c r="D2700" s="1" t="s">
        <v>2224</v>
      </c>
      <c r="E2700" s="1" t="s">
        <v>2671</v>
      </c>
    </row>
    <row r="2701">
      <c r="A2701" s="2">
        <v>45933.530798611115</v>
      </c>
      <c r="B2701" s="1" t="s">
        <v>1311</v>
      </c>
      <c r="C2701" s="1" t="s">
        <v>1251</v>
      </c>
      <c r="D2701" s="1" t="s">
        <v>1267</v>
      </c>
      <c r="E2701" s="1" t="s">
        <v>2672</v>
      </c>
    </row>
    <row r="2702">
      <c r="A2702" s="2">
        <v>45933.65755787037</v>
      </c>
      <c r="B2702" s="1" t="s">
        <v>857</v>
      </c>
      <c r="C2702" s="1" t="s">
        <v>845</v>
      </c>
      <c r="D2702" s="1" t="s">
        <v>2082</v>
      </c>
      <c r="E2702" s="1" t="s">
        <v>847</v>
      </c>
    </row>
    <row r="2703">
      <c r="A2703" s="2">
        <v>45934.13222222222</v>
      </c>
      <c r="B2703" s="1" t="s">
        <v>2673</v>
      </c>
      <c r="C2703" s="1" t="s">
        <v>845</v>
      </c>
      <c r="D2703" s="1" t="s">
        <v>2674</v>
      </c>
      <c r="E2703" s="1" t="s">
        <v>2675</v>
      </c>
    </row>
    <row r="2704">
      <c r="A2704" s="2">
        <v>45934.47043981482</v>
      </c>
      <c r="B2704" s="1" t="s">
        <v>844</v>
      </c>
      <c r="C2704" s="1" t="s">
        <v>1036</v>
      </c>
      <c r="D2704" s="1" t="s">
        <v>2676</v>
      </c>
      <c r="E2704" s="1" t="s">
        <v>847</v>
      </c>
    </row>
    <row r="2705">
      <c r="A2705" s="2">
        <v>45934.763333333336</v>
      </c>
      <c r="B2705" s="1" t="s">
        <v>844</v>
      </c>
      <c r="C2705" s="1" t="s">
        <v>1036</v>
      </c>
      <c r="D2705" s="1" t="s">
        <v>2677</v>
      </c>
      <c r="E2705" s="1" t="s">
        <v>847</v>
      </c>
    </row>
    <row r="2706">
      <c r="A2706" s="2">
        <v>45935.5471875</v>
      </c>
      <c r="B2706" s="1" t="s">
        <v>848</v>
      </c>
      <c r="C2706" s="1" t="s">
        <v>849</v>
      </c>
      <c r="D2706" s="1" t="s">
        <v>2678</v>
      </c>
      <c r="E2706" s="1" t="s">
        <v>851</v>
      </c>
    </row>
    <row r="2707">
      <c r="A2707" s="2">
        <v>45935.6327662037</v>
      </c>
      <c r="B2707" s="1" t="s">
        <v>2679</v>
      </c>
      <c r="C2707" s="1" t="s">
        <v>845</v>
      </c>
      <c r="D2707" s="1" t="s">
        <v>2680</v>
      </c>
      <c r="E2707" s="1" t="s">
        <v>2681</v>
      </c>
    </row>
    <row r="2708">
      <c r="A2708" s="2">
        <v>45936.46462962963</v>
      </c>
      <c r="B2708" s="1" t="s">
        <v>848</v>
      </c>
      <c r="C2708" s="1" t="s">
        <v>1602</v>
      </c>
      <c r="D2708" s="1" t="s">
        <v>2244</v>
      </c>
      <c r="E2708" s="1" t="s">
        <v>851</v>
      </c>
    </row>
    <row r="2709">
      <c r="A2709" s="2">
        <v>45936.57616898148</v>
      </c>
      <c r="B2709" s="1" t="s">
        <v>2218</v>
      </c>
      <c r="C2709" s="1" t="s">
        <v>2682</v>
      </c>
      <c r="D2709" s="1" t="s">
        <v>2683</v>
      </c>
      <c r="E2709" s="1" t="s">
        <v>2684</v>
      </c>
    </row>
    <row r="2710">
      <c r="A2710" s="2">
        <v>45936.576273148145</v>
      </c>
      <c r="B2710" s="1" t="s">
        <v>325</v>
      </c>
      <c r="C2710" s="1" t="s">
        <v>2141</v>
      </c>
      <c r="D2710" s="1" t="s">
        <v>2253</v>
      </c>
      <c r="E2710" s="1" t="s">
        <v>2685</v>
      </c>
    </row>
    <row r="2711">
      <c r="A2711" s="2">
        <v>45936.620891203704</v>
      </c>
      <c r="B2711" s="1" t="s">
        <v>1311</v>
      </c>
      <c r="C2711" s="1" t="s">
        <v>1138</v>
      </c>
      <c r="D2711" s="1" t="s">
        <v>2686</v>
      </c>
      <c r="E2711" s="1" t="s">
        <v>2388</v>
      </c>
    </row>
    <row r="2712">
      <c r="A2712" s="2">
        <v>45936.764398148145</v>
      </c>
      <c r="B2712" s="1" t="s">
        <v>1071</v>
      </c>
      <c r="C2712" s="1" t="s">
        <v>1311</v>
      </c>
      <c r="D2712" s="1" t="s">
        <v>2652</v>
      </c>
      <c r="E2712" s="1" t="s">
        <v>2687</v>
      </c>
    </row>
    <row r="2713">
      <c r="A2713" s="2">
        <v>45936.74050925926</v>
      </c>
      <c r="B2713" s="1" t="s">
        <v>1311</v>
      </c>
      <c r="C2713" s="1" t="s">
        <v>1071</v>
      </c>
      <c r="D2713" s="1" t="s">
        <v>2652</v>
      </c>
      <c r="E2713" s="1" t="s">
        <v>2688</v>
      </c>
    </row>
    <row r="2714">
      <c r="A2714" s="2">
        <v>45937.087858796294</v>
      </c>
      <c r="B2714" s="1" t="s">
        <v>1317</v>
      </c>
      <c r="C2714" s="1" t="s">
        <v>849</v>
      </c>
      <c r="D2714" s="1" t="s">
        <v>2563</v>
      </c>
      <c r="E2714" s="1" t="s">
        <v>2689</v>
      </c>
    </row>
    <row r="2715">
      <c r="A2715" s="2">
        <v>45937.419953703706</v>
      </c>
      <c r="B2715" s="1" t="s">
        <v>2690</v>
      </c>
      <c r="C2715" s="1" t="s">
        <v>845</v>
      </c>
      <c r="D2715" s="1" t="s">
        <v>2691</v>
      </c>
      <c r="E2715" s="1" t="s">
        <v>2692</v>
      </c>
    </row>
    <row r="2716">
      <c r="A2716" s="2">
        <v>45937.51758101852</v>
      </c>
      <c r="B2716" s="1" t="s">
        <v>1311</v>
      </c>
      <c r="C2716" s="1" t="s">
        <v>1071</v>
      </c>
      <c r="E2716" s="1" t="s">
        <v>2693</v>
      </c>
    </row>
    <row r="2717">
      <c r="A2717" s="2">
        <v>45937.565358796295</v>
      </c>
      <c r="B2717" s="1" t="s">
        <v>1311</v>
      </c>
      <c r="C2717" s="1" t="s">
        <v>1954</v>
      </c>
      <c r="D2717" s="1" t="s">
        <v>2694</v>
      </c>
      <c r="E2717" s="1" t="s">
        <v>2695</v>
      </c>
    </row>
    <row r="2718">
      <c r="A2718" s="2">
        <v>45937.57848379629</v>
      </c>
      <c r="B2718" s="1" t="s">
        <v>1954</v>
      </c>
      <c r="C2718" s="1" t="s">
        <v>1311</v>
      </c>
      <c r="D2718" s="1" t="s">
        <v>2696</v>
      </c>
      <c r="E2718" s="1" t="s">
        <v>2697</v>
      </c>
    </row>
    <row r="2719">
      <c r="A2719" s="2">
        <v>45937.609143518515</v>
      </c>
      <c r="B2719" s="1" t="s">
        <v>1311</v>
      </c>
      <c r="C2719" s="1" t="s">
        <v>1954</v>
      </c>
      <c r="D2719" s="1" t="s">
        <v>2696</v>
      </c>
      <c r="E2719" s="1" t="s">
        <v>2698</v>
      </c>
    </row>
    <row r="2720">
      <c r="A2720" s="2">
        <v>45937.612708333334</v>
      </c>
      <c r="B2720" s="1" t="s">
        <v>1954</v>
      </c>
      <c r="C2720" s="1" t="s">
        <v>1311</v>
      </c>
      <c r="D2720" s="1" t="s">
        <v>2696</v>
      </c>
      <c r="E2720" s="1" t="s">
        <v>2699</v>
      </c>
    </row>
    <row r="2721">
      <c r="A2721" s="2">
        <v>45937.56458333333</v>
      </c>
      <c r="B2721" s="1" t="s">
        <v>2437</v>
      </c>
      <c r="C2721" s="1" t="s">
        <v>2526</v>
      </c>
      <c r="D2721" s="1" t="s">
        <v>2700</v>
      </c>
      <c r="E2721" s="1" t="s">
        <v>2701</v>
      </c>
    </row>
    <row r="2722">
      <c r="A2722" s="2">
        <v>45937.84458333333</v>
      </c>
      <c r="B2722" s="1" t="s">
        <v>1229</v>
      </c>
      <c r="C2722" s="1" t="s">
        <v>845</v>
      </c>
      <c r="D2722" s="1" t="s">
        <v>2702</v>
      </c>
      <c r="E2722" s="1" t="s">
        <v>2703</v>
      </c>
    </row>
    <row r="2723">
      <c r="A2723" s="2">
        <v>45937.76671296296</v>
      </c>
      <c r="B2723" s="1" t="s">
        <v>1311</v>
      </c>
      <c r="C2723" s="1" t="s">
        <v>2704</v>
      </c>
      <c r="E2723" s="1" t="s">
        <v>2705</v>
      </c>
    </row>
    <row r="2724">
      <c r="A2724" s="2">
        <v>45938.06787037037</v>
      </c>
      <c r="B2724" s="1" t="s">
        <v>319</v>
      </c>
      <c r="C2724" s="1" t="s">
        <v>1036</v>
      </c>
      <c r="D2724" s="3" t="str">
        <f>?UTF-8?Q?Your_Apple_Account_was_used_to_s?=
 =?UTF-8?Q?ign_in_to_iCloud_on_an=C2=A0iPhone=C2=A0SE?=</f>
        <v>#ERROR!</v>
      </c>
      <c r="E2724" s="1" t="s">
        <v>2706</v>
      </c>
    </row>
    <row r="2725">
      <c r="A2725" s="2">
        <v>45938.01483796296</v>
      </c>
      <c r="B2725" s="1" t="s">
        <v>2707</v>
      </c>
      <c r="C2725" s="1" t="s">
        <v>2708</v>
      </c>
      <c r="D2725" s="1" t="s">
        <v>2709</v>
      </c>
      <c r="E2725" s="1" t="s">
        <v>2710</v>
      </c>
    </row>
    <row r="2726">
      <c r="A2726" s="2">
        <v>45938.01484953704</v>
      </c>
      <c r="B2726" s="1" t="s">
        <v>2707</v>
      </c>
      <c r="C2726" s="1" t="s">
        <v>2708</v>
      </c>
      <c r="D2726" s="1" t="s">
        <v>2711</v>
      </c>
      <c r="E2726" s="1" t="s">
        <v>2712</v>
      </c>
    </row>
    <row r="2727">
      <c r="A2727" s="2">
        <v>45938.018912037034</v>
      </c>
      <c r="B2727" s="1" t="s">
        <v>2707</v>
      </c>
      <c r="C2727" s="1" t="s">
        <v>2708</v>
      </c>
      <c r="D2727" s="1" t="s">
        <v>2709</v>
      </c>
      <c r="E2727" s="1" t="s">
        <v>2713</v>
      </c>
    </row>
    <row r="2728">
      <c r="A2728" s="2">
        <v>45938.02119212963</v>
      </c>
      <c r="B2728" s="1" t="s">
        <v>2707</v>
      </c>
      <c r="C2728" s="1" t="s">
        <v>2708</v>
      </c>
      <c r="D2728" s="1" t="s">
        <v>2714</v>
      </c>
      <c r="E2728" s="1" t="s">
        <v>2715</v>
      </c>
    </row>
    <row r="2729">
      <c r="A2729" s="2">
        <v>45938.467002314814</v>
      </c>
      <c r="B2729" s="1" t="s">
        <v>848</v>
      </c>
      <c r="C2729" s="1" t="s">
        <v>1602</v>
      </c>
      <c r="D2729" s="1" t="s">
        <v>2716</v>
      </c>
      <c r="E2729" s="1" t="s">
        <v>851</v>
      </c>
    </row>
    <row r="2730">
      <c r="A2730" s="2">
        <v>45938.381516203706</v>
      </c>
      <c r="B2730" s="1" t="s">
        <v>1311</v>
      </c>
      <c r="C2730" s="1" t="s">
        <v>1954</v>
      </c>
      <c r="D2730" s="1" t="s">
        <v>2696</v>
      </c>
      <c r="E2730" s="1" t="s">
        <v>2717</v>
      </c>
    </row>
    <row r="2731">
      <c r="A2731" s="2">
        <v>45938.45438657407</v>
      </c>
      <c r="B2731" s="1" t="s">
        <v>1954</v>
      </c>
      <c r="C2731" s="1" t="s">
        <v>1311</v>
      </c>
      <c r="D2731" s="1" t="s">
        <v>2696</v>
      </c>
      <c r="E2731" s="1" t="s">
        <v>2718</v>
      </c>
    </row>
    <row r="2732">
      <c r="A2732" s="2">
        <v>45938.503796296296</v>
      </c>
      <c r="B2732" s="1" t="s">
        <v>1311</v>
      </c>
      <c r="C2732" s="1" t="s">
        <v>1954</v>
      </c>
      <c r="D2732" s="1" t="s">
        <v>2696</v>
      </c>
      <c r="E2732" s="1" t="s">
        <v>2719</v>
      </c>
    </row>
    <row r="2733">
      <c r="A2733" s="2">
        <v>45938.505208333336</v>
      </c>
      <c r="B2733" s="1" t="s">
        <v>1311</v>
      </c>
      <c r="C2733" s="1" t="s">
        <v>1954</v>
      </c>
      <c r="D2733" s="1" t="s">
        <v>2696</v>
      </c>
      <c r="E2733" s="1" t="s">
        <v>2720</v>
      </c>
    </row>
    <row r="2734">
      <c r="A2734" s="2">
        <v>45938.62835648148</v>
      </c>
      <c r="B2734" s="1" t="s">
        <v>1954</v>
      </c>
      <c r="C2734" s="1" t="s">
        <v>1311</v>
      </c>
      <c r="D2734" s="1" t="s">
        <v>2696</v>
      </c>
      <c r="E2734" s="1" t="s">
        <v>2721</v>
      </c>
    </row>
    <row r="2735">
      <c r="A2735" s="2">
        <v>45938.779016203705</v>
      </c>
      <c r="B2735" s="1" t="s">
        <v>844</v>
      </c>
      <c r="C2735" s="1" t="s">
        <v>1036</v>
      </c>
      <c r="D2735" s="3" t="str">
        <f>?UTF-8?b?RG9u4oCZdCBnaG9zdCB1cCB0byA1MCUgb2ZmIPCfkbs=?=</f>
        <v>#ERROR!</v>
      </c>
      <c r="E2735" s="1" t="s">
        <v>847</v>
      </c>
    </row>
    <row r="2736">
      <c r="A2736" s="2">
        <v>45938.66664351852</v>
      </c>
      <c r="B2736" s="1" t="s">
        <v>1311</v>
      </c>
      <c r="C2736" s="1" t="s">
        <v>1954</v>
      </c>
      <c r="D2736" s="1" t="s">
        <v>2696</v>
      </c>
      <c r="E2736" s="1" t="s">
        <v>2722</v>
      </c>
    </row>
    <row r="2737">
      <c r="A2737" s="2">
        <v>45938.71497685185</v>
      </c>
      <c r="B2737" s="1" t="s">
        <v>1954</v>
      </c>
      <c r="C2737" s="1" t="s">
        <v>1311</v>
      </c>
      <c r="D2737" s="1" t="s">
        <v>2696</v>
      </c>
      <c r="E2737" s="1" t="s">
        <v>2723</v>
      </c>
    </row>
    <row r="2738">
      <c r="A2738" s="2">
        <v>45938.727685185186</v>
      </c>
      <c r="B2738" s="1" t="s">
        <v>1311</v>
      </c>
      <c r="C2738" s="1" t="s">
        <v>1954</v>
      </c>
      <c r="D2738" s="1" t="s">
        <v>2696</v>
      </c>
      <c r="E2738" s="1" t="s">
        <v>2724</v>
      </c>
    </row>
    <row r="2739">
      <c r="A2739" s="2">
        <v>45938.68685185185</v>
      </c>
      <c r="B2739" s="1" t="s">
        <v>1954</v>
      </c>
      <c r="C2739" s="1" t="s">
        <v>1311</v>
      </c>
      <c r="D2739" s="1" t="s">
        <v>2696</v>
      </c>
      <c r="E2739" s="1" t="s">
        <v>2725</v>
      </c>
    </row>
    <row r="2740">
      <c r="A2740" s="2">
        <v>45939.50225694444</v>
      </c>
      <c r="B2740" s="1" t="s">
        <v>2726</v>
      </c>
      <c r="C2740" s="1" t="s">
        <v>2141</v>
      </c>
      <c r="D2740" s="1" t="s">
        <v>2727</v>
      </c>
      <c r="E2740" s="1" t="s">
        <v>2728</v>
      </c>
    </row>
    <row r="2741">
      <c r="A2741" s="2">
        <v>45939.44174768519</v>
      </c>
      <c r="B2741" s="1" t="s">
        <v>1311</v>
      </c>
      <c r="C2741" s="1" t="s">
        <v>1954</v>
      </c>
      <c r="D2741" s="1" t="s">
        <v>2696</v>
      </c>
      <c r="E2741" s="1" t="s">
        <v>2729</v>
      </c>
    </row>
    <row r="2742">
      <c r="A2742" s="2">
        <v>45939.66103009259</v>
      </c>
      <c r="B2742" s="1" t="s">
        <v>2154</v>
      </c>
      <c r="C2742" s="1" t="s">
        <v>2141</v>
      </c>
      <c r="D2742" s="1" t="s">
        <v>2730</v>
      </c>
      <c r="E2742" s="1" t="s">
        <v>2731</v>
      </c>
    </row>
    <row r="2743">
      <c r="A2743" s="2">
        <v>45939.68298611111</v>
      </c>
      <c r="B2743" s="1" t="s">
        <v>2257</v>
      </c>
      <c r="C2743" s="1" t="s">
        <v>845</v>
      </c>
      <c r="D2743" s="3" t="str">
        <f>?utf-8?B?TGFicy9TcGFjZXMgaWRlYXM6IE1hcmtldCByZXBvcnRzIGFuZCBwcm9zcGVjdCByZXNlYXJjaA==?=</f>
        <v>#ERROR!</v>
      </c>
      <c r="E2743" s="1" t="s">
        <v>2654</v>
      </c>
    </row>
    <row r="2744">
      <c r="A2744" s="2">
        <v>45939.69565972222</v>
      </c>
      <c r="B2744" s="1" t="s">
        <v>2732</v>
      </c>
      <c r="C2744" s="1" t="s">
        <v>1105</v>
      </c>
      <c r="D2744" s="1" t="s">
        <v>2733</v>
      </c>
      <c r="E2744" s="1" t="s">
        <v>2734</v>
      </c>
    </row>
    <row r="2745">
      <c r="A2745" s="2">
        <v>45939.61162037037</v>
      </c>
      <c r="B2745" s="1" t="s">
        <v>1311</v>
      </c>
      <c r="C2745" s="1" t="s">
        <v>2732</v>
      </c>
      <c r="D2745" s="1" t="s">
        <v>2735</v>
      </c>
      <c r="E2745" s="1" t="s">
        <v>2736</v>
      </c>
    </row>
    <row r="2746">
      <c r="A2746" s="2">
        <v>45939.768379629626</v>
      </c>
      <c r="B2746" s="1" t="s">
        <v>2732</v>
      </c>
      <c r="C2746" s="1" t="s">
        <v>1311</v>
      </c>
      <c r="D2746" s="1" t="s">
        <v>2737</v>
      </c>
      <c r="E2746" s="1" t="s">
        <v>2738</v>
      </c>
    </row>
    <row r="2747">
      <c r="A2747" s="2">
        <v>45939.860243055555</v>
      </c>
      <c r="B2747" s="1" t="s">
        <v>315</v>
      </c>
      <c r="C2747" s="1" t="s">
        <v>1036</v>
      </c>
      <c r="D2747" s="3" t="str">
        <f>?UTF-8?Q?Your_Apple=C2=A0Account_information_has_been_updated?=</f>
        <v>#ERROR!</v>
      </c>
      <c r="E2747" s="1" t="s">
        <v>2739</v>
      </c>
    </row>
    <row r="2748">
      <c r="A2748" s="2">
        <v>45939.863645833335</v>
      </c>
      <c r="B2748" s="1" t="s">
        <v>315</v>
      </c>
      <c r="C2748" s="1" t="s">
        <v>1036</v>
      </c>
      <c r="D2748" s="3" t="str">
        <f>?UTF-8?Q?Your_Apple=C2=A0Account_information_has_been_updated?=</f>
        <v>#ERROR!</v>
      </c>
      <c r="E2748" s="1" t="s">
        <v>2740</v>
      </c>
    </row>
    <row r="2749">
      <c r="A2749" s="2">
        <v>45940.15723379629</v>
      </c>
      <c r="B2749" s="1" t="s">
        <v>1229</v>
      </c>
      <c r="C2749" s="1" t="s">
        <v>845</v>
      </c>
      <c r="D2749" s="1" t="s">
        <v>2741</v>
      </c>
      <c r="E2749" s="1" t="s">
        <v>2742</v>
      </c>
    </row>
    <row r="2750">
      <c r="A2750" s="2">
        <v>45940.4896875</v>
      </c>
      <c r="B2750" s="1" t="s">
        <v>844</v>
      </c>
      <c r="C2750" s="1" t="s">
        <v>1036</v>
      </c>
      <c r="D2750" s="1" t="s">
        <v>2743</v>
      </c>
      <c r="E2750" s="1" t="s">
        <v>847</v>
      </c>
    </row>
    <row r="2751">
      <c r="A2751" s="2">
        <v>45940.29319444444</v>
      </c>
      <c r="B2751" s="1" t="s">
        <v>1317</v>
      </c>
      <c r="C2751" s="1" t="s">
        <v>849</v>
      </c>
      <c r="D2751" s="1" t="s">
        <v>2744</v>
      </c>
      <c r="E2751" s="1" t="s">
        <v>2745</v>
      </c>
    </row>
    <row r="2752">
      <c r="A2752" s="2">
        <v>45940.46087962963</v>
      </c>
      <c r="B2752" s="1" t="s">
        <v>533</v>
      </c>
      <c r="C2752" s="1" t="s">
        <v>526</v>
      </c>
      <c r="D2752" s="3" t="str">
        <f>?utf-8?B?4o+wIEZpbmFsIGhvdXJzOiBHZXQgdXAgdG8gMTB4IE1pbGVz?=</f>
        <v>#ERROR!</v>
      </c>
      <c r="E2752" s="1" t="s">
        <v>887</v>
      </c>
    </row>
    <row r="2753">
      <c r="A2753" s="2">
        <v>45940.64925925926</v>
      </c>
      <c r="B2753" s="1" t="s">
        <v>1311</v>
      </c>
      <c r="C2753" s="1" t="s">
        <v>2386</v>
      </c>
      <c r="D2753" s="1" t="s">
        <v>2746</v>
      </c>
      <c r="E2753" s="1" t="s">
        <v>2747</v>
      </c>
    </row>
    <row r="2754">
      <c r="A2754" s="2">
        <v>45940.69635416667</v>
      </c>
      <c r="B2754" s="1" t="s">
        <v>1311</v>
      </c>
      <c r="C2754" s="1" t="s">
        <v>1071</v>
      </c>
      <c r="E2754" s="1" t="s">
        <v>2748</v>
      </c>
    </row>
    <row r="2755">
      <c r="A2755" s="2">
        <v>45940.697604166664</v>
      </c>
      <c r="B2755" s="1" t="s">
        <v>1311</v>
      </c>
      <c r="C2755" s="1" t="s">
        <v>1071</v>
      </c>
      <c r="D2755" s="1" t="s">
        <v>1617</v>
      </c>
      <c r="E2755" s="1" t="s">
        <v>2671</v>
      </c>
    </row>
    <row r="2756">
      <c r="A2756" s="2">
        <v>45940.97574074074</v>
      </c>
      <c r="B2756" s="1" t="s">
        <v>2552</v>
      </c>
      <c r="C2756" s="1" t="s">
        <v>1311</v>
      </c>
      <c r="D2756" s="1" t="s">
        <v>2749</v>
      </c>
      <c r="E2756" s="1" t="s">
        <v>2750</v>
      </c>
    </row>
    <row r="2757">
      <c r="A2757" s="2">
        <v>45940.991122685184</v>
      </c>
      <c r="B2757" s="1" t="s">
        <v>1311</v>
      </c>
      <c r="C2757" s="1" t="s">
        <v>1311</v>
      </c>
      <c r="D2757" s="1" t="s">
        <v>2751</v>
      </c>
      <c r="E2757" s="1" t="s">
        <v>2204</v>
      </c>
    </row>
    <row r="2758">
      <c r="A2758" s="2">
        <v>45941.16207175926</v>
      </c>
      <c r="B2758" s="1" t="s">
        <v>2752</v>
      </c>
      <c r="C2758" s="1" t="s">
        <v>845</v>
      </c>
      <c r="D2758" s="1" t="s">
        <v>2753</v>
      </c>
      <c r="E2758" s="1" t="s">
        <v>2754</v>
      </c>
    </row>
    <row r="2759">
      <c r="A2759" s="2">
        <v>45941.162083333336</v>
      </c>
      <c r="B2759" s="1" t="s">
        <v>2752</v>
      </c>
      <c r="C2759" s="1" t="s">
        <v>845</v>
      </c>
      <c r="D2759" s="1" t="s">
        <v>2753</v>
      </c>
      <c r="E2759" s="1" t="s">
        <v>2754</v>
      </c>
    </row>
    <row r="2760">
      <c r="A2760" s="2">
        <v>45941.492430555554</v>
      </c>
      <c r="B2760" s="1" t="s">
        <v>1311</v>
      </c>
      <c r="C2760" s="1" t="s">
        <v>1954</v>
      </c>
      <c r="D2760" s="1" t="s">
        <v>2696</v>
      </c>
      <c r="E2760" s="1" t="s">
        <v>2755</v>
      </c>
    </row>
    <row r="2761">
      <c r="A2761" s="2">
        <v>45941.49878472222</v>
      </c>
      <c r="B2761" s="1" t="s">
        <v>1954</v>
      </c>
      <c r="C2761" s="1" t="s">
        <v>1311</v>
      </c>
      <c r="D2761" s="1" t="s">
        <v>2696</v>
      </c>
      <c r="E2761" s="1" t="s">
        <v>2756</v>
      </c>
    </row>
    <row r="2762">
      <c r="A2762" s="2">
        <v>45942.333333333336</v>
      </c>
      <c r="B2762" s="1" t="s">
        <v>1311</v>
      </c>
      <c r="C2762" s="1" t="s">
        <v>1071</v>
      </c>
      <c r="D2762" s="1" t="s">
        <v>2757</v>
      </c>
      <c r="E2762" s="1" t="s">
        <v>2758</v>
      </c>
    </row>
    <row r="2763">
      <c r="A2763" s="2">
        <v>45942.47074074074</v>
      </c>
      <c r="B2763" s="1" t="s">
        <v>844</v>
      </c>
      <c r="C2763" s="1" t="s">
        <v>1036</v>
      </c>
      <c r="D2763" s="1" t="s">
        <v>1865</v>
      </c>
      <c r="E2763" s="1" t="s">
        <v>847</v>
      </c>
    </row>
    <row r="2764">
      <c r="A2764" s="2">
        <v>45942.75269675926</v>
      </c>
      <c r="B2764" s="1" t="s">
        <v>844</v>
      </c>
      <c r="C2764" s="1" t="s">
        <v>1036</v>
      </c>
      <c r="D2764" s="1" t="s">
        <v>2759</v>
      </c>
      <c r="E2764" s="1" t="s">
        <v>847</v>
      </c>
    </row>
    <row r="2765">
      <c r="A2765" s="2">
        <v>45943.4525</v>
      </c>
      <c r="B2765" s="1" t="s">
        <v>857</v>
      </c>
      <c r="C2765" s="1" t="s">
        <v>845</v>
      </c>
      <c r="D2765" s="1" t="s">
        <v>1368</v>
      </c>
      <c r="E2765" s="1" t="s">
        <v>847</v>
      </c>
    </row>
    <row r="2766">
      <c r="A2766" s="2">
        <v>45943.64027777778</v>
      </c>
      <c r="B2766" s="1" t="s">
        <v>844</v>
      </c>
      <c r="C2766" s="1" t="s">
        <v>845</v>
      </c>
      <c r="D2766" s="1" t="s">
        <v>1573</v>
      </c>
      <c r="E2766" s="1" t="s">
        <v>847</v>
      </c>
    </row>
    <row r="2767">
      <c r="A2767" s="2">
        <v>45943.80416666667</v>
      </c>
      <c r="B2767" s="1" t="s">
        <v>2092</v>
      </c>
      <c r="C2767" s="1" t="s">
        <v>1311</v>
      </c>
      <c r="D2767" s="1" t="s">
        <v>2760</v>
      </c>
      <c r="E2767" s="1" t="s">
        <v>2761</v>
      </c>
    </row>
    <row r="2768">
      <c r="A2768" s="2">
        <v>45944.64179398148</v>
      </c>
      <c r="B2768" s="1" t="s">
        <v>1564</v>
      </c>
      <c r="C2768" s="1" t="s">
        <v>845</v>
      </c>
      <c r="D2768" s="1" t="s">
        <v>2762</v>
      </c>
      <c r="E2768" s="1" t="s">
        <v>2763</v>
      </c>
    </row>
    <row r="2769">
      <c r="A2769" s="2">
        <v>45944.673784722225</v>
      </c>
      <c r="B2769" s="1" t="s">
        <v>1564</v>
      </c>
      <c r="C2769" s="1" t="s">
        <v>2141</v>
      </c>
      <c r="D2769" s="1" t="s">
        <v>2762</v>
      </c>
      <c r="E2769" s="1" t="s">
        <v>2764</v>
      </c>
    </row>
    <row r="2770">
      <c r="A2770" s="2">
        <v>45944.784224537034</v>
      </c>
      <c r="B2770" s="1" t="s">
        <v>735</v>
      </c>
      <c r="C2770" s="1" t="s">
        <v>524</v>
      </c>
      <c r="D2770" s="1" t="s">
        <v>2765</v>
      </c>
      <c r="E2770" s="1" t="s">
        <v>887</v>
      </c>
    </row>
    <row r="2771">
      <c r="A2771" s="2">
        <v>45945.501759259256</v>
      </c>
      <c r="B2771" s="1" t="s">
        <v>2766</v>
      </c>
      <c r="C2771" s="1" t="s">
        <v>2141</v>
      </c>
      <c r="D2771" s="1" t="s">
        <v>2767</v>
      </c>
      <c r="E2771" s="1" t="s">
        <v>2768</v>
      </c>
    </row>
    <row r="2772">
      <c r="A2772" s="2">
        <v>45945.717199074075</v>
      </c>
      <c r="B2772" s="1" t="s">
        <v>857</v>
      </c>
      <c r="C2772" s="1" t="s">
        <v>845</v>
      </c>
      <c r="D2772" s="3" t="str">
        <f>?UTF-8?q?50%_off_your_next_3_orders_-_just_for_you_=F0=9F=91=80?=</f>
        <v>#ERROR!</v>
      </c>
      <c r="E2772" s="1" t="s">
        <v>847</v>
      </c>
    </row>
    <row r="2773">
      <c r="A2773" s="2">
        <v>45945.917962962965</v>
      </c>
      <c r="B2773" s="1" t="s">
        <v>860</v>
      </c>
      <c r="C2773" s="1" t="s">
        <v>849</v>
      </c>
      <c r="D2773" s="1" t="s">
        <v>861</v>
      </c>
      <c r="E2773" s="1" t="s">
        <v>851</v>
      </c>
    </row>
    <row r="2774">
      <c r="A2774" s="2">
        <v>45945.99254629629</v>
      </c>
      <c r="B2774" s="1" t="s">
        <v>857</v>
      </c>
      <c r="C2774" s="1" t="s">
        <v>1036</v>
      </c>
      <c r="D2774" s="1" t="s">
        <v>997</v>
      </c>
      <c r="E2774" s="1" t="s">
        <v>847</v>
      </c>
    </row>
    <row r="2775">
      <c r="A2775" s="2">
        <v>45945.79232638889</v>
      </c>
      <c r="B2775" s="1" t="s">
        <v>2143</v>
      </c>
      <c r="C2775" s="1" t="s">
        <v>2144</v>
      </c>
      <c r="D2775" s="3" t="str">
        <f>?UTF-8?B?Q3JhaWcsIHlvdXIgZnVubmllc3Qg4oCcbWVtZeKAnW9yaWVzIGNv?=
 =?UTF-8?B?dWxkIHdpbiogYSAkMTAwIGdpZnQgY2FyZCE=?=</f>
        <v>#ERROR!</v>
      </c>
      <c r="E2775" s="1" t="s">
        <v>2769</v>
      </c>
    </row>
    <row r="2776">
      <c r="A2776" s="2">
        <v>45946.47390046297</v>
      </c>
      <c r="B2776" s="1" t="s">
        <v>844</v>
      </c>
      <c r="C2776" s="1" t="s">
        <v>1036</v>
      </c>
      <c r="D2776" s="1" t="s">
        <v>2770</v>
      </c>
      <c r="E2776" s="1" t="s">
        <v>847</v>
      </c>
    </row>
    <row r="2777">
      <c r="A2777" s="2">
        <v>45946.68300925926</v>
      </c>
      <c r="B2777" s="1" t="s">
        <v>2257</v>
      </c>
      <c r="C2777" s="1" t="s">
        <v>845</v>
      </c>
      <c r="D2777" s="3" t="str">
        <f>?utf-8?B?TGFicy9TcGFjZXMgaWRlYXM6IEJ1c2luZXNzIGZpbmFuY2VzIGFuZCBzdGFydHVwIGFkdmlzb3I=?=</f>
        <v>#ERROR!</v>
      </c>
      <c r="E2777" s="1" t="s">
        <v>2654</v>
      </c>
    </row>
    <row r="2778">
      <c r="A2778" s="2">
        <v>45946.53673611111</v>
      </c>
      <c r="B2778" s="1" t="s">
        <v>735</v>
      </c>
      <c r="C2778" s="1" t="s">
        <v>524</v>
      </c>
      <c r="D2778" s="3" t="str">
        <f>?utf-8?B?R2V0IDEwMCBCb251cyBNaWxlcyBhdCBHbG9iYWwgUGV0IEZvbw==?=
 =?utf-8?B?ZHMg8J+Qvg==?=</f>
        <v>#ERROR!</v>
      </c>
      <c r="E2778" s="1" t="s">
        <v>887</v>
      </c>
    </row>
    <row r="2779">
      <c r="A2779" s="2">
        <v>45946.77787037037</v>
      </c>
      <c r="B2779" s="1" t="s">
        <v>844</v>
      </c>
      <c r="C2779" s="1" t="s">
        <v>1036</v>
      </c>
      <c r="D2779" s="3" t="str">
        <f>?UTF-8?B?SHVycnnigJR1cA==?= to 50% off vanishes soon
 =?UTF-8?B?8J+Ruw==?=</f>
        <v>#ERROR!</v>
      </c>
      <c r="E2779" s="1" t="s">
        <v>847</v>
      </c>
    </row>
    <row r="2780">
      <c r="A2780" s="2">
        <v>45947.581238425926</v>
      </c>
      <c r="B2780" s="1" t="s">
        <v>857</v>
      </c>
      <c r="C2780" s="1" t="s">
        <v>845</v>
      </c>
      <c r="D2780" s="1" t="s">
        <v>2082</v>
      </c>
      <c r="E2780" s="1" t="s">
        <v>847</v>
      </c>
    </row>
    <row r="2781">
      <c r="A2781" s="2">
        <v>45947.801932870374</v>
      </c>
      <c r="B2781" s="1" t="s">
        <v>1251</v>
      </c>
      <c r="C2781" s="1" t="s">
        <v>1311</v>
      </c>
      <c r="D2781" s="1" t="s">
        <v>1269</v>
      </c>
      <c r="E2781" s="1" t="s">
        <v>2771</v>
      </c>
    </row>
    <row r="2782">
      <c r="A2782" s="2">
        <v>45948.02309027778</v>
      </c>
      <c r="B2782" s="1" t="s">
        <v>1311</v>
      </c>
      <c r="C2782" s="1" t="s">
        <v>1111</v>
      </c>
      <c r="D2782" s="1" t="s">
        <v>1978</v>
      </c>
      <c r="E2782" s="1" t="s">
        <v>2772</v>
      </c>
    </row>
    <row r="2783">
      <c r="A2783" s="2">
        <v>45948.16799768519</v>
      </c>
      <c r="B2783" s="1" t="s">
        <v>1311</v>
      </c>
      <c r="C2783" s="1" t="s">
        <v>1111</v>
      </c>
      <c r="D2783" s="1" t="s">
        <v>1978</v>
      </c>
      <c r="E2783" s="1" t="s">
        <v>1189</v>
      </c>
    </row>
    <row r="2784">
      <c r="A2784" s="2">
        <v>45948.29305555556</v>
      </c>
      <c r="B2784" s="1" t="s">
        <v>1317</v>
      </c>
      <c r="C2784" s="1" t="s">
        <v>849</v>
      </c>
      <c r="D2784" s="1" t="s">
        <v>2242</v>
      </c>
      <c r="E2784" s="1" t="s">
        <v>2773</v>
      </c>
    </row>
    <row r="2785">
      <c r="A2785" s="2">
        <v>45950.00625</v>
      </c>
      <c r="B2785" s="1" t="s">
        <v>844</v>
      </c>
      <c r="C2785" s="1" t="s">
        <v>1036</v>
      </c>
      <c r="D2785" s="3" t="str">
        <f>?UTF-8?q?Use_your_50%_off_promo_before_it=E2=80=99s_gone!?=</f>
        <v>#ERROR!</v>
      </c>
      <c r="E2785" s="1" t="s">
        <v>847</v>
      </c>
    </row>
    <row r="2786">
      <c r="A2786" s="2">
        <v>45950.44898148148</v>
      </c>
      <c r="B2786" s="1" t="s">
        <v>857</v>
      </c>
      <c r="C2786" s="1" t="s">
        <v>845</v>
      </c>
      <c r="D2786" s="1" t="s">
        <v>1368</v>
      </c>
      <c r="E2786" s="1" t="s">
        <v>847</v>
      </c>
    </row>
    <row r="2787">
      <c r="A2787" s="2">
        <v>45950.86126157407</v>
      </c>
      <c r="B2787" s="1" t="s">
        <v>844</v>
      </c>
      <c r="C2787" s="1" t="s">
        <v>1036</v>
      </c>
      <c r="D2787" s="1" t="s">
        <v>2677</v>
      </c>
      <c r="E2787" s="1" t="s">
        <v>847</v>
      </c>
    </row>
    <row r="2788">
      <c r="A2788" s="2">
        <v>45951.0180787037</v>
      </c>
      <c r="B2788" s="1" t="s">
        <v>857</v>
      </c>
      <c r="C2788" s="1" t="s">
        <v>845</v>
      </c>
      <c r="D2788" s="3" t="str">
        <f>?UTF-8?q?50%_off_your_next_3_orders_-_just_for_you_=F0=9F=91=80?=</f>
        <v>#ERROR!</v>
      </c>
      <c r="E2788" s="1" t="s">
        <v>847</v>
      </c>
    </row>
  </sheetData>
  <hyperlinks>
    <hyperlink r:id="rId1" ref="E420"/>
    <hyperlink r:id="rId2" ref="E434"/>
  </hyperlinks>
  <drawing r:id="rId3"/>
</worksheet>
</file>