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kNNYwqL4ShLKR/w9hy6oyyc73dBvS4AXq1wiAsPguzo="/>
    </ext>
  </extLst>
</workbook>
</file>

<file path=xl/sharedStrings.xml><?xml version="1.0" encoding="utf-8"?>
<sst xmlns="http://schemas.openxmlformats.org/spreadsheetml/2006/main" count="18833" uniqueCount="10089">
  <si>
    <t>Date (Approx.)</t>
  </si>
  <si>
    <t>Sender</t>
  </si>
  <si>
    <t>Recipient</t>
  </si>
  <si>
    <t>Communication Type</t>
  </si>
  <si>
    <t>Full Message/Statement</t>
  </si>
  <si>
    <t>Key Allegations/Summary</t>
  </si>
  <si>
    <t>Exhibit Reference</t>
  </si>
  <si>
    <t>Emma Ryan</t>
  </si>
  <si>
    <t>Craig Schulz</t>
  </si>
  <si>
    <t>Text Message</t>
  </si>
  <si>
    <t>"Again I'm sorry makes since why you thought it was okay .. I'm not sure of any woman that would stick by you through all of that plus then having there child and who you thought was your person then riped the only thing you had left away from her .. &amp; still I'm willing to be here and let you have the chance to prove yourself and show her you want to be in her life .. but again I know my feelings don't matter &amp; the hurt I caused you will always be more or always make your actions valid .. the difference here is you telling me what happened and how I feel. That for whatever I did it made your actions okay .. you never would have fought to be in her life or to be a part of it all that was a giving. I told you at the beginning and I've never gone back on that or changed that. I did all my appointments alone, I got all the things we needed to care for her and keep her safe alone, I delt with all the heartache the exhaustion while you sat and watched me decay as a human being and laughed in my face about it .. I sat and cried time and time again of what hurts and what I was afraid of .. you did it all. But chose to use those things to get back at me and use them against +"</t>
  </si>
  <si>
    <t>Emma expresses apology while justifying actions and blaming Craig; claims to have handled Harper's care alone and that Craig laughed at her pain; accuses Craig of fighting like a child.</t>
  </si>
  <si>
    <t>A-1</t>
  </si>
  <si>
    <t>"Attagirl abandon your daughter to go get high Unless it's about Harper or pip.er I don't care I'll behomesoonwlthformul.a I want my dog . -- I'm done with bullst.t yelling DoM GJ Gl 0 • o e e D 'i, @ a Yeah No • 0 z u 0 p</t>
  </si>
  <si>
    <t>Craig directly accuses Emma of abandoning Harper to use drugs and expresses frustration.</t>
  </si>
  <si>
    <t>2025-XX-XX</t>
  </si>
  <si>
    <t>"care of yourself I will not show you shit I'll show the judge. Fuck you Delivered no Craig that's where your wrong again. And you beat the shit out of me and trashed my apartment because you didn't have any + While you screamed where's my ficmjng drugs huh And said put it in mailbox so he doesn't flip out. Im done with your shit fuck off go fuck yourself The I'm"</t>
  </si>
  <si>
    <t>Emma refuses to show information to Craig, states she will show the judge; accuses Craig of assault and trashing her apartment; implies Craig was seeking drugs.</t>
  </si>
  <si>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</si>
  <si>
    <t>Emma threatens Craig with jail for breaking a court order and attempts to restrict his access to Harper to only through her parents.</t>
  </si>
  <si>
    <t>"I called the rcmp before I even left the apartment Emma. What bullshit I just asked a question I'd much rather go through your parents on seeing my daughter if you'd like Ttyl Read :J 41 PM Thank you so it was planned and thought out thank you"</t>
  </si>
  <si>
    <t>Craig states he called RCMP before leaving; expresses preference to arrange visitation through Emma's parents; Emma confirms her actions were 'planned and thought out'.</t>
  </si>
  <si>
    <t>"will get a lawyer. It's sad that even had to come to this because I know that you will be as nasty and dirty as you can be towards me but it needed to be done. I'd do anything for that little girl. I never ever want her to feel the way that you've made me feel and I like to think that you wouldn't either."</t>
  </si>
  <si>
    <t>Craig informs Emma he will get a lawyer, anticipating her negative behavior, but states it's necessary for Harper's well-being.</t>
  </si>
  <si>
    <t>"Although I disagree because I've sent over formal and informal requests for two weeks. Im glad you did and I agree with you Harper needs stability and safety. I'd like answers to my questions about Harper please don't think we should discuss other stuff . I've said this for weeks. Yes requests .. I told you when I first brought her here. You can come see her whenever but I won't allow you to ever do that to her or me again because your words don't mean anything because if it was up to me, we could've sat down and came to an agreement. Well, I'd like to think that, but after everything I know you would only use her to hurt me tor that you would remain in control and sadly I've been the only one that has been civil and fair in this. So at the +"</t>
  </si>
  <si>
    <t>Emma acknowledges requests, agrees on Harper's stability, but rejects direct discussion beyond Harper; claims Craig would use Harper to hurt her.</t>
  </si>
  <si>
    <t>"end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t>
  </si>
  <si>
    <t>Emma expresses desire for Harper to be in best care, willingness to fight; updates on Harper's health (congestion, constipation, growth spurt).</t>
  </si>
  <si>
    <t>"Thanks Emma. Touch base later if you don't mind to check in with her. you and Jane are doing a great job and I had no doubt you would. Yup. Just sucks I can't be home with our daughter and all her things. But it is what it is. I'll do whatever it takes to actually be her mom. Thanks. Never thought I'd have to fight for my baby especially after the reassurance. Or any of this with having a child with someone .. someone I thought was my person. Only up from here."</t>
  </si>
  <si>
    <t>Craig thanks Emma, acknowledges her/Jane's care, expresses sadness about not being with Harper and her belongings, and commitment to being Harper's mother.</t>
  </si>
  <si>
    <t>"You have her not me: you're fighting the guy who is trying to spend time with her. Last text"</t>
  </si>
  <si>
    <t>Emma asserts Craig has Harper and is fighting someone trying to spend time with her.</t>
  </si>
  <si>
    <t>"I'm not tho. Never once fought you on it. I do not but you had her 5 days without letting me know her wellbeing 3/5. Yah. I told you over and over I'm not fighting . Don't have it in me. None of this should be even happening ~"</t>
  </si>
  <si>
    <t>Craig denies fighting, states Emma had Harper for 5 days without updates on her well-being.</t>
  </si>
  <si>
    <t>Emma Elizabeth</t>
  </si>
  <si>
    <t>"I wanted to take them .. lol. Sorry I didn't tell you. I'll take them in a ,,p,I, little, just to get some fresh air."</t>
  </si>
  <si>
    <t>Emma admits taking items, implying they were Harper's or related to Harper, without informing Craig.</t>
  </si>
  <si>
    <t>"You have an hour I'll meet you at the doors for somebody to pick you up. If not, you will be removed . No questions asked I'm fucking done like fuck you'll ever ever lay hands on me or do anything with her in your arms say I'm not safe you're fucked in the head. You got an hour. I'm not fucking around and I'm not playing games. I leave my own fucking house and do everything that you fucking say and you have zero fucking respect never did I don't oive a fuck about you. I don't give ,J, k about anything. You're "ucking useless."</t>
  </si>
  <si>
    <t>Emma issues an aggressive ultimatum for pickup, makes threats, and uses highly disrespectful language, culminating in blocking Craig.</t>
  </si>
  <si>
    <t>"You've blocked Emma You can't message or call them in this chat, and you won't receive their messages or calls. Unblock Report"</t>
  </si>
  <si>
    <t>Emma blocked Craig, preventing further communication.</t>
  </si>
  <si>
    <t>2024-XX-XX</t>
  </si>
  <si>
    <t>"blackout but that's what I do for you guys. Anyway no point you don't see reality with me only push back. All good balls in your court I'll go back to fkn work in the morning with nothing like i have done 15 times in the last 8 weeks. And no I'm not talking about drugs ."</t>
  </si>
  <si>
    <t>Craig references personal sacrifice and financial struggles, explicitly denies drug use.</t>
  </si>
  <si>
    <t>"Good night I'm not mad I'm just over the bullshit. No one disrespects me in my own home once let alone over and over and over, you embarrassed me today when I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t>
  </si>
  <si>
    <t>Craig expresses frustration over disrespect and embarrassment, offers civil co-parenting or continued conflict.</t>
  </si>
  <si>
    <t>"lol. Whatever you think. You say I don't do anything i told ya I'll show you what I do I'm done everything of course I care about her I cry once a day watching her scratch her ear. I'm disrespectful HA. You've never respected me, I see reality very +"</t>
  </si>
  <si>
    <t>Emma mocks Craig's concerns, claims she cares for Harper, and accuses Craig of disrespect.</t>
  </si>
  <si>
    <t>"pregnant with someone else's kid lot Anyway That week will haunt me for rest of my life. It 's when my brother set me up Just digging up old wounds, replying to your affidavit truthfully without hurting Harper . Or the girl who saved her dad"</t>
  </si>
  <si>
    <t>Emma states she is pregnant with someone else's child; references a traumatic past 'week' involving her brother; discusses her affidavit reply.</t>
  </si>
  <si>
    <t>"What week? Your birthday? ldk what you're talking about &amp; it's not a reply it's not what I did or what you did or who's lying or who hurt who it's what's best for our daughter. &amp; I didn't do shit other then make your life more difficult clearly. But okay. Ttyl Emma, I have to reply to your words, every word. By law ffs"</t>
  </si>
  <si>
    <t>Craig redirects conversation to Harper's best interest, denies causing difficulty, and emphasizes his legal obligation to reply to Emma's affidavit.</t>
  </si>
  <si>
    <t>"No but OK lol it doesn't matter because you said I wasn't being truthful anyway it doesn't have to matter like I said I'll talk to you later I'm bather and then I gotta go + Delivered"</t>
  </si>
  <si>
    <t>Emma dismisses Craig's legal obligation to respond to her affidavit, claiming it doesn't matter.</t>
  </si>
  <si>
    <t>"Love you baby I'm sorry I wish I could be with her and you at these appoint,ends I'd love to be on the phone but I know you'd hate that, just re,ember to use me for my strengths and stuff like this is something I am used to dealing with"</t>
  </si>
  <si>
    <t>Craig expresses regret for not being at appointments, offers phone support, and asks Emma to utilize his strengths.</t>
  </si>
  <si>
    <t>"I know baby. I love you. Thank you! I'll record it maybe?"</t>
  </si>
  <si>
    <t>Emma acknowledges Craig's message, thanks him, and asks if she should record.</t>
  </si>
  <si>
    <t>"I'd love that .. Be easier after today little less stress with a couple bucks to Hailey amd stuff too . Love you girls Thank you for all you do .. and being what I need when I need it for the most part ct"</t>
  </si>
  <si>
    <t>Craig appreciates the idea of recording, mentions financial stress relief, and thanks Emma for her support.</t>
  </si>
  <si>
    <t>"Ey You're the most amazing human being I've ever met. Love you"</t>
  </si>
  <si>
    <t>Craig sends an affectionate message to Emma.</t>
  </si>
  <si>
    <t>"Was every page of this entered? My anger only started after the sadness and effort of trying to get you to understand or see how I feel wasn't working. Even then I would remain calm tell you to stop to leave me alone and for hours you'd push and push .. who does that to someone someone they love .. just to video it to myself look good. You've just hurt be beyond repair and that doesn't matter what matterwhat matters in our daughter."</t>
  </si>
  <si>
    <t>Emma asks about affidavit entry, explains her anger as a reaction to Craig's perceived lack of understanding and persistence; accuses him of trying to 'video it to myself look good'.</t>
  </si>
  <si>
    <t>"Yes Craig they gotta look it over to make sure This isn't about your past. It's about Harper's future Every single page of statement ? No shit Sherlock what I've been trying to do this whole time Ok t hank you for answering What do you mean every page of the statement I wrote it?"</t>
  </si>
  <si>
    <t>Emma confirms a statement is being reviewed, attempts to reframe the discussion towards Harper's future, and questions Craig about 'every page of the statement'.</t>
  </si>
  <si>
    <t>"I'm done enabling 1t. I'm done giving you the benefit of the doubt I'm done. Adults also tell people when they're fucking Landlord text the other person but thanks glad that if I would've texted him, I would've looked like another idiot. Fuck me. You literally have zero respect for anything or anyone. It's pathetic. You're not worth the breath and I'm so exhausted from you taking everything out of me You wonder why you don't have anybody or you can't rely on anybody I don't know why anybody would let you borrow that much money when you don't have a job or any timeframe or how you're gonna pay them back Like not being welcomed would change anything Craig you told me you weren't. You just punish me. And continue to break my heart."</t>
  </si>
  <si>
    <t>Emma expresses frustration and exhaustion, accuses Craig of disrespect and financial irresponsibility, and states he uses punishment.</t>
  </si>
  <si>
    <t>"WHAT IS HIS EMAIL you fucking toddler"</t>
  </si>
  <si>
    <t>Craig demands an email address using aggressive, demeaning language.</t>
  </si>
  <si>
    <t>"call Emma common I was behind a closed door ajd sitting down I told you I was sorry and would stop but we both needed to work on it Stop defending your fucking cheating I don't care And you did not. You pushed and pushed so you could have any evidence to say I was a shit human. To save your ass I'm not defending I earned it int old You t hat That's wrong And when I asked you to leave and told you I was done it's not cheating"</t>
  </si>
  <si>
    <t>Emma accuses Craig of cheating and pushing her to gather evidence against her; Craig defends himself against cheating claims.</t>
  </si>
  <si>
    <t>"Sounds good hun. I hope not be long anyway n you'll only have to come back to grab us when hopefully I know dogs gotta go out too n I appreciate all the running you've done She's not ready to go home As much as it sucks What do you mean? I totally think she's ready to go home .. everything has been great other than her blood report last night They'll want to keep an eye on her levels I'm pretty sure Just r' • want ya disappointed that•~ ,J, .t I gathered"</t>
  </si>
  <si>
    <t>Emma indicates Harper is not ready to go home despite Craig's belief she is, citing a blood report.</t>
  </si>
  <si>
    <t>2025-06-XX</t>
  </si>
  <si>
    <t>Clement Walter Ryan (Sonny)</t>
  </si>
  <si>
    <t>Verbal</t>
  </si>
  <si>
    <t>"I was not welcome in his home."</t>
  </si>
  <si>
    <t>Sonny's explicit statement denying access to his home.</t>
  </si>
  <si>
    <t>"I'm not getting involved."</t>
  </si>
  <si>
    <t>Sonny's contradictory claim while interfering with child exchange.</t>
  </si>
  <si>
    <t>Friends/Family</t>
  </si>
  <si>
    <t>"houseplant"</t>
  </si>
  <si>
    <t>Sonny's derogatory reference to Craig.</t>
  </si>
  <si>
    <t>Phone Call</t>
  </si>
  <si>
    <t>"idunno if they are home... i was away all mornfing im in the garage im not sure if theyre here or not sorry."</t>
  </si>
  <si>
    <t>Sonny's deceptive denial of Emma's presence and obstruction of visit.</t>
  </si>
  <si>
    <t>2025-04-XX</t>
  </si>
  <si>
    <t>"Dad is drinking more then normal. Like a 24 every single day getting Matts land ready to build."</t>
  </si>
  <si>
    <t>Emma's admission of her father's excessive drinking.</t>
  </si>
  <si>
    <t>Email</t>
  </si>
  <si>
    <t>"I would not see Harper again until we saw a judge in October."</t>
  </si>
  <si>
    <t>Emma's unilateral denial of access.</t>
  </si>
  <si>
    <t>Emma's re-stated denial of access via email.</t>
  </si>
  <si>
    <t>"you should know what you need to care for your daughter, I've been telling you for months."</t>
  </si>
  <si>
    <t>Emma's deflection and avoidance regarding provisions.</t>
  </si>
  <si>
    <t>Nurse</t>
  </si>
  <si>
    <t>"ughhh emma youre not clearted yet"</t>
  </si>
  <si>
    <t>Nurse's statement indicating Emma's inability to be discharged.</t>
  </si>
  <si>
    <t>2024-11-XX</t>
  </si>
  <si>
    <t>Dr. Jani Ryan</t>
  </si>
  <si>
    <t>"Don't worry, your secrets safe with me."</t>
  </si>
  <si>
    <t>Dr. Ryan's statement hinting at undisclosed information during Harper's birth.</t>
  </si>
  <si>
    <t>2025-01-XX</t>
  </si>
  <si>
    <t>"she's worried about her vagina... if i would have sex with her to make severything is good."</t>
  </si>
  <si>
    <t>Emma's invitation for sexual intercourse.</t>
  </si>
  <si>
    <t>Dog (Piper)</t>
  </si>
  <si>
    <t>Verbal (heard via baby monitor)</t>
  </si>
  <si>
    <t>"get off !! ... Piper, get off the bed."</t>
  </si>
  <si>
    <t>Emma's sudden outcry during intercourse, possibly staged for recording.</t>
  </si>
  <si>
    <t>Verbal (repeatedly)</t>
  </si>
  <si>
    <t>"forced her to do it."</t>
  </si>
  <si>
    <t>Emma's subsequent false accusations of forced sex.</t>
  </si>
  <si>
    <t>"if that was Nick talking while I was Facetiming Harper at bath time."</t>
  </si>
  <si>
    <t>Craig's inquiry about background conversation during FaceTime.</t>
  </si>
  <si>
    <t>"noone... crazy... hearing thigms."</t>
  </si>
  <si>
    <t>Emma's initial denial and gaslighting.</t>
  </si>
  <si>
    <t>"so what i asked my broyther for a smoke get a fucking life."</t>
  </si>
  <si>
    <t>Emma's aggressive admission after denial.</t>
  </si>
  <si>
    <t>Unknown male</t>
  </si>
  <si>
    <t>Visual (Screen Recording)</t>
  </si>
  <si>
    <t>"(Running down the driveway behind Harper's head at 10am on a Monday)"</t>
  </si>
  <si>
    <t>Visual evidence of suspicious individual fleeing Emma's residence.</t>
  </si>
  <si>
    <t>"i need to go to the pharmacy to get ready for my frug test tomrorow/on sunday"</t>
  </si>
  <si>
    <t>Emma's statement about preparing for a drug test, indicating awareness of her drug use and attempts to circumvent testing.</t>
  </si>
  <si>
    <t>Emma's re-stated denial of access.</t>
  </si>
  <si>
    <t>Verbal/Text</t>
  </si>
  <si>
    <t>Emma's continued deflection on providing specifics regarding provisions.</t>
  </si>
  <si>
    <t>Tony Baker (drug dealer)</t>
  </si>
  <si>
    <t>"she dicks me around one more time I'll blow up the fucking foundation out there."</t>
  </si>
  <si>
    <t>Direct threat from drug dealer associated with Emma's finances.</t>
  </si>
  <si>
    <t>911/Paramedics</t>
  </si>
  <si>
    <t>Phone Call/In-person</t>
  </si>
  <si>
    <t>"[Emma called 911 claiming Harper stopped breathing. User observed Harper's phlegm clear and color perfect by the time paramedics arrived.]"</t>
  </si>
  <si>
    <t>Emma called 911, User ensured Harper's well-being; Emma stayed upstairs.</t>
  </si>
  <si>
    <t>"[Emma called 911 again claiming Harper stopped breathing. User observed Harper's color great upon paramedic arrival. User apologized to paramedics for wasting resources.]"</t>
  </si>
  <si>
    <t>Ambulance NB Supervisor</t>
  </si>
  <si>
    <t>User</t>
  </si>
  <si>
    <t>In-person</t>
  </si>
  <si>
    <t>"When you have the worry on your face you had just now when we got here, that's when you call us brother. Thats why were down the road, just call anytime you are scared that something isnt right."</t>
  </si>
  <si>
    <t>Supervisor validates User's parental concern for Harper.</t>
  </si>
  <si>
    <t>Ambulance NB Paramedics (7 total)</t>
  </si>
  <si>
    <t>"First kid?"</t>
  </si>
  <si>
    <t>Paramedics' consistent reaction to User's proactive, concerned parenting.</t>
  </si>
  <si>
    <t>Phone Message</t>
  </si>
  <si>
    <t>"Begging, quietly, nicely that I could see her face today through video chat, or at least an update."</t>
  </si>
  <si>
    <t>User's civil attempt to initiate contact and see Harper.</t>
  </si>
  <si>
    <t>"[Sent a couple of civil texts requesting an update on Harper or an opportunity for contact.]"</t>
  </si>
  <si>
    <t>Court Filing/User</t>
  </si>
  <si>
    <t>Legal Filing</t>
  </si>
  <si>
    <t>"Took him 5 seconds to make Harper, took me 8 months."</t>
  </si>
  <si>
    <t>Emma's resentful and immature statement regarding Harper's birth.</t>
  </si>
  <si>
    <t>Public/User</t>
  </si>
  <si>
    <t>Screaming/Verbal</t>
  </si>
  <si>
    <t>"[Screaming from the deck] shit and then whisperring the other half of the sentence and just embarassing me... right down to premature ya know what, between the halfway house and rthe fucking crtack shack and the police sgtation adn teh liquor store."</t>
  </si>
  <si>
    <t>Emma's public humiliation and volatile behavior.</t>
  </si>
  <si>
    <t>Physical</t>
  </si>
  <si>
    <t>"[50 punches to the face.]"</t>
  </si>
  <si>
    <t>Emma's physical assault on User.</t>
  </si>
  <si>
    <t>Emma (My Girl)</t>
  </si>
  <si>
    <t>You (Craig)</t>
  </si>
  <si>
    <t>iMessage</t>
  </si>
  <si>
    <t>"What's the password for your iCash account? We're gonna need a loan even tho I've been denied most... $369????... And I'll fucking take care of that fucking douche bag... Enjoy your stuff in your place Awesome now you have no place to live sweet especially going into the month that we're supposed to lease"</t>
  </si>
  <si>
    <t>Emma's financial demands, anger, threats of property/housing loss, iCash loan.</t>
  </si>
  <si>
    <t>December27screens.pdf</t>
  </si>
  <si>
    <t>"Can I just have my phone back please I know you just seen all of it."</t>
  </si>
  <si>
    <t>Emma asks for phone back, implies you accessed it.</t>
  </si>
  <si>
    <t>Emma's 50-Page Transcribed Doc</t>
  </si>
  <si>
    <t>"I do apologize for my actions it was not fair to you."</t>
  </si>
  <si>
    <t>Emma apologizes for actions.</t>
  </si>
  <si>
    <t>"Please be here in an hour or I'm calling the cops. I'm fucking done with your shit Craig."</t>
  </si>
  <si>
    <t>Emma threatens police, demands presence.</t>
  </si>
  <si>
    <t>"Where are you. Where's my dog."</t>
  </si>
  <si>
    <t>Emma asks about your location and dog.</t>
  </si>
  <si>
    <t>"I'm done enabling it. I'm done giving you the benefit of the doubt I'm done... You literally have zero respect for anything or anyone. It's pathetic... WHAT IS HIS EMAIL you fucking toddler"</t>
  </si>
  <si>
    <t>Emma's anger, financial accusations, demeaning language.</t>
  </si>
  <si>
    <t>Bakertony877@gmail.com</t>
  </si>
  <si>
    <t>Implied Emma</t>
  </si>
  <si>
    <t>"Okay then lol. Where yet? Close? How much you want... 40 gonna walk to vape store on Waterloo 30 actually. Phones at 1 tho lol. On I'll be 15 mins where I go."</t>
  </si>
  <si>
    <t>Drug transaction arrangement, location, quantity.</t>
  </si>
  <si>
    <t>Screenshot 2025-06-17 01.41.39.jpg</t>
  </si>
  <si>
    <t>2024-10-06, 7:03 PM (Cont.)</t>
  </si>
  <si>
    <t>"Let me know when it's there! Thank you and how much else I owe you lol... Just bring it up and put it in mailbox I already went out lol... Ok be 10 I let you mobwhem I'm close... Okay don't matter just don't want Craig to bitch even tho I'll share it lol. Thank you."</t>
  </si>
  <si>
    <t>Emma (implied) arranges discreet drug delivery, intends to share, conceal from Craig.</t>
  </si>
  <si>
    <t>iCash</t>
  </si>
  <si>
    <t>Official Document</t>
  </si>
  <si>
    <t>"Pre-Authorized Debit (PAD) form for $115 payment due Nov 1, 2024."</t>
  </si>
  <si>
    <t>Emma's financial dealing (payday loan).</t>
  </si>
  <si>
    <t>IMG_1173.jpg</t>
  </si>
  <si>
    <t>2024-10-24, Undated Time</t>
  </si>
  <si>
    <t>Emma</t>
  </si>
  <si>
    <t>You</t>
  </si>
  <si>
    <t>"She said she was tired, and I told her to stay in bed. She wanted to clean the room for her mom but was avoiding it. It seemed like Nick was already in that room."</t>
  </si>
  <si>
    <t>Emma tired, avoiding cleaning for mom, Nick present.</t>
  </si>
  <si>
    <t>2025-01-08 (1).jpg</t>
  </si>
  <si>
    <t>2024-10-25, Undated Time</t>
  </si>
  <si>
    <t>"At 4:20 PM, I asked how she was feeling, and she said 'Alright. You? Thank you for asking that' Note: This text needs investigating. These are fighting words."</t>
  </si>
  <si>
    <t>Your check-in, Emma's reply, perceived as "fighting words."</t>
  </si>
  <si>
    <t>"Once again, I began saying 'I love yous.'"</t>
  </si>
  <si>
    <t>Your repeated expression of affection.</t>
  </si>
  <si>
    <t>"Glad you got rest. I napped till Nick came and thought I'd wake you to come but ..."</t>
  </si>
  <si>
    <t>Emma's update on rest, implies missing family event.</t>
  </si>
  <si>
    <t>2024-10-27, Undated Time</t>
  </si>
  <si>
    <t>"She apologized again and said 'I love you.'"</t>
  </si>
  <si>
    <t>Emma's apology and expression of love.</t>
  </si>
  <si>
    <t>"She thanked me for all I do after apologizing. I made a joke that she is the best dessert her mother has ever made."</t>
  </si>
  <si>
    <t>Emma's thanks, your joke about her mom's dessert.</t>
  </si>
  <si>
    <t>Cole Brook</t>
  </si>
  <si>
    <t>FB Messenger</t>
  </si>
  <si>
    <t>"It is crappy, I agree. We will hang out this weekend for sure. I'll see what time I'm off tomorrow."</t>
  </si>
  <si>
    <t>Cole plans weekend hangout with Emma.</t>
  </si>
  <si>
    <t>2025-01-08 (2).jpg</t>
  </si>
  <si>
    <t>"Sounds good."</t>
  </si>
  <si>
    <t>Emma agrees to hangout.</t>
  </si>
  <si>
    <t>2024-11-01, Undated Time</t>
  </si>
  <si>
    <t>"She told me about her plans to go to her house for the night. I knew a couple of days before that she was going, just like the dinner plans and birthday parties she blamed me for missing."</t>
  </si>
  <si>
    <t>Emma informs of plans, blames you for missed events.</t>
  </si>
  <si>
    <t>"Argued through text that night because she gave 30-minute notice of her plans, leaving me with Tony and cranky dogs. Tony eventually left the apartment."</t>
  </si>
  <si>
    <t>Argument over late notice of plans, leaving you with Tony/dogs.</t>
  </si>
  <si>
    <t>"Text thread between us around 1:37 PM. Using her iPad when on WiFi and Paul's old Samsung phone when not."</t>
  </si>
  <si>
    <t>Discussion about phone usage, missing SIM card.</t>
  </si>
  <si>
    <t>2025-01-08.jpg</t>
  </si>
  <si>
    <t>"She sent an iCloud link at 5:05 AM, but it can't be accessed."</t>
  </si>
  <si>
    <t>Emma sends inaccessible iCloud link.</t>
  </si>
  <si>
    <t>2024-11-13, Undated Time</t>
  </si>
  <si>
    <t>Official Document (E-transfer)</t>
  </si>
  <si>
    <t>"Emma gets paid from Dance Quest via e-transfer for 30-35 hours."</t>
  </si>
  <si>
    <t>Emma's income from Dance Quest.</t>
  </si>
  <si>
    <t>"My feet are sore today. Well my heels lol... What's up?... Okay. Well I'm not doing anything right now I wouldn't mind a puff if I could."</t>
  </si>
  <si>
    <t>Emma complains, expresses desire for "a puff" (implied drug use).</t>
  </si>
  <si>
    <t>IMG_0111.jpg</t>
  </si>
  <si>
    <t>"I wanted to take them.. lol. Sorry I didn't tell you. I'll take them in a little, just to get some fresh air."</t>
  </si>
  <si>
    <t>Emma apologizes for not telling you about taking dogs.</t>
  </si>
  <si>
    <t>"Took dogs down beach Pop tart beside the seat lol fun random."</t>
  </si>
  <si>
    <t>Emma's activity with dogs.</t>
  </si>
  <si>
    <t>"Where you going."</t>
  </si>
  <si>
    <t>Emma asks your whereabouts.</t>
  </si>
  <si>
    <t>"How ya making out?"</t>
  </si>
  <si>
    <t>Emma checks in on your status.</t>
  </si>
  <si>
    <t>"Brt Sorry thought it would type it out."</t>
  </si>
  <si>
    <t>Your explanation for a prior message.</t>
  </si>
  <si>
    <t>"Lol make it happen woman."</t>
  </si>
  <si>
    <t>Cole's message to Emma, implying ongoing plan.</t>
  </si>
  <si>
    <t>2024-12-06, 4:29 PM (Cont.)</t>
  </si>
  <si>
    <t>"Yes sir."</t>
  </si>
  <si>
    <t>Emma's confirmation to Cole.</t>
  </si>
  <si>
    <t>"You have an hour I'll meet you at the doors... If not, you will be removed. No questions asked I'm fucking done... you'll ever ever lay hands on me or do anything with her in your arms say I'm not safe you're fucked in the head... you are fucking up her fucking Life you'll get served with court papers..."</t>
  </si>
  <si>
    <t>Emma's ultimatum, accusations of harm, threats of court.</t>
  </si>
  <si>
    <t>"I'm calling the police that's kidnapping have fun back in jail you crazy fuck..."</t>
  </si>
  <si>
    <t>Emma accuses kidnapping, threatens police/jail.</t>
  </si>
  <si>
    <t>2024-12-09, 5:50 PM (Cont.)</t>
  </si>
  <si>
    <t>"There's no kidnapping here. She's with me, she's safe, get your shit together and then we can chat. Where were you the last 4 hours. You call the police and I shall start posting. Or actually please call the police She's with me at my grandmothers. Get your shit together and sober up."</t>
  </si>
  <si>
    <t>Your denial, Harper's safety/location, counter-accusation of Emma's absence/sobriety.</t>
  </si>
  <si>
    <t>"Hey Emma. Go fuck yourself You endangered my daughter for the last time And throwing shit at us was your last mistake Now sober up or don't. And we'll talk later There's a reason they didn't release you from the hospital I'm not stupid."</t>
  </si>
  <si>
    <t>Your accusations of Emma endangering Harper, physical aggression, hospital non-release.</t>
  </si>
  <si>
    <t>"You're making yourself look absolutely ridiculous... while you were gone for 4 hours getting high I was taking care of my family... Her mot' had meth dropped off in her while I slept."</t>
  </si>
  <si>
    <t>Emma counter-accuses your drug use, threatens jail, alleges meth delivery to her home.</t>
  </si>
  <si>
    <t>2024-12-09, 6:51 PM (Cont.)</t>
  </si>
  <si>
    <t>"Don't forget with the part where you lost it because you couldn't find drugs I asked you to go for a walk lol I told you to stop flipping the fuck out in front of her."</t>
  </si>
  <si>
    <t>Emma accuses drug-induced rage.</t>
  </si>
  <si>
    <t>"I have 96 minutes of video bitch I'll be here waiting for the police Jani knows the truth."</t>
  </si>
  <si>
    <t>Your claim of video evidence, police presence, Jani's knowledge.</t>
  </si>
  <si>
    <t>"Yep, and I did and you wouldn't stop and then you laid your hands on me and spit and threw shit at me with her and bouncing in your arms while she's bawling cause you're taking care of her lol OK no problem. They'll be on their way wherever the fuck you are take her with no car seat... Brand new car seat she was in, you fucking loser Hahahahah I couldn't leave cause my daughter was in your stomach you fucking twat Bye Emma unsent a message."</t>
  </si>
  <si>
    <t>Emma accuses violence with Harper present, child endangerment (no car seat), insults.</t>
  </si>
  <si>
    <t>Jane</t>
  </si>
  <si>
    <t>"Harper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t>
  </si>
  <si>
    <t>Your statement to Jane about Emma's sobriety, rage, and your priority for Harper.</t>
  </si>
  <si>
    <t>Transcribed Jane/Craig History</t>
  </si>
  <si>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</si>
  <si>
    <t>Emma threatens public defamation, police/legal action, demands rehab/sobriety.</t>
  </si>
  <si>
    <t>"Oh Craig I'm so sorry this is happening I had no idea."</t>
  </si>
  <si>
    <t>Jane expresses sympathy, unawareness of situation.</t>
  </si>
  <si>
    <t>"Photo 1 this photo was me and harper, from december 10th, my face is visibly cut up and bruised."</t>
  </si>
  <si>
    <t>You send photo of yourself with Harper, showing injuries.</t>
  </si>
  <si>
    <t>"Craig I couldn't open this as I don't have an iPhone."</t>
  </si>
  <si>
    <t>Jane unable to view photo.</t>
  </si>
  <si>
    <t>"I've filled Matt in, the police were here to check in already. They want me to file for sole custody but I don't want to do that to her or you. I'm so sorry I just have to keep Harper safe. Like I said I want you to see your granddaughter our door is always open to you and your boys. And us as adults can figure out a solution that doesn't destroy Emma's life."</t>
  </si>
  <si>
    <t>You inform Jane of police contact, sole custody suggestion, desire for Harper's safety.</t>
  </si>
  <si>
    <t>"Harper's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t>
  </si>
  <si>
    <t>Emma gives limited Harper update, mentions police, accuses you of faking care, declares court action.</t>
  </si>
  <si>
    <t>2024-12-10, Later</t>
  </si>
  <si>
    <t>"Okay Craig, thanks."</t>
  </si>
  <si>
    <t>Jane's brief acknowledgement.</t>
  </si>
  <si>
    <t>"Then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t>
  </si>
  <si>
    <t>Emma demands your sobriety, links access to drug test, mentions Cole, promises updates.</t>
  </si>
  <si>
    <t>"I've been sober Craig.. idk why you think i pull it out my ass.. But that's also easy... She is not safe from me Craig. She needs her mom and you're only hurting her. This again is bullshit for what man? Like stop all the bull shit. P'se all I want need is to be ci for her best interest."</t>
  </si>
  <si>
    <t>Emma claims sobriety, states "She is not safe from me Craig," accuses you of hurting Harper.</t>
  </si>
  <si>
    <t>Harper (via You)</t>
  </si>
  <si>
    <t>"Good morning beautiful baby girl, Momma hopes to hold you soon. I hope you're drinking enough to make you big and strong so you can show the dr on Thursday. Take care of daddy for me. Me and piper love you more than anything. We won't stop fighting for you."</t>
  </si>
  <si>
    <t>Emma's message to Harper, expresses desire for contact, health concern for doctor.</t>
  </si>
  <si>
    <t>"Your mom's car was towed."</t>
  </si>
  <si>
    <t>Emma informs about car towing.</t>
  </si>
  <si>
    <t>"Hey,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t>
  </si>
  <si>
    <t>Emma demands Harper's return (48hr claim), threatens police/charges, declares relationship over.</t>
  </si>
  <si>
    <t>"It's already in the works darling. Sober up You will not see Harper until you are sober. So if you need rehab then you better call them... SOBER Fma, it's so confusing to you tha ignore the word complete every time I mention it."</t>
  </si>
  <si>
    <t>Emma insists on your sobriety for Harper access, implies legal action.</t>
  </si>
  <si>
    <t>"Jane I'm trying really hard. My dr is always open as it always has been, to you Sonni Nick and Matt."</t>
  </si>
  <si>
    <t>Your statement of effort, open communication to Jane/family.</t>
  </si>
  <si>
    <t>2024-12-12, Later</t>
  </si>
  <si>
    <t>"I hope you speak to Matt."</t>
  </si>
  <si>
    <t>Jane's suggestion to speak with Matt.</t>
  </si>
  <si>
    <t>"Awww Craig thanks for the photos. She's growing sweeter every day. I haven't been feeling well all week but I have a doctor's appointment today. Hopefully I'll get down soon."</t>
  </si>
  <si>
    <t>Jane thanks for photos, provides Harper update, personal health.</t>
  </si>
  <si>
    <t>"Have a great day hope you feel better soon."</t>
  </si>
  <si>
    <t>Your well wishes to Jane.</t>
  </si>
  <si>
    <t>2024-12-13, Later</t>
  </si>
  <si>
    <t>"thanks Craig."</t>
  </si>
  <si>
    <t>Jane's brief thanks.</t>
  </si>
  <si>
    <t>"Im sorry for hurting your family with what happens next but I tried to do this without your daughters drug problem being shared publicly but the difference is she walked into my grandmothers home and she won't tell me where my daughter is."</t>
  </si>
  <si>
    <t>Your apology for public disclosure, accuses Emma of withholding Harper's location.</t>
  </si>
  <si>
    <t>2024-12-14, Undated</t>
  </si>
  <si>
    <t>Statement/Affidavit</t>
  </si>
  <si>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</si>
  <si>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</si>
  <si>
    <t>exhibit_id,type,date,weighted_score,priority,description,sha256</t>
  </si>
  <si>
    <t>EXHIBIT_EMAIL_20250822_001_61794f94</t>
  </si>
  <si>
    <t>EMAIL</t>
  </si>
  <si>
    <t>2025-08-22T09:20:39+00:00</t>
  </si>
  <si>
    <t>CRITICAL</t>
  </si>
  <si>
    <t>Email: Automatic reply: Urgent Request for Assistance with Family Law Case – Harper Ryan’s Safety</t>
  </si>
  <si>
    <t>61794f94beff8f36d5d2a6a54006b7cd4e1dda777cc0e8fb3458d3d442782ac8</t>
  </si>
  <si>
    <t>EXHIBIT_EMAIL_20250822_002_8832102e</t>
  </si>
  <si>
    <t>2025-08-22T06:19:36-03:00</t>
  </si>
  <si>
    <t>Email: Urgent Request for Assistance with Family Law Case – Harper Ryan’s Safety</t>
  </si>
  <si>
    <t>8832102e17236c8f07e119f44a5958f336a45d40dee5abca0e9eb9e80e2f60f9</t>
  </si>
  <si>
    <t>EXHIBIT_EMAIL_20250909_003_99156348</t>
  </si>
  <si>
    <t>2025-09-09T18:51:57+00:00</t>
  </si>
  <si>
    <t>Email: Fw: Emma's affidavit</t>
  </si>
  <si>
    <t>99156348a2402e14dd682b11fda4b1aa10ad697e2df2b0ad8a90bc4a7d8c8d28</t>
  </si>
  <si>
    <t>EXHIBIT_EMAIL_20250217_004_5fa58cb8</t>
  </si>
  <si>
    <t>2025-02-17T20:31:05-04:00</t>
  </si>
  <si>
    <t>Email: Re: Emma's affidavit</t>
  </si>
  <si>
    <t>5fa58cb8c6a42f11f9412554fd5ae27c733cb2504806940734c0fd2c7e74e0a6</t>
  </si>
  <si>
    <t>EXHIBIT_EMAIL_20250217_005_62cddc57</t>
  </si>
  <si>
    <t>2025-02-17T20:30:35-04:00</t>
  </si>
  <si>
    <t>62cddc5745d9bdfe253192c94b9766d364b85fa8955ef97b3748acf9cb3604c8</t>
  </si>
  <si>
    <t>EXHIBIT_EMAIL_20250217_006_967b09de</t>
  </si>
  <si>
    <t>2025-02-17T20:29:50-04:00</t>
  </si>
  <si>
    <t>967b09defbfceaadf8b83154456a84efa759921fc6e37682d25790fc21b3cf9a</t>
  </si>
  <si>
    <t>EXHIBIT_EMAIL_20250218_007_4ebdb330</t>
  </si>
  <si>
    <t>2025-02-18T00:00:30+00:00</t>
  </si>
  <si>
    <t>Email: Emma's affidavit</t>
  </si>
  <si>
    <t>4ebdb3302836a282dd6dd2476954592b7fe4d8cef10aa4f2ba9ca2b8d0844953</t>
  </si>
  <si>
    <t>EXHIBIT_EMAIL_20250824_008_eab02fb6</t>
  </si>
  <si>
    <t>2025-08-24T12:48:45-03:00</t>
  </si>
  <si>
    <t>Email: FWD: Formal Demand – Outstanding Wages, Unauthorized Use of Materials, and Defamatory Statements</t>
  </si>
  <si>
    <t>eab02fb6b1a6b4319524ff4a01b5334d612ffd01d9c2e58508d37cf46d240576</t>
  </si>
  <si>
    <t>EXHIBIT_EMAIL_20250706_009_da3f429c</t>
  </si>
  <si>
    <t>2025-07-06T14:03:56-03:00</t>
  </si>
  <si>
    <t>Email: statement re harper's well-being - obituary some might say</t>
  </si>
  <si>
    <t>da3f429c7a5e28e6d178dd4cde797a6d44cf1f4bf5e5e8d7178152064dea947a</t>
  </si>
  <si>
    <t>EXHIBIT_EMAIL_20250714_010_693c5936</t>
  </si>
  <si>
    <t>2025-07-14T07:17:51-03:00</t>
  </si>
  <si>
    <t>Email: 72j affidavit 0714 needs ai and combed through.</t>
  </si>
  <si>
    <t>693c5936e1396e2d16f658583f69d3e272ad0ea3356ec6e7cc1d48f2fe2ac093</t>
  </si>
  <si>
    <t>EXHIBIT_EMAIL_20250210_011_7bc1992a</t>
  </si>
  <si>
    <t>2025-02-10T11:27:29-04:00</t>
  </si>
  <si>
    <t>Email: Re: 2020 NOA</t>
  </si>
  <si>
    <t>7bc1992a5cd9a9a7ac8b06f581afa3e26a6fc9a9c8c8980c3b9be928e5884144</t>
  </si>
  <si>
    <t>EXHIBIT_EMAIL_20250210_012_45b5897c</t>
  </si>
  <si>
    <t>2025-02-10T10:55:47-04:00</t>
  </si>
  <si>
    <t>45b5897c3188eda75d8235b2d72a342a8d2d629129485f10d41e204e18914e7d</t>
  </si>
  <si>
    <t>EXHIBIT_EMAIL_20250210_013_a78e2c7d</t>
  </si>
  <si>
    <t>2025-02-10T10:17:22-04:00</t>
  </si>
  <si>
    <t>Email: 2020 NOA</t>
  </si>
  <si>
    <t>a78e2c7d9ef77df687a8554292bc586c0712bd1adf7bfbcb44f91b2c0c94dc6e</t>
  </si>
  <si>
    <t>EXHIBIT_EMAIL_20250627_014_cbda2725</t>
  </si>
  <si>
    <t>2025-06-27T16:38:40+00:00</t>
  </si>
  <si>
    <t>Email: RE: URGENT: Craig Schulz - File FDSJ 739-24 - COMPLETE BLOCKED ACCESS</t>
  </si>
  <si>
    <t>TO HARPER &amp; Refusal of Court-"</t>
  </si>
  <si>
    <t>cbda2725ddf3f4fddbb92d43c38aac8b3df5f19915278a6f7941090e41e221b5</t>
  </si>
  <si>
    <t>EXHIBIT_EMAIL_20250627_015_6b481672</t>
  </si>
  <si>
    <t>2025-06-27T13:08:33-03:00</t>
  </si>
  <si>
    <t>Email: URGENT: Craig Schulz - File FDSJ 739-24 - COMPLETE BLOCKED ACCESS TO</t>
  </si>
  <si>
    <t>HARPER &amp; Refusal of Court-Orde"</t>
  </si>
  <si>
    <t>6b481672efe463ecf8e03a74b513cab6eacc66ceb63df6d79313fe95d4d3d50b</t>
  </si>
  <si>
    <t>EXHIBIT_EMAIL_20250824_016_a99986c7</t>
  </si>
  <si>
    <t>2025-08-24T12:47:18-03:00</t>
  </si>
  <si>
    <t>Email: Formal Demand – Outstanding Wages, Unauthorized Use of Materials, and Defamatory Statements</t>
  </si>
  <si>
    <t>a99986c75c3acc593967048ce102cf126b1b472eda86af4b8eb3af81063e9db9</t>
  </si>
  <si>
    <t>EXHIBIT_EMAIL_20250618_017_e68d1dff</t>
  </si>
  <si>
    <t>2025-06-18T09:08:33-03:00</t>
  </si>
  <si>
    <t>Email: FDSJ 739-24</t>
  </si>
  <si>
    <t>e68d1dff20255d062b682e03ab755328624f4d4b0d338f2a4f8f087617338f4b</t>
  </si>
  <si>
    <t>EXHIBIT_EMAIL_20250620_018_8afc0ff8</t>
  </si>
  <si>
    <t>2025-06-20T16:24:09+00:00</t>
  </si>
  <si>
    <t>Email: RE: FDSJ 739-24</t>
  </si>
  <si>
    <t>8afc0ff8c56fcb16a6ff2473053600a6eed9c66adc702a750db0401aaabcf35a</t>
  </si>
  <si>
    <t>EXHIBIT_EMAIL_20250620_019_801d1694</t>
  </si>
  <si>
    <t>2025-06-20T13:15:33-03:00</t>
  </si>
  <si>
    <t>Email: Re: FDSJ 739-24</t>
  </si>
  <si>
    <t>801d1694a93502d8e0ec699e3d3d62c359bf26cad92618b8ef8bffa294023acc</t>
  </si>
  <si>
    <t>EXHIBIT_EMAIL_20250620_020_99523c03</t>
  </si>
  <si>
    <t>2025-06-20T16:04:31+00:00</t>
  </si>
  <si>
    <t>99523c033a4353389450aed7e4b08fe5ff18e3ec1d7ce6166644ec2581804eec</t>
  </si>
  <si>
    <t>EXHIBIT_EMAIL_20250618_021_47160644</t>
  </si>
  <si>
    <t>2025-06-18T12:55:00+00:00</t>
  </si>
  <si>
    <t>471606444c023d401e94743f435409c2609ffc78daab9f5d6cba094b9239a317</t>
  </si>
  <si>
    <t>EXHIBIT_EMAIL_20250618_022_f2f7eb23</t>
  </si>
  <si>
    <t>2025-06-18T09:31:59-03:00</t>
  </si>
  <si>
    <t>f2f7eb2315a208308f4e5c2db0874833170946ac4bfb8ee99628c247454908a1</t>
  </si>
  <si>
    <t>EXHIBIT_EMAIL_20250627_023_896745b1</t>
  </si>
  <si>
    <t>2025-06-27T06:01:31-03:00</t>
  </si>
  <si>
    <t>Email: sunday court ordered parenting time</t>
  </si>
  <si>
    <t>896745b1a9628f8c950282e2e06e6c3bc8adbbb748644b24ac2694ad8fa97de0</t>
  </si>
  <si>
    <t>EXHIBIT_EMAIL_20251007_024_a71bd876</t>
  </si>
  <si>
    <t>2025-10-07T13:44:06-03:00</t>
  </si>
  <si>
    <t>Email: CRAIG SCHULZ FDSJ  739-2024 INTERIM ORDER 10-06-2025</t>
  </si>
  <si>
    <t>a71bd87699422d182343b35de519aca4d2095f8bf87ffaec1748d544422823b5</t>
  </si>
  <si>
    <t>EXHIBIT_EMAIL_20250423_025_644dd2e7</t>
  </si>
  <si>
    <t>2025-04-23T19:26:55-07:00</t>
  </si>
  <si>
    <t>Email: Don’t just watch! Be among the first to witness Samsung Vision AI.</t>
  </si>
  <si>
    <t>644dd2e7205126e34285bbca756bcfb2f1f0887a03b7db51d2fccf4828594e77</t>
  </si>
  <si>
    <t>EXHIBIT_EMAIL_20250913_026_fbe2f6db</t>
  </si>
  <si>
    <t>2025-09-13T10:15:25-03:00</t>
  </si>
  <si>
    <t>Email: court ordered sunday parenting time September 13th.</t>
  </si>
  <si>
    <t>fbe2f6dbc241aa19fe7df8c94ecd1b0e1fcc10823dfdd2831adb9ec21246bb7e</t>
  </si>
  <si>
    <t>EXHIBIT_EMAIL_20250227_027_e9418aaa</t>
  </si>
  <si>
    <t>2025-02-27T13:02:32+00:00</t>
  </si>
  <si>
    <t>Email: Your cart item: now 62% OFF!</t>
  </si>
  <si>
    <t>e9418aaa9f01770fe04a508d748383feb55bd0154c73486c4061a38755d5f08a</t>
  </si>
  <si>
    <t>EXHIBIT_EMAIL_20250228_028_f2663a35</t>
  </si>
  <si>
    <t>2025-02-28T07:01:30-06:00</t>
  </si>
  <si>
    <t>Email: Presenting your latest bonus!</t>
  </si>
  <si>
    <t>f2663a3593d18855ebae74076277b1c18ca0d91eb1ccd2ec9e01e76a2c767bf1</t>
  </si>
  <si>
    <t>EXHIBIT_EMAIL_20250228_029_f1b73d73</t>
  </si>
  <si>
    <t>2025-02-28T17:00:29+00:00</t>
  </si>
  <si>
    <t>Email: SOC 2 Compliance, GPT-4.5, and Claude 3.7: The Latest Chatbase Updates</t>
  </si>
  <si>
    <t>f1b73d73b6e4fc3592f92d558409ba3aef0d29a4de196e186a882eb610138c2b</t>
  </si>
  <si>
    <t>EXHIBIT_EMAIL_20250226_030_5531a759</t>
  </si>
  <si>
    <t>2025-02-26T19:32:20+01:00</t>
  </si>
  <si>
    <t>Email: Sending solutions and 2025 coin sets</t>
  </si>
  <si>
    <t>5531a7591c822108924cb46d1306e457aebb29df4dd3955840ee3c3cb7f147a7</t>
  </si>
  <si>
    <t>EXHIBIT_EMAIL_20250226_031_7e0599af</t>
  </si>
  <si>
    <t>2025-02-26T10:35:08-06:00</t>
  </si>
  <si>
    <t>Email: Your Insights Needed: Help Improve Heroku's UX!</t>
  </si>
  <si>
    <t>7e0599af9a0b4913d159c497d34c731e80d32cf15cd02097e4d6748c8c4c616e</t>
  </si>
  <si>
    <t>EXHIBIT_EMAIL_20250228_032_f6d4eea9</t>
  </si>
  <si>
    <t>2025-02-28T16:10:10+00:00</t>
  </si>
  <si>
    <t>Email: February updates: new layout packs, automatic Smart transitions, and an AI Video Maker</t>
  </si>
  <si>
    <t>f6d4eea94a70f5a0526a90b04c2d98c4e4f78e811bfd4c2b7faffd32719d857d</t>
  </si>
  <si>
    <t>EXHIBIT_EMAIL_20250227_033_2337e533</t>
  </si>
  <si>
    <t>2025-02-27T07:01:45-06:00</t>
  </si>
  <si>
    <t>Email: The mail you've waited for!</t>
  </si>
  <si>
    <t>2337e533db55258f4337cdb278c847a3a183e7dc5082323bd7c9b9d804065d74</t>
  </si>
  <si>
    <t>EXHIBIT_EMAIL_20250228_034_4e8b56a1</t>
  </si>
  <si>
    <t>2025-02-28T07:02:33-06:00</t>
  </si>
  <si>
    <t>Email: Everyone's talking about it, Tony</t>
  </si>
  <si>
    <t>4e8b56a1e85de96ffaf1660fd7af2aa238342dba70b11055229d7a59ecd3cbf4</t>
  </si>
  <si>
    <t>EXHIBIT_EMAIL_20250227_035_4c1a140f</t>
  </si>
  <si>
    <t>2025-02-27T12:26:57-06:00</t>
  </si>
  <si>
    <t>Email: Your weekly flyer is here 🙂</t>
  </si>
  <si>
    <t>4c1a140f07355cd899b4807a3d46b125e08b73c14d059945df8dcf11162c4b5c</t>
  </si>
  <si>
    <t>EXHIBIT_EMAIL_20250227_036_3c5c34ae</t>
  </si>
  <si>
    <t>2025-02-27T08:21:35-08:00</t>
  </si>
  <si>
    <t>Email: Photoshop on iPhone is here. It’s free.</t>
  </si>
  <si>
    <t>3c5c34ae4c1c23c024b7f0f75b37f80a8b2da881b7a1292c7a47c9988f27374d</t>
  </si>
  <si>
    <t>EXHIBIT_EMAIL_20250227_037_a34e3d3e</t>
  </si>
  <si>
    <t>2025-02-27T07:15:13+00:00</t>
  </si>
  <si>
    <t>Email: Manage your work and time together</t>
  </si>
  <si>
    <t>a34e3d3ed07a55d23d7f90fe834f4267fd8510f43d19f215bfe21b0f7c934ff0</t>
  </si>
  <si>
    <t>EXHIBIT_EMAIL_20250228_038_6c60179e</t>
  </si>
  <si>
    <t>2025-02-28T08:39:58-06:00</t>
  </si>
  <si>
    <t>Email: The new iPhone 16e is here 📱</t>
  </si>
  <si>
    <t>6c60179e36179f7590b454ccefacb595c9f3789ce0bf56443403a4a1e10146a6</t>
  </si>
  <si>
    <t>EXHIBIT_EMAIL_20250228_039_df9b86eb</t>
  </si>
  <si>
    <t>2025-02-28T03:56:13+00:00</t>
  </si>
  <si>
    <t>Email: Wix Groups: Ideas for Your First Post</t>
  </si>
  <si>
    <t>df9b86ebb3bb0b1f8744650ec892f149c6b4c2f6e163ec19ea10527c23947215</t>
  </si>
  <si>
    <t>EXHIBIT_EMAIL_20250228_040_2c405db7</t>
  </si>
  <si>
    <t>2025-02-28T10:03:19-06:00</t>
  </si>
  <si>
    <t>Email: Have you seen AccuLynx's proposal tools yet?</t>
  </si>
  <si>
    <t>2c405db735ade04478f6644e4e8383b97f55b3ec8f19b3df2f255fdfaa85c51d</t>
  </si>
  <si>
    <t>EXHIBIT_EMAIL_20250228_041_2bfefd6e</t>
  </si>
  <si>
    <t>2025-02-28T09:52:32+00:00</t>
  </si>
  <si>
    <t>Email: Don't forget to finish!</t>
  </si>
  <si>
    <t>2bfefd6ef7e6e705e839ab9b65bddca24fc0cbe4a1ef5b8ec5c533d04bbf226d</t>
  </si>
  <si>
    <t>EXHIBIT_EMAIL_20250227_042_5a149810</t>
  </si>
  <si>
    <t>2025-02-27T12:03:15+00:00</t>
  </si>
  <si>
    <t>Email: Footlong BOGO for $1? Offer wont last forever!! 🤑</t>
  </si>
  <si>
    <t>5a149810dad2f8985d14da03cd13a6c637b2b4a8eacbfe9d82df22e3c3cdc283</t>
  </si>
  <si>
    <t>EXHIBIT_EMAIL_20250225_043_187b8221</t>
  </si>
  <si>
    <t>2025-02-25T22:02:57+00:00</t>
  </si>
  <si>
    <t>Email: You Still Have Free AI Credits – Don’t Waste Them.</t>
  </si>
  <si>
    <t>187b82214ff6c81e02a8d72b25a94ae7e6628c6cf16c592e02276c380b55919b</t>
  </si>
  <si>
    <t>EXHIBIT_EMAIL_20250226_044_c77acaa3</t>
  </si>
  <si>
    <t>2025-02-26T16:52:48-08:00</t>
  </si>
  <si>
    <t>Email: Knock, knock! It's the era of AI appliances.</t>
  </si>
  <si>
    <t>c77acaa3207a599e37c05b467a460cd9703b1bdb7410d0e516d299a6b7b4cb07</t>
  </si>
  <si>
    <t>EXHIBIT_EMAIL_20250228_045_a10a534a</t>
  </si>
  <si>
    <t>2025-02-28T14:21:50-06:00</t>
  </si>
  <si>
    <t>Email: Low prices on breakfast essentials &amp; more 🍞</t>
  </si>
  <si>
    <t>a10a534a04dc3b8047faf2b2cc20c2ecaccce9c08fb4cf3cf7c7dda37083f3c0</t>
  </si>
  <si>
    <t>EXHIBIT_EMAIL_20250227_046_b9df7ddb</t>
  </si>
  <si>
    <t>2025-02-27T15:41:15+00:00</t>
  </si>
  <si>
    <t>Email: Organize your files with Dropbox folders</t>
  </si>
  <si>
    <t>b9df7ddb8415ad41ddaee509be94bf5a66d24e71a02a9a67253a0a34ee41ca45</t>
  </si>
  <si>
    <t>EXHIBIT_EMAIL_20250227_047_5e3d5996</t>
  </si>
  <si>
    <t>2025-02-27T22:40:39+00:00</t>
  </si>
  <si>
    <t>Email: Download Our Android &amp; iOS Mobile Apps 📱</t>
  </si>
  <si>
    <t>5e3d5996f71cdc963f861ec29cb2b5f93ffb3a6d89db3f7d67591eacb40ce446</t>
  </si>
  <si>
    <t>EXHIBIT_EMAIL_20250228_048_7f7894bd</t>
  </si>
  <si>
    <t>2025-02-28T17:22:28+05:30</t>
  </si>
  <si>
    <t>Email: Re: Having Trouble with Your AI Chatbot Setup? We’re Here to Help!</t>
  </si>
  <si>
    <t>7f7894bd6966fabd26a9648797ef1927022009447f5a5322a763ac5c5b47c2f2</t>
  </si>
  <si>
    <t>EXHIBIT_EMAIL_20250226_049_180d882f</t>
  </si>
  <si>
    <t>2025-02-26T11:34:17+05:30</t>
  </si>
  <si>
    <t>180d882f05d2f880d7459d878c24d06a3d113efac67a562ada34cd6265144e11</t>
  </si>
  <si>
    <t>EXHIBIT_EMAIL_20250224_050_19e39ad0</t>
  </si>
  <si>
    <t>2025-02-24T16:33:08+05:30</t>
  </si>
  <si>
    <t>19e39ad0933eeb89ff410f62f611bff057b22c335c77d815405ce17668a8192d</t>
  </si>
  <si>
    <t>EXHIBIT_EMAIL_20250220_051_93e9b68a</t>
  </si>
  <si>
    <t>2025-02-20T12:18:07+05:30</t>
  </si>
  <si>
    <t>93e9b68a4c7acf2eec945711e562d69dfb64da84fdc020f6638148e4a3f90fcb</t>
  </si>
  <si>
    <t>EXHIBIT_EMAIL_20250226_052_1151c290</t>
  </si>
  <si>
    <t>2025-02-26T14:54:53+00:00</t>
  </si>
  <si>
    <t>Email: Last Chance—Save 50% with Wix</t>
  </si>
  <si>
    <t>1151c290952a5e432b2734a5ed3ab506998025f2e7cf86dca0e83afb5e059fbe</t>
  </si>
  <si>
    <t>EXHIBIT_EMAIL_20250221_053_688316af</t>
  </si>
  <si>
    <t>2025-02-21T07:01:34-06:00</t>
  </si>
  <si>
    <t>Email: A bonus that's all yours!</t>
  </si>
  <si>
    <t>688316afadf06bc435125e9ba5b0b9e815c876137955719c67c668e6f20931f9</t>
  </si>
  <si>
    <t>EXHIBIT_EMAIL_20250221_054_84a50375</t>
  </si>
  <si>
    <t>2025-02-21T05:35:40-08:00</t>
  </si>
  <si>
    <t>Email: Quick Tip: Capture Moving Narration with Professional Voice Overs</t>
  </si>
  <si>
    <t>84a50375096be455a95eb21107fce3c915d09a0bcbfff3d98e2ae595345c6008</t>
  </si>
  <si>
    <t>EXHIBIT_EMAIL_20250221_055_6d66a74f</t>
  </si>
  <si>
    <t>2025-02-21T02:21:46+00:00</t>
  </si>
  <si>
    <t>Email: 2 people you've invited haven't joined yet</t>
  </si>
  <si>
    <t>6d66a74fc21892937dee8039c664c88ec9c2e0912a76f426919355e68feb17ce</t>
  </si>
  <si>
    <t>EXHIBIT_EMAIL_20250225_056_fe622269</t>
  </si>
  <si>
    <t>2025-02-25T07:01:25-06:00</t>
  </si>
  <si>
    <t>Email: Seal your deal, Alison!</t>
  </si>
  <si>
    <t>fe62226916096b5f32409d95ba2aa221d627b33d988b31f24f9ac1c3ff2aaa67</t>
  </si>
  <si>
    <t>EXHIBIT_EMAIL_20250222_057_10241c08</t>
  </si>
  <si>
    <t>2025-02-22T06:00:04+00:00</t>
  </si>
  <si>
    <t>Email: vroofn, Deposit CAD 5, Get 77 Free Spins! ⚡</t>
  </si>
  <si>
    <t>10241c086711e3fd738d5a727be66f2828b96204f619bf82e55f6fd5187798bd</t>
  </si>
  <si>
    <t>EXHIBIT_EMAIL_20250221_058_6ba36bb1</t>
  </si>
  <si>
    <t>2025-02-21T08:44:23-06:00</t>
  </si>
  <si>
    <t>Email: Pre-order the new iPhone 16e 📱</t>
  </si>
  <si>
    <t>6ba36bb1902aa1c962862f12cf14fb8d3e6e9c88cf768f6665ae3f218acb8cfd</t>
  </si>
  <si>
    <t>EXHIBIT_EMAIL_20250224_059_0d866f27</t>
  </si>
  <si>
    <t>2025-02-24T23:44:15+00:00</t>
  </si>
  <si>
    <t>Email: New login to Spotify</t>
  </si>
  <si>
    <t>0d866f27a614afde97453f9f326bfdfaca8187f682c26ab73ebb2b0dfe8cd0a2</t>
  </si>
  <si>
    <t>EXHIBIT_EMAIL_20250222_060_313fced0</t>
  </si>
  <si>
    <t>2025-02-22T03:12:04+00:00</t>
  </si>
  <si>
    <t>313fced0cae5f6fde7cc9256143c69c19aa57d541ed16c521626821288262088</t>
  </si>
  <si>
    <t>EXHIBIT_EMAIL_20250226_061_aff55a4a</t>
  </si>
  <si>
    <t>2025-02-26T07:03:00-06:00</t>
  </si>
  <si>
    <t>Email: One bonus, so many possibilities!</t>
  </si>
  <si>
    <t>aff55a4a2fe248606e4eb4c0b7c38a7e97b1496f8e608d737a6e311d1b7b41bc</t>
  </si>
  <si>
    <t>EXHIBIT_EMAIL_20250226_062_963d4d8b</t>
  </si>
  <si>
    <t>2025-02-26T06:35:15+00:00</t>
  </si>
  <si>
    <t>Email: Discover New Games in Our Live Casino!</t>
  </si>
  <si>
    <t>963d4d8b7ed53ec55b6a24ab9297278186838e58aa623e8f83e726a57c01c918</t>
  </si>
  <si>
    <t>EXHIBIT_EMAIL_20250226_063_9596360c</t>
  </si>
  <si>
    <t>2025-02-26T15:02:19+00:00</t>
  </si>
  <si>
    <t>Email: Stacey, is  your resume ready to start landing interviews?</t>
  </si>
  <si>
    <t>9596360c663173b76e137658c10e37a84ac9606f57b1b74aab189327b209c26e</t>
  </si>
  <si>
    <t>EXHIBIT_EMAIL_20250221_064_917c05de</t>
  </si>
  <si>
    <t>2025-02-21T02:14:20+00:00</t>
  </si>
  <si>
    <t>Email: After Hours: How to grow your business with OpenPhone</t>
  </si>
  <si>
    <t>917c05dece7bd1db43ad83ee2230c54291706ebac1f10bbf14aaaec79b42aabf</t>
  </si>
  <si>
    <t>EXHIBIT_EMAIL_20250223_065_79767001</t>
  </si>
  <si>
    <t>2025-02-23T19:49:32+00:00</t>
  </si>
  <si>
    <t>Email: Welcome to Bubble! Let’s get started.</t>
  </si>
  <si>
    <t>797670019da429f9d0fc3d092c0f76faff0f4abb785dad2161535efc1d9903ff</t>
  </si>
  <si>
    <t>EXHIBIT_EMAIL_20250224_066_787005df</t>
  </si>
  <si>
    <t>2025-02-24T15:15:26+00:00</t>
  </si>
  <si>
    <t>Email: Have you seen the latest drops? 👀</t>
  </si>
  <si>
    <t>787005df52376b77cbafcf4ea87da39ebb1668462ac0ffcbbe5215109e461e48</t>
  </si>
  <si>
    <t>EXHIBIT_EMAIL_20250224_067_679be993</t>
  </si>
  <si>
    <t>2025-02-24T05:52:04+00:00</t>
  </si>
  <si>
    <t>Email: Your app placed-58199 has hit 100% of its database limit</t>
  </si>
  <si>
    <t>679be99363c822b6aa4fc756ca062fd47e2f6b73ef64bec643648d8c596da934</t>
  </si>
  <si>
    <t>EXHIBIT_EMAIL_20250226_068_3e2467cd</t>
  </si>
  <si>
    <t>2025-02-26T07:07:10+00:00</t>
  </si>
  <si>
    <t>Email: We saved this template for you!</t>
  </si>
  <si>
    <t>3e2467cda54e178b6ab12776717b04c3b7c283706c919b13e05acfb7de479a4b</t>
  </si>
  <si>
    <t>EXHIBIT_EMAIL_20250223_069_cc92f77d</t>
  </si>
  <si>
    <t>2025-02-23T17:59:45+00:00</t>
  </si>
  <si>
    <t>Email: Your cart item: now 85% OFF!</t>
  </si>
  <si>
    <t>cc92f77d17df11e38c1f3775c712f4e67355a64ff9507e3e718cf0d50e03df8b</t>
  </si>
  <si>
    <t>EXHIBIT_EMAIL_20250224_070_45fb1cff</t>
  </si>
  <si>
    <t>2025-02-24T10:35:36-06:00</t>
  </si>
  <si>
    <t>Email: $50 says an AccuLynx demo is worth your time</t>
  </si>
  <si>
    <t>45fb1cff24b5169d63f42becd93462b6d1be34328aa9001d404cdfa531373439</t>
  </si>
  <si>
    <t>EXHIBIT_EMAIL_20250223_071_20374593</t>
  </si>
  <si>
    <t>2025-02-23T16:02:51+00:00</t>
  </si>
  <si>
    <t>Email: Security alert for placed.sj@gmail.com</t>
  </si>
  <si>
    <t>20374593542bc8f84c23a985811fb7fa40b460c1f2a01c3dd1367db4e451d07d</t>
  </si>
  <si>
    <t>EXHIBIT_EMAIL_20250222_072_1411163b</t>
  </si>
  <si>
    <t>2025-02-22T13:11:45+00:00</t>
  </si>
  <si>
    <t>Email: Security alert for lunacraigcep@gmail.com</t>
  </si>
  <si>
    <t>1411163bb0fb728c9df0a0c0f4c5c128450d8a86de0774c15707291524b272b2</t>
  </si>
  <si>
    <t>EXHIBIT_EMAIL_20250222_073_d836ed5b</t>
  </si>
  <si>
    <t>2025-02-22T07:52:28+00:00</t>
  </si>
  <si>
    <t>d836ed5b17df83af44c1517d817d5c29d7d38c57bf493323600b232cb99c0ee3</t>
  </si>
  <si>
    <t>EXHIBIT_EMAIL_20250217_074_771a26c0</t>
  </si>
  <si>
    <t>2025-02-17T12:02:32+00:00</t>
  </si>
  <si>
    <t>Email: Footlong BOGO for $1? Yesway®!</t>
  </si>
  <si>
    <t>771a26c016ca2a54c494b5b3855c351d7c71e732ab9efa01dd24472e049f8d5a</t>
  </si>
  <si>
    <t>EXHIBIT_EMAIL_20250216_075_74589420</t>
  </si>
  <si>
    <t>2025-02-16T09:27:07-08:00</t>
  </si>
  <si>
    <t>Email: You’re now using Gemini on web</t>
  </si>
  <si>
    <t>745894200db38fa8300ceea8a474adde0cebb68ae1bc7aa5b4fd13985d4fee84</t>
  </si>
  <si>
    <t>EXHIBIT_EMAIL_20250220_076_95fd8c37</t>
  </si>
  <si>
    <t>2025-02-20T12:25:41-06:00</t>
  </si>
  <si>
    <t>Email: Experience our most popular hotels for less</t>
  </si>
  <si>
    <t>95fd8c3753c17563cc4e7bd14bbd38d52e3da5a2fe990e32e1c77d3dd76a7a55</t>
  </si>
  <si>
    <t>EXHIBIT_EMAIL_20250219_077_c8a53d99</t>
  </si>
  <si>
    <t>2025-02-19T19:27:16+01:00</t>
  </si>
  <si>
    <t>Email: Track your packages and more</t>
  </si>
  <si>
    <t>c8a53d99dfad6c6edd8af5c2542f6f1fa4aeb003f6b8eb6d5eb8a798cbe08ded</t>
  </si>
  <si>
    <t>EXHIBIT_EMAIL_20250219_078_a389d492</t>
  </si>
  <si>
    <t>2025-02-19T06:00:11+00:00</t>
  </si>
  <si>
    <t>Email: vroofn, Play with a 120% Bonus + 30 Free Spins! 💘</t>
  </si>
  <si>
    <t>a389d4922d8a0b62d1fcdfe3deaaa09fad6229f59fd11d2a86942205310c5130</t>
  </si>
  <si>
    <t>EXHIBIT_EMAIL_20250220_079_c22e124e</t>
  </si>
  <si>
    <t>2025-02-20T10:02:58-06:00</t>
  </si>
  <si>
    <t>c22e124e124b9ef1ed17103427f0e6841912c95bd19e2fa13650cb5f1bf22bf9</t>
  </si>
  <si>
    <t>EXHIBIT_EMAIL_20250215_080_128ed37f</t>
  </si>
  <si>
    <t>2025-02-15T14:59:11+00:00</t>
  </si>
  <si>
    <t>Email: Last days: 1 month of Premium for $1. $12.69/mo. after. Cancel</t>
  </si>
  <si>
    <t>anytime."</t>
  </si>
  <si>
    <t>128ed37ff1b158b9d70bda5a00beacb93b0aa0bfa1d48ae4911c6c46d78458d0</t>
  </si>
  <si>
    <t>EXHIBIT_EMAIL_20250220_081_c03d5a41</t>
  </si>
  <si>
    <t>2025-02-20T17:17:25+00:00</t>
  </si>
  <si>
    <t>Email: 🚀 Ready to Master Descript? Join Our Live Demo on March 4th</t>
  </si>
  <si>
    <t>c03d5a41f941346395c562d192aa454c03439592674eeae473a3840b23a5553e</t>
  </si>
  <si>
    <t>EXHIBIT_EMAIL_20250218_082_5b760826</t>
  </si>
  <si>
    <t>2025-02-18T17:15:38+00:00</t>
  </si>
  <si>
    <t>5b760826a1da1f0be9fee81b78348e1db5f9c02907aef02cfd0060d09097efc3</t>
  </si>
  <si>
    <t>EXHIBIT_EMAIL_20250219_083_a276a0bf</t>
  </si>
  <si>
    <t>2025-02-19T16:45:24+00:00</t>
  </si>
  <si>
    <t>Email: 🛒TEMU Cart Message</t>
  </si>
  <si>
    <t>a276a0bfd547bdd53b6862313f6f62d3a5feeecd4241815535f2d7b8937352de</t>
  </si>
  <si>
    <t>EXHIBIT_EMAIL_20250220_084_ff602ee8</t>
  </si>
  <si>
    <t>2025-02-20T14:59:57+01:00</t>
  </si>
  <si>
    <t>Email: Vente privée : les rabais jusqu’à 60 % se terminent demain</t>
  </si>
  <si>
    <t>ff602ee8a97d8eb8617438647d146f08cb84c8127ca094e904d455282446e53c</t>
  </si>
  <si>
    <t>EXHIBIT_EMAIL_20250220_085_a13b5b79</t>
  </si>
  <si>
    <t>2025-02-20T00:58:46+00:00</t>
  </si>
  <si>
    <t>Email: Revision to Your Amazon.ca Account</t>
  </si>
  <si>
    <t>a13b5b79067f1bad18b62e0a27d0b4303ef02fbdadcf94c868f2aea4aeed4a5c</t>
  </si>
  <si>
    <t>EXHIBIT_EMAIL_20250220_086_ad2bceaa</t>
  </si>
  <si>
    <t>2025-02-20T00:58:45+00:00</t>
  </si>
  <si>
    <t>ad2bceaac8351f4b53d8f3bee048f5654287f0a936bfcc607d4f1031cee7fce9</t>
  </si>
  <si>
    <t>EXHIBIT_EMAIL_20250220_087_1faf7fc9</t>
  </si>
  <si>
    <t>2025-02-20T12:02:20+00:00</t>
  </si>
  <si>
    <t>Email: Chicken or Steak?</t>
  </si>
  <si>
    <t>1faf7fc91bbe63b4b3cf935773b00e26184d40b7bb0021681bd66cabb3b28212</t>
  </si>
  <si>
    <t>EXHIBIT_EMAIL_20250218_088_352fc93a</t>
  </si>
  <si>
    <t>2025-02-18T14:33:28+00:00</t>
  </si>
  <si>
    <t>Email: 50% OFF sale is on</t>
  </si>
  <si>
    <t>352fc93a73984277e2d9d04664d9f95c22903829d951b8fd7ca769c8324c5e98</t>
  </si>
  <si>
    <t>EXHIBIT_EMAIL_20250218_089_8cbad67e</t>
  </si>
  <si>
    <t>2025-02-18T03:25:06+00:00</t>
  </si>
  <si>
    <t>Email: You've got Premium!</t>
  </si>
  <si>
    <t>8cbad67ea7dca2eb4b6ae594d238079863464545d4215be766b14f381b693381</t>
  </si>
  <si>
    <t>EXHIBIT_EMAIL_20250218_090_6d45b779</t>
  </si>
  <si>
    <t>2025-02-18T05:09:44+01:00</t>
  </si>
  <si>
    <t>Email: vroofn, you have free spins on Getaway Gangsters! 🔪</t>
  </si>
  <si>
    <t>6d45b7791bbc29841cdcad0f7c3ccd296495be0b58fbddcad33f09f499de199c</t>
  </si>
  <si>
    <t>EXHIBIT_EMAIL_20250217_091_90eedc53</t>
  </si>
  <si>
    <t>2025-02-17T09:06:53-05:00</t>
  </si>
  <si>
    <t>Email: This Week's BEST Deals</t>
  </si>
  <si>
    <t>90eedc5362464e1a84389f0b47d5bd3cd43fdb3325e3d4e063375e6bf7d2b3e4</t>
  </si>
  <si>
    <t>EXHIBIT_EMAIL_20250226_092_b51af256</t>
  </si>
  <si>
    <t>2025-02-26T03:57:13+00:00</t>
  </si>
  <si>
    <t>Email: Welcome to Porch!</t>
  </si>
  <si>
    <t>b51af2563c358aadc4657d2e399178140e2fd1c750599b3408173f62f6f779ff</t>
  </si>
  <si>
    <t>EXHIBIT_EMAIL_20250218_093_ac476c23</t>
  </si>
  <si>
    <t>2025-02-18T03:31:41+00:00</t>
  </si>
  <si>
    <t>Email: New application authorised in your Trello account</t>
  </si>
  <si>
    <t>ac476c2346a56e99497fb75d8ae2628b7f5bef1165131655474606a72d766930</t>
  </si>
  <si>
    <t>EXHIBIT_EMAIL_20250225_094_c8ed4a35</t>
  </si>
  <si>
    <t>2025-02-25T07:15:08+00:00</t>
  </si>
  <si>
    <t>Email: Replace your AI chatbot with Notion AI</t>
  </si>
  <si>
    <t>c8ed4a35653ff4c221ccb9310d42995b3b68dbfd04d660fbae2a6568e4ed3002</t>
  </si>
  <si>
    <t>EXHIBIT_EMAIL_20250218_095_26a29e6d</t>
  </si>
  <si>
    <t>2025-02-18T08:24:01-08:00</t>
  </si>
  <si>
    <t>Email: Your new family group member</t>
  </si>
  <si>
    <t>26a29e6dc341d08e41ded242eb3315fa9c95cbe8d3a66de28f0c7838261f175a</t>
  </si>
  <si>
    <t>EXHIBIT_EMAIL_20250218_096_558c1fbc</t>
  </si>
  <si>
    <t>2025-02-18T07:20:52-08:00</t>
  </si>
  <si>
    <t>558c1fbc1d0668bde79b5f86c9d3763436b7600ab7278f53ff711d44f83876a7</t>
  </si>
  <si>
    <t>EXHIBIT_EMAIL_20250218_097_3e9220ba</t>
  </si>
  <si>
    <t>2025-02-18T02:48:38+00:00</t>
  </si>
  <si>
    <t>Email: Two for the price of one!</t>
  </si>
  <si>
    <t>3e9220bac9ad40e6c93675aef1cd11a0f6d061ab08d6b428f59cd9d80dcfb340</t>
  </si>
  <si>
    <t>EXHIBIT_EMAIL_20250222_098_28d29711</t>
  </si>
  <si>
    <t>2025-02-22T03:11:42+00:00</t>
  </si>
  <si>
    <t>28d29711a7b04dd35ef4e78217d8a3bf5f7951a620b5f9e5c608ba9be41c7ddc</t>
  </si>
  <si>
    <t>EXHIBIT_EMAIL_20250220_099_b5f38998</t>
  </si>
  <si>
    <t>2025-02-20T21:44:39+00:00</t>
  </si>
  <si>
    <t>Email: Your cart item: now 84% OFF!</t>
  </si>
  <si>
    <t>b5f38998c32b207973edc935c581f952af9cc5d7d0c76eaf56dcda99953208d2</t>
  </si>
  <si>
    <t>EXHIBIT_EMAIL_20250218_100_f9b54bcc</t>
  </si>
  <si>
    <t>2025-02-18T09:39:02-06:00</t>
  </si>
  <si>
    <t>Email: Rollback alert 🚨 Save on grocery &amp; more!</t>
  </si>
  <si>
    <t>f9b54bcc429fc4a48053257344f4a0757f704cab5d014b1c3003ae7b03ae2536</t>
  </si>
  <si>
    <t>EXHIBIT_EMAIL_20250219_101_3c19b2ca</t>
  </si>
  <si>
    <t>2025-02-19T14:45:28+00:00</t>
  </si>
  <si>
    <t>3c19b2ca5f28da7dfdaea2d8c90b9d71720078e15560533434bfbc43e36dc199</t>
  </si>
  <si>
    <t>EXHIBIT_EMAIL_20250223_102_41eeab53</t>
  </si>
  <si>
    <t>2025-02-23T16:08:39+00:00</t>
  </si>
  <si>
    <t>Email: New sign-in to your Alfred account</t>
  </si>
  <si>
    <t>41eeab53ac4c0cb32d5d1f70bea5fbf2c7bd6020d7709ac14c5112ca1f8b7d31</t>
  </si>
  <si>
    <t>EXHIBIT_EMAIL_20250223_103_013c38af</t>
  </si>
  <si>
    <t>2025-02-23T16:08:12+00:00</t>
  </si>
  <si>
    <t>013c38afbd43da7d267dee1f1a5376463b147b3d844429e24860663c1f4b5cfc</t>
  </si>
  <si>
    <t>EXHIBIT_EMAIL_20250223_104_38f3a6c1</t>
  </si>
  <si>
    <t>2025-02-23T02:12:22+00:00</t>
  </si>
  <si>
    <t>Email: Sick day lessons &amp; ✈️ safety tips</t>
  </si>
  <si>
    <t>38f3a6c1f097aec1cdc65173cbb928d8900792dd7af3928289857dbdf33b750f</t>
  </si>
  <si>
    <t>EXHIBIT_EMAIL_20250218_105_88819a1c</t>
  </si>
  <si>
    <t>2025-02-18T09:35:19+00:00</t>
  </si>
  <si>
    <t>Email: Folder shared with you: "Yep"</t>
  </si>
  <si>
    <t>88819a1c9a1d8fff85406c0b70ad2f44bc3a5e79a21151d5a13753e55de65c92</t>
  </si>
  <si>
    <t>EXHIBIT_EMAIL_20250219_106_25f22e7b</t>
  </si>
  <si>
    <t>2025-02-19T20:09:21+00:00</t>
  </si>
  <si>
    <t>Email: Crowd-favorite restaurants around you</t>
  </si>
  <si>
    <t>25f22e7becb1fe79be1b3007953960a1723d11d30fa4714d567cdfbd741f363c</t>
  </si>
  <si>
    <t>EXHIBIT_EMAIL_20250224_107_e0dc5c61</t>
  </si>
  <si>
    <t>2025-02-24T14:45:45-04:00</t>
  </si>
  <si>
    <t>Email: It’s your favourite roofer!</t>
  </si>
  <si>
    <t>e0dc5c61312e935c9feafa1b9af0eb2160895c198728c4d0fa13385a1490602d</t>
  </si>
  <si>
    <t>EXHIBIT_EMAIL_20250220_108_cc805453</t>
  </si>
  <si>
    <t>2025-02-20T19:51:35+00:00</t>
  </si>
  <si>
    <t>Email: Grab 20 Spins to play this player fave, no deposit required.</t>
  </si>
  <si>
    <t>cc8054534d5a717e1a05712376cfeebe9f864eb00da80aa457ecc55948e01d3f</t>
  </si>
  <si>
    <t>EXHIBIT_EMAIL_20250217_109_d5d36d78</t>
  </si>
  <si>
    <t>2025-02-17T19:38:41-08:00</t>
  </si>
  <si>
    <t>Email: Welcome to Google One, CRAIG</t>
  </si>
  <si>
    <t>d5d36d78ba2f11bbe064c4118a17254c91fc4a908040b3f90889fb16b8cc88eb</t>
  </si>
  <si>
    <t>EXHIBIT_EMAIL_20250215_110_8388b58e</t>
  </si>
  <si>
    <t>2025-02-15T10:12:32-06:00</t>
  </si>
  <si>
    <t>Email: Up to 40% off Deals of the Week 💥</t>
  </si>
  <si>
    <t>8388b58e28c624ba70a15a756ad61e656ae6b90471497e04b1dbbd67ffc03771</t>
  </si>
  <si>
    <t>EXHIBIT_EMAIL_20250218_111_f8c03807</t>
  </si>
  <si>
    <t>2025-02-18T20:46:31+00:00</t>
  </si>
  <si>
    <t>f8c038075637ecac19bed9b6f358a1f3dd252312dc03d6a743c54dcad0f22e5d</t>
  </si>
  <si>
    <t>EXHIBIT_EMAIL_20250219_112_69e50d9d</t>
  </si>
  <si>
    <t>2025-02-19T08:37:39+00:00</t>
  </si>
  <si>
    <t>Email: Reset your Stripe password</t>
  </si>
  <si>
    <t>69e50d9d15f3c1843890cbd1e862882ddaca083b0bb71b62a2bde6072363a901</t>
  </si>
  <si>
    <t>EXHIBIT_EMAIL_20250220_113_e8e76f2c</t>
  </si>
  <si>
    <t>2025-02-20T08:05:36+00:00</t>
  </si>
  <si>
    <t>Email: What will you build?</t>
  </si>
  <si>
    <t>e8e76f2c4c59582111d2aad7778cc9db8f20857674c9d17d31605478f8ea69ce</t>
  </si>
  <si>
    <t>EXHIBIT_EMAIL_20250218_114_578dd807</t>
  </si>
  <si>
    <t>2025-02-18T04:41:54+00:00</t>
  </si>
  <si>
    <t>Email: Security alert</t>
  </si>
  <si>
    <t>578dd80774cd0d7c0389a85362cf1e715dc0862382c622fee4a9d3e6d5966891</t>
  </si>
  <si>
    <t>EXHIBIT_EMAIL_20250218_115_46f4d8c0</t>
  </si>
  <si>
    <t>2025-02-18T03:35:53+00:00</t>
  </si>
  <si>
    <t>46f4d8c0747ec3703d081a09d65c99806c8f69d07c488a98973e16e4f205f0c8</t>
  </si>
  <si>
    <t>EXHIBIT_EMAIL_20250218_116_2f774adb</t>
  </si>
  <si>
    <t>2f774adbb9b91a0f0e0f4476dce827785a2b7bc13de1899567d7109514336c7f</t>
  </si>
  <si>
    <t>EXHIBIT_EMAIL_20250218_117_d7dfcde2</t>
  </si>
  <si>
    <t>d7dfcde209ae2eaa07e5fb79c8e6a1819f612518f750c8c4b023f2c328a82387</t>
  </si>
  <si>
    <t>EXHIBIT_EMAIL_20250221_118_9def34c6</t>
  </si>
  <si>
    <t>2025-02-21T07:02:48-06:00</t>
  </si>
  <si>
    <t>Email: Where have you gone, Tony?</t>
  </si>
  <si>
    <t>9def34c62c927be88700ae057cd5246b693014e1cfd19ff637fefe2b620c268c</t>
  </si>
  <si>
    <t>EXHIBIT_EMAIL_20250217_119_f098e5ed</t>
  </si>
  <si>
    <t>2025-02-17T09:35:45-06:00</t>
  </si>
  <si>
    <t>Email: Swimwear, luggage &amp; more vacay finds 🧳</t>
  </si>
  <si>
    <t>f098e5ed902f74bd3e1ebe3e6f025fb4f3f84cf5ef656de031916cad6658719d</t>
  </si>
  <si>
    <t>EXHIBIT_EMAIL_20250217_120_54877612</t>
  </si>
  <si>
    <t>2025-02-17T10:00:43-08:00</t>
  </si>
  <si>
    <t>Email: ⚠️ Your Gmail storage is 100% full</t>
  </si>
  <si>
    <t>548776125a5e689ca912a1d8f4251b3072b88212d3237ad35c04ea125437d37d</t>
  </si>
  <si>
    <t>EXHIBIT_EMAIL_20250222_121_0eff96f8</t>
  </si>
  <si>
    <t>2025-02-22T19:51:13+00:00</t>
  </si>
  <si>
    <t>Email: We are ready to upgrade your account, Dawn.</t>
  </si>
  <si>
    <t>0eff96f8bffcfc456ec876b16049b2dbad8b45dc3c1ddbbf4d32ee672f9c2163</t>
  </si>
  <si>
    <t>EXHIBIT_EMAIL_20250219_122_fa1c1393</t>
  </si>
  <si>
    <t>2025-02-19T10:19:50+00:00</t>
  </si>
  <si>
    <t>Email: Get started on desktop</t>
  </si>
  <si>
    <t>fa1c139398d45bf3a4bf525488ec773cdb35966ea9f4e988d71a2aff67762ee0</t>
  </si>
  <si>
    <t>EXHIBIT_EMAIL_20250221_123_25593420</t>
  </si>
  <si>
    <t>2025-02-21T22:29:22+00:00</t>
  </si>
  <si>
    <t>Email: Roll Up To Win is back on Feb 24!🎉😍</t>
  </si>
  <si>
    <t>25593420dc79e5bad8f59321445bc124ecb51ad4d8c86929e56e04a521e4c13b</t>
  </si>
  <si>
    <t>EXHIBIT_EMAIL_20250221_124_e2ccf720</t>
  </si>
  <si>
    <t>2025-02-21T15:08:01+00:00</t>
  </si>
  <si>
    <t>Email: Exclusive Offer: 50% OFF with Webador</t>
  </si>
  <si>
    <t>e2ccf720ddb0cc131b9ae689d7071554b2fd740fc3b94d2c85582f909ff8425a</t>
  </si>
  <si>
    <t>EXHIBIT_EMAIL_20250216_125_6de14aaa</t>
  </si>
  <si>
    <t>2025-02-16T02:17:31+00:00</t>
  </si>
  <si>
    <t>Email: A “surveillance pricing” FYI + Scotland wins at baby boxes</t>
  </si>
  <si>
    <t>6de14aaaad46bec47e11086819eca83f846dbb054409fe9d8cfc4b4f3fc42121</t>
  </si>
  <si>
    <t>EXHIBIT_EMAIL_20250216_126_73ecc8e3</t>
  </si>
  <si>
    <t>2025-02-16T16:35:12+00:00</t>
  </si>
  <si>
    <t>Email: Your job search just got easier, Stacey – here’s how</t>
  </si>
  <si>
    <t>73ecc8e3d5d30c8946841fe91a7a53da293659fd453439d1c307abe1b1a7a442</t>
  </si>
  <si>
    <t>EXHIBIT_EMAIL_20250222_127_d357b5bf</t>
  </si>
  <si>
    <t>2025-02-22T10:00:27-06:00</t>
  </si>
  <si>
    <t>Email: Score! Up to 40% off this week’s deals 🙌</t>
  </si>
  <si>
    <t>d357b5bfe4c5285ec043a1ad3eb425962d21469569b2422e1a422023b2ee810c</t>
  </si>
  <si>
    <t>EXHIBIT_EMAIL_20250218_128_c19d6bf6</t>
  </si>
  <si>
    <t>2025-02-18T16:17:41-04:00</t>
  </si>
  <si>
    <t>Email: Harper day Harper day it’s dad Luna and Harper day!!!!</t>
  </si>
  <si>
    <t>c19d6bf6cf4ad4738222775e3c4e0261e4ba0a2db3b53a56cb2abfdb613cbdb8</t>
  </si>
  <si>
    <t>EXHIBIT_EMAIL_20250224_129_52e0556a</t>
  </si>
  <si>
    <t>2025-02-24T07:02:25-06:00</t>
  </si>
  <si>
    <t>Email: You're in for some Mega fun, Tony</t>
  </si>
  <si>
    <t>52e0556a68731b092c5d51ab160455ecbed760a6e7b27c187de18f91f9e2cf38</t>
  </si>
  <si>
    <t>EXHIBIT_EMAIL_20250225_130_7443913c</t>
  </si>
  <si>
    <t>2025-02-25T09:37:03-06:00</t>
  </si>
  <si>
    <t>Email: Calling all CLEARANCE fans 📢</t>
  </si>
  <si>
    <t>7443913ca7439eade43ae7a4c4915dc4c92515bad573b348132c0b28321836a5</t>
  </si>
  <si>
    <t>EXHIBIT_EMAIL_20250226_131_f818033e</t>
  </si>
  <si>
    <t>2025-02-26T20:11:43+00:00</t>
  </si>
  <si>
    <t>Email: Restaurants loved by locals</t>
  </si>
  <si>
    <t>f818033eb19dc95121c914168a68d1995158058175fd6dbd388391ea390dbed1</t>
  </si>
  <si>
    <t>EXHIBIT_EMAIL_20250219_132_495380eb</t>
  </si>
  <si>
    <t>2025-02-19T12:25:30+00:00</t>
  </si>
  <si>
    <t>Email: 🔮 MYSTERY DEAL🔮 Just for you!</t>
  </si>
  <si>
    <t>495380eb8f979c4d95ccf0ce0680df6eb5e71326fb033d533f7b1bddf4b9a1ac</t>
  </si>
  <si>
    <t>EXHIBIT_EMAIL_20250226_133_a13d3d9d</t>
  </si>
  <si>
    <t>2025-02-26T06:00:16+00:00</t>
  </si>
  <si>
    <t>Email: vroofn, Play with a 100% Bonus + 50 Free Spins! 🏜️</t>
  </si>
  <si>
    <t>a13d3d9d87582df43109130ef948ba331dace12e3575eb1ab1c2e38f78609638</t>
  </si>
  <si>
    <t>EXHIBIT_EMAIL_20250220_134_eeae65c0</t>
  </si>
  <si>
    <t>2025-02-20T04:11:52+00:00</t>
  </si>
  <si>
    <t>Email: Welcome to Grasshopper!</t>
  </si>
  <si>
    <t>eeae65c016c43f84ba53119fe724ad0df69de48dea116fe4c2b3d9a91cfb743b</t>
  </si>
  <si>
    <t>EXHIBIT_EMAIL_20250228_135_d4512d32</t>
  </si>
  <si>
    <t>2025-02-28T14:25:58+00:00</t>
  </si>
  <si>
    <t>Email: Streamline your invoicing with Wix</t>
  </si>
  <si>
    <t>d4512d32e6f24b6bd630bc63946ae15f32aa244208c07ee1d0e16a389e3f96b9</t>
  </si>
  <si>
    <t>EXHIBIT_EMAIL_20250217_136_a38c72eb</t>
  </si>
  <si>
    <t>2025-02-17T22:22:32+00:00</t>
  </si>
  <si>
    <t>Email: Make your app go viral on TikTok</t>
  </si>
  <si>
    <t>a38c72eb0769426160152018b6dd5df1b48c7b3af11d2a5cbcd5463f0ce6d2cf</t>
  </si>
  <si>
    <t>EXHIBIT_EMAIL_20250221_137_a9aac7bd</t>
  </si>
  <si>
    <t>2025-02-21T15:01:47+01:00</t>
  </si>
  <si>
    <t>Email: Dernier jour pour profiter de rabais allant jusqu’à 60 %</t>
  </si>
  <si>
    <t>a9aac7bda20ba21862648837c25d21e38099636d22b78703ce83abe1a095b19c</t>
  </si>
  <si>
    <t>EXHIBIT_EMAIL_20250221_138_7c8f49da</t>
  </si>
  <si>
    <t>2025-02-21T16:35:30+00:00</t>
  </si>
  <si>
    <t>Email: Stacey, get ready for your next big thing!</t>
  </si>
  <si>
    <t>7c8f49da17cd196927dd2f2ee16aa6c6f0a9b3d46a40b4056cb2a4c6df16c1e3</t>
  </si>
  <si>
    <t>EXHIBIT_EMAIL_20250225_139_8f97f258</t>
  </si>
  <si>
    <t>2025-02-25T05:09:42+01:00</t>
  </si>
  <si>
    <t>Email: vroofn, you have free spins on Amazing Catch Power Combo!🐟</t>
  </si>
  <si>
    <t>8f97f258439720c2d549c6365750815b0735cd19b8f48d2e9657fca116deb407</t>
  </si>
  <si>
    <t>EXHIBIT_EMAIL_20250223_140_cc4710f3</t>
  </si>
  <si>
    <t>2025-02-23T10:11:16+00:00</t>
  </si>
  <si>
    <t>Email: 5 Warm Kitchens With Wood Cabinets | 8 Proven Tips for Managing a Growing Team</t>
  </si>
  <si>
    <t>cc4710f36f44d7999a5a5323ebf1c31e84d3ee512c9e6c6971637a75b013124c</t>
  </si>
  <si>
    <t>EXHIBIT_EMAIL_20250224_141_937fb058</t>
  </si>
  <si>
    <t>2025-02-24T21:47:13+00:00</t>
  </si>
  <si>
    <t>Email: Your Purchases Have Returned As Credits</t>
  </si>
  <si>
    <t>937fb058cce43a66a692248c4b92b6c23f3c8a4335966022beb0f3ce8ed20b5c</t>
  </si>
  <si>
    <t>EXHIBIT_EMAIL_20250225_142_9c2295e9</t>
  </si>
  <si>
    <t>2025-02-25T04:04:21+00:00</t>
  </si>
  <si>
    <t>9c2295e9ae61e0a4cd7f3c9216c45e7be7b4342fc11ebfc5c71c179756695e18</t>
  </si>
  <si>
    <t>EXHIBIT_EMAIL_20250224_143_6e1bba05</t>
  </si>
  <si>
    <t>2025-02-24T19:49:36+00:00</t>
  </si>
  <si>
    <t>6e1bba050d61163a36ab4900b37aca77ce990d5443127dc127e09dc42d538bcf</t>
  </si>
  <si>
    <t>EXHIBIT_EMAIL_20250224_144_48cccc07</t>
  </si>
  <si>
    <t>2025-02-24T19:48:54+00:00</t>
  </si>
  <si>
    <t>48cccc070ce8e6580c12841221258d15c96f23210048b9e4f52d536532f25746</t>
  </si>
  <si>
    <t>EXHIBIT_EMAIL_20250219_145_940514e0</t>
  </si>
  <si>
    <t>2025-02-19T08:58:49-06:00</t>
  </si>
  <si>
    <t>Email: Cozy home finds from Mainstays &amp; Hometrends 🛋️</t>
  </si>
  <si>
    <t>940514e0b9a862cbd0ad93793414aeaf6d8b4171113b9798f831adc50267ecd3</t>
  </si>
  <si>
    <t>EXHIBIT_EMAIL_20250223_146_3be70c5d</t>
  </si>
  <si>
    <t>2025-02-23T01:08:08-05:00</t>
  </si>
  <si>
    <t>Email: New website offer for you.</t>
  </si>
  <si>
    <t>3be70c5d9e7e8d8a00b4fc55fcd6ee30d7530dd942c1596bc8f8ec3182fc5c6e</t>
  </si>
  <si>
    <t>EXHIBIT_EMAIL_20250219_147_a941d254</t>
  </si>
  <si>
    <t>2025-02-19T17:39:25-08:00</t>
  </si>
  <si>
    <t>Email: Shoot, sketch, and do more with the Galaxy S25 Ultra</t>
  </si>
  <si>
    <t>a941d25426387b221798112ebb4db72d0e8714d9106bd936de2a9ae92e704548</t>
  </si>
  <si>
    <t>EXHIBIT_EMAIL_20250219_148_4c266270</t>
  </si>
  <si>
    <t>2025-02-19T23:15:15+00:00</t>
  </si>
  <si>
    <t>Email: Hi Craig, here’s what new parents are reading, ICYMI</t>
  </si>
  <si>
    <t>4c266270d103a5da02fb0ccd25cbb5341a3dee2cef69b6be0c57dd0add980802</t>
  </si>
  <si>
    <t>EXHIBIT_EMAIL_20250220_149_68b65a3d</t>
  </si>
  <si>
    <t>2025-02-20T22:43:01+00:00</t>
  </si>
  <si>
    <t>Email: Launch your website in just 4 steps!</t>
  </si>
  <si>
    <t>68b65a3d926408718821d5504d817ffe80b366522cd74cd7c65a2f80d43ae264</t>
  </si>
  <si>
    <t>EXHIBIT_EMAIL_20250221_150_38d0ff22</t>
  </si>
  <si>
    <t>2025-02-21T14:07:09+00:00</t>
  </si>
  <si>
    <t>Email: 3 Ways to Attract More Visitors to Your Website</t>
  </si>
  <si>
    <t>38d0ff2202e96682cb64d5586fa8619f6f6c58d8645785e4981b3e9ed84fc1f4</t>
  </si>
  <si>
    <t>EXHIBIT_EMAIL_20250218_151_6205297f</t>
  </si>
  <si>
    <t>2025-02-18T08:56:14-06:00</t>
  </si>
  <si>
    <t>Email: 6 brilliant family vacation ideas</t>
  </si>
  <si>
    <t>6205297fcc253cc7e5913869341f4862026a052d0ddaacc8ad565d92f18f3994</t>
  </si>
  <si>
    <t>EXHIBIT_EMAIL_20250224_152_53f3d6b0</t>
  </si>
  <si>
    <t>2025-02-24T02:07:25+00:00</t>
  </si>
  <si>
    <t>Email: Congratulations! You've successfully published your Bold Profile!</t>
  </si>
  <si>
    <t>53f3d6b0bc5ab9a1337e047efdce1feb4fc7be9bd79327303570e23a31c7683d</t>
  </si>
  <si>
    <t>EXHIBIT_EMAIL_20250217_153_ce514f38</t>
  </si>
  <si>
    <t>2025-02-17T16:34:36-06:00</t>
  </si>
  <si>
    <t>Email: Your preview of top roofing tools</t>
  </si>
  <si>
    <t>ce514f38ebb6f34bd79668b8b4148fb4a026f56d5e6b7ef5b7e4453e9a7aff27</t>
  </si>
  <si>
    <t>EXHIBIT_EMAIL_20250220_154_3e1c6485</t>
  </si>
  <si>
    <t>2025-02-20T10:32:24-05:00</t>
  </si>
  <si>
    <t>Email: 🏆  New video features for the win</t>
  </si>
  <si>
    <t>3e1c64857e6df2904034fadfb7f622a2ceb25b22d992ecd51f22c4c60c8ecb71</t>
  </si>
  <si>
    <t>EXHIBIT_EMAIL_20250220_155_282e529d</t>
  </si>
  <si>
    <t>2025-02-20T23:52:27+00:00</t>
  </si>
  <si>
    <t>Email: Hey Craig, your $20 off expires soon</t>
  </si>
  <si>
    <t>282e529d29653941780c548d28dcf957836a4783c1bb2c28024a1fcf629a1e5d</t>
  </si>
  <si>
    <t>EXHIBIT_EMAIL_20250218_156_3e916b0d</t>
  </si>
  <si>
    <t>2025-02-18T19:00:30-08:00</t>
  </si>
  <si>
    <t>Email: Gemini is no longer available in the Google app</t>
  </si>
  <si>
    <t>3e916b0dea7d218176bc289874a83b9a81ea814a59688d5ced7c56ad06391ead</t>
  </si>
  <si>
    <t>EXHIBIT_EMAIL_20250215_157_22a5b302</t>
  </si>
  <si>
    <t>2025-02-15T16:07:47-05:00</t>
  </si>
  <si>
    <t>Email: Proudly Canadian</t>
  </si>
  <si>
    <t>22a5b3020f06f198d47f4484a95146b31f79700c88e094cb5e81a64862ef8a7c</t>
  </si>
  <si>
    <t>EXHIBIT_EMAIL_20250228_158_fabe334f</t>
  </si>
  <si>
    <t>2025-02-28T12:47:32+00:00</t>
  </si>
  <si>
    <t>fabe334ff98204c18bc5f200de4336593eb23b83f6bbab97a49423220bee4ad2</t>
  </si>
  <si>
    <t>EXHIBIT_EMAIL_20250220_159_162a5a57</t>
  </si>
  <si>
    <t>2025-02-20T00:57:48+00:00</t>
  </si>
  <si>
    <t>Email: amazon.ca: Password recovery</t>
  </si>
  <si>
    <t>162a5a57150434957005cd68f8ba7cbb49a8a6f06ffda12469708c0563f8f3ee</t>
  </si>
  <si>
    <t>EXHIBIT_EMAIL_20250216_160_8f7e4909</t>
  </si>
  <si>
    <t>2025-02-16T12:59:40+00:00</t>
  </si>
  <si>
    <t>Email: Your cart item: now 42% OFF!</t>
  </si>
  <si>
    <t>8f7e490983e699337ae8790d403e1fc99b022bde5fa3bb7570842f43437e318b</t>
  </si>
  <si>
    <t>EXHIBIT_EMAIL_20250226_161_42f5caa1</t>
  </si>
  <si>
    <t>2025-02-26T09:05:06-06:00</t>
  </si>
  <si>
    <t>Email: Stock up &amp; save 15% on baby essentials 🍼</t>
  </si>
  <si>
    <t>42f5caa1913d7ebbeedc49765d601cb2c602778685a69d12bcd8a25a1646a29b</t>
  </si>
  <si>
    <t>EXHIBIT_EMAIL_20250225_162_eb9798c5</t>
  </si>
  <si>
    <t>2025-02-25T12:14:48+00:00</t>
  </si>
  <si>
    <t>Email: Just for you: Up to 30% off top products 😍</t>
  </si>
  <si>
    <t>eb9798c557d3db68da5db96e06fbfa106a9e2b96f593c74f253aecf5939cb395</t>
  </si>
  <si>
    <t>EXHIBIT_EMAIL_20250217_163_d8e54bdf</t>
  </si>
  <si>
    <t>2025-02-17T19:56:56-08:00</t>
  </si>
  <si>
    <t>Email: You now have parent privileges in your family group</t>
  </si>
  <si>
    <t>d8e54bdf1a156a75340f50b683b08ed1e5f7726c22a16398f48cab725c4e6032</t>
  </si>
  <si>
    <t>EXHIBIT_EMAIL_20250219_164_3860ecba</t>
  </si>
  <si>
    <t>2025-02-19T05:09:30+01:00</t>
  </si>
  <si>
    <t>3860ecbaed35f1024da0e1875e3e4fd1f8515975360331a88b88754bddf01be5</t>
  </si>
  <si>
    <t>EXHIBIT_EMAIL_20250217_165_432d8e54</t>
  </si>
  <si>
    <t>2025-02-17T08:20:35+00:00</t>
  </si>
  <si>
    <t>Email: ANNOUNCEMENT: New Pragmatic Play Games Have Just Landed</t>
  </si>
  <si>
    <t>432d8e540e3c70c272caab4d76ef34529f57731b5be03be8fe0bf508f00aec75</t>
  </si>
  <si>
    <t>EXHIBIT_EMAIL_20250223_166_6f16bb59</t>
  </si>
  <si>
    <t>2025-02-23T09:41:56-06:00</t>
  </si>
  <si>
    <t>Email: SAVE UP TO 33% on brands you’ll love 😍</t>
  </si>
  <si>
    <t>6f16bb59da9e6afc2b9f4ebeaa04b7cde796ea434f785893ec956cc970edf910</t>
  </si>
  <si>
    <t>EXHIBIT_EMAIL_20250227_167_ebd432d1</t>
  </si>
  <si>
    <t>2025-02-27T18:13:50+00:00</t>
  </si>
  <si>
    <t>Email: Spring Into March: Your Must-Post Social Calendar Inside!🌸</t>
  </si>
  <si>
    <t>ebd432d1536159187e6bbc92afaab8bafda5026c230378046b0e554f74c32673</t>
  </si>
  <si>
    <t>EXHIBIT_EMAIL_20250222_168_0801bfd7</t>
  </si>
  <si>
    <t>2025-02-22T14:52:10+00:00</t>
  </si>
  <si>
    <t>Email: Tick tock. Don’t let your $40 in savings get away.</t>
  </si>
  <si>
    <t>0801bfd7f8ca3e53356412a315a1838da7eb00e45380d968d29a8d13e190443c</t>
  </si>
  <si>
    <t>EXHIBIT_EMAIL_20250219_169_f1b62d78</t>
  </si>
  <si>
    <t>2025-02-19T06:00:06+00:00</t>
  </si>
  <si>
    <t>Email: vroofn, you have free spins on Immortal Romance™ II! 🌹</t>
  </si>
  <si>
    <t>f1b62d788d3ce2d1a506f13d3496c750ff7804e5bf8910eaa5d5abe5d96498d4</t>
  </si>
  <si>
    <t>EXHIBIT_EMAIL_20250224_170_edbf31ae</t>
  </si>
  <si>
    <t>2025-02-24T15:02:13+00:00</t>
  </si>
  <si>
    <t>Email: Hey, just checking in</t>
  </si>
  <si>
    <t>edbf31ae9478c99c0286a33ba09d67e16390cabf07fe85be0789e7979bcd2930</t>
  </si>
  <si>
    <t>EXHIBIT_EMAIL_20250220_171_4c2def9a</t>
  </si>
  <si>
    <t>2025-02-20T12:57:54+00:00</t>
  </si>
  <si>
    <t>Email: [Grasshopper] One Time Password</t>
  </si>
  <si>
    <t>4c2def9a89686a02acc13c7986c4caf119657ba4b1b9116a5ee2f45e51ea23ca</t>
  </si>
  <si>
    <t>EXHIBIT_EMAIL_20250220_172_7e84c803</t>
  </si>
  <si>
    <t>2025-02-20T04:12:02+00:00</t>
  </si>
  <si>
    <t>7e84c803021b4c8b7818ab971a957e678aaececf34b7845aab029177a6cb8223</t>
  </si>
  <si>
    <t>EXHIBIT_EMAIL_20250224_173_aef16874</t>
  </si>
  <si>
    <t>2025-02-24T06:47:35-08:00</t>
  </si>
  <si>
    <t>Email: Design whatever you dream up with All Apps</t>
  </si>
  <si>
    <t>aef1687465b6f00dd3f65573fdcff29b9373fe6303d919c473bf4c264bb37df6</t>
  </si>
  <si>
    <t>EXHIBIT_EMAIL_20250228_174_2faef009</t>
  </si>
  <si>
    <t>2025-02-28T18:48:00+00:00</t>
  </si>
  <si>
    <t>Email: Don't miss out on this limited time offer!</t>
  </si>
  <si>
    <t>2faef00903b57c805acb390fc647ec7e40b524c18019580dfb1edc435fde4932</t>
  </si>
  <si>
    <t>EXHIBIT_EMAIL_20250228_175_fa4a7f69</t>
  </si>
  <si>
    <t>2025-02-28T09:45:26+00:00</t>
  </si>
  <si>
    <t>Email: Dive into Mermaid Royale with 13 spins on us.</t>
  </si>
  <si>
    <t>fa4a7f69c433a7f80a0ba3561b4810b4e6c02f1ae5dc9e3075b87baf40a534fc</t>
  </si>
  <si>
    <t>EXHIBIT_EMAIL_20250226_176_8502b249</t>
  </si>
  <si>
    <t>2025-02-26T06:01:52+00:00</t>
  </si>
  <si>
    <t>Email: One more week to go! ⌛</t>
  </si>
  <si>
    <t>8502b2492a8fffa7a5d3ce8eaf30a13c727da200a4fb21c176c7a10b3fc8bea4</t>
  </si>
  <si>
    <t>EXHIBIT_EMAIL_20250224_177_83b7e48f</t>
  </si>
  <si>
    <t>2025-02-24T12:00:52+00:00</t>
  </si>
  <si>
    <t>83b7e48f087af333c907920570312e51fc9d9c24a3f18fed5cb5554a04ba3a20</t>
  </si>
  <si>
    <t>EXHIBIT_EMAIL_20250225_178_994edf06</t>
  </si>
  <si>
    <t>2025-02-25T01:23:01+00:00</t>
  </si>
  <si>
    <t>994edf062a8c63bc97532394aa57f88a801f07bad947086ce9d655fddc96b327</t>
  </si>
  <si>
    <t>EXHIBIT_EMAIL_20250221_179_ae8ccf72</t>
  </si>
  <si>
    <t>2025-02-21T13:37:17-06:00</t>
  </si>
  <si>
    <t>Email: Here's an extra $40 for you! 🤩</t>
  </si>
  <si>
    <t>ae8ccf725ec071a9aed70a7279793b31556eb83f4992c0d5b1a017315734469d</t>
  </si>
  <si>
    <t>EXHIBIT_EMAIL_20250225_180_c83f7ac7</t>
  </si>
  <si>
    <t>c83f7ac7321f8a49acdbf112d6856ef0ce7b5327bb6f891f43d0bf2299fdada2</t>
  </si>
  <si>
    <t>EXHIBIT_EMAIL_20250224_181_24f52d94</t>
  </si>
  <si>
    <t>2025-02-24T18:37:21-08:00</t>
  </si>
  <si>
    <t>Email: It’s time to check off your tasks in just one ask</t>
  </si>
  <si>
    <t>24f52d946401f16527bbca13e031717e34f76d1a17619a09b92a4362da67d861</t>
  </si>
  <si>
    <t>EXHIBIT_EMAIL_20250213_182_2b7d7e4d</t>
  </si>
  <si>
    <t>2025-02-13T17:00:04+00:00</t>
  </si>
  <si>
    <t>Email: Ticketing &amp; live chat, Contacts API, New AI Models</t>
  </si>
  <si>
    <t>2b7d7e4dcdeb3b8ffdb5abdd9245bd68ab3417e902c74d1de598257468a02ded</t>
  </si>
  <si>
    <t>EXHIBIT_EMAIL_20250206_183_649b5bb7</t>
  </si>
  <si>
    <t>2025-02-06T07:48:47+00:00</t>
  </si>
  <si>
    <t>Email: Start Collecting Referral Credits</t>
  </si>
  <si>
    <t>649b5bb70ad007c0a9ec94593c925d02e3e554e6ce4869da79799617e515c464</t>
  </si>
  <si>
    <t>EXHIBIT_EMAIL_20250208_184_3d8f28a5</t>
  </si>
  <si>
    <t>2025-02-08T10:00:45-06:00</t>
  </si>
  <si>
    <t>Email: Don’t miss this week’s DEALS 🙌</t>
  </si>
  <si>
    <t>3d8f28a5d68aa784ada5066d020e096514b5f08d486aec25ddb182335d51acf3</t>
  </si>
  <si>
    <t>EXHIBIT_EMAIL_20250204_185_75d3fd3c</t>
  </si>
  <si>
    <t>2025-02-04T10:15:19-06:00</t>
  </si>
  <si>
    <t>Email: Pay over 24 mos. at 0% APR for iPhone 16</t>
  </si>
  <si>
    <t>75d3fd3c86cd1a76d0f6facb4c13415815faa3dcd91724efb193cb27f90d4475</t>
  </si>
  <si>
    <t>EXHIBIT_EMAIL_20250212_186_c786dc89</t>
  </si>
  <si>
    <t>2025-02-12T16:29:52+01:00</t>
  </si>
  <si>
    <t>Email: Les rabais de 50 % se terminent ce soir</t>
  </si>
  <si>
    <t>c786dc89b8d938b5b21628f55644119d1301d716c66ee83ea60a274e5c9ea17d</t>
  </si>
  <si>
    <t>EXHIBIT_EMAIL_20250215_187_bead11b9</t>
  </si>
  <si>
    <t>2025-02-15T12:59:34+00:00</t>
  </si>
  <si>
    <t>bead11b959f840d7721c4e2d1da10083f28d2f9f859ad50d1df3cc6fd93acc66</t>
  </si>
  <si>
    <t>EXHIBIT_EMAIL_20250210_188_5e6867bd</t>
  </si>
  <si>
    <t>2025-02-10T13:20:11+00:00</t>
  </si>
  <si>
    <t>Email:</t>
  </si>
  <si>
    <t>5e6867bd75dbd91d0d9504d97c65ca68fbd1892e5aa56429919eca1ded78b089</t>
  </si>
  <si>
    <t>EXHIBIT_EMAIL_20250205_189_2814d0b4</t>
  </si>
  <si>
    <t>2025-02-05T06:00:09+00:00</t>
  </si>
  <si>
    <t>Email: vroofn, you have free spins on Gold Blitz™! ⚡</t>
  </si>
  <si>
    <t>2814d0b475a61ab6f0128ff2afe3d4f64ceb6d45a0cfff94db1c6a4e9cdd6a51</t>
  </si>
  <si>
    <t>EXHIBIT_EMAIL_20250213_190_7473fee1</t>
  </si>
  <si>
    <t>2025-02-13T05:46:00-08:00</t>
  </si>
  <si>
    <t>Email: Luna • shared “harpee” with you</t>
  </si>
  <si>
    <t>7473fee19762371cb23c7f0c49505c3be9d6ef109d05c513c3f6be329a0b993e</t>
  </si>
  <si>
    <t>EXHIBIT_EMAIL_20250210_191_1386278e</t>
  </si>
  <si>
    <t>2025-02-10T13:26:44+01:00</t>
  </si>
  <si>
    <t>Email: You have received 5 free spins</t>
  </si>
  <si>
    <t>1386278eeae758419a11f7bb20e2ee73caafed4ca4db7a5dad6632f9a8baec09</t>
  </si>
  <si>
    <t>EXHIBIT_EMAIL_20250208_192_c8229d5d</t>
  </si>
  <si>
    <t>2025-02-08T01:29:08+00:00</t>
  </si>
  <si>
    <t>Email: HUGE DEAL INSIDE!</t>
  </si>
  <si>
    <t>c8229d5dbff5742c6494e1be5b40bb1b0ef1e32b4723513cae1eadb070720faa</t>
  </si>
  <si>
    <t>EXHIBIT_EMAIL_20250209_193_fdbf929c</t>
  </si>
  <si>
    <t>2025-02-09T09:38:47-06:00</t>
  </si>
  <si>
    <t>Email: Stop scrolling &amp; save up to 33% now 👉</t>
  </si>
  <si>
    <t>fdbf929c6b3ce02b73fd7d671f0315ccd2efd9fcaf1c78eca43490715e4f9c9e</t>
  </si>
  <si>
    <t>EXHIBIT_EMAIL_20250213_194_5bfcc32f</t>
  </si>
  <si>
    <t>2025-02-13T20:43:06+00:00</t>
  </si>
  <si>
    <t>5bfcc32ffda30f39ed76ba325594a42a3a66c58b918095bce04dfb21d6fa83ef</t>
  </si>
  <si>
    <t>EXHIBIT_EMAIL_20250213_195_5d240862</t>
  </si>
  <si>
    <t>2025-02-13T09:41:22-06:00</t>
  </si>
  <si>
    <t>5d2408629ef67fc08e4e6db142872eb7da84bfa0b74470a98a7124f9c5d09f66</t>
  </si>
  <si>
    <t>EXHIBIT_EMAIL_20250210_196_2450d356</t>
  </si>
  <si>
    <t>2025-02-10T13:26:29+00:00</t>
  </si>
  <si>
    <t>2450d356586190b75039a5b59a6531ec1b06b460121abae03ac630aa430f613c</t>
  </si>
  <si>
    <t>EXHIBIT_EMAIL_20250204_197_d75e26dd</t>
  </si>
  <si>
    <t>2025-02-04T20:49:19+00:00</t>
  </si>
  <si>
    <t>Email: 50% off your next  order - just for you 👀</t>
  </si>
  <si>
    <t>d75e26ddcd94f71659e4dc0e3255457177ea445edad9083714ceaadf6cac5a22</t>
  </si>
  <si>
    <t>EXHIBIT_EMAIL_20250211_198_41e5b757</t>
  </si>
  <si>
    <t>2025-02-11T09:01:09-08:00</t>
  </si>
  <si>
    <t>41e5b7572e31295d3b1dc62887bedb1b0a3bda88527306d851e939302cae24e4</t>
  </si>
  <si>
    <t>EXHIBIT_EMAIL_20250222_199_23fe39fd</t>
  </si>
  <si>
    <t>2025-02-22T14:07:10+00:00</t>
  </si>
  <si>
    <t>Email: Have you already completed these 3 steps?</t>
  </si>
  <si>
    <t>23fe39fdff7c32bc89ca83300ac626140870cad9efadbc7da721518644780ad9</t>
  </si>
  <si>
    <t>EXHIBIT_EMAIL_20250206_200_1b44f8ad</t>
  </si>
  <si>
    <t>2025-02-06T05:36:41-08:00</t>
  </si>
  <si>
    <t>Email: Quick Tip: Master the Art of Visual Storytelling with Creative Video Filters</t>
  </si>
  <si>
    <t>1b44f8ad39c52599e9e13bf00b6bc07eb2f48adbaea14e924ad563df1ce76138</t>
  </si>
  <si>
    <t>EXHIBIT_EMAIL_20250204_201_82db2021</t>
  </si>
  <si>
    <t>2025-02-04T19:00:36-06:00</t>
  </si>
  <si>
    <t>Email: Big Deals, Huge Wins - Savings In-Store</t>
  </si>
  <si>
    <t>82db202137299d89f9c7905a3ff8c8f394ab52e0b8e71ecb50c51e6da33efca4</t>
  </si>
  <si>
    <t>EXHIBIT_EMAIL_20250205_202_093648e8</t>
  </si>
  <si>
    <t>2025-02-05T06:03:16-06:00</t>
  </si>
  <si>
    <t>Email: Craig, our Valentine’s gift to you: cash back</t>
  </si>
  <si>
    <t>093648e8a7ed8d767975aa1011e8d86dd3449e3bb0fcac1677548e1ee20bbb3d</t>
  </si>
  <si>
    <t>EXHIBIT_EMAIL_20250212_203_3ee342a4</t>
  </si>
  <si>
    <t>2025-02-12T15:08:39-06:00</t>
  </si>
  <si>
    <t>Email: Discover deals that’ll make you fall in love with saving!</t>
  </si>
  <si>
    <t>3ee342a449cb27b4614139302819f704592f789337bbd525823ade149f45334d</t>
  </si>
  <si>
    <t>EXHIBIT_EMAIL_20250206_204_36fd7fb3</t>
  </si>
  <si>
    <t>2025-02-06T14:58:34+00:00</t>
  </si>
  <si>
    <t>Email: You removed a member of your family account</t>
  </si>
  <si>
    <t>36fd7fb3b3710631886468adc93014111b3fc7756597a1d567beac759b62c45c</t>
  </si>
  <si>
    <t>EXHIBIT_EMAIL_20250217_205_eb987750</t>
  </si>
  <si>
    <t>2025-02-17T19:53:53+00:00</t>
  </si>
  <si>
    <t>Email: Your cart item: now 81% OFF!</t>
  </si>
  <si>
    <t>eb98775044355f7355b4329b69bea5c0fdee895c5399d0cb5d52fca923c91e74</t>
  </si>
  <si>
    <t>EXHIBIT_EMAIL_20250214_206_28b42af5</t>
  </si>
  <si>
    <t>2025-02-14T15:47:01-06:00</t>
  </si>
  <si>
    <t>Email: Learn to Build and Deploy Apps with Trailhead</t>
  </si>
  <si>
    <t>28b42af59944eaa7126b63b424a7f3a638c6c8073ad21c09b399a173f9b6397e</t>
  </si>
  <si>
    <t>EXHIBIT_EMAIL_20250212_207_4ed0d0e0</t>
  </si>
  <si>
    <t>2025-02-12T01:38:20+01:00</t>
  </si>
  <si>
    <t>Email: vroofn, you have free spins on Mining Pots of Gold! 💰</t>
  </si>
  <si>
    <t>4ed0d0e08192d7d35448514eaf3f960b230d24d235ff966f5fdd81b1056ab55d</t>
  </si>
  <si>
    <t>EXHIBIT_EMAIL_20250205_208_d528f091</t>
  </si>
  <si>
    <t>2025-02-05T10:20:11-08:00</t>
  </si>
  <si>
    <t>d528f091b5cb4c7bbc1e3125548e5747acfabfeb06dfa7e67e503aff5f5bb65d</t>
  </si>
  <si>
    <t>EXHIBIT_EMAIL_20250206_209_cdca1728</t>
  </si>
  <si>
    <t>2025-02-06T06:32:26+01:00</t>
  </si>
  <si>
    <t>Email: vroofn, you have free spins on Collapsed Castle ! 🏰</t>
  </si>
  <si>
    <t>cdca17284f63e0363fd0481e3cc0226958d1ced22ef1e66f7132cd2fc2ffe4c7</t>
  </si>
  <si>
    <t>EXHIBIT_EMAIL_20250207_210_841dd9cb</t>
  </si>
  <si>
    <t>2025-02-07T06:26:53+00:00</t>
  </si>
  <si>
    <t>Email: New device signed in to your Appy Pie account</t>
  </si>
  <si>
    <t>841dd9cb4e25c55aa928815fa7c0920db1626ed14446013ed613c4af742e83fd</t>
  </si>
  <si>
    <t>EXHIBIT_EMAIL_20250217_211_aea1d3e2</t>
  </si>
  <si>
    <t>2025-02-17T12:01:02-04:00</t>
  </si>
  <si>
    <t>Email: Parenting plan signatures</t>
  </si>
  <si>
    <t>aea1d3e2da419af54c482d1e2658aa43ca7ad745fc7192efd4b3600c96d2a763</t>
  </si>
  <si>
    <t>EXHIBIT_EMAIL_20250208_212_a7a2702e</t>
  </si>
  <si>
    <t>2025-02-08T09:07:52-05:00</t>
  </si>
  <si>
    <t>Email: $10 Romances?! Bring the Heat</t>
  </si>
  <si>
    <t>a7a2702ed00d3ea220e7de6b53bde68e62bf662b4e496fccdb865822a4c17634</t>
  </si>
  <si>
    <t>EXHIBIT_EMAIL_20250213_213_79798eee</t>
  </si>
  <si>
    <t>2025-02-13T13:06:13-04:00</t>
  </si>
  <si>
    <t>Email: civil medical request records</t>
  </si>
  <si>
    <t>79798eee8292c92c1a39fe2cb840afdd103c6b1cf2c1f27970aa11bf6550576d</t>
  </si>
  <si>
    <t>EXHIBIT_EMAIL_20250214_214_5b8385c7</t>
  </si>
  <si>
    <t>2025-02-14T23:49:11+00:00</t>
  </si>
  <si>
    <t>Email: Railway Metal EU Region, Serverless, AWS Marketplace</t>
  </si>
  <si>
    <t>5b8385c7184483425a73c9952b6c9b8c7ab79468bea383fc0ab5d24c62f863e2</t>
  </si>
  <si>
    <t>EXHIBIT_EMAIL_20250212_215_42c4bc93</t>
  </si>
  <si>
    <t>2025-02-12T09:04:04-06:00</t>
  </si>
  <si>
    <t>Email: Vacation shop: Swimwear, sunglasses &amp; more 👓</t>
  </si>
  <si>
    <t>42c4bc939905953d1a91f901c2b279def294eee40a1c7e5d66bebb7f6416c981</t>
  </si>
  <si>
    <t>EXHIBIT_EMAIL_20250205_216_bf99458f</t>
  </si>
  <si>
    <t>2025-02-05T11:15:14+00:00</t>
  </si>
  <si>
    <t>Email: The updates you want, how you want!</t>
  </si>
  <si>
    <t>bf99458f714daf2987d893f31ec6a4dcdf592e84a72b05ecdd6e3ebc1c6e97ad</t>
  </si>
  <si>
    <t>EXHIBIT_EMAIL_20250210_217_fb1e9555</t>
  </si>
  <si>
    <t>2025-02-10T13:42:40-05:00</t>
  </si>
  <si>
    <t>Email: Free Today? We'll help you set up</t>
  </si>
  <si>
    <t>fb1e955593966d3ac520f926fe83fd5413ad788be455be891811ed6c56942c10</t>
  </si>
  <si>
    <t>EXHIBIT_EMAIL_20250210_218_a249dd5f</t>
  </si>
  <si>
    <t>2025-02-10T01:59:59+01:00</t>
  </si>
  <si>
    <t>Email: Tu recherches des rabais de 50 %?</t>
  </si>
  <si>
    <t>a249dd5f8a1a67ad1c6088e35fa83c64d2d099bdc82bf6d1bfafa864326ac447</t>
  </si>
  <si>
    <t>EXHIBIT_EMAIL_20250210_219_8ec31006</t>
  </si>
  <si>
    <t>2025-02-10T14:52:00+00:00</t>
  </si>
  <si>
    <t>Email: Get $40 off on more than just groceries</t>
  </si>
  <si>
    <t>8ec31006b10dfa840683dac53ebfeab327d817ff801ddcac92043fff77c6f133</t>
  </si>
  <si>
    <t>EXHIBIT_EMAIL_20250213_220_736f8ff6</t>
  </si>
  <si>
    <t>2025-02-13T09:24:18-06:00</t>
  </si>
  <si>
    <t>Email: Get a top-rated stay when you access Member Prices</t>
  </si>
  <si>
    <t>736f8ff65ac33dfd9443fff2a180ef70e2a62f96823bbbcc8d9bc610bd8bd652</t>
  </si>
  <si>
    <t>EXHIBIT_EMAIL_20250214_221_13ed2075</t>
  </si>
  <si>
    <t>2025-02-14T09:33:50+00:00</t>
  </si>
  <si>
    <t>Email: Try Vercel Pro for free</t>
  </si>
  <si>
    <t>13ed2075e5c86a9fb9ac9bda4d4d976ff85316e52668839e37330ae9590b3dd7</t>
  </si>
  <si>
    <t>EXHIBIT_EMAIL_20250206_222_782bee48</t>
  </si>
  <si>
    <t>2025-02-06T13:05:42-08:00</t>
  </si>
  <si>
    <t>Email: Are paid Gemini plans right for you, K?</t>
  </si>
  <si>
    <t>782bee4838affd611f40f16dc9393f64bc3effc517a4af9634541617c7dac6a3</t>
  </si>
  <si>
    <t>EXHIBIT_EMAIL_20250207_223_97a534cc</t>
  </si>
  <si>
    <t>2025-02-07T21:00:29+00:00</t>
  </si>
  <si>
    <t>Email: Do more for your money in minutes / Quelques clics, beaucoupd’avantages</t>
  </si>
  <si>
    <t>97a534cc66821640290b4ab3d585b53723de51763afd76c24193291cea5cce8a</t>
  </si>
  <si>
    <t>EXHIBIT_EMAIL_20250209_224_2bab2c42</t>
  </si>
  <si>
    <t>2025-02-09T09:01:21-06:00</t>
  </si>
  <si>
    <t>Email: Your week at Walmart is here 😃</t>
  </si>
  <si>
    <t>2bab2c421f4bed3ea17bd96938018d4f8fb8976d720584ef6608df2e203084b2</t>
  </si>
  <si>
    <t>EXHIBIT_EMAIL_20250210_225_5ce51422</t>
  </si>
  <si>
    <t>2025-02-10T12:57:01-06:00</t>
  </si>
  <si>
    <t>Email: Pick up your domain search where you left off.</t>
  </si>
  <si>
    <t>5ce5142264b639b9dc78bbd54668c4cc292b14d96eb55e7af43cfc0d6870464a</t>
  </si>
  <si>
    <t>EXHIBIT_EMAIL_20250210_226_de82c765</t>
  </si>
  <si>
    <t>2025-02-10T01:39:42+00:00</t>
  </si>
  <si>
    <t>de82c7650dbda3687307fbf0313480800c20a00515e660ea3b35dc323e695f2f</t>
  </si>
  <si>
    <t>EXHIBIT_EMAIL_20250218_227_882cb758</t>
  </si>
  <si>
    <t>2025-02-18T02:15:14+00:00</t>
  </si>
  <si>
    <t>Email: Messaging Record from Craig Schulz</t>
  </si>
  <si>
    <t>882cb758bcbf4b9e05b0997b6220afd084f0a2f8eff6dedeff768e8151ffa041</t>
  </si>
  <si>
    <t>EXHIBIT_EMAIL_20250214_228_67c9780b</t>
  </si>
  <si>
    <t>2025-02-14T01:00:41+00:00</t>
  </si>
  <si>
    <t>Email: Get More Customers: Boost Visits to Your Google Business Profile</t>
  </si>
  <si>
    <t>67c9780bb8a2eb423fdf2c7f4c248292680363fcb18ab647022647b5040e18aa</t>
  </si>
  <si>
    <t>EXHIBIT_EMAIL_20250224_229_e601db83</t>
  </si>
  <si>
    <t>2025-02-24T11:37:27-05:00</t>
  </si>
  <si>
    <t>Email: Top Deals to Brighten Your Day ☀️</t>
  </si>
  <si>
    <t>e601db83e61ab2237e2d948f90f4b531a261403569e9a08ed2bb24edb6c9f19c</t>
  </si>
  <si>
    <t>EXHIBIT_EMAIL_20250205_230_ea7c3b50</t>
  </si>
  <si>
    <t>2025-02-05T09:18:50-06:00</t>
  </si>
  <si>
    <t>Email: $7 women's tee — your new favourite 👚</t>
  </si>
  <si>
    <t>ea7c3b50a3c3796ccf6e8b3f0f19802cdb20a038470b67d3d852092ef47e9e26</t>
  </si>
  <si>
    <t>EXHIBIT_EMAIL_20250211_231_4e31e75b</t>
  </si>
  <si>
    <t>2025-02-11T11:03:43-05:00</t>
  </si>
  <si>
    <t>Email: Get expert advice to transform your roofing business</t>
  </si>
  <si>
    <t>4e31e75bef011717e26035dbf0136a7d2da6045a0dccf2ec1d7eb89389c966f3</t>
  </si>
  <si>
    <t>EXHIBIT_EMAIL_20250205_232_9c530b8e</t>
  </si>
  <si>
    <t>2025-02-05T07:48:46+00:00</t>
  </si>
  <si>
    <t>Email: Start Deploying with Railway</t>
  </si>
  <si>
    <t>9c530b8ea159b16fca41f8bbfddf03d52cd4b04265e355c6903168ad2c861c2c</t>
  </si>
  <si>
    <t>EXHIBIT_EMAIL_20250221_233_da24e1a0</t>
  </si>
  <si>
    <t>2025-02-21T14:09:59-06:00</t>
  </si>
  <si>
    <t>Email: LOW PRICES! Get grocery &amp; more 🥫</t>
  </si>
  <si>
    <t>da24e1a0b15efc1fed6adc173782b7fb85ae92fe9f53f3a922d55bfb08c749e8</t>
  </si>
  <si>
    <t>EXHIBIT_EMAIL_20250206_234_35b9a45a</t>
  </si>
  <si>
    <t>2025-02-06T15:43:06+00:00</t>
  </si>
  <si>
    <t>35b9a45afafad71a2719b215dff87b3654ba8ab1def7208fe3959a6de677d642</t>
  </si>
  <si>
    <t>EXHIBIT_EMAIL_20250205_235_7604824e</t>
  </si>
  <si>
    <t>2025-02-05T19:51:54-03:00</t>
  </si>
  <si>
    <t>Email: Fw: FDSJ-739-2024</t>
  </si>
  <si>
    <t>7604824e5eb698d72de6325350c59e36e91901e069c506563a95f3bf84d562f3</t>
  </si>
  <si>
    <t>EXHIBIT_EMAIL_20250131_236_0ac5e54e</t>
  </si>
  <si>
    <t>2025-01-31T20:25:42+00:00</t>
  </si>
  <si>
    <t>Email: FDSJ-739-2024</t>
  </si>
  <si>
    <t>0ac5e54effafdfbf9cb45bfe8b1ef7da6df875dce72d5d5be1b55b8af296d85c</t>
  </si>
  <si>
    <t>EXHIBIT_EMAIL_20250217_237_06e40d44</t>
  </si>
  <si>
    <t>2025-02-17T15:47:44+00:00</t>
  </si>
  <si>
    <t>Email: You’re Invited: Shed Suite User Conference 2025 🚀</t>
  </si>
  <si>
    <t>06e40d44d5875fd45bd51d003601a9f6af0f9e98dfde4bcf97e79ad550c3b1ca</t>
  </si>
  <si>
    <t>EXHIBIT_EMAIL_20250211_238_414ad9c1</t>
  </si>
  <si>
    <t>2025-02-11T19:07:04+00:00</t>
  </si>
  <si>
    <t>Email: 💐 V-Day tip: Skip delivery fees on orders of $10+</t>
  </si>
  <si>
    <t>414ad9c12b3aff93b2a8708158034ab9d118bf8fb4e5e55048ac66af4a10b995</t>
  </si>
  <si>
    <t>EXHIBIT_EMAIL_20250207_239_dc2662c6</t>
  </si>
  <si>
    <t>2025-02-07T06:26:04+00:00</t>
  </si>
  <si>
    <t>Email: Unlock your Appy Pie Chatbot Premium Trial</t>
  </si>
  <si>
    <t>dc2662c663990384d7ba7e864f14bf26e4fe923921382e5f2897f6afc97819ce</t>
  </si>
  <si>
    <t>EXHIBIT_EMAIL_20250213_240_b3ee4216</t>
  </si>
  <si>
    <t>2025-02-13T21:13:16+00:00</t>
  </si>
  <si>
    <t>b3ee4216e8d4b42124d0e1ddd7ce46025a5f9bd45eb24c6b8b44a01817015425</t>
  </si>
  <si>
    <t>EXHIBIT_EMAIL_20250206_241_744b22bf</t>
  </si>
  <si>
    <t>2025-02-06T08:34:44+00:00</t>
  </si>
  <si>
    <t>Email: Iterate with confidence</t>
  </si>
  <si>
    <t>744b22bf57c97dc8dd65b17f8989ff5b256a0e06c7aff6fe934cc772d186046f</t>
  </si>
  <si>
    <t>EXHIBIT_EMAIL_20250211_242_23f716a3</t>
  </si>
  <si>
    <t>2025-02-11T19:58:42+00:00</t>
  </si>
  <si>
    <t>23f716a3818e9a53b7745528b461bade698a3703464c16ad1075a2a2b6f738c0</t>
  </si>
  <si>
    <t>EXHIBIT_EMAIL_20250205_243_dd039fd0</t>
  </si>
  <si>
    <t>2025-02-05T17:25:22+00:00</t>
  </si>
  <si>
    <t>Email: Craving delicious value? Say hello to TimSelects!</t>
  </si>
  <si>
    <t>dd039fd0d35aa6ff9e5b85b9c2983f76fdf3017159954297c6f6b2814d4753d3</t>
  </si>
  <si>
    <t>EXHIBIT_EMAIL_20250206_244_8854d468</t>
  </si>
  <si>
    <t>2025-02-06T09:26:09-06:00</t>
  </si>
  <si>
    <t>Email: Save on last-minute travel when you join</t>
  </si>
  <si>
    <t>8854d4687510862a435271de71de77a1f3654b11a7fdb2f9dafe4fea163be3f8</t>
  </si>
  <si>
    <t>EXHIBIT_EMAIL_20250221_245_358c5e00</t>
  </si>
  <si>
    <t>2025-02-21T23:09:22+00:00</t>
  </si>
  <si>
    <t>Email: Railway Launch Week March 03-07, Sync Environment Upgrades, Workspaces</t>
  </si>
  <si>
    <t>358c5e003aea788bb9babd63d036ecbc96445b631a6a382c1e1fbe8a94ec3687</t>
  </si>
  <si>
    <t>EXHIBIT_EMAIL_20250211_246_61672c0e</t>
  </si>
  <si>
    <t>2025-02-11T09:50:47+00:00</t>
  </si>
  <si>
    <t>61672c0e3001b39ccf777fab9c7b6cfb13ab2dcd7fe36e3f2865d00ccaf8fb39</t>
  </si>
  <si>
    <t>EXHIBIT_EMAIL_20250226_247_11809b4e</t>
  </si>
  <si>
    <t>2025-02-26T05:10:19+01:00</t>
  </si>
  <si>
    <t>11809b4e3778061591e7e74dbac3543e667f75123ce78173f88cfe97952b8e3a</t>
  </si>
  <si>
    <t>EXHIBIT_EMAIL_20250209_248_92e60b59</t>
  </si>
  <si>
    <t>2025-02-09T02:14:55+00:00</t>
  </si>
  <si>
    <t>Email: Your nap schedules &amp; 14 fussy baby products</t>
  </si>
  <si>
    <t>92e60b599d7cbd16b8a5cc96d32bb6b1fddee3ec732d06d57aa77f61a6433931</t>
  </si>
  <si>
    <t>EXHIBIT_EMAIL_20250222_249_9cd8b884</t>
  </si>
  <si>
    <t>2025-02-22T05:09:36+01:00</t>
  </si>
  <si>
    <t>9cd8b884fbdcaba284df57ea664013e2c52a454d670f6c968d45141696f6b820</t>
  </si>
  <si>
    <t>EXHIBIT_EMAIL_20250207_250_eacccd34</t>
  </si>
  <si>
    <t>2025-02-07T15:18:37-08:00</t>
  </si>
  <si>
    <t>Email: Galaxy S25 Series is here!</t>
  </si>
  <si>
    <t>eacccd34f9cd3ff1e8832c759375d24e7532324b5562744a1f61e4229d630c19</t>
  </si>
  <si>
    <t>EXHIBIT_EMAIL_20250207_251_f1e45146</t>
  </si>
  <si>
    <t>2025-02-07T15:00:09+01:00</t>
  </si>
  <si>
    <t>Email: 40 % sur les articles à prix régulier et 30 % sur les soldes</t>
  </si>
  <si>
    <t>f1e4514675b0b1d70425e1e02667cb980b3e0d4bb7f2eb95e77df2088913490c</t>
  </si>
  <si>
    <t>EXHIBIT_EMAIL_20250212_252_b1ade3ba</t>
  </si>
  <si>
    <t>2025-02-12T19:42:51-08:00</t>
  </si>
  <si>
    <t>Email: Learn about new Gemini features and your privacy</t>
  </si>
  <si>
    <t>b1ade3ba01ead03e4d8fece9bc89e9f8016978a8ee1b1fef06d7699717c4ed0e</t>
  </si>
  <si>
    <t>EXHIBIT_EMAIL_20250205_253_3eaae5c5</t>
  </si>
  <si>
    <t>2025-02-05T07:15:03+00:00</t>
  </si>
  <si>
    <t>Email: 🚀 Elevate your social media game with Descript's make clips feature</t>
  </si>
  <si>
    <t>3eaae5c51d020c6b681f79c3b14592dd76c644a9e29e4ef4d4ff8e39094fb76d</t>
  </si>
  <si>
    <t>EXHIBIT_EMAIL_20250206_254_48b82037</t>
  </si>
  <si>
    <t>2025-02-06T17:58:02-06:00</t>
  </si>
  <si>
    <t>Email: Win Big with Circle K: $5,000 Cash Up for Grabs!</t>
  </si>
  <si>
    <t>48b82037e2d7808015457cde1e88bce6b23a7703b8026b0d00bc503f3126445a</t>
  </si>
  <si>
    <t>EXHIBIT_EMAIL_20250207_255_117ebdb5</t>
  </si>
  <si>
    <t>2025-02-07T14:35:29+00:00</t>
  </si>
  <si>
    <t>Email: 20% off ends today</t>
  </si>
  <si>
    <t>117ebdb56fbda91cff419063ee7b46f13f0f6691d1898ffabea20fc299792450</t>
  </si>
  <si>
    <t>EXHIBIT_EMAIL_20250226_256_83bfa442</t>
  </si>
  <si>
    <t>2025-02-26T05:03:29+00:00</t>
  </si>
  <si>
    <t>Email: Introducing Poe Apps</t>
  </si>
  <si>
    <t>83bfa4428b8b55737491da52e0de80b135fc387724601ba5ff1b5e106f2add1c</t>
  </si>
  <si>
    <t>EXHIBIT_EMAIL_20250206_257_0b553fdf</t>
  </si>
  <si>
    <t>2025-02-06T02:45:53+01:00</t>
  </si>
  <si>
    <t>Email: You have received 7 free spins</t>
  </si>
  <si>
    <t>0b553fdf42682847c4f5beae04f1d7bc57415ceae40884c73a07e70aa9f198d5</t>
  </si>
  <si>
    <t>EXHIBIT_EMAIL_20250224_258_94b27c2d</t>
  </si>
  <si>
    <t>2025-02-24T09:52:25+00:00</t>
  </si>
  <si>
    <t>Email: Get back 1 hour each day</t>
  </si>
  <si>
    <t>94b27c2d7be8873e22c4902e00af09ad62eb3d17382ccba323c061f12526ed3a</t>
  </si>
  <si>
    <t>EXHIBIT_EMAIL_20250205_259_33a41fd2</t>
  </si>
  <si>
    <t>2025-02-05T19:48:22+00:00</t>
  </si>
  <si>
    <t>Email: It’s here to stay: $0 delivery fees on orders of $10+</t>
  </si>
  <si>
    <t>33a41fd220c538dd1d833b3e0c03d9a4f04cf92564d68c337e3c7e8941bef6ed</t>
  </si>
  <si>
    <t>EXHIBIT_EMAIL_20250219_260_bab111ff</t>
  </si>
  <si>
    <t>2025-02-19T10:09:20+00:00</t>
  </si>
  <si>
    <t>Email: Finish setting up your monday.com account</t>
  </si>
  <si>
    <t>bab111ff1f29147740842c46d3c963a41c10033467b4a3bedd76b954f338c02e</t>
  </si>
  <si>
    <t>EXHIBIT_EMAIL_20250214_261_74506e63</t>
  </si>
  <si>
    <t>2025-02-14T10:14:42+00:00</t>
  </si>
  <si>
    <t>Email: 📣 Our Presidents’ Day sale starts now! 👶</t>
  </si>
  <si>
    <t>74506e6393a0d794744a62fad19aebcec1e28644a58e6d6187a0edb7bf3259c8</t>
  </si>
  <si>
    <t>EXHIBIT_EMAIL_20250206_262_56d32784</t>
  </si>
  <si>
    <t>2025-02-06T09:40:53-06:00</t>
  </si>
  <si>
    <t>56d32784852a48a67ad0a8e8ec771bd3324f6d7a449f7cb3e88529405336f17c</t>
  </si>
  <si>
    <t>EXHIBIT_EMAIL_20250215_263_5484dfd5</t>
  </si>
  <si>
    <t>2025-02-15T18:55:08-08:00</t>
  </si>
  <si>
    <t>Email: charliewharlie369, see aalyssamaria, brooklynn.fleming and more in your feed</t>
  </si>
  <si>
    <t>5484dfd50b15ab8d4174912584014566d073fcea94e96ebfcb3d3c0f4a806dde</t>
  </si>
  <si>
    <t>EXHIBIT_EMAIL_20250224_264_1b43d54d</t>
  </si>
  <si>
    <t>2025-02-24T17:10:08+00:00</t>
  </si>
  <si>
    <t>Email: Roll Up To Win is HERE! Let’s roll 🚙 🍩 💖</t>
  </si>
  <si>
    <t>1b43d54d55a9b87e62903e4ce857aa542bc578ace78530827d22d870247746af</t>
  </si>
  <si>
    <t>EXHIBIT_EMAIL_20250220_265_cf35ff90</t>
  </si>
  <si>
    <t>2025-02-20T13:08:12+00:00</t>
  </si>
  <si>
    <t>Email: Confirm your account</t>
  </si>
  <si>
    <t>cf35ff909a4e32aea370bfff9cd9115162a85df4bb9d272d89e668dea4bcd98d</t>
  </si>
  <si>
    <t>EXHIBIT_EMAIL_20250218_266_2d19fc94</t>
  </si>
  <si>
    <t>2025-02-18T22:00:24+00:00</t>
  </si>
  <si>
    <t>Email: 100% No Rule Power with Absolutely ZERO Strings Attached</t>
  </si>
  <si>
    <t>2d19fc948e363bf14d0fe797cfb283a476c56806d77090c8de7dec5767012343</t>
  </si>
  <si>
    <t>EXHIBIT_EMAIL_20250213_267_d072d543</t>
  </si>
  <si>
    <t>2025-02-13T08:46:05-04:00</t>
  </si>
  <si>
    <t>Email: Fwd: Interac e-Transfer: You've received $20.00 from Paul Carey and it has been automatically deposi</t>
  </si>
  <si>
    <t>d072d5436c9bd288340ca09e4da49560ac1c3ecfef799a9d0a717eabf6176c7f</t>
  </si>
  <si>
    <t>EXHIBIT_EMAIL_20250204_268_7a8bafe3</t>
  </si>
  <si>
    <t>2025-02-04T16:44:56+00:00</t>
  </si>
  <si>
    <t>Email: Your 7-Week-Old Baby: Baby's First Smile 😍</t>
  </si>
  <si>
    <t>7a8bafe30964a92b8f9b6c8a4f55e74e01e204564410055df8fa69df3445d2b2</t>
  </si>
  <si>
    <t>EXHIBIT_EMAIL_20250206_269_1f277c0e</t>
  </si>
  <si>
    <t>2025-02-06T13:36:29-06:00</t>
  </si>
  <si>
    <t>1f277c0e50af858f2866e8ef8876f7610849d6b8a970d59b0323ba8f1685f25c</t>
  </si>
  <si>
    <t>EXHIBIT_EMAIL_20250206_270_7c393392</t>
  </si>
  <si>
    <t>2025-02-06T15:02:05+00:00</t>
  </si>
  <si>
    <t>Email: Stacey joined your family account</t>
  </si>
  <si>
    <t>7c393392cda833633bd406104ceae59ca32878f26de36cc4f7ed9a7959303efc</t>
  </si>
  <si>
    <t>EXHIBIT_EMAIL_20250210_271_131cddda</t>
  </si>
  <si>
    <t>2025-02-10T15:26:09-04:00</t>
  </si>
  <si>
    <t>Email: Vet bill Luna custody</t>
  </si>
  <si>
    <t>131cddda034b2b5dab6a0fe418b5fec97d032e3a9d87b345f5ff1c6d67583340</t>
  </si>
  <si>
    <t>EXHIBIT_EMAIL_20250211_272_d83a8791</t>
  </si>
  <si>
    <t>2025-02-11T07:56:18+00:00</t>
  </si>
  <si>
    <t>Email: Email Address Updated</t>
  </si>
  <si>
    <t>d83a8791faf4bd95540dfdd32550c3d29cf25b27da40c7b861f7676a37647ebe</t>
  </si>
  <si>
    <t>EXHIBIT_EMAIL_20250211_273_9342d1c8</t>
  </si>
  <si>
    <t>2025-02-11T01:17:15+00:00</t>
  </si>
  <si>
    <t>Email: Fortune Favours the Bold!</t>
  </si>
  <si>
    <t>9342d1c8821158abdf8b2bf53067870c6716670b9b2ad5f64d26a188a96748df</t>
  </si>
  <si>
    <t>EXHIBIT_EMAIL_20250215_274_401d779f</t>
  </si>
  <si>
    <t>2025-02-15T14:59:53+01:00</t>
  </si>
  <si>
    <t>Email: Jusqu’à 60 % de rabais pendant la vente privée</t>
  </si>
  <si>
    <t>401d779f0310214077f5385b12e79c67069eb4f311d3e889a06e9443effbb201</t>
  </si>
  <si>
    <t>EXHIBIT_EMAIL_20250206_275_adfc4697</t>
  </si>
  <si>
    <t>2025-02-06T12:53:56-06:00</t>
  </si>
  <si>
    <t>Email: Your cart misses you! Come back 🛒</t>
  </si>
  <si>
    <t>adfc469707acaf455e7c6e6127805ee526494d1f887526658fafc41b40b656dd</t>
  </si>
  <si>
    <t>EXHIBIT_EMAIL_20250221_276_3f489838</t>
  </si>
  <si>
    <t>2025-02-21T00:37:49+00:00</t>
  </si>
  <si>
    <t>Email: What's new in February: 17 hidden Todoist features you might not know🔍</t>
  </si>
  <si>
    <t>3f48983863e307ff70cb9550442c30e019e9ec639f6bfdbd5d159f58da1f06d5</t>
  </si>
  <si>
    <t>EXHIBIT_EMAIL_20250204_277_cd75c336</t>
  </si>
  <si>
    <t>2025-02-04T09:03:51-06:00</t>
  </si>
  <si>
    <t>Email: Save up to CA$1,096 on popular packages</t>
  </si>
  <si>
    <t>cd75c3360803b6954b18d9b2c8b74419a9f2bb090d3464ad96208f4e5c462318</t>
  </si>
  <si>
    <t>EXHIBIT_EMAIL_20250211_278_c0f79a22</t>
  </si>
  <si>
    <t>2025-02-11T14:13:29+00:00</t>
  </si>
  <si>
    <t>Email: 50% OFF: Sale happening now</t>
  </si>
  <si>
    <t>c0f79a22da5e6b171aefd9128851a6ee154967ce261b9a88eeedd38513bfd329</t>
  </si>
  <si>
    <t>EXHIBIT_EMAIL_20250210_279_5da50daf</t>
  </si>
  <si>
    <t>2025-02-10T12:04:50-04:00</t>
  </si>
  <si>
    <t>Email: FINANCIAL DISCLOSURE - FORM 72J INFORMATION</t>
  </si>
  <si>
    <t>5da50dafc779bf14ab888f827659c055eb3b44781a97f4b37ecc9d3940e5ddb4</t>
  </si>
  <si>
    <t>EXHIBIT_EMAIL_20250218_280_5d112df1</t>
  </si>
  <si>
    <t>2025-02-18T16:44:36+00:00</t>
  </si>
  <si>
    <t>Email: Your 9-Week-Old Baby: Senses Working Overtime</t>
  </si>
  <si>
    <t>5d112df1395e5635a65a884eccfe845a0bb27b2ac464406d70100d231a0e0570</t>
  </si>
  <si>
    <t>EXHIBIT_EMAIL_20250211_281_8a855a7e</t>
  </si>
  <si>
    <t>2025-02-11T16:43:01+00:00</t>
  </si>
  <si>
    <t>Email: Your 8-Week-Old Baby: Take It to the Playmat</t>
  </si>
  <si>
    <t>8a855a7eba31067d0e7e45eab49f0dc89bf34b4415d1bf395ef9eede436b6087</t>
  </si>
  <si>
    <t>EXHIBIT_EMAIL_20250225_282_6a19984a</t>
  </si>
  <si>
    <t>2025-02-25T21:47:12+00:00</t>
  </si>
  <si>
    <t>6a19984a04f64e853b34d5ce6b805742ba4cb61382666648afdda16f72b85a16</t>
  </si>
  <si>
    <t>EXHIBIT_EMAIL_20250206_283_483d213c</t>
  </si>
  <si>
    <t>2025-02-06T13:11:37-05:00</t>
  </si>
  <si>
    <t>Email: 💡Get noticed, win jobs, work smarter—find out how</t>
  </si>
  <si>
    <t>483d213c535cb5dacace9dd08d15982ee4646806ca71e86e2df0831a3f546163</t>
  </si>
  <si>
    <t>EXHIBIT_EMAIL_20250207_284_a8297c05</t>
  </si>
  <si>
    <t>2025-02-07T15:46:22-06:00</t>
  </si>
  <si>
    <t>Email: Launching Your First App? We Can Help</t>
  </si>
  <si>
    <t>a8297c058c6d1108f398dd74d3a76b1a834278326f95248539fb05cd5680b3cd</t>
  </si>
  <si>
    <t>EXHIBIT_EMAIL_20250224_285_169edfb4</t>
  </si>
  <si>
    <t>2025-02-24T09:41:59-06:00</t>
  </si>
  <si>
    <t>Email: Save more with Walmart brands 🛒</t>
  </si>
  <si>
    <t>169edfb4c2d1a91b0ec062e6ab45a66c29ca7beee927b17c57479c614acf054b</t>
  </si>
  <si>
    <t>EXHIBIT_EMAIL_20250207_286_85bcb779</t>
  </si>
  <si>
    <t>2025-02-07T11:53:37+00:00</t>
  </si>
  <si>
    <t>Email: Hi Stacey, just checking in</t>
  </si>
  <si>
    <t>85bcb779a24e276bfaad5b131cf3b9f6c693946fcd0270c8efe41e8d33f89567</t>
  </si>
  <si>
    <t>EXHIBIT_EMAIL_20250225_287_fca2ee9b</t>
  </si>
  <si>
    <t>2025-02-25T16:42:13+00:00</t>
  </si>
  <si>
    <t>Email: Your 10-Week-Old Baby: When Baby Gets a Cold</t>
  </si>
  <si>
    <t>fca2ee9b169f6f57d3bfe857801483516dbc94401562d733c7274cde8a4025f9</t>
  </si>
  <si>
    <t>EXHIBIT_EMAIL_20250207_288_45632bcc</t>
  </si>
  <si>
    <t>2025-02-07T09:45:46-06:00</t>
  </si>
  <si>
    <t>Email: Save up to 33% 🤩 Shop Walmart brands today!</t>
  </si>
  <si>
    <t>45632bccd010826a478a568f9ce0dd04735efdc917609ec33634d6c6e4f4cf1c</t>
  </si>
  <si>
    <t>EXHIBIT_EMAIL_20250215_289_17183e05</t>
  </si>
  <si>
    <t>2025-02-15T20:05:43+00:00</t>
  </si>
  <si>
    <t>Email: Take the guesswork out of ordering</t>
  </si>
  <si>
    <t>17183e058281df43ce621b34c9e5698d66ac4657bfdd8c3430c616d0280b6add</t>
  </si>
  <si>
    <t>EXHIBIT_EMAIL_20250213_290_f70aafa9</t>
  </si>
  <si>
    <t>2025-02-13T13:29:48+00:00</t>
  </si>
  <si>
    <t>Email: Hey Craig, you’ve got 2 offers to enjoy</t>
  </si>
  <si>
    <t>f70aafa97256f7dfcac90b7d8689d07c8cd2392701140f70190d43972e2ed27d</t>
  </si>
  <si>
    <t>EXHIBIT_EMAIL_20250212_291_4774a6c7</t>
  </si>
  <si>
    <t>2025-02-12T06:00:08+00:00</t>
  </si>
  <si>
    <t>Email: vroofn, Play with a 150% Bonus + 12 Free Spins! 🛕</t>
  </si>
  <si>
    <t>4774a6c75a38347b22887159063c7205c4ac27a84b86a95bcb0d05e27e3623d8</t>
  </si>
  <si>
    <t>EXHIBIT_EMAIL_20250212_292_cd61a705</t>
  </si>
  <si>
    <t>2025-02-12T02:01:32+00:00</t>
  </si>
  <si>
    <t>cd61a7059d80e7b13ba31ace14e7a62b2cc10044466a395cf23e4dd8d203bf06</t>
  </si>
  <si>
    <t>EXHIBIT_EMAIL_20250211_293_a44a4b3c</t>
  </si>
  <si>
    <t>2025-02-11T13:22:20-08:00</t>
  </si>
  <si>
    <t>Email: Clarity starts with Copilot</t>
  </si>
  <si>
    <t>a44a4b3c89139c4a0677bcb20d628d5e827a3764622d448cec28172a21fb6033</t>
  </si>
  <si>
    <t>EXHIBIT_EMAIL_20250205_294_2071e114</t>
  </si>
  <si>
    <t>2025-02-05T14:37:09-05:00</t>
  </si>
  <si>
    <t>Email: Spot financial warning signs with these 4 metrics</t>
  </si>
  <si>
    <t>2071e114f5591a50ed47239a2540a4cb270170ea04d318612575ab02a7178c50</t>
  </si>
  <si>
    <t>EXHIBIT_EMAIL_20250211_295_f15867ba</t>
  </si>
  <si>
    <t>2025-02-11T09:36:03-06:00</t>
  </si>
  <si>
    <t>Email: Valentine’s Day gifts + low prices = 😍</t>
  </si>
  <si>
    <t>f15867bab1af6324766549a954e507a70f22c0eaad677a716f6ae56f8301017e</t>
  </si>
  <si>
    <t>EXHIBIT_EMAIL_20250205_296_4fbbf9f8</t>
  </si>
  <si>
    <t>2025-02-05T06:00:31+00:00</t>
  </si>
  <si>
    <t>Email: vroofn, Play with a 100% Bonus + 25 Free Spins! 🐉</t>
  </si>
  <si>
    <t>4fbbf9f8219716ac4d90e3fd6ba3193859a5c0c2c624277397a08e9218ed8539</t>
  </si>
  <si>
    <t>EXHIBIT_EMAIL_20250215_297_f9d9dc21</t>
  </si>
  <si>
    <t>2025-02-15T01:56:46+00:00</t>
  </si>
  <si>
    <t>Email: Document shared with you: "FORM 81C - 1 OF?"</t>
  </si>
  <si>
    <t>f9d9dc21ffbde2cebce0d990adcd9ea4a9580cf424eb6f3ccf37f8940910c3cd</t>
  </si>
  <si>
    <t>EXHIBIT_EMAIL_20250214_298_97c49a3f</t>
  </si>
  <si>
    <t>2025-02-14T13:19:31-04:00</t>
  </si>
  <si>
    <t>Email: 81c</t>
  </si>
  <si>
    <t>97c49a3fef0f42b9ee121d3bdea62b4dfbef03a1d1043c9a1cba5399ead60873</t>
  </si>
  <si>
    <t>EXHIBIT_EMAIL_20250220_299_62ca9368</t>
  </si>
  <si>
    <t>2025-02-20T14:38:16+00:00</t>
  </si>
  <si>
    <t>Email: 🕖 AI Marketing Webinar Postponed to Feb 27th</t>
  </si>
  <si>
    <t>62ca93686232888a840612ddbbde58ec0a5caf3e8144953239715f8c596490bf</t>
  </si>
  <si>
    <t>EXHIBIT_EMAIL_20250212_300_28c419f6</t>
  </si>
  <si>
    <t>2025-02-12T11:22:22-05:00</t>
  </si>
  <si>
    <t>Email: Last-Minute Valentine's Gifts That Aren't Flowers ❣️</t>
  </si>
  <si>
    <t>28c419f6be32a1a437492a6cb118e733c4b983517e5406e99180123dfc805189</t>
  </si>
  <si>
    <t>EXHIBIT_EMAIL_20250212_301_8e390f01</t>
  </si>
  <si>
    <t>8e390f01d1fa62e6309f93a17d8239ac45d171d4232a92b4daeb9ad05eefa7f7</t>
  </si>
  <si>
    <t>EXHIBIT_EMAIL_20250202_302_8a3328a9</t>
  </si>
  <si>
    <t>2025-02-02T01:51:48+00:00</t>
  </si>
  <si>
    <t>8a3328a97e5fed55a14311593a751850076b8e8a4a71654acf7667ed52b2fbc6</t>
  </si>
  <si>
    <t>EXHIBIT_EMAIL_20250131_303_95ee2242</t>
  </si>
  <si>
    <t>2025-01-31T12:15:47-06:00</t>
  </si>
  <si>
    <t>Email: Galaxy S25 is just around the corner</t>
  </si>
  <si>
    <t>95ee224293041f24a1882fa313e8eca2ac1710cd8104a08cd4588d22cfbe6648</t>
  </si>
  <si>
    <t>EXHIBIT_EMAIL_20250130_304_9d548952</t>
  </si>
  <si>
    <t>2025-01-30T18:13:21+00:00</t>
  </si>
  <si>
    <t>Email: New: AI Tools for Sales &amp; RevOps</t>
  </si>
  <si>
    <t>9d5489522f4708cac15e9fcbba4ff8aef379be51b373a6a9923fb37360d4663d</t>
  </si>
  <si>
    <t>EXHIBIT_EMAIL_20250124_305_d6ee7824</t>
  </si>
  <si>
    <t>2025-01-24T21:03:37-08:00</t>
  </si>
  <si>
    <t>Email: Reminder! Switch now and save up to $1,275</t>
  </si>
  <si>
    <t>d6ee78244c8b12b921d79f9d1d3f72b046bbf405ab8a673e1d28cb75e9755b42</t>
  </si>
  <si>
    <t>EXHIBIT_EMAIL_20250127_306_68a03a1b</t>
  </si>
  <si>
    <t>2025-01-27T05:35:30-08:00</t>
  </si>
  <si>
    <t>Email: Quick Tip: Remove and Replace Backgrounds with Green Screen! 🟩</t>
  </si>
  <si>
    <t>68a03a1bf8290000686fe5a86195203809ad6ec312c66866aba4bf7f23062fee</t>
  </si>
  <si>
    <t>EXHIBIT_EMAIL_20250213_307_c19880b6</t>
  </si>
  <si>
    <t>2025-02-13T08:50:59-04:00</t>
  </si>
  <si>
    <t>c19880b6251fdaa3a871f393e06775c7ec4f74c7245d4d1b49cbeee0b336ef3e</t>
  </si>
  <si>
    <t>EXHIBIT_EMAIL_20250124_308_19887875</t>
  </si>
  <si>
    <t>2025-01-24T14:28:08+00:00</t>
  </si>
  <si>
    <t>Email: SJ PLACED - 📣🎁 Claim Your Free 5 Year Website Subscription 🔥✨❤️</t>
  </si>
  <si>
    <t>198878755eecf032bfcc5b69ea2a6da81b6bc56f7232ab98234a730c2a6b26ff</t>
  </si>
  <si>
    <t>EXHIBIT_EMAIL_20250123_309_9ddcc72d</t>
  </si>
  <si>
    <t>2025-01-23T06:00:02+00:00</t>
  </si>
  <si>
    <t>Email: vroofn, you have free spins on Wild Cash! 💰</t>
  </si>
  <si>
    <t>9ddcc72d51393a88b124841a7f86251ae8e09a31b6fc9926e9dfc03489134f47</t>
  </si>
  <si>
    <t>EXHIBIT_EMAIL_20250202_310_c957a39b</t>
  </si>
  <si>
    <t>2025-02-02T03:18:15-08:00</t>
  </si>
  <si>
    <t>Email: Stay logged in on this trusted device</t>
  </si>
  <si>
    <t>c957a39b19b863e3a200e5ed502ac2f36e16bf30a1e74f7807f8f993c67d364f</t>
  </si>
  <si>
    <t>EXHIBIT_EMAIL_20250201_311_13bdfcb6</t>
  </si>
  <si>
    <t>2025-02-01T17:40:40-08:00</t>
  </si>
  <si>
    <t>13bdfcb691200f1045f1e577784e56be28b751b461e1d77c9589bd637b24c0ce</t>
  </si>
  <si>
    <t>EXHIBIT_EMAIL_20250129_312_11450617</t>
  </si>
  <si>
    <t>2025-01-29T14:35:45+00:00</t>
  </si>
  <si>
    <t>Email: 📷 Webinar Tomorrow - Master Photography for Shed Sales</t>
  </si>
  <si>
    <t>11450617db1c3b2a857b852c221a2eeb56adf422bfbd9bb6857a44f9fea960f3</t>
  </si>
  <si>
    <t>EXHIBIT_EMAIL_20250203_313_915132ec</t>
  </si>
  <si>
    <t>2025-02-03T13:10:11-08:00</t>
  </si>
  <si>
    <t>Email: K, tune your model and tailor Gemini to your needs</t>
  </si>
  <si>
    <t>915132ecc6a0ec6f00b5518012a40d38e221fc8e5da9ec28941e3e0635b3e7ef</t>
  </si>
  <si>
    <t>EXHIBIT_EMAIL_20250130_314_503784db</t>
  </si>
  <si>
    <t>2025-01-30T09:39:15-06:00</t>
  </si>
  <si>
    <t>503784dbf5348d7bff0ae7c5bdca40ec2e0c40f64c89054215839af1e726ecf0</t>
  </si>
  <si>
    <t>EXHIBIT_EMAIL_20250131_315_64a7774b</t>
  </si>
  <si>
    <t>2025-01-31T20:03:43+00:00</t>
  </si>
  <si>
    <t>Email: You still have CA$90 in Credits unclaimed</t>
  </si>
  <si>
    <t>64a7774b39eef4fdbe24ab440248a936b98050467ba2fbc45a1d6f03f62df7d7</t>
  </si>
  <si>
    <t>EXHIBIT_EMAIL_20250211_316_bc04161b</t>
  </si>
  <si>
    <t>2025-02-11T14:57:59+00:00</t>
  </si>
  <si>
    <t>Email: Get 1 month for $1 when you rejoin Premium. $12.69/mo. after. Cancel</t>
  </si>
  <si>
    <t>bc04161b9debd43d1989091861dc8f4030b079867e8ab21cfe1722edc7a96a54</t>
  </si>
  <si>
    <t>EXHIBIT_EMAIL_20250122_317_9161ee80</t>
  </si>
  <si>
    <t>2025-01-22T14:47:02-04:00</t>
  </si>
  <si>
    <t>Email: Fwd: VIP</t>
  </si>
  <si>
    <t>9161ee8014fe62bdf88485bf5372b7a93f1bf8507fee7604d4a3854e7901dea9</t>
  </si>
  <si>
    <t>EXHIBIT_EMAIL_20250201_318_c169fdbc</t>
  </si>
  <si>
    <t>2025-02-01T22:22:11-08:00</t>
  </si>
  <si>
    <t>Email: Receipt for Your Payment to Apple Services</t>
  </si>
  <si>
    <t>c169fdbc286e1dae83ab556b5650352e82671c26ea841790dd6de9a0acc4ebd8</t>
  </si>
  <si>
    <t>EXHIBIT_EMAIL_20250122_319_52bbad58</t>
  </si>
  <si>
    <t>2025-01-22T09:19:23-06:00</t>
  </si>
  <si>
    <t>Email: Meet your goals with appliances &amp; fitness fits 🙌</t>
  </si>
  <si>
    <t>52bbad58504c99a5add502ba2144966d3a25c8acbac4eebf19d5bd0b78a3aff4</t>
  </si>
  <si>
    <t>EXHIBIT_EMAIL_20250201_320_a40b168b</t>
  </si>
  <si>
    <t>2025-02-01T11:17:20+00:00</t>
  </si>
  <si>
    <t>Email: Extend your trial</t>
  </si>
  <si>
    <t>a40b168b1a8064e8551123b41ea7b9dc5f3c1af8f23d214c2fb94ae26c49df5d</t>
  </si>
  <si>
    <t>EXHIBIT_EMAIL_20250124_321_6db17665</t>
  </si>
  <si>
    <t>2025-01-24T15:39:51-06:00</t>
  </si>
  <si>
    <t>Email: Level Up Your Deployment Game with Git Push</t>
  </si>
  <si>
    <t>6db176651844824b65d85ad04a0b803556f603de9e50b98cbfa98be7983b7291</t>
  </si>
  <si>
    <t>EXHIBIT_EMAIL_20250127_322_363d2536</t>
  </si>
  <si>
    <t>2025-01-27T05:09:05+01:00</t>
  </si>
  <si>
    <t>363d25360664a0e58accdf5c2b626a421b734047c9f9c7ae53eb3b2e4eb14d89</t>
  </si>
  <si>
    <t>EXHIBIT_EMAIL_20250122_323_4f20b377</t>
  </si>
  <si>
    <t>2025-01-22T17:38:56+00:00</t>
  </si>
  <si>
    <t>Email: Don't miss 25% off your next order</t>
  </si>
  <si>
    <t>4f20b377472e56e07b0f3e657635e85ec8e7225b8f37dba3a2b9ebcb6ebfff4a</t>
  </si>
  <si>
    <t>EXHIBIT_EMAIL_20250210_324_40b67feb</t>
  </si>
  <si>
    <t>40b67feb08e9c2922be1818281d1f9a492385345db5c3326f81fcee1f2e3dbc3</t>
  </si>
  <si>
    <t>EXHIBIT_EMAIL_20250125_325_df1d687d</t>
  </si>
  <si>
    <t>2025-01-25T20:03:18+00:00</t>
  </si>
  <si>
    <t>Email: Don't forget! Game Day Deals from all your favs await!</t>
  </si>
  <si>
    <t>df1d687d9f76ec3e2325c773a3c5bc22e4ac25706560f153854c1fa69298cf4b</t>
  </si>
  <si>
    <t>EXHIBIT_EMAIL_20250211_326_1280804d</t>
  </si>
  <si>
    <t>2025-02-11T08:56:09-06:00</t>
  </si>
  <si>
    <t>Email: Stays with sunshine and savings</t>
  </si>
  <si>
    <t>1280804da63bdfb0021d7ad857554378bc80812491a2a4f5cab720dd9bd1832d</t>
  </si>
  <si>
    <t>EXHIBIT_EMAIL_20250122_327_630055a4</t>
  </si>
  <si>
    <t>2025-01-22T19:51:02+00:00</t>
  </si>
  <si>
    <t>630055a4cc4c633527bc14454809b9da634d092e647c132455b4e7e36944e72a</t>
  </si>
  <si>
    <t>EXHIBIT_EMAIL_20250128_328_f2f2a54b</t>
  </si>
  <si>
    <t>2025-01-28T18:11:19-06:00</t>
  </si>
  <si>
    <t>Email: Your guide to all inclusive vacations</t>
  </si>
  <si>
    <t>f2f2a54b12a3c2a7b2c31d0fad8a422c20fd5c0ad15aec7a82493852146bf7a5</t>
  </si>
  <si>
    <t>EXHIBIT_EMAIL_20250123_329_11351c36</t>
  </si>
  <si>
    <t>2025-01-23T09:48:47-06:00</t>
  </si>
  <si>
    <t>11351c3649dd70d1cd7985385d0fd2edc43b2d86fc339e89fd6d9493c8b49a3d</t>
  </si>
  <si>
    <t>EXHIBIT_EMAIL_20250127_330_466db104</t>
  </si>
  <si>
    <t>2025-01-27T12:22:49+00:00</t>
  </si>
  <si>
    <t>466db10497b786e9dc592ab94d314b7f924067a955b00e40fb4f08c02e76a132</t>
  </si>
  <si>
    <t>EXHIBIT_EMAIL_20250127_331_6ca23e19</t>
  </si>
  <si>
    <t>2025-01-27T07:00:40-05:00</t>
  </si>
  <si>
    <t>Email: Make Mailchimp scale with you</t>
  </si>
  <si>
    <t>6ca23e1900d7b0322c675ff6945327245da29e61c964f5f3c5bd2f092f6a8dee</t>
  </si>
  <si>
    <t>EXHIBIT_EMAIL_20250127_332_e84f6023</t>
  </si>
  <si>
    <t>2025-01-27T20:28:37+00:00</t>
  </si>
  <si>
    <t>e84f6023e4c6319bb23e712486663057c4ae713a129108a48ff7c55fac1bf472</t>
  </si>
  <si>
    <t>EXHIBIT_EMAIL_20250130_333_1d9d1ce1</t>
  </si>
  <si>
    <t>2025-01-30T18:04:43-08:00</t>
  </si>
  <si>
    <t>Email: Don’t forget to trade in and save up to $1,050.</t>
  </si>
  <si>
    <t>1d9d1ce1d2338cb4f00674ebe2cd05a6f64444131f7ec79e655302b07c8f6e75</t>
  </si>
  <si>
    <t>EXHIBIT_EMAIL_20250128_334_ff240b87</t>
  </si>
  <si>
    <t>2025-01-28T18:09:24+00:00</t>
  </si>
  <si>
    <t>Email: Order to unlock 30% off</t>
  </si>
  <si>
    <t>ff240b87ba1f9ab0a51f036d7e1168d02abda023dd053d2911b0c815a6b02523</t>
  </si>
  <si>
    <t>EXHIBIT_EMAIL_20250202_335_4e6b3832</t>
  </si>
  <si>
    <t>2025-02-02T00:35:26+00:00</t>
  </si>
  <si>
    <t>4e6b38326590c65db93d3eb7a03792190b8af6ea825b8bab766cae83b49ebe58</t>
  </si>
  <si>
    <t>EXHIBIT_EMAIL_20250127_336_fe32ea5d</t>
  </si>
  <si>
    <t>2025-01-27T06:50:25-08:00</t>
  </si>
  <si>
    <t>Email: Maximize creativity and productivity with Adobe</t>
  </si>
  <si>
    <t>fe32ea5d182c48c37253315411c4a7eb65459c536f6a4ae00c946cbb68e77869</t>
  </si>
  <si>
    <t>EXHIBIT_EMAIL_20250219_337_d97ef4fc</t>
  </si>
  <si>
    <t>2025-02-19T01:16:34+00:00</t>
  </si>
  <si>
    <t>Email: Enable Fluid for your projects</t>
  </si>
  <si>
    <t>d97ef4fcd3ffd17210c22a5804dfda047751c07b44c1d50b8da2deb8e29fe815</t>
  </si>
  <si>
    <t>EXHIBIT_EMAIL_20250204_338_b5ab2964</t>
  </si>
  <si>
    <t>2025-02-04T06:48:41+00:00</t>
  </si>
  <si>
    <t>Email: All aboard! Welcome to Railway!</t>
  </si>
  <si>
    <t>b5ab2964041881da495ab8ddf8b22534e7ab02e2e4e76e7ba6e5d853962311ff</t>
  </si>
  <si>
    <t>EXHIBIT_EMAIL_20250227_339_a89ccbd4</t>
  </si>
  <si>
    <t>2025-02-27T06:00:10+00:00</t>
  </si>
  <si>
    <t>Email: vroofn , you have free spins on Temple of Thunder II! 🌩️</t>
  </si>
  <si>
    <t>a89ccbd4d09cd87cda40124ee2c79d235595c14f00a12023d1c4bc8a10b85067</t>
  </si>
  <si>
    <t>EXHIBIT_EMAIL_20250207_340_32ff1270</t>
  </si>
  <si>
    <t>2025-02-07T13:03:40+00:00</t>
  </si>
  <si>
    <t>Email: Limited time offer: $1 for 1 month of Premium. $12.69/mo. after.</t>
  </si>
  <si>
    <t>Cancel anytime."</t>
  </si>
  <si>
    <t>32ff1270f1cb80c94c07d6d3a71f3965eca27e9ed1ba6ee2c9638659a6355636</t>
  </si>
  <si>
    <t>EXHIBIT_EMAIL_20250124_341_8e23d291</t>
  </si>
  <si>
    <t>2025-01-24T09:50:52-06:00</t>
  </si>
  <si>
    <t>Email: Low prices on Valentine's Day meals &amp; more 💓</t>
  </si>
  <si>
    <t>8e23d2916c2b74415be5a981fe06e590b5d81cfe733362cfff896ce3731eb5eb</t>
  </si>
  <si>
    <t>EXHIBIT_EMAIL_20250213_342_28e72a26</t>
  </si>
  <si>
    <t>2025-02-13T08:44:55-04:00</t>
  </si>
  <si>
    <t>Email: Fwd: INTERAC e-Transfer: A money transfer from Paul Carey has been automatically deposited.</t>
  </si>
  <si>
    <t>28e72a266f50059d656b555857cd7da7dd9fb3ffddd4b7051b3670bcc6ba9946</t>
  </si>
  <si>
    <t>EXHIBIT_EMAIL_20250203_343_4e71212a</t>
  </si>
  <si>
    <t>2025-02-03T19:28:49-08:00</t>
  </si>
  <si>
    <t>Email: [GitHub] A first-party GitHub OAuth application has been added to</t>
  </si>
  <si>
    <t>your account"</t>
  </si>
  <si>
    <t>4e71212a3de58a9a022a718a206b7288e36631bdcb99b8963ea52590a31c68dc</t>
  </si>
  <si>
    <t>EXHIBIT_EMAIL_20250220_344_524abe53</t>
  </si>
  <si>
    <t>2025-02-20T04:11:56+00:00</t>
  </si>
  <si>
    <t>Email: *Voicemail from (800) 820-8210</t>
  </si>
  <si>
    <t>524abe536983e31c6db041492389aa8f2f69de22f1a0b225ddd73b485436e866</t>
  </si>
  <si>
    <t>EXHIBIT_EMAIL_20250122_345_b60ff127</t>
  </si>
  <si>
    <t>2025-01-22T12:56:32+00:00</t>
  </si>
  <si>
    <t>Email: Your Amazon Business account cannot be verified</t>
  </si>
  <si>
    <t>b60ff127e6180ef5485dfb37f90e6cb34e203129cc4b78e1ad427cb17a7d5d62</t>
  </si>
  <si>
    <t>EXHIBIT_EMAIL_20250125_346_eb3fa67d</t>
  </si>
  <si>
    <t>2025-01-25T06:20:36+00:00</t>
  </si>
  <si>
    <t>Email: Mailchimp trial ending</t>
  </si>
  <si>
    <t>eb3fa67de01846e39871dcfd05b2e59b2bc3283e17f95bac28ddae5d1dcc42ca</t>
  </si>
  <si>
    <t>EXHIBIT_EMAIL_20250211_347_594df82e</t>
  </si>
  <si>
    <t>2025-02-11T17:37:59+00:00</t>
  </si>
  <si>
    <t>Email: $10,000 Prize Pool Announcement 🏆</t>
  </si>
  <si>
    <t>594df82ea997587e552f7953227737337a9add419111508e40862f5a16423905</t>
  </si>
  <si>
    <t>EXHIBIT_EMAIL_20250204_348_5eca1f40</t>
  </si>
  <si>
    <t>2025-02-04T07:00:50-05:00</t>
  </si>
  <si>
    <t>Email: Welcome Stacey, your resume is ready</t>
  </si>
  <si>
    <t>5eca1f40a24ef4ad1806401df6388556f9f17318b24e9590f9748d4dd79f021a</t>
  </si>
  <si>
    <t>EXHIBIT_EMAIL_20250226_349_68a4dc68</t>
  </si>
  <si>
    <t>2025-02-26T18:53:08-08:00</t>
  </si>
  <si>
    <t>Email: charliewharlie369, see lexi.flemingx, bamspam22 and more in your feed</t>
  </si>
  <si>
    <t>68a4dc68f0ef01e7f9fd6a4e9db1c75b8183cea86458f6c830d1f0099e9bbb73</t>
  </si>
  <si>
    <t>EXHIBIT_EMAIL_20250129_350_a3a29f46</t>
  </si>
  <si>
    <t>2025-01-29T15:08:21+00:00</t>
  </si>
  <si>
    <t>Email: Start your new business with VistaPrint</t>
  </si>
  <si>
    <t>a3a29f46b54ec6063d878dacabc87c185a807b4691e098bdcbffcf85d38a697f</t>
  </si>
  <si>
    <t>EXHIBIT_EMAIL_20250202_351_f8012ff8</t>
  </si>
  <si>
    <t>2025-02-02T07:19:51-08:00</t>
  </si>
  <si>
    <t>Email: [GitHub] Please verify your device</t>
  </si>
  <si>
    <t>f8012ff8df9d8f0670f4319f76bb0433f5ecf1deeacd36001c863f795109d08a</t>
  </si>
  <si>
    <t>EXHIBIT_EMAIL_20250227_352_8644107f</t>
  </si>
  <si>
    <t>2025-02-27T18:45:29+00:00</t>
  </si>
  <si>
    <t>Email: 🚀 What’s new in OpenPhone: AI call tags, API updates, G2 awards &amp; more</t>
  </si>
  <si>
    <t>8644107f3a458c20640595101c0b8af8dd25affd80b2c2910a4fac02e5ce9c24</t>
  </si>
  <si>
    <t>EXHIBIT_EMAIL_20250128_353_9dba716c</t>
  </si>
  <si>
    <t>2025-01-28T14:45:24+00:00</t>
  </si>
  <si>
    <t>9dba716c116ad0d03379621dd24e0154396926b59fc26cf284fa1a0f85747396</t>
  </si>
  <si>
    <t>EXHIBIT_EMAIL_20250131_354_acc9131c</t>
  </si>
  <si>
    <t>2025-01-31T14:58:10+00:00</t>
  </si>
  <si>
    <t>Email: You'll never forget that first sale feeling</t>
  </si>
  <si>
    <t>acc9131c15a8b098f77f70e0096fe2b6387bda528713cb6043ba4ed3ea5e6106</t>
  </si>
  <si>
    <t>EXHIBIT_EMAIL_20250223_355_0fdf3f1b</t>
  </si>
  <si>
    <t>2025-02-23T07:15:04+00:00</t>
  </si>
  <si>
    <t>Email: Organize your life, one template at a time</t>
  </si>
  <si>
    <t>0fdf3f1bdb1731e0af2c4743e05cbfc8450e6365ca3dd4939ca4a730ab4f9d60</t>
  </si>
  <si>
    <t>EXHIBIT_EMAIL_20250203_356_49942ab1</t>
  </si>
  <si>
    <t>2025-02-03T07:25:42-08:00</t>
  </si>
  <si>
    <t>Email: Design unique patterns fast with generative AI</t>
  </si>
  <si>
    <t>49942ab14046cd8cc083ca61aea4b5a603bc53a2bb5bd488038c68c099d405ab</t>
  </si>
  <si>
    <t>EXHIBIT_EMAIL_20250131_357_df9a06a3</t>
  </si>
  <si>
    <t>2025-01-31T18:12:07+00:00</t>
  </si>
  <si>
    <t>Email: You’re on your way to saving 30%</t>
  </si>
  <si>
    <t>df9a06a3405c7a2cf0695d787ce907c893e7323ac9ab8c871f047d8a3ad463fb</t>
  </si>
  <si>
    <t>EXHIBIT_EMAIL_20250127_358_9b92fa4c</t>
  </si>
  <si>
    <t>2025-01-27T07:57:46+00:00</t>
  </si>
  <si>
    <t>Email: Mailchimp billing: payment declined</t>
  </si>
  <si>
    <t>9b92fa4cbd4c190a2b99259b83ced3aff40dcbf57f0ec1a55412616e858e82ef</t>
  </si>
  <si>
    <t>EXHIBIT_EMAIL_20250206_359_f42fdf9c</t>
  </si>
  <si>
    <t>2025-02-06T19:04:31+00:00</t>
  </si>
  <si>
    <t>Email: Unlock formulas in Zapier Tables</t>
  </si>
  <si>
    <t>f42fdf9c3d4179b07813bfaba2781f0e86fa6111fd335c930d4a2f86ee06b29d</t>
  </si>
  <si>
    <t>EXHIBIT_EMAIL_20250128_360_878d8a5b</t>
  </si>
  <si>
    <t>2025-01-28T17:41:11+00:00</t>
  </si>
  <si>
    <t>878d8a5b43aba3a416525cecd6fd78c2e565bb696b1fab94beb39dee4bd86340</t>
  </si>
  <si>
    <t>EXHIBIT_EMAIL_20250124_361_9265411a</t>
  </si>
  <si>
    <t>2025-01-24T14:43:32-05:00</t>
  </si>
  <si>
    <t>Email: Here to help you build your vision</t>
  </si>
  <si>
    <t>9265411a464d525ddfefbb4af1f26dc1636f103a992a29737021e0f1bbfea940</t>
  </si>
  <si>
    <t>EXHIBIT_EMAIL_20250204_362_298fc583</t>
  </si>
  <si>
    <t>2025-02-04T06:33:47-08:00</t>
  </si>
  <si>
    <t>Email: Last chance to save up to $1,050.</t>
  </si>
  <si>
    <t>298fc58347539c1a6086d3a2a6d4470ece5f289390c15b21f8b2e5a5c9f880e8</t>
  </si>
  <si>
    <t>EXHIBIT_EMAIL_20250213_363_2e5c8203</t>
  </si>
  <si>
    <t>2025-02-13T14:52:03+00:00</t>
  </si>
  <si>
    <t>Email: Put your $40 off towards more than just groceries</t>
  </si>
  <si>
    <t>2e5c82031ffdec94518f3fc35d40a6835a3fde39dcc7fb5df4e25d74856aa7a0</t>
  </si>
  <si>
    <t>EXHIBIT_EMAIL_20250202_364_f9643569</t>
  </si>
  <si>
    <t>2025-02-02T06:52:07-08:00</t>
  </si>
  <si>
    <t>Email: [GitHub] Your password was reset</t>
  </si>
  <si>
    <t>f9643569cc49b3561c3b7258cafe7c2ff2e6495a8d7f682f3cdfd32d40d26680</t>
  </si>
  <si>
    <t>EXHIBIT_EMAIL_20250213_365_1322f16b</t>
  </si>
  <si>
    <t>2025-02-13T05:27:45-08:00</t>
  </si>
  <si>
    <t>Email: 🎵 Quick Tip: Perfectly Sync Audio and Music to Boost Engagement</t>
  </si>
  <si>
    <t>1322f16b77b17f381e01acb75dde0132dbe4381d2d3852ff9c56bb19561e3953</t>
  </si>
  <si>
    <t>EXHIBIT_EMAIL_20250204_366_6ade484a</t>
  </si>
  <si>
    <t>2025-02-04T07:18:56+00:00</t>
  </si>
  <si>
    <t>Email: Replit: Verify Your Email</t>
  </si>
  <si>
    <t>6ade484aac52fbd79faf20d5e0bd66b69b21b686d8558d8bbff6d076b2997c10</t>
  </si>
  <si>
    <t>EXHIBIT_EMAIL_20250204_367_45283be9</t>
  </si>
  <si>
    <t>2025-02-04T12:10:15+00:00</t>
  </si>
  <si>
    <t>Email: ENDS TOMORROW – Pick your offer!</t>
  </si>
  <si>
    <t>45283be9e987042e3b6ec5b1f86b5dc2785f8a03a4d76dcfb75b4be03b46a0ef</t>
  </si>
  <si>
    <t>EXHIBIT_EMAIL_20250204_368_e4176fd3</t>
  </si>
  <si>
    <t>2025-02-04T23:00:17+00:00</t>
  </si>
  <si>
    <t>Email: Welcome to Replit: Where Ideas Come to Life 💫</t>
  </si>
  <si>
    <t>e4176fd31035e435cfd8df13245e584c702f913316856764c4988ea5965bcb91</t>
  </si>
  <si>
    <t>EXHIBIT_EMAIL_20250124_369_f16bc1fb</t>
  </si>
  <si>
    <t>2025-01-24T15:47:20+00:00</t>
  </si>
  <si>
    <t>f16bc1fb583770ac731385b81f5e4934f836c105e2bee7c470223fd0c3e14ba6</t>
  </si>
  <si>
    <t>EXHIBIT_EMAIL_20250211_370_405e05fe</t>
  </si>
  <si>
    <t>2025-02-11T20:06:58+00:00</t>
  </si>
  <si>
    <t>Email: 50% off your next 3 orders - just for you 👀</t>
  </si>
  <si>
    <t>405e05fe3637a7815f531e4a81cb64b70c0c1d49779d33cb73bfe1f8338b541d</t>
  </si>
  <si>
    <t>EXHIBIT_EMAIL_20250212_371_69a109d2</t>
  </si>
  <si>
    <t>2025-02-12T01:11:00+00:00</t>
  </si>
  <si>
    <t>69a109d265aeaa6ffffc43ec312683150b1af28914bc54eb6748386bf2503b30</t>
  </si>
  <si>
    <t>EXHIBIT_EMAIL_20250212_372_7801b9b7</t>
  </si>
  <si>
    <t>2025-02-12T00:01:26+00:00</t>
  </si>
  <si>
    <t>7801b9b7f8d5391ee681d475606c689875412887a2e61bb5db289a10e0288a5d</t>
  </si>
  <si>
    <t>EXHIBIT_EMAIL_20250129_373_71659efe</t>
  </si>
  <si>
    <t>2025-01-29T19:00:40+00:00</t>
  </si>
  <si>
    <t>Email: Spread the love with custom gifts 💝</t>
  </si>
  <si>
    <t>71659efe6790ed1a6cb6065bd8d19229b0ab918c55c272ae1823ab44d1fec31c</t>
  </si>
  <si>
    <t>EXHIBIT_EMAIL_20250129_374_c392c746</t>
  </si>
  <si>
    <t>2025-01-29T14:49:13+00:00</t>
  </si>
  <si>
    <t>Email: Stock up and save on thousands of products at the Business Savings</t>
  </si>
  <si>
    <t>Event"</t>
  </si>
  <si>
    <t>c392c746934c4e91135d11fbe71bcab63c09bff42a20d6398716ad2965f3e3db</t>
  </si>
  <si>
    <t>EXHIBIT_EMAIL_20250126_375_72059850</t>
  </si>
  <si>
    <t>2025-01-26T13:04:47+01:00</t>
  </si>
  <si>
    <t>Email: Jette un coup d’œil sur ceci</t>
  </si>
  <si>
    <t>7205985009095c27683fc15c421536ea8cd33c91c99feb43295ffdbe1d631d42</t>
  </si>
  <si>
    <t>EXHIBIT_EMAIL_20250220_376_486279f1</t>
  </si>
  <si>
    <t>2025-02-20T15:10:24+00:00</t>
  </si>
  <si>
    <t>Email: Finalize your Webador Pro order</t>
  </si>
  <si>
    <t>486279f1966e0afe002e9bf9b4a906f7ca5e723ba5005b4db8c56331868229d9</t>
  </si>
  <si>
    <t>EXHIBIT_EMAIL_20250129_377_e0e4a2f2</t>
  </si>
  <si>
    <t>2025-01-29T14:54:08+00:00</t>
  </si>
  <si>
    <t>e0e4a2f27cec74f093725edb5a39ead6078476c2bbdcade3d6929b4a5a98d9f7</t>
  </si>
  <si>
    <t>EXHIBIT_EMAIL_20250224_378_fc08a0ab</t>
  </si>
  <si>
    <t>2025-02-24T17:00:46+00:00</t>
  </si>
  <si>
    <t>Email: New earning opportunities available to you</t>
  </si>
  <si>
    <t>fc08a0abacd8855da6a3285e5e9c3e8aeeb5549667458133a15123a95e2623c8</t>
  </si>
  <si>
    <t>EXHIBIT_EMAIL_20250201_379_fe2be15b</t>
  </si>
  <si>
    <t>2025-02-01T09:02:33-05:00</t>
  </si>
  <si>
    <t>Email: $15 Today Only! Gillian Anderson's Want 💗</t>
  </si>
  <si>
    <t>fe2be15bdaf5d8737e4f8d8a7b6d218b47fa6a0dda7636176dfab5e896cd0c0d</t>
  </si>
  <si>
    <t>EXHIBIT_EMAIL_20250220_380_c8d11d6c</t>
  </si>
  <si>
    <t>2025-02-20T07:03:49-06:00</t>
  </si>
  <si>
    <t>Email: Meet your Mega match!</t>
  </si>
  <si>
    <t>c8d11d6c50aba5a72fc6526f3927c516ae8b32a69fc1f89b68c1b3a3348ea6d5</t>
  </si>
  <si>
    <t>EXHIBIT_EMAIL_20250126_381_6d13fa37</t>
  </si>
  <si>
    <t>2025-01-26T02:49:16+00:00</t>
  </si>
  <si>
    <t>Email: Someone has switched your Alfred Camera to Viewer</t>
  </si>
  <si>
    <t>6d13fa374f7942e089e87c812172c3c8f61f46c102778de02d30b1a63b2e8b8d</t>
  </si>
  <si>
    <t>EXHIBIT_EMAIL_20250126_382_a7652924</t>
  </si>
  <si>
    <t>2025-01-26T02:01:29+00:00</t>
  </si>
  <si>
    <t>a7652924e998160899e7b2f3aa56e0113a553215b77837d087cda449ebfcdf0e</t>
  </si>
  <si>
    <t>EXHIBIT_EMAIL_20250125_383_dffd3470</t>
  </si>
  <si>
    <t>2025-01-25T12:16:56+00:00</t>
  </si>
  <si>
    <t>Email: Order Confirmation for B from Tim Hortons</t>
  </si>
  <si>
    <t>dffd34702f3915fe5f2615394d720987296b5e62ed1ed6caaf33f7bb74eca8b2</t>
  </si>
  <si>
    <t>EXHIBIT_EMAIL_20250127_384_080bd505</t>
  </si>
  <si>
    <t>2025-01-27T11:17:37+00:00</t>
  </si>
  <si>
    <t>Email: 💰 Your first sale is waiting</t>
  </si>
  <si>
    <t>080bd5051ba0611c6c7c28bb9bf04fb51022b2d57af678b1950be3dc1c63fcc1</t>
  </si>
  <si>
    <t>EXHIBIT_EMAIL_20250203_385_2576c2ec</t>
  </si>
  <si>
    <t>2025-02-03T19:39:56-08:00</t>
  </si>
  <si>
    <t>Email: charliewharlie369, see bamspam22, _sophiejspam and more in your feed</t>
  </si>
  <si>
    <t>2576c2ec7b0a6e662a3520b763c9eb6a3d2fd1c398cb243830f547540512bb57</t>
  </si>
  <si>
    <t>EXHIBIT_EMAIL_20250204_386_1d25ca00</t>
  </si>
  <si>
    <t>2025-02-04T01:42:14+00:00</t>
  </si>
  <si>
    <t>Email: @Cali Boyd, You've received CA$22.75 Treat!</t>
  </si>
  <si>
    <t>1d25ca006256ff3b65cd2d95db1c5f2dfd35ea894cc099d753550cd10a91fd63</t>
  </si>
  <si>
    <t>EXHIBIT_EMAIL_20250215_387_eeabb28d</t>
  </si>
  <si>
    <t>2025-02-15T06:00:10+00:00</t>
  </si>
  <si>
    <t>Email: vroofn, Deposit CAD 5, Get 77 Free Spins! 🍇</t>
  </si>
  <si>
    <t>eeabb28dabf36ec6616b0cc5b20b6ba81e3024a26825e02a69955efceb81bd5c</t>
  </si>
  <si>
    <t>EXHIBIT_EMAIL_20250202_388_dc01f4e3</t>
  </si>
  <si>
    <t>2025-02-02T11:17:38+00:00</t>
  </si>
  <si>
    <t>Email: Don’t lose your progress</t>
  </si>
  <si>
    <t>dc01f4e3173748c40843bb249646ad6203286e9c8f1ede88a8efe4d7d92110e0</t>
  </si>
  <si>
    <t>EXHIBIT_EMAIL_20250228_389_f6c9d72d</t>
  </si>
  <si>
    <t>2025-02-28T20:00:30+00:00</t>
  </si>
  <si>
    <t>Email: 🟦Your 100% No-Rules Bonus Expires Soon!⏰</t>
  </si>
  <si>
    <t>f6c9d72d64d96735df291d943d2964bb11fd812352395dd2f9d99ccc259257e7</t>
  </si>
  <si>
    <t>EXHIBIT_EMAIL_20250122_390_da7adf7c</t>
  </si>
  <si>
    <t>2025-01-22T21:10:38-08:00</t>
  </si>
  <si>
    <t>Email: Switch to the new epic. Save up to $1,275</t>
  </si>
  <si>
    <t>da7adf7cf6abef7bc2efcf9c5e18d0eae5af51273ad832cf05af91d1ede7677b</t>
  </si>
  <si>
    <t>EXHIBIT_EMAIL_20250129_391_65a927ed</t>
  </si>
  <si>
    <t>2025-01-29T20:16:00+00:00</t>
  </si>
  <si>
    <t>Email: Deals you don’t wanna miss, Craig n Emma</t>
  </si>
  <si>
    <t>65a927eddde10b41cf2f057f0d73183cd0dd3edd383b479bd03852fc59381287</t>
  </si>
  <si>
    <t>EXHIBIT_EMAIL_20250219_392_5e1e8c5c</t>
  </si>
  <si>
    <t>2025-02-19T01:24:53+00:00</t>
  </si>
  <si>
    <t>5e1e8c5c0e018ce805ade2bcc085462b3673c40840eeae5ff8ee884ab3481976</t>
  </si>
  <si>
    <t>EXHIBIT_EMAIL_20250205_393_dd286965</t>
  </si>
  <si>
    <t>2025-02-05T15:08:36-06:00</t>
  </si>
  <si>
    <t>Email: Deals that’ll blow your cart away! 🛒</t>
  </si>
  <si>
    <t>dd286965e83825eb83000f2fd8b1b6f7bac3b813eb4c2d635af3537f23b9a851</t>
  </si>
  <si>
    <t>EXHIBIT_EMAIL_20250128_394_40ae2785</t>
  </si>
  <si>
    <t>2025-01-28T12:30:40-06:00</t>
  </si>
  <si>
    <t>Email: Is it time to break up with Google? 🤔</t>
  </si>
  <si>
    <t>40ae2785b6269754d3f1292a981e1219d790b6d3576caa2a4e9cc88a4fc84eac</t>
  </si>
  <si>
    <t>EXHIBIT_EMAIL_20250211_395_6b6b9ae7</t>
  </si>
  <si>
    <t>2025-02-11T22:04:26+00:00</t>
  </si>
  <si>
    <t>Email: 🚨Your exclusive PGA Contest Ticket Offer is here.🚨</t>
  </si>
  <si>
    <t>6b6b9ae7e3e3085b9a0d7f2dc97ebf08aeda07e42a29d62238d8a1985b342fff</t>
  </si>
  <si>
    <t>EXHIBIT_EMAIL_20250128_396_d1a4e607</t>
  </si>
  <si>
    <t>2025-01-28T16:45:00+00:00</t>
  </si>
  <si>
    <t>Email: Your 6-Week-Old Baby: The Lowdown on Colic</t>
  </si>
  <si>
    <t>d1a4e607d2525cdc9fcb602b8db90e4add6dab731f8b5b6fbadbb79c30d39c07</t>
  </si>
  <si>
    <t>EXHIBIT_EMAIL_20250128_397_5296130a</t>
  </si>
  <si>
    <t>2025-01-28T19:06:56-08:00</t>
  </si>
  <si>
    <t>Email: charliewharlie369, catch up on moments you've missed</t>
  </si>
  <si>
    <t>5296130a69ba3b3d5fa0accb3d9ea00fd088518b4bfa6298e703fd52a0b428bb</t>
  </si>
  <si>
    <t>EXHIBIT_EMAIL_20250122_398_39849005</t>
  </si>
  <si>
    <t>2025-01-22T13:34:54-06:00</t>
  </si>
  <si>
    <t>398490054c6a46b0fd2fbbb103d79bf72d7470e74e6166c0e3b28792c31eed12</t>
  </si>
  <si>
    <t>EXHIBIT_EMAIL_20250122_399_1e31a448</t>
  </si>
  <si>
    <t>2025-01-22T13:30:22+00:00</t>
  </si>
  <si>
    <t>Email: Automate Google Sheets</t>
  </si>
  <si>
    <t>1e31a4480a956c37b9c1e4def9712ca787a95781d12ec8027bd9cf0fa56ce4eb</t>
  </si>
  <si>
    <t>EXHIBIT_EMAIL_20250130_400_1964d4c4</t>
  </si>
  <si>
    <t>2025-01-30T20:00:37+00:00</t>
  </si>
  <si>
    <t>Email: Boost Local Business Visibility: Tips for More Customers</t>
  </si>
  <si>
    <t>1964d4c464ef3dfb821b41fd0e6a23f6ad01ee119c540668e45d916e045534c4</t>
  </si>
  <si>
    <t>EXHIBIT_EMAIL_20250127_401_e31ea1e8</t>
  </si>
  <si>
    <t>2025-01-27T21:09:56+00:00</t>
  </si>
  <si>
    <t>Email: Share the Love: February’s Must-Post Social Calendar Inside!</t>
  </si>
  <si>
    <t>e31ea1e8c19efaed9f2b4941d304dce7baad1f943ae8dec05cc7457b7ce0d21a</t>
  </si>
  <si>
    <t>EXHIBIT_EMAIL_20250210_402_e9082de0</t>
  </si>
  <si>
    <t>2025-02-10T13:32:22+00:00</t>
  </si>
  <si>
    <t>e9082de0aa66800749cfc9ac9017a9ea2f7e3f834343cb004837e488ec33060d</t>
  </si>
  <si>
    <t>EXHIBIT_EMAIL_20250122_403_844e0e17</t>
  </si>
  <si>
    <t>2025-01-22T14:27:23+00:00</t>
  </si>
  <si>
    <t>Email: Get 50% OFF: Final Hours to Save</t>
  </si>
  <si>
    <t>844e0e1753929bfe831740ee96fe600520f7fb5a410f7d3dcc8240c4abf3c741</t>
  </si>
  <si>
    <t>EXHIBIT_EMAIL_20250123_404_0205e4dd</t>
  </si>
  <si>
    <t>2025-01-23T18:30:38+00:00</t>
  </si>
  <si>
    <t>Email: 3 (surprising) benefits of proactive customer service</t>
  </si>
  <si>
    <t>0205e4dd5185ca218f285d36ae0cb0b9638625ab1600bb7a46de495728bdd991</t>
  </si>
  <si>
    <t>EXHIBIT_EMAIL_20250226_405_ec8af98c</t>
  </si>
  <si>
    <t>2025-02-26T03:02:17-08:00</t>
  </si>
  <si>
    <t>Email: Finding the right PC just got a whole lot easier with Copilot+ PCs</t>
  </si>
  <si>
    <t>ec8af98c72fa426fe846532497e61781cb2bee4dbb7059ed6c8514e5a72309dd</t>
  </si>
  <si>
    <t>EXHIBIT_EMAIL_20250226_406_4899865f</t>
  </si>
  <si>
    <t>2025-02-26T02:29:47-06:00</t>
  </si>
  <si>
    <t>Email: Sale starts now: Save 25%+ on hotels</t>
  </si>
  <si>
    <t>4899865f56d87284327164d6282248ee821b51820b57a15c11131c08f668d30d</t>
  </si>
  <si>
    <t>EXHIBIT_EMAIL_20250127_407_835eae86</t>
  </si>
  <si>
    <t>2025-01-27T00:45:39+00:00</t>
  </si>
  <si>
    <t>Email: Thank you for signing up to Blissful Escapes</t>
  </si>
  <si>
    <t>835eae86a56e5b2d46d3fa57d19c8a344bc3caa824150068842cf642e498169b</t>
  </si>
  <si>
    <t>EXHIBIT_EMAIL_20250208_408_c5aa51ca</t>
  </si>
  <si>
    <t>2025-02-08T06:00:04+00:00</t>
  </si>
  <si>
    <t>Email: vroofn, Deposit CAD 5, Get 77 Free Spins! 💎</t>
  </si>
  <si>
    <t>c5aa51ca1c58276ba916e47ec7f21742cc3fe20f5cfa8dcb137ce7ab57659627</t>
  </si>
  <si>
    <t>EXHIBIT_EMAIL_20250127_409_ae017ae7</t>
  </si>
  <si>
    <t>2025-01-27T12:12:49-06:00</t>
  </si>
  <si>
    <t>Email: The best resorts in the Dominican Republic are here</t>
  </si>
  <si>
    <t>ae017ae78164db780511add45dcdfa5ba8cb36451e951b64fdd99a1fcca142e6</t>
  </si>
  <si>
    <t>EXHIBIT_EMAIL_20250201_410_0696cac8</t>
  </si>
  <si>
    <t>2025-02-01T08:28:58+00:00</t>
  </si>
  <si>
    <t>0696cac8a23e95c3cccf1e2f455e362d46dcb0aa6500997e6905dc95220e2105</t>
  </si>
  <si>
    <t>EXHIBIT_EMAIL_20250123_411_39b04d68</t>
  </si>
  <si>
    <t>2025-01-23T10:52:35-05:00</t>
  </si>
  <si>
    <t>Email: 📼 Keep those video resolutions</t>
  </si>
  <si>
    <t>39b04d684f4b345f41454b9892a442e3198bb129f256c504c3b96293c3eff7ff</t>
  </si>
  <si>
    <t>EXHIBIT_EMAIL_20250210_412_3f838bb1</t>
  </si>
  <si>
    <t>2025-02-10T12:38:33-04:00</t>
  </si>
  <si>
    <t>Email: form 72j information</t>
  </si>
  <si>
    <t>3f838bb1cba0d8d31b1bb48072f70ba66cc869c5148592545df4f7fa9402117e</t>
  </si>
  <si>
    <t>EXHIBIT_EMAIL_20250124_413_cf1802b5</t>
  </si>
  <si>
    <t>2025-01-24T11:17:42+00:00</t>
  </si>
  <si>
    <t>cf1802b5ae43b759016f353dd8048990d3349caa75b2ddeda7a40214c438eaee</t>
  </si>
  <si>
    <t>EXHIBIT_EMAIL_20250205_414_58ff7c9c</t>
  </si>
  <si>
    <t>2025-02-05T14:48:12+00:00</t>
  </si>
  <si>
    <t>58ff7c9cb12c6f2d746aa9d943329536b271ae0cc1d2d82738c822da0381fc50</t>
  </si>
  <si>
    <t>EXHIBIT_EMAIL_20250126_415_5758451e</t>
  </si>
  <si>
    <t>2025-01-26T10:07:07-06:00</t>
  </si>
  <si>
    <t>Email: Deals 👏 Deals 👏 Deals 👏</t>
  </si>
  <si>
    <t>5758451e31adf2405f412c29f891e4db87f537279db59eedda11df6ea98886ea</t>
  </si>
  <si>
    <t>EXHIBIT_EMAIL_20250124_416_5d864f27</t>
  </si>
  <si>
    <t>2025-01-24T09:20:37-06:00</t>
  </si>
  <si>
    <t>Email: Save $20 now ⏰</t>
  </si>
  <si>
    <t>5d864f276529f089d193a44b41b52919ea056334e1ea526709c58d98621e4576</t>
  </si>
  <si>
    <t>EXHIBIT_EMAIL_20250215_417_c4e9fedb</t>
  </si>
  <si>
    <t>2025-02-15T01:41:55+00:00</t>
  </si>
  <si>
    <t>Email: More BONUS More SPINS!</t>
  </si>
  <si>
    <t>c4e9fedbac5e844bab8f19ab77965e24a6140113c352d370d984fbd959ae6f32</t>
  </si>
  <si>
    <t>EXHIBIT_EMAIL_20250125_418_f8f53b1c</t>
  </si>
  <si>
    <t>2025-01-25T16:45:21+00:00</t>
  </si>
  <si>
    <t>Email: Welcome Aboard BetFury – Your Adventure Awaits!</t>
  </si>
  <si>
    <t>f8f53b1c371ada306873113ee002e167cced3005ce30e6874343ef6be1a949e2</t>
  </si>
  <si>
    <t>EXHIBIT_EMAIL_20250123_419_42591480</t>
  </si>
  <si>
    <t>2025-01-23T14:01:54+01:00</t>
  </si>
  <si>
    <t>Email: Dernière chance de faire des économies avant qu’elles ne disparaissent</t>
  </si>
  <si>
    <t>42591480aa531ca6bfa684ed1d28b8c5f2f38bfa0aa79e39e7afba7cfaf43020</t>
  </si>
  <si>
    <t>EXHIBIT_EMAIL_20250122_420_63e4b979</t>
  </si>
  <si>
    <t>2025-01-22T14:37:26-06:00</t>
  </si>
  <si>
    <t>Email: Don’t forget to finish setting up your account!</t>
  </si>
  <si>
    <t>63e4b9796043c1751e535a4b8d10122a0114651bc65f0e58a8bb14946fd4389f</t>
  </si>
  <si>
    <t>EXHIBIT_EMAIL_20250130_421_97532e94</t>
  </si>
  <si>
    <t>2025-01-30T13:07:30+00:00</t>
  </si>
  <si>
    <t>Email: craig- don't forget to set delivery preferences</t>
  </si>
  <si>
    <t>97532e94034bc8759e7498cc79298f8569e180e219b4a2fb8396829f19d0fb1a</t>
  </si>
  <si>
    <t>EXHIBIT_EMAIL_20250204_422_2c7b2ceb</t>
  </si>
  <si>
    <t>2025-02-04T11:53:38+00:00</t>
  </si>
  <si>
    <t>Email: Your resume is ready, Stacey. Let's download it!</t>
  </si>
  <si>
    <t>2c7b2ceb1ad38600e010d70184d40a941b23f87f6d5a44c17b43fa1b6d793a39</t>
  </si>
  <si>
    <t>EXHIBIT_EMAIL_20250218_423_a795b383</t>
  </si>
  <si>
    <t>2025-02-18T11:56:34+01:00</t>
  </si>
  <si>
    <t>Email: You have received 10 free spins</t>
  </si>
  <si>
    <t>a795b383ceb94d3221c4c5bd37b67d2f2df5bb0ca6bda363d3b10a7f6624beb4</t>
  </si>
  <si>
    <t>EXHIBIT_EMAIL_20250130_424_d0c44995</t>
  </si>
  <si>
    <t>2025-01-30T09:36:05-08:00</t>
  </si>
  <si>
    <t>Email: Quick Tip: Create Cinematic Content with Film Grain Overlays 🎞️</t>
  </si>
  <si>
    <t>d0c44995f2f7fc914d30a55de0851a4790a2eac31104f1076e542c8e2fefc216</t>
  </si>
  <si>
    <t>EXHIBIT_EMAIL_20250204_425_82429c19</t>
  </si>
  <si>
    <t>2025-02-04T16:10:21+00:00</t>
  </si>
  <si>
    <t>Email: Return to Premium and get 1 month for $1. $12.69/mo. after.  Cancel</t>
  </si>
  <si>
    <t>82429c1915e1f870efdfbc8e98a6e5aa373fa2340823ffd4c76c564466c6113f</t>
  </si>
  <si>
    <t>EXHIBIT_EMAIL_20250130_426_ae92a6af</t>
  </si>
  <si>
    <t>2025-01-30T11:31:46-08:00</t>
  </si>
  <si>
    <t>ae92a6afbe22e2836f8835f66f295b950846a22ce491b60c00fc662150457261</t>
  </si>
  <si>
    <t>EXHIBIT_EMAIL_20250124_427_ef7f8739</t>
  </si>
  <si>
    <t>2025-01-24T15:46:16+00:00</t>
  </si>
  <si>
    <t>ef7f8739296207a6c3ad332f523a6f40c95fe252b01db6392d3b8bbb28cefddc</t>
  </si>
  <si>
    <t>EXHIBIT_EMAIL_20250129_428_11e5b2e1</t>
  </si>
  <si>
    <t>2025-01-29T15:09:17-06:00</t>
  </si>
  <si>
    <t>Email: Time to save big—don’t wait! 🛒</t>
  </si>
  <si>
    <t>11e5b2e1dcc8e83f9b66ad1609b9572767f375c17c02f1be71e8bf57638cfa6c</t>
  </si>
  <si>
    <t>EXHIBIT_EMAIL_20250202_429_120bde22</t>
  </si>
  <si>
    <t>2025-02-02T00:36:06+00:00</t>
  </si>
  <si>
    <t>Email: Please verify your email address</t>
  </si>
  <si>
    <t>120bde2287b0ac128b57a05a2cc1b0a7a6bec5943807df384eef141c6868f06a</t>
  </si>
  <si>
    <t>EXHIBIT_EMAIL_20250201_430_41e26fb3</t>
  </si>
  <si>
    <t>2025-02-01T09:34:43-06:00</t>
  </si>
  <si>
    <t>Email: Clearance $10 &amp; under 🤩</t>
  </si>
  <si>
    <t>41e26fb395cce02b8c43fdfe9b71043dbc25e04d23f03d7577646284bd207dd7</t>
  </si>
  <si>
    <t>EXHIBIT_EMAIL_20250225_431_667345bd</t>
  </si>
  <si>
    <t>2025-02-25T06:00:58+00:00</t>
  </si>
  <si>
    <t>Email: Need a jump start? Build from a template</t>
  </si>
  <si>
    <t>667345bd337a649ccedf4daed3782ddf4e8bc698683104d920d727a39569b83d</t>
  </si>
  <si>
    <t>EXHIBIT_EMAIL_20250129_432_1edce477</t>
  </si>
  <si>
    <t>2025-01-29T19:47:56+00:00</t>
  </si>
  <si>
    <t>Email: Swing in for 11 SPINS in Bonus Wheel Jungle, Dawn!</t>
  </si>
  <si>
    <t>1edce477d32d53dbb4ad10504529eb3612c4457d3c3a19a3ff5428cc003a80bb</t>
  </si>
  <si>
    <t>EXHIBIT_EMAIL_20250126_433_abe83283</t>
  </si>
  <si>
    <t>2025-01-26T08:02:51+00:00</t>
  </si>
  <si>
    <t>abe832833b3313a7a81397799d229923a33320556b96ec38e43e0195dcde7ece</t>
  </si>
  <si>
    <t>EXHIBIT_EMAIL_20250204_434_00d4677d</t>
  </si>
  <si>
    <t>2025-02-04T18:56:13+00:00</t>
  </si>
  <si>
    <t>Email: We're so sorry to tell you...</t>
  </si>
  <si>
    <t>00d4677dd714013ff0c84d382e65534dd6247bf7d4d5817f30b474f65870d71b</t>
  </si>
  <si>
    <t>EXHIBIT_EMAIL_20250128_435_23b4cee4</t>
  </si>
  <si>
    <t>2025-01-28T20:35:27+00:00</t>
  </si>
  <si>
    <t>Email: 50% off is waiting for you at checkout</t>
  </si>
  <si>
    <t>23b4cee41012241b777ec7376dee241b95fe697f27bb37bcdd74874c574c081c</t>
  </si>
  <si>
    <t>EXHIBIT_EMAIL_20250204_436_a562504a</t>
  </si>
  <si>
    <t>2025-02-04T20:27:06+00:00</t>
  </si>
  <si>
    <t>Email: Turn 💩 into 💰</t>
  </si>
  <si>
    <t>a562504a4528a63842a46cac8238bb41d908c47ced33546268510983f905bc78</t>
  </si>
  <si>
    <t>EXHIBIT_EMAIL_20250130_437_e5cc6530</t>
  </si>
  <si>
    <t>2025-01-30T10:18:49-06:00</t>
  </si>
  <si>
    <t>Email: Join to save on travel with vacation packages</t>
  </si>
  <si>
    <t>e5cc6530f3149f3ed583fd2e6cbadabebda0e3d84c36931aa8c4a31d7f3142c8</t>
  </si>
  <si>
    <t>EXHIBIT_EMAIL_20250203_438_218ff69d</t>
  </si>
  <si>
    <t>2025-02-03T23:18:44-08:00</t>
  </si>
  <si>
    <t>Email: [GitHub] A third-party GitHub Application has been added to your</t>
  </si>
  <si>
    <t>account"</t>
  </si>
  <si>
    <t>218ff69d4aba6892892f23d45ba8f07bb1383db1284465b1d572d613d50eef15</t>
  </si>
  <si>
    <t>EXHIBIT_EMAIL_20250203_439_9c8f8e74</t>
  </si>
  <si>
    <t>2025-02-03T22:58:13-08:00</t>
  </si>
  <si>
    <t>9c8f8e74e24fa7854ae08bacaaf7430fde87185bd16a2b86289098e1d77fdc01</t>
  </si>
  <si>
    <t>EXHIBIT_EMAIL_20250203_440_2a1ceb72</t>
  </si>
  <si>
    <t>2025-02-03T22:48:30-08:00</t>
  </si>
  <si>
    <t>2a1ceb72176d1fbdba400be3f8dec2cfd34b99f70d707f5fd9f25a56735bbf22</t>
  </si>
  <si>
    <t>EXHIBIT_EMAIL_20250125_441_56da33ce</t>
  </si>
  <si>
    <t>2025-01-25T05:09:19+01:00</t>
  </si>
  <si>
    <t>56da33cefccc8118a6b7b4cb19e4e902f57179af5f87bcc20998a32755731e7f</t>
  </si>
  <si>
    <t>EXHIBIT_EMAIL_20250204_442_0dfa635f</t>
  </si>
  <si>
    <t>2025-02-04T18:11:15-06:00</t>
  </si>
  <si>
    <t>Email: Swoon-worthy adults only vacays</t>
  </si>
  <si>
    <t>0dfa635f62d5e9a2fa9647a1702d132ea42f55de0e2cab7275d39f2313d77361</t>
  </si>
  <si>
    <t>EXHIBIT_EMAIL_20250224_443_ea5e3a7d</t>
  </si>
  <si>
    <t>2025-02-24T19:15:57-08:00</t>
  </si>
  <si>
    <t>ea5e3a7d8f63b64ab73f388996d35e7eeacfadc0eab2c9bfb37704780c75ff01</t>
  </si>
  <si>
    <t>EXHIBIT_EMAIL_20250209_444_8dbf8741</t>
  </si>
  <si>
    <t>2025-02-09T11:10:03+00:00</t>
  </si>
  <si>
    <t>Email: Building and Design Firms Expect Growth in 2025 | 7 Bathrooms With Luxurious Showers</t>
  </si>
  <si>
    <t>8dbf87413670080f2ef9d49e105a80263289479b11f6eafff37a2d2b33382d11</t>
  </si>
  <si>
    <t>EXHIBIT_EMAIL_20250201_445_5298d0a1</t>
  </si>
  <si>
    <t>2025-02-01T17:18:37-08:00</t>
  </si>
  <si>
    <t>Email: You changed your password</t>
  </si>
  <si>
    <t>5298d0a1bbe9d85097c65f3a97a5f04d9c039f7c7389fa0719a8e0a950700a37</t>
  </si>
  <si>
    <t>EXHIBIT_EMAIL_20250128_446_0ca91093</t>
  </si>
  <si>
    <t>2025-01-28T09:39:49-06:00</t>
  </si>
  <si>
    <t>Email: Rollbacks on grocery, home &amp; more 😊</t>
  </si>
  <si>
    <t>0ca910939fe1d6e1c6bf2560e93981f6dc63b309b459d22aff733424c6d04269</t>
  </si>
  <si>
    <t>EXHIBIT_EMAIL_20250124_447_7d40febf</t>
  </si>
  <si>
    <t>2025-01-24T05:09:15+01:00</t>
  </si>
  <si>
    <t>7d40febf6d6a17f845a9109c9aeb86fccdbb49e4809610e0d3a576bf991ed819</t>
  </si>
  <si>
    <t>EXHIBIT_EMAIL_20250115_448_694244d3</t>
  </si>
  <si>
    <t>2025-01-15T02:02:23+00:00</t>
  </si>
  <si>
    <t>Email: Say hello to your store</t>
  </si>
  <si>
    <t>694244d39a1dd279c7ddd5b756f0685202b00237f06953bf356028da189fc873</t>
  </si>
  <si>
    <t>EXHIBIT_EMAIL_20250210_449_9f390e42</t>
  </si>
  <si>
    <t>2025-02-10T12:21:10+00:00</t>
  </si>
  <si>
    <t>Email: TWO DAYS ONLY! ⏳ $15 off orders $75+</t>
  </si>
  <si>
    <t>9f390e42ba90e1daa83b6765d51798232968393bad5ea91062c95e4bb3c17149</t>
  </si>
  <si>
    <t>EXHIBIT_EMAIL_20250122_450_263f976a</t>
  </si>
  <si>
    <t>2025-01-22T03:02:13-06:00</t>
  </si>
  <si>
    <t>Email: Craig, cash back deals are waiting for you</t>
  </si>
  <si>
    <t>263f976a4c295d1f7f505939e870186ecd8e0e931295e8fd3510aab55cbecb7f</t>
  </si>
  <si>
    <t>EXHIBIT_EMAIL_20250122_451_6be26ae3</t>
  </si>
  <si>
    <t>2025-01-22T00:44:32+00:00</t>
  </si>
  <si>
    <t>Email: We’re verifying your Amazon Business account</t>
  </si>
  <si>
    <t>6be26ae3c9c9294b299ac761776b25b49a01ac214401ab19346b52f19ad7b519</t>
  </si>
  <si>
    <t>EXHIBIT_EMAIL_20250113_452_d61f5e8b</t>
  </si>
  <si>
    <t>2025-01-13T18:46:13+00:00</t>
  </si>
  <si>
    <t>Email: Update to our Pick6 Terms of Use</t>
  </si>
  <si>
    <t>d61f5e8b48d2b3bc46b74862f853f4c8ddf67e674f3c2d8bfb5508af574e70eb</t>
  </si>
  <si>
    <t>EXHIBIT_EMAIL_20250113_453_9d5ac023</t>
  </si>
  <si>
    <t>2025-01-13T17:37:38+00:00</t>
  </si>
  <si>
    <t>Email: B, you have 25% off your next order.</t>
  </si>
  <si>
    <t>9d5ac0237e11b3b2bf2f81d99ffcf571a9c9db162c31f14798e8edd00cdd2e23</t>
  </si>
  <si>
    <t>EXHIBIT_EMAIL_20250114_454_d038b431</t>
  </si>
  <si>
    <t>2025-01-14T14:06:45+00:00</t>
  </si>
  <si>
    <t>Email: Discover small businesses on Amazon</t>
  </si>
  <si>
    <t>d038b431d61d23d4fc228d87f9ad448b1c2f0a9503b241b918f5bdc20d246b62</t>
  </si>
  <si>
    <t>EXHIBIT_EMAIL_20250121_455_df50cb66</t>
  </si>
  <si>
    <t>2025-01-21T18:38:52-05:00</t>
  </si>
  <si>
    <t>Email: Authenticate to stay out of the spam box</t>
  </si>
  <si>
    <t>df50cb662b5284e3a0c69232e50d2aa1909e01c16bfa0cbd8f9ba120cfd97a35</t>
  </si>
  <si>
    <t>EXHIBIT_EMAIL_20250114_456_6e0861a9</t>
  </si>
  <si>
    <t>2025-01-14T05:42:21-04:00</t>
  </si>
  <si>
    <t>Email: Re: Holiday and second proposal</t>
  </si>
  <si>
    <t>6e0861a9e020793fb166b52afee6a15b9222de627852cc40ac7b07a73684d5c3</t>
  </si>
  <si>
    <t>EXHIBIT_EMAIL_20250113_457_d7bedc54</t>
  </si>
  <si>
    <t>2025-01-13T20:30:57-04:00</t>
  </si>
  <si>
    <t>d7bedc541851662a58b455fb1d86a3996c8c106c169eda096bc9076577fbd481</t>
  </si>
  <si>
    <t>EXHIBIT_EMAIL_20250114_458_12a667e7</t>
  </si>
  <si>
    <t>2025-01-14T00:29:39+00:00</t>
  </si>
  <si>
    <t>12a667e785d0514a621a4620bc5a359048fa686516213dcf8f2b81ca5623de1d</t>
  </si>
  <si>
    <t>EXHIBIT_EMAIL_20250113_459_8d86a61d</t>
  </si>
  <si>
    <t>2025-01-13T17:50:58-04:00</t>
  </si>
  <si>
    <t>8d86a61def7802a0c6abe73745b916b40733ae462da1b79dcd5279e6e07509e1</t>
  </si>
  <si>
    <t>EXHIBIT_EMAIL_20250103_460_a6ac3877</t>
  </si>
  <si>
    <t>2025-01-03T01:33:52-04:00</t>
  </si>
  <si>
    <t>a6ac3877166760b236e26350e37209688bb5da30d0a7b25d67b55fb7efcd864c</t>
  </si>
  <si>
    <t>EXHIBIT_EMAIL_20250103_461_833d7e44</t>
  </si>
  <si>
    <t>2025-01-03T05:30:08+00:00</t>
  </si>
  <si>
    <t>833d7e444954fe2142ef52c4dd832e21911502c95f1ab1effd28dd39e620a17e</t>
  </si>
  <si>
    <t>EXHIBIT_EMAIL_20250102_462_a197bed4</t>
  </si>
  <si>
    <t>2025-01-02T15:02:29-04:00</t>
  </si>
  <si>
    <t>Email: Holiday and second proposal</t>
  </si>
  <si>
    <t>a197bed4d3ca6c2882a03cf5e8f233a9e6fcf1f5613125e68a0af39ccd89bcbc</t>
  </si>
  <si>
    <t>EXHIBIT_EMAIL_20250116_463_76b4701d</t>
  </si>
  <si>
    <t>2025-01-16T00:03:02-08:00</t>
  </si>
  <si>
    <t>Email: 🚀 Your GitHub launch code</t>
  </si>
  <si>
    <t>76b4701db01dad42cf6c404f53532e69c8c4cd196d0e05adb497bec10dbc030e</t>
  </si>
  <si>
    <t>EXHIBIT_EMAIL_20250119_464_0d64ff8a</t>
  </si>
  <si>
    <t>2025-01-19T17:38:34+00:00</t>
  </si>
  <si>
    <t>Email: Reminder: 25% off your next order</t>
  </si>
  <si>
    <t>0d64ff8aa976e7976dee402a8e18aaa7b25c7c242be3172b025bc45e0c5c45bf</t>
  </si>
  <si>
    <t>EXHIBIT_EMAIL_20250203_465_8c82ed9d</t>
  </si>
  <si>
    <t>2025-02-03T19:34:32-08:00</t>
  </si>
  <si>
    <t>Email: [placedsj/Shedding] Run failed: Python package - main (909df78)</t>
  </si>
  <si>
    <t>8c82ed9dc5fd683fe476d8ca35f07aad0381740e6666400be2833807efeb6816</t>
  </si>
  <si>
    <t>EXHIBIT_EMAIL_20250114_466_590e9f85</t>
  </si>
  <si>
    <t>2025-01-14T10:02:17-08:00</t>
  </si>
  <si>
    <t>Email: Discover additional ways to make the most of Copilot</t>
  </si>
  <si>
    <t>590e9f857a54f652ac54688327e7c1c9dc9f6a3a3fc5d51774c2481853b19ef6</t>
  </si>
  <si>
    <t>EXHIBIT_EMAIL_20250127_467_615a0f45</t>
  </si>
  <si>
    <t>2025-01-27T12:20:06-06:00</t>
  </si>
  <si>
    <t>Email: Gear up for game day your way</t>
  </si>
  <si>
    <t>615a0f453bf38187284bbf66bba560e80d8560ee28aa5f7779eb9d1c1d3dfbb5</t>
  </si>
  <si>
    <t>EXHIBIT_EMAIL_20250116_468_9eb30b75</t>
  </si>
  <si>
    <t>2025-01-16T02:18:16-08:00</t>
  </si>
  <si>
    <t>Email: K: Welcome to Google AI Studio</t>
  </si>
  <si>
    <t>9eb30b75d129e1dd2a2db0ca80d426e6eb18d64aaa4d9f806bbf891ac4eaa072</t>
  </si>
  <si>
    <t>EXHIBIT_EMAIL_20250121_469_f2828d9e</t>
  </si>
  <si>
    <t>2025-01-21T06:33:30-08:00</t>
  </si>
  <si>
    <t>Email: Simplify your shots instantly</t>
  </si>
  <si>
    <t>f2828d9e0b49c730a84cf48605523d085d97ee70f3a5f5a8fa867aadcff5f7a0</t>
  </si>
  <si>
    <t>EXHIBIT_EMAIL_20250116_470_54c2c449</t>
  </si>
  <si>
    <t>2025-01-16T15:09:31+00:00</t>
  </si>
  <si>
    <t>Email: Get started with Wix Events</t>
  </si>
  <si>
    <t>54c2c449fe91f85e9ac474169ded5705f337aeac911f7584f839333fce44ada6</t>
  </si>
  <si>
    <t>EXHIBIT_EMAIL_20250114_471_89b93d11</t>
  </si>
  <si>
    <t>2025-01-14T03:23:36-04:00</t>
  </si>
  <si>
    <t>Email: Re: Hello</t>
  </si>
  <si>
    <t>89b93d11cd9163b09a88a3132f9e6200044c2117c25ccb5d2cb6ca6e7e97a844</t>
  </si>
  <si>
    <t>EXHIBIT_EMAIL_20250114_472_f24d329d</t>
  </si>
  <si>
    <t>2025-01-14T03:06:52-04:00</t>
  </si>
  <si>
    <t>f24d329d0e73a9805136d97eb5ba67ba17a48ff3eba67d3784bd3de242efce91</t>
  </si>
  <si>
    <t>EXHIBIT_EMAIL_20250114_473_a2c33c95</t>
  </si>
  <si>
    <t>2025-01-14T03:06:06-04:00</t>
  </si>
  <si>
    <t>Email: Hello</t>
  </si>
  <si>
    <t>a2c33c9574d6d699c8eaf757e8ee833746789b6e54c97cf1bd696a611744c64a</t>
  </si>
  <si>
    <t>EXHIBIT_EMAIL_20250119_474_51e1fdca</t>
  </si>
  <si>
    <t>2025-01-19T18:38:12-05:00</t>
  </si>
  <si>
    <t>Email: Need help getting started? Let’s set up a 1:1</t>
  </si>
  <si>
    <t>51e1fdca11d899f52d998067e3b98eb2b1e16c9742d30b7a7e768acd749b7dcf</t>
  </si>
  <si>
    <t>EXHIBIT_EMAIL_20250204_475_07b3c49a</t>
  </si>
  <si>
    <t>2025-02-04T00:07:05+00:00</t>
  </si>
  <si>
    <t>Email: Start creating today – editing doesn't have to be hard</t>
  </si>
  <si>
    <t>07b3c49a48f0b7060af9898bd117e3992296eed4b2fd91de9d80f8cacaaf5ce0</t>
  </si>
  <si>
    <t>EXHIBIT_EMAIL_20250116_476_66214db9</t>
  </si>
  <si>
    <t>2025-01-16T13:01:58-05:00</t>
  </si>
  <si>
    <t>Email: Up to 70% off – Don't Wait! 🏃‍♂️</t>
  </si>
  <si>
    <t>66214db95808e9572051abe2f0dde0288880ba7347d6ac19894a51c5eac91ded</t>
  </si>
  <si>
    <t>EXHIBIT_EMAIL_20250116_477_76a26053</t>
  </si>
  <si>
    <t>2025-01-16T17:38:18+00:00</t>
  </si>
  <si>
    <t>Email: Ding-dong! It’s 25% off delivery!</t>
  </si>
  <si>
    <t>76a26053bc8ae7946e201323e002d2380ace6f87e0c887c34c2ad830b6d6111d</t>
  </si>
  <si>
    <t>EXHIBIT_EMAIL_20250120_478_548439d7</t>
  </si>
  <si>
    <t>2025-01-20T14:00:13+00:00</t>
  </si>
  <si>
    <t>Email: craig- set delivery preferences now</t>
  </si>
  <si>
    <t>548439d70524a13103dba061d255b12970a9b5a663fb8d718281e6538ca71978</t>
  </si>
  <si>
    <t>EXHIBIT_EMAIL_20250121_479_a64453ca</t>
  </si>
  <si>
    <t>2025-01-21T21:09:20+00:00</t>
  </si>
  <si>
    <t>Email: We miss you. So dive back into ad-free music listening.</t>
  </si>
  <si>
    <t>a64453ca13fe0905585f1c0fcd41c604ed7781111ec392159c16415782b1f6ca</t>
  </si>
  <si>
    <t>EXHIBIT_EMAIL_20250206_480_e799aaba</t>
  </si>
  <si>
    <t>2025-02-06T14:58:52+00:00</t>
  </si>
  <si>
    <t>Email: Family account invite sent to Stacey</t>
  </si>
  <si>
    <t>e799aaba3290e8ef2e7f648b4de61fb2f01d765ecf163e0b045838ab04ae061d</t>
  </si>
  <si>
    <t>EXHIBIT_EMAIL_20250119_481_24f8da85</t>
  </si>
  <si>
    <t>2025-01-19T13:44:53-06:00</t>
  </si>
  <si>
    <t>Email: Upgrade to remove ads from your site.</t>
  </si>
  <si>
    <t>24f8da85c3226dfa9c4ed6dd015bcefbcbc01f0e93b9a2e2fa9bf3098224515a</t>
  </si>
  <si>
    <t>EXHIBIT_EMAIL_20250115_482_d9678439</t>
  </si>
  <si>
    <t>2025-01-15T06:00:08+00:00</t>
  </si>
  <si>
    <t>Email: vroofn, you have free spins on The Belt of Champion! 👑</t>
  </si>
  <si>
    <t>d96784390481aacae8bbe772c2e1c979e7db15ba406b363ecd8e0ac258610d06</t>
  </si>
  <si>
    <t>EXHIBIT_EMAIL_20250118_483_204b95a7</t>
  </si>
  <si>
    <t>2025-01-18T20:04:41+00:00</t>
  </si>
  <si>
    <t>Email: Save on the tastes you crave</t>
  </si>
  <si>
    <t>204b95a7bfa0c4b564da8fb9743ab4b0fc6f5cc918d959f84e49d6a904668b10</t>
  </si>
  <si>
    <t>EXHIBIT_EMAIL_20250122_484_b360e37d</t>
  </si>
  <si>
    <t>2025-01-22T06:00:08+00:00</t>
  </si>
  <si>
    <t>Email: vroofn, Play with a 120% Bonus + 30 Free Spins! 🔥</t>
  </si>
  <si>
    <t>b360e37dad79fb0317b6491fc6727a3e67f4807405bc1a2cb008797d6d40bfba</t>
  </si>
  <si>
    <t>EXHIBIT_EMAIL_20250113_485_602e5bf0</t>
  </si>
  <si>
    <t>2025-01-13T19:05:45+00:00</t>
  </si>
  <si>
    <t>Email: Your appreciation chip is here, Dawn!</t>
  </si>
  <si>
    <t>602e5bf07ec7ec891d40625afc823532e63d6b22371e1ed58677429f6daf271b</t>
  </si>
  <si>
    <t>EXHIBIT_EMAIL_20250115_486_91b7aa96</t>
  </si>
  <si>
    <t>2025-01-15T09:40:00-04:00</t>
  </si>
  <si>
    <t>Email: Re: Harper.</t>
  </si>
  <si>
    <t>91b7aa9662de4cfdc67eb989df063544d82babca20c782add8f34cd69615ebdd</t>
  </si>
  <si>
    <t>EXHIBIT_EMAIL_20250115_487_d389260f</t>
  </si>
  <si>
    <t>2025-01-15T08:48:02-04:00</t>
  </si>
  <si>
    <t>Email: Harper.</t>
  </si>
  <si>
    <t>d389260f43c4c87585ed07fbf4db1d35a3a9b63b4507404600505890df315555</t>
  </si>
  <si>
    <t>EXHIBIT_EMAIL_20250121_488_c0812fee</t>
  </si>
  <si>
    <t>2025-01-21T00:58:18+00:00</t>
  </si>
  <si>
    <t>c0812fee6dcd0a4990829bb4494c43d01453f22f21e44a2532d521a094a76df4</t>
  </si>
  <si>
    <t>EXHIBIT_EMAIL_20250222_489_5db5eb26</t>
  </si>
  <si>
    <t>5db5eb26e1a0fcd518bd8c43a3ffc7db563bd5bb196d087a7d3e44f92761fc68</t>
  </si>
  <si>
    <t>EXHIBIT_EMAIL_20250113_490_b5e5cf58</t>
  </si>
  <si>
    <t>2025-01-13T09:20:56-06:00</t>
  </si>
  <si>
    <t>Email: Your free trial is ending on 2025-01-16.</t>
  </si>
  <si>
    <t>b5e5cf5831c7abfae1d82749b88e8bfbe4f6f9cd97e594bb032f781da7a69609</t>
  </si>
  <si>
    <t>EXHIBIT_EMAIL_20250113_491_fa274368</t>
  </si>
  <si>
    <t>2025-01-13T21:46:56+00:00</t>
  </si>
  <si>
    <t>fa2743689f046698dca866a1ed50196292b96ba77144a685ff70f27831a3ee1a</t>
  </si>
  <si>
    <t>EXHIBIT_EMAIL_20250129_492_b6bc2b38</t>
  </si>
  <si>
    <t>2025-01-29T01:44:31+00:00</t>
  </si>
  <si>
    <t>b6bc2b385c7e3fb7e0fab5d8829157faf711d7b0ea73f7bd03fc0992cd370cfe</t>
  </si>
  <si>
    <t>EXHIBIT_EMAIL_20250129_493_8a3e6b65</t>
  </si>
  <si>
    <t>2025-01-29T10:01:52-06:00</t>
  </si>
  <si>
    <t>Email: Hot finds! $16 &amp; under women's swimwear 🩱</t>
  </si>
  <si>
    <t>8a3e6b65d9c844a7c2c3b4490240448499f8f0c0f62dc1030932e8fa1119f6ab</t>
  </si>
  <si>
    <t>EXHIBIT_EMAIL_20250127_494_be51af74</t>
  </si>
  <si>
    <t>2025-01-27T13:30:52-05:00</t>
  </si>
  <si>
    <t>Email: Buy 1, Get 1  50% off Select Titles &amp; More!</t>
  </si>
  <si>
    <t>be51af7478afcf7e261c71e7d7b7c6d54bceaf3cbf23daf7c6795a9a1d66ea3c</t>
  </si>
  <si>
    <t>EXHIBIT_EMAIL_20250225_495_58a13d6a</t>
  </si>
  <si>
    <t>2025-02-25T07:02:29-06:00</t>
  </si>
  <si>
    <t>Email: Get your day off to a Mega start!</t>
  </si>
  <si>
    <t>58a13d6a821a97db2f6e8c61871fa46013f73ffccc525f7f4e97e8a37212d3d7</t>
  </si>
  <si>
    <t>EXHIBIT_EMAIL_20250114_496_4ec9660e</t>
  </si>
  <si>
    <t>2025-01-14T19:49:49-08:00</t>
  </si>
  <si>
    <t>Email: charliewharlie369, see cyrtara, jbu71 and more in your feed</t>
  </si>
  <si>
    <t>4ec9660e95be44c2ff075f15026b542b85c377af32294471c75087edb5b1d6ef</t>
  </si>
  <si>
    <t>EXHIBIT_EMAIL_20250123_497_42eb7a24</t>
  </si>
  <si>
    <t>2025-01-23T12:02:00+00:00</t>
  </si>
  <si>
    <t>Email: How about a $5 Snackwich Bundle!</t>
  </si>
  <si>
    <t>42eb7a24ab27475c48c9a288c93f49900ca12f68298b0d3e8ffc9fc269f6edbb</t>
  </si>
  <si>
    <t>EXHIBIT_EMAIL_20250118_498_493ce868</t>
  </si>
  <si>
    <t>2025-01-18T00:03:43+00:00</t>
  </si>
  <si>
    <t>493ce8680a50d69b68af567b2ddfb853365347b3b8234e08ac7b2deaeee19a7b</t>
  </si>
  <si>
    <t>EXHIBIT_EMAIL_20250126_499_1d7b467a</t>
  </si>
  <si>
    <t>2025-01-26T02:12:04+00:00</t>
  </si>
  <si>
    <t>Email: Rachel on Netflix 🎀 &amp; baby tax perks 💰</t>
  </si>
  <si>
    <t>1d7b467a0b8c285b36968c9c3e0ab358ca1f9cd0fa573205a2df1906ffc35305</t>
  </si>
  <si>
    <t>EXHIBIT_EMAIL_20250126_500_a7f6f703</t>
  </si>
  <si>
    <t>2025-01-26T17:39:07+00:00</t>
  </si>
  <si>
    <t>Email: Last day, B! Take 25% off your next order.</t>
  </si>
  <si>
    <t>a7f6f70375ce714ce4f36573579500c07c72478a5de0c4e853c9f3c5d7ffbc9a</t>
  </si>
  <si>
    <t>EXHIBIT_EMAIL_20250114_501_595e2479</t>
  </si>
  <si>
    <t>2025-01-14T03:10:02-08:00</t>
  </si>
  <si>
    <t>Email: Your review reached 50 views 📝</t>
  </si>
  <si>
    <t>595e24793318f489a3fcd4aef03c08db98cfec59860347a19a78b62af7c5d74e</t>
  </si>
  <si>
    <t>EXHIBIT_EMAIL_20250222_502_3bb6ac9a</t>
  </si>
  <si>
    <t>2025-02-22T12:12:16-06:00</t>
  </si>
  <si>
    <t>Email: Shop at Amazon.ca with monthly payments</t>
  </si>
  <si>
    <t>3bb6ac9ad1f9c8964c8a724c1778af385c4decb9bbab8602515fc69798ab45c3</t>
  </si>
  <si>
    <t>EXHIBIT_EMAIL_20250113_503_154256a9</t>
  </si>
  <si>
    <t>2025-01-13T15:06:18+00:00</t>
  </si>
  <si>
    <t>Email: Your next opportunity is waiting for you 👋</t>
  </si>
  <si>
    <t>154256a9f0c468d8b5eed0ac4e09788b1e372246fbbcea7b35bf1dfb49e8e3a7</t>
  </si>
  <si>
    <t>EXHIBIT_EMAIL_20250117_504_5a3f150f</t>
  </si>
  <si>
    <t>2025-01-17T19:44:09-08:00</t>
  </si>
  <si>
    <t>Email: Sign up for an exclusive $100 e-voucher</t>
  </si>
  <si>
    <t>5a3f150f440295dab78fe0be974c1fabe8b0bde7781548df8dde00c2c70548a3</t>
  </si>
  <si>
    <t>EXHIBIT_EMAIL_20250210_505_504e5fb3</t>
  </si>
  <si>
    <t>2025-02-10T06:18:44+01:00</t>
  </si>
  <si>
    <t>504e5fb32f4a144062828d6a120f8197683459ef8d34fc1297187e9dc83245ae</t>
  </si>
  <si>
    <t>EXHIBIT_EMAIL_20250120_506_2ae9d199</t>
  </si>
  <si>
    <t>2025-01-20T01:52:37+00:00</t>
  </si>
  <si>
    <t>Email: Get free replacement parts for your breast pump</t>
  </si>
  <si>
    <t>2ae9d19900955e2cd2ba184f5190e9206adc90641274f8c2cc6e66d5bac5c066</t>
  </si>
  <si>
    <t>EXHIBIT_EMAIL_20250121_507_b778b503</t>
  </si>
  <si>
    <t>2025-01-21T04:47:23+00:00</t>
  </si>
  <si>
    <t>Email: Share request for "012225"</t>
  </si>
  <si>
    <t>b778b503c2903db4224f69ee22f519bb67105d890896e42bddc3a8313527c789</t>
  </si>
  <si>
    <t>EXHIBIT_EMAIL_20250214_508_f5887ecc</t>
  </si>
  <si>
    <t>2025-02-14T23:03:42+00:00</t>
  </si>
  <si>
    <t>Email: Congrats! Chris David</t>
  </si>
  <si>
    <t>f5887eccf45944d05e0f122ce78b42b257ae1b9a85f9a085009658da527ea437</t>
  </si>
  <si>
    <t>EXHIBIT_EMAIL_20250214_509_43a3b057</t>
  </si>
  <si>
    <t>2025-02-14T11:22:24-06:00</t>
  </si>
  <si>
    <t>Email: Celebrate Valentine's Day with low prices ❤️</t>
  </si>
  <si>
    <t>43a3b0576098460ad6b76c9ad620490d25853a66edaf7551aa2810d943860629</t>
  </si>
  <si>
    <t>EXHIBIT_EMAIL_20250115_510_84c6aeba</t>
  </si>
  <si>
    <t>2025-01-15T08:59:32+00:00</t>
  </si>
  <si>
    <t>Email: Reminder: Your welcome offer expires tomorrow</t>
  </si>
  <si>
    <t>84c6aebaa5f03f5e9153d54721bc8d0f52fc3c974b4ee287db64916339cd6a94</t>
  </si>
  <si>
    <t>EXHIBIT_EMAIL_20250129_511_6f588c0f</t>
  </si>
  <si>
    <t>2025-01-29T06:00:29+00:00</t>
  </si>
  <si>
    <t>Email: vroofn, Get a 200% Bonus! ✨</t>
  </si>
  <si>
    <t>6f588c0fec4c6ca8fdbca7caf88c9241e857382d9591dfbabd7be5ed1c7e7b8d</t>
  </si>
  <si>
    <t>EXHIBIT_EMAIL_20250121_512_d5e17a3a</t>
  </si>
  <si>
    <t>2025-01-21T05:15:33+00:00</t>
  </si>
  <si>
    <t>Email: An address was added or updated in your Instacart account</t>
  </si>
  <si>
    <t>d5e17a3aa28b4fdbdbff2274afcf0a3c0d188a99fc76d802df388a3517ca55b7</t>
  </si>
  <si>
    <t>EXHIBIT_EMAIL_20250121_513_662e6ae2</t>
  </si>
  <si>
    <t>2025-01-21T20:49:35+00:00</t>
  </si>
  <si>
    <t>662e6ae2f7952070048071fdf9cfaeb4e6d95b05fc21e9a7e62f12a2fc4095c7</t>
  </si>
  <si>
    <t>EXHIBIT_EMAIL_20250126_514_398cef45</t>
  </si>
  <si>
    <t>2025-01-26T20:01:50+00:00</t>
  </si>
  <si>
    <t>Email: See inside to grab your savings</t>
  </si>
  <si>
    <t>398cef45435340d324429797c9d26b522f4afccb69329368abc7ad827d7d87fa</t>
  </si>
  <si>
    <t>EXHIBIT_EMAIL_20250116_515_d04c569d</t>
  </si>
  <si>
    <t>2025-01-16T07:57:08+00:00</t>
  </si>
  <si>
    <t>Email: [Netlify] Let’s verify your email</t>
  </si>
  <si>
    <t>d04c569d7ddbb7040459bb985b539c99b8d56e945530d4105f49eed095780278</t>
  </si>
  <si>
    <t>EXHIBIT_EMAIL_20250115_516_649aa3b5</t>
  </si>
  <si>
    <t>2025-01-15T06:00:17+00:00</t>
  </si>
  <si>
    <t>Email: vroofn, Play with a 150% Bonus + 25 Free Spins! 👑</t>
  </si>
  <si>
    <t>649aa3b5710315d65431b5e657e6955ff6dd6b266f75291d9219ca4b3fa3bda6</t>
  </si>
  <si>
    <t>EXHIBIT_EMAIL_20250214_517_305d04fc</t>
  </si>
  <si>
    <t>2025-02-14T16:15:25+00:00</t>
  </si>
  <si>
    <t>Email: Vercel January Product Update</t>
  </si>
  <si>
    <t>305d04fc8cce870d95559d0dec2f077ddf63d98a09683e64e6e34a003d1c4dfb</t>
  </si>
  <si>
    <t>EXHIBIT_EMAIL_20250121_518_5f71865c</t>
  </si>
  <si>
    <t>2025-01-21T16:57:43+00:00</t>
  </si>
  <si>
    <t>Email: Your cart item: now 82% OFF!</t>
  </si>
  <si>
    <t>5f71865c5c86807dc15b072b2975b2e846e26af86d3931ea3e719e6797495bf6</t>
  </si>
  <si>
    <t>EXHIBIT_EMAIL_20250226_519_ae1a9dbc</t>
  </si>
  <si>
    <t>2025-02-26T06:50:08+00:00</t>
  </si>
  <si>
    <t>Email: [Jimdo] Your email is confirmed!</t>
  </si>
  <si>
    <t>ae1a9dbc598303ff3e2c92a48d6a3a574fa7f655e17cb045cd5d4b1499c14db4</t>
  </si>
  <si>
    <t>EXHIBIT_EMAIL_20250223_520_b389b096</t>
  </si>
  <si>
    <t>b389b0961b799acb7b80d0155dd08b52049a35c8fc1ecb8a51433a74e30bde89</t>
  </si>
  <si>
    <t>EXHIBIT_EMAIL_20250124_521_caed4d20</t>
  </si>
  <si>
    <t>2025-01-24T17:15:02+00:00</t>
  </si>
  <si>
    <t>Email: Babylist Clearance Event: up to 75% off (🏃while supplies last)</t>
  </si>
  <si>
    <t>caed4d2023fa3c4cbf9f87a275dd3896f7d8f2930ca8ec538a2a5d8ef0398ae5</t>
  </si>
  <si>
    <t>EXHIBIT_EMAIL_20250123_522_b12c58fb</t>
  </si>
  <si>
    <t>2025-01-23T21:00:26+00:00</t>
  </si>
  <si>
    <t>Email: Boost Your Local Business Visibility: Tips for More Customers!</t>
  </si>
  <si>
    <t>b12c58fb07c10377832dfc4baf64d659e0497cc94ca771a501d89d1bf5b7c4c9</t>
  </si>
  <si>
    <t>EXHIBIT_EMAIL_20250117_523_f6f26a3c</t>
  </si>
  <si>
    <t>2025-01-17T09:45:23-06:00</t>
  </si>
  <si>
    <t>Email: Low prices on smoothies, salads &amp; more grocery 🥤🥗</t>
  </si>
  <si>
    <t>f6f26a3cbeb5b9f8566673a26fe3b3c359be61a0496ec4d66175adb718679a79</t>
  </si>
  <si>
    <t>EXHIBIT_EMAIL_20250120_524_46d51789</t>
  </si>
  <si>
    <t>2025-01-20T12:26:38+00:00</t>
  </si>
  <si>
    <t>Email: Semi-Annual Sale starts NOW 👇 Up to 30% off almost everything</t>
  </si>
  <si>
    <t>46d51789454f30dc2942f6cf0841e9a796adda622b717e42806f4c7f028b9a93</t>
  </si>
  <si>
    <t>EXHIBIT_EMAIL_20250121_525_a86e891c</t>
  </si>
  <si>
    <t>2025-01-21T12:01:01+00:00</t>
  </si>
  <si>
    <t>Email: As an MVP, we want you to feel like a VIP.</t>
  </si>
  <si>
    <t>a86e891c9720db5be083ee8c2c821cc67f013126b6290de2dfe38b1412ced434</t>
  </si>
  <si>
    <t>EXHIBIT_EMAIL_20250131_526_3f6f4ae1</t>
  </si>
  <si>
    <t>2025-01-31T13:06:50+01:00</t>
  </si>
  <si>
    <t>Email: Encore une fois</t>
  </si>
  <si>
    <t>3f6f4ae107053b3cd898b7f850329af14c6f4bce20ae9d5c485eb4a76112ab36</t>
  </si>
  <si>
    <t>EXHIBIT_EMAIL_20250130_527_538f903c</t>
  </si>
  <si>
    <t>2025-01-30T11:17:34+00:00</t>
  </si>
  <si>
    <t>Email: You were on a roll. Keep it going.</t>
  </si>
  <si>
    <t>538f903c3d8934cb883f3f8f330f8547b6a8990d68718aa95ce26125eb3185f9</t>
  </si>
  <si>
    <t>EXHIBIT_EMAIL_20250115_528_3bdacec9</t>
  </si>
  <si>
    <t>2025-01-15T14:22:41+00:00</t>
  </si>
  <si>
    <t>Email: Put your $10 off towards more than just groceries</t>
  </si>
  <si>
    <t>3bdacec93458c13cd3d3243f64ba59af024946612e8dc493f4529ed25a391529</t>
  </si>
  <si>
    <t>EXHIBIT_EMAIL_20250130_529_0db46152</t>
  </si>
  <si>
    <t>2025-01-30T08:48:21+00:00</t>
  </si>
  <si>
    <t>Email: SJ PLACED - 🚀 Boost Your Business with Our Exclusive Plans!</t>
  </si>
  <si>
    <t>0db46152593e2c7840a4b46623bc39917c307ee769dd21b87d168df9da7200f9</t>
  </si>
  <si>
    <t>EXHIBIT_EMAIL_20250115_530_e4b4627e</t>
  </si>
  <si>
    <t>2025-01-15T19:15:15+01:00</t>
  </si>
  <si>
    <t>e4b4627eda3fb9240dd2900157ead0d9b5cc4b6fd59168370910d8c891f73bc7</t>
  </si>
  <si>
    <t>EXHIBIT_EMAIL_20250120_531_084acbb7</t>
  </si>
  <si>
    <t>2025-01-20T21:25:50-08:00</t>
  </si>
  <si>
    <t>Email: Don’t miss your $100 e-voucher</t>
  </si>
  <si>
    <t>084acbb7ccbb4147399babf643341de2307fca3f32ffdb31998a9466ddd92182</t>
  </si>
  <si>
    <t>EXHIBIT_EMAIL_20250120_532_5828f882</t>
  </si>
  <si>
    <t>2025-01-20T12:00:05+01:00</t>
  </si>
  <si>
    <t>Email: Économise jusqu’à 60 %, mais pas pour longtemps</t>
  </si>
  <si>
    <t>5828f88279da70b3dc93ea97f3c02b29303aa61e55f6505098f9d58130f1007f</t>
  </si>
  <si>
    <t>EXHIBIT_EMAIL_20250219_533_852b5673</t>
  </si>
  <si>
    <t>2025-02-19T14:01:37+00:00</t>
  </si>
  <si>
    <t>Email: 🤖 Make AI Work for Your Shed Business - Webinar Feb 20th</t>
  </si>
  <si>
    <t>852b5673988167527d87c2fc5d7044664d267d962ba7af8c07b60fd196a097b2</t>
  </si>
  <si>
    <t>EXHIBIT_EMAIL_20250120_534_7f9084ce</t>
  </si>
  <si>
    <t>2025-01-20T19:51:15+00:00</t>
  </si>
  <si>
    <t>7f9084ce053085b5e0dbe93f2761d9e87e2372513b88ef9e4f9d51ef2df93540</t>
  </si>
  <si>
    <t>EXHIBIT_EMAIL_20250118_535_7cdd9b10</t>
  </si>
  <si>
    <t>2025-01-18T09:38:00-06:00</t>
  </si>
  <si>
    <t>Email: Clearance appliances, electronics &amp; more 💛</t>
  </si>
  <si>
    <t>7cdd9b1041c6e5472b2fc68464cb078407e6121d0a006356c4f661a997ec154f</t>
  </si>
  <si>
    <t>EXHIBIT_EMAIL_20250115_536_116900dd</t>
  </si>
  <si>
    <t>2025-01-15T11:05:59+00:00</t>
  </si>
  <si>
    <t>Email: 4 Kitchen Makeovers in About 195 Square Feet | Pros Share Strategies for Leading Under Pressure</t>
  </si>
  <si>
    <t>116900dd6c7dd1b3aced134f61df257cc431f4a9a99974485a36731ad04fe1cc</t>
  </si>
  <si>
    <t>EXHIBIT_EMAIL_20250224_537_8fa48375</t>
  </si>
  <si>
    <t>2025-02-24T07:15:05+00:00</t>
  </si>
  <si>
    <t>Email: Your 3 keys for building in Notion</t>
  </si>
  <si>
    <t>8fa48375847de13cfd68f07e11186213667388483a5a6291baa31f89112b96e7</t>
  </si>
  <si>
    <t>EXHIBIT_EMAIL_20250122_538_c1f2581b</t>
  </si>
  <si>
    <t>2025-01-22T18:10:16-06:00</t>
  </si>
  <si>
    <t>Email: The Cuba you never knew existed</t>
  </si>
  <si>
    <t>c1f2581b5e651eabe4dea536581103ac83d33936b8413b9c761b04b590cf749e</t>
  </si>
  <si>
    <t>EXHIBIT_EMAIL_20250204_539_7b4855b5</t>
  </si>
  <si>
    <t>2025-02-04T10:08:58-06:00</t>
  </si>
  <si>
    <t>Email: Grocery 🧀 Appliances ☕ &amp; more savings 😀</t>
  </si>
  <si>
    <t>7b4855b5f5f653c83c6c43f17e7526e644d20ef480ec1514cb938dbc95790673</t>
  </si>
  <si>
    <t>EXHIBIT_EMAIL_20250131_540_ccc0f508</t>
  </si>
  <si>
    <t>2025-01-31T12:03:37+00:00</t>
  </si>
  <si>
    <t>Email: Get a 6” Cold Cut Combo or Ham sub for only $4.99.</t>
  </si>
  <si>
    <t>ccc0f5087227be62de34029eb653bbea1f3ecbd96321c17956ffbda89f692341</t>
  </si>
  <si>
    <t>EXHIBIT_EMAIL_20250202_541_c31545d5</t>
  </si>
  <si>
    <t>c31545d56837820c20cc936526d0b9ac4066bb8296d05cf72049e7711a214b49</t>
  </si>
  <si>
    <t>EXHIBIT_EMAIL_20250118_542_54093328</t>
  </si>
  <si>
    <t>2025-01-18T05:08:58+01:00</t>
  </si>
  <si>
    <t>540933289494ccaf9bcf892ec75ea90bc5bdcc6d96f9f800692525cc58bd7f72</t>
  </si>
  <si>
    <t>EXHIBIT_EMAIL_20250116_543_34b142e7</t>
  </si>
  <si>
    <t>2025-01-16T01:20:36-07:00</t>
  </si>
  <si>
    <t>Email: Confirm your account on Heroku</t>
  </si>
  <si>
    <t>34b142e7dc6d922c416cc56fc91710e5aa4827ffd08c77a684c93b4598ac79d2</t>
  </si>
  <si>
    <t>EXHIBIT_EMAIL_20250118_544_d406da86</t>
  </si>
  <si>
    <t>2025-01-18T14:22:27+00:00</t>
  </si>
  <si>
    <t>Email: Psst...get $10—good for delivery or pickup</t>
  </si>
  <si>
    <t>d406da861eb707b2e7eb360a6ca52beedfd15a705ceb074feabdebfd85a8e6df</t>
  </si>
  <si>
    <t>EXHIBIT_EMAIL_20250117_545_c453dc84</t>
  </si>
  <si>
    <t>2025-01-17T18:39:31-05:00</t>
  </si>
  <si>
    <t>Email: Next step: Connect your e-commerce store</t>
  </si>
  <si>
    <t>c453dc848f4d03bce838f7a60ca5766f3223776a5a4aab0e6aaed2d5c3151537</t>
  </si>
  <si>
    <t>EXHIBIT_EMAIL_20250119_546_9402d859</t>
  </si>
  <si>
    <t>2025-01-19T10:54:04+00:00</t>
  </si>
  <si>
    <t>Email: Top Trends in Kitchen Cabinets, Countertops and More | 6 Home Offices With Style and Storage Ideas</t>
  </si>
  <si>
    <t>9402d859ef340bd45a462d5dc84b55f183b4de7819cc495c3ecfcde319e5ba24</t>
  </si>
  <si>
    <t>EXHIBIT_EMAIL_20250115_547_2fe90dce</t>
  </si>
  <si>
    <t>2025-01-15T18:36:33-05:00</t>
  </si>
  <si>
    <t>Email: Connect with your people over email</t>
  </si>
  <si>
    <t>2fe90dce6ba4fc79dc8dd77046e6ed81b645ad81987b72d47cc90b79ca9f4c84</t>
  </si>
  <si>
    <t>EXHIBIT_EMAIL_20250130_548_d37a3b65</t>
  </si>
  <si>
    <t>2025-01-30T12:04:46+00:00</t>
  </si>
  <si>
    <t>Email: Last chance to get 25% off any Footlong!</t>
  </si>
  <si>
    <t>d37a3b65b2397184a05fb02407227dd1721b338fd20a6993b6dcc8c892ceb1f4</t>
  </si>
  <si>
    <t>EXHIBIT_EMAIL_20250105_549_6b730b28</t>
  </si>
  <si>
    <t>2025-01-05T02:15:17+00:00</t>
  </si>
  <si>
    <t>Email: Your resolutions &amp; our fave 2025 baby trends</t>
  </si>
  <si>
    <t>6b730b28f7f27466f80a590960e5487a866c26ab7a809f2d18853011d12aa9b7</t>
  </si>
  <si>
    <t>EXHIBIT_EMAIL_20250114_550_cb2d1045</t>
  </si>
  <si>
    <t>2025-01-14T10:38:56-06:00</t>
  </si>
  <si>
    <t>Email: DEALS ALERT! Don't miss out 🤩</t>
  </si>
  <si>
    <t>cb2d1045c99c9519cba1740a2a3710af37755c1ca7dc4f67958a9fe394b1e6f1</t>
  </si>
  <si>
    <t>EXHIBIT_EMAIL_20250110_551_9d4f80dc</t>
  </si>
  <si>
    <t>2025-01-10T10:49:05-06:00</t>
  </si>
  <si>
    <t>Email: Complete your order today: Plus a 25% coupon code.</t>
  </si>
  <si>
    <t>9d4f80dc30562c8aea8f17a3bb5a695eee93d0b74fc8a8fc48500376a4475b40</t>
  </si>
  <si>
    <t>EXHIBIT_EMAIL_20250111_552_fb4dfcae</t>
  </si>
  <si>
    <t>2025-01-11T18:35:17-05:00</t>
  </si>
  <si>
    <t>Email: Welcome to Mailchimp</t>
  </si>
  <si>
    <t>fb4dfcaeec3b00be95e5884d1e6b26104b299213a26b9b1df7b51a08a7060bec</t>
  </si>
  <si>
    <t>EXHIBIT_EMAIL_20250212_553_3594047d</t>
  </si>
  <si>
    <t>2025-02-12T12:48:29+00:00</t>
  </si>
  <si>
    <t>Email: RE: NBASW</t>
  </si>
  <si>
    <t>3594047d4e66d5082fd872c41b63437241d16098fa5f9d85410789f796f7096b</t>
  </si>
  <si>
    <t>EXHIBIT_EMAIL_20250211_554_0d4b3d26</t>
  </si>
  <si>
    <t>2025-02-11T23:50:16-04:00</t>
  </si>
  <si>
    <t>Email: Re: NBASW</t>
  </si>
  <si>
    <t>0d4b3d26a733050d703f5eb84f4e16cf6170a64d3be0a06af30a2e7036052f34</t>
  </si>
  <si>
    <t>EXHIBIT_EMAIL_20250210_555_ede1c897</t>
  </si>
  <si>
    <t>2025-02-10T13:04:21-04:00</t>
  </si>
  <si>
    <t>Email: Fwd: NBASW</t>
  </si>
  <si>
    <t>ede1c89799f086443235c931c654487ffa72b07c863deed029ad9408bc6a3d10</t>
  </si>
  <si>
    <t>EXHIBIT_EMAIL_20250210_556_4c6411e6</t>
  </si>
  <si>
    <t>2025-02-10T13:04:04-04:00</t>
  </si>
  <si>
    <t>4c6411e612dd5e4e1789b67abc84280c914ad423628cc3d115996fd159b464e4</t>
  </si>
  <si>
    <t>EXHIBIT_EMAIL_20250210_557_8a9a25bd</t>
  </si>
  <si>
    <t>2025-02-10T16:51:00+00:00</t>
  </si>
  <si>
    <t>Email: NBASW</t>
  </si>
  <si>
    <t>8a9a25bd61f006b25e127b18a992b52c736ee9b8c29087f311681cc20362d07d</t>
  </si>
  <si>
    <t>EXHIBIT_EMAIL_20250112_558_dd82bd83</t>
  </si>
  <si>
    <t>2025-01-12T04:00:09+00:00</t>
  </si>
  <si>
    <t>Email: Don’t miss out on your discount! 🌟</t>
  </si>
  <si>
    <t>dd82bd8349f42e3eab88e02a598228af0b20062d83abcb30592aee3c439b60b3</t>
  </si>
  <si>
    <t>EXHIBIT_EMAIL_20250117_559_cbb6f42b</t>
  </si>
  <si>
    <t>2025-01-17T20:32:51+00:00</t>
  </si>
  <si>
    <t>Email: RE: Craig - good news! (About your handyman service website +</t>
  </si>
  <si>
    <t>Bluehost)"</t>
  </si>
  <si>
    <t>cbb6f42b871b5fa6a753d177b80680358d626c0226aaddb67539ae22807ed709</t>
  </si>
  <si>
    <t>EXHIBIT_EMAIL_20250115_560_a1ba06b5</t>
  </si>
  <si>
    <t>2025-01-15T17:18:46+00:00</t>
  </si>
  <si>
    <t>a1ba06b5e8ef0a497093472344abed909bbc70d16597a4929a3243616f23ed7d</t>
  </si>
  <si>
    <t>EXHIBIT_EMAIL_20250113_561_e6bc809a</t>
  </si>
  <si>
    <t>2025-01-13T15:33:17+00:00</t>
  </si>
  <si>
    <t>Email: Craig - good news! (About your handyman service website + Bluehost)</t>
  </si>
  <si>
    <t>e6bc809a0acd466d7ecc50d273ea90ae856d6ca9d2c377e7902fe782aacb40a1</t>
  </si>
  <si>
    <t>EXHIBIT_EMAIL_20241225_562_75d6ca0c</t>
  </si>
  <si>
    <t>2024-12-25T14:19:04+00:00</t>
  </si>
  <si>
    <t>Email: Our Christmas Sale ends soon</t>
  </si>
  <si>
    <t>75d6ca0c7005d3bc3ec5055bfec9819d109d9c948eea2425a255fcfd8feb6703</t>
  </si>
  <si>
    <t>EXHIBIT_EMAIL_20241231_563_9193fb85</t>
  </si>
  <si>
    <t>2024-12-31T21:48:42+00:00</t>
  </si>
  <si>
    <t>9193fb85dc8c6129de88ee505790746e50ffce30e971108c73d0e735435c0a0b</t>
  </si>
  <si>
    <t>EXHIBIT_EMAIL_20250102_564_c8209446</t>
  </si>
  <si>
    <t>2025-01-02T11:08:26-06:00</t>
  </si>
  <si>
    <t>c82094467dfc262a651e42638ceda4d4e58208531c6782683baa7a2272f73923</t>
  </si>
  <si>
    <t>EXHIBIT_EMAIL_20241230_565_bfb971d5</t>
  </si>
  <si>
    <t>2024-12-30T06:54:25-08:00</t>
  </si>
  <si>
    <t>Email: Fast edits for brilliant photos</t>
  </si>
  <si>
    <t>bfb971d59bb9966ffa4390f45abbadf1c799cdd70df4050e9934e6501b87e11a</t>
  </si>
  <si>
    <t>EXHIBIT_EMAIL_20250224_566_4c969ad4</t>
  </si>
  <si>
    <t>2025-02-24T05:07:03+00:00</t>
  </si>
  <si>
    <t>Email: Your app placed-76468 has hit 100% of its database limit</t>
  </si>
  <si>
    <t>4c969ad49eaf1215a1408df41325dde61ffdca6f995395ab11fbdef431623911</t>
  </si>
  <si>
    <t>EXHIBIT_EMAIL_20250104_567_88396f7c</t>
  </si>
  <si>
    <t>2025-01-04T10:31:59-08:00</t>
  </si>
  <si>
    <t>Email: Copilot your AI companion is here to assist you</t>
  </si>
  <si>
    <t>88396f7ce8e43c967a84e3bd3e4ff88835ea51c84ee687b065a6b6af3b2ac6a8</t>
  </si>
  <si>
    <t>EXHIBIT_EMAIL_20250108_568_b59afd6c</t>
  </si>
  <si>
    <t>2025-01-08T02:38:21+00:00</t>
  </si>
  <si>
    <t>b59afd6c18aa148590ca79b8b6374d339ec3ce36d84996497ae8e6216f1ae199</t>
  </si>
  <si>
    <t>EXHIBIT_EMAIL_20250111_569_4e58c233</t>
  </si>
  <si>
    <t>2025-01-11T03:00:09+00:00</t>
  </si>
  <si>
    <t>Email: So, what happened between us?</t>
  </si>
  <si>
    <t>4e58c2339690e227bbc80fe59dea0f96b406edd686edb39d43be1308b94d8391</t>
  </si>
  <si>
    <t>EXHIBIT_EMAIL_20241229_570_3b12e1c7</t>
  </si>
  <si>
    <t>2024-12-29T07:07:36-05:00</t>
  </si>
  <si>
    <t>Email: 🧩 20% off Games &amp; Puzzles + More BIG Deals</t>
  </si>
  <si>
    <t>3b12e1c74d37cc9c751a8e4295d56c4d47b4a73d99828aec77ed58fcbdf04f3a</t>
  </si>
  <si>
    <t>EXHIBIT_EMAIL_20250122_571_5e72c419</t>
  </si>
  <si>
    <t>2025-01-22T12:57:21+00:00</t>
  </si>
  <si>
    <t>Email: 🛒A message from your cart:</t>
  </si>
  <si>
    <t>5e72c419d3afa0ee470aaa26d861a9dd0e286dc29c45b642a8580a1da5be28b9</t>
  </si>
  <si>
    <t>EXHIBIT_EMAIL_20241231_572_94344011</t>
  </si>
  <si>
    <t>2024-12-31T09:22:51-06:00</t>
  </si>
  <si>
    <t>Email: Hurry — get $10 off 🏃‍♂️</t>
  </si>
  <si>
    <t>943440112975980ff97d1df31ac64b55ef2451d4001b6d0dea56f142c06055cc</t>
  </si>
  <si>
    <t>EXHIBIT_EMAIL_20250106_573_28e9fd21</t>
  </si>
  <si>
    <t>2025-01-06T13:28:13+00:00</t>
  </si>
  <si>
    <t>Email: Don’t miss the Business Savings Event—now through February 17</t>
  </si>
  <si>
    <t>28e9fd21eeb73ea395a6561f1114be27ecf3f5bb799a9f2d5ab75ec8dab0f537</t>
  </si>
  <si>
    <t>EXHIBIT_EMAIL_20250110_574_e517055a</t>
  </si>
  <si>
    <t>2025-01-10T09:20:42-06:00</t>
  </si>
  <si>
    <t>Email: Gear up for your goals with groceries &amp; more 💪</t>
  </si>
  <si>
    <t>e517055ad14afbbbbcc0d9b05fd6a6f1f76336478c80d56171d1b2ff10d9e082</t>
  </si>
  <si>
    <t>EXHIBIT_EMAIL_20250103_575_100dc578</t>
  </si>
  <si>
    <t>2025-01-03T17:48:36+00:00</t>
  </si>
  <si>
    <t>Email: 🚗 Beep beep: Your offers are waiting</t>
  </si>
  <si>
    <t>100dc578b8b56755b73af7145f8e2d2c02aa96a24a857fca46bfe36c7a1687a3</t>
  </si>
  <si>
    <t>EXHIBIT_EMAIL_20250104_576_321f9a2b</t>
  </si>
  <si>
    <t>2025-01-04T21:50:07+00:00</t>
  </si>
  <si>
    <t>Email: Your cart item: now 83% OFF!</t>
  </si>
  <si>
    <t>321f9a2b30466fd846fa4cc532148e915103bf4c12960d87b36aa897040b7be7</t>
  </si>
  <si>
    <t>EXHIBIT_EMAIL_20250131_577_4131d619</t>
  </si>
  <si>
    <t>2025-01-31T15:41:18-06:00</t>
  </si>
  <si>
    <t>Email: Streamline Your Heroku Development with Git Push</t>
  </si>
  <si>
    <t>4131d619f5b1de3973612b46f0c3f7c99d9e64c484d0282651fc5836607ad92e</t>
  </si>
  <si>
    <t>EXHIBIT_EMAIL_20250120_578_daf7ddf4</t>
  </si>
  <si>
    <t>2025-01-20T05:09:04+01:00</t>
  </si>
  <si>
    <t>daf7ddf4061cfb3d7307e1806b3c4c7136ed851dbdbc5a0f57b84914e21939b7</t>
  </si>
  <si>
    <t>EXHIBIT_EMAIL_20250114_579_32ac2ea7</t>
  </si>
  <si>
    <t>2025-01-14T13:29:11-06:00</t>
  </si>
  <si>
    <t>Email: Is your brand forgettable? 🤔</t>
  </si>
  <si>
    <t>32ac2ea7938f7acdcb8478227e41ff7195d161be0ace7961d7d4fb34e7f1a33d</t>
  </si>
  <si>
    <t>EXHIBIT_EMAIL_20241230_580_0b6a9d94</t>
  </si>
  <si>
    <t>2024-12-30T15:21:45+00:00</t>
  </si>
  <si>
    <t>Email: BOXING DAY SALE ends tomorrow! Up to 30% off our top products</t>
  </si>
  <si>
    <t>0b6a9d94591a81be24aa8d5b17b2b2967f9484567fe59543cb2816c9d41ef748</t>
  </si>
  <si>
    <t>EXHIBIT_EMAIL_20250111_581_e2f5ac57</t>
  </si>
  <si>
    <t>2025-01-11T06:00:06+00:00</t>
  </si>
  <si>
    <t>e2f5ac57de3b68247b193361b789560830a727b61799dcc2207a3c52c23d8103</t>
  </si>
  <si>
    <t>EXHIBIT_EMAIL_20250115_582_b887c610</t>
  </si>
  <si>
    <t>2025-01-15T01:12:20+00:00</t>
  </si>
  <si>
    <t>Email: A new device has logged in to your Shopify account</t>
  </si>
  <si>
    <t>b887c6103f6f04452398736455fbc838c44a0725e22368554e2efe1d05b57811</t>
  </si>
  <si>
    <t>EXHIBIT_EMAIL_20250113_583_07a223e1</t>
  </si>
  <si>
    <t>2025-01-13T14:00:24+00:00</t>
  </si>
  <si>
    <t>Email: Explore our wide product selection</t>
  </si>
  <si>
    <t>07a223e19f906a3c1ad40f0d5bf9a2e368f9fff525a192b46c0ce9104efa570e</t>
  </si>
  <si>
    <t>EXHIBIT_EMAIL_20250103_584_954b0cd8</t>
  </si>
  <si>
    <t>2025-01-03T02:37:40+00:00</t>
  </si>
  <si>
    <t>Email: Stacey, we want to celebrate with you!</t>
  </si>
  <si>
    <t>954b0cd841feee5ebcb612ab71cfa4c10b7c5f14f388f685ab7959b52dc7b337</t>
  </si>
  <si>
    <t>EXHIBIT_EMAIL_20241226_585_5fd005f1</t>
  </si>
  <si>
    <t>2024-12-26T13:07:20+00:00</t>
  </si>
  <si>
    <t>Email: There’s no time to wait. Get your Footlong BOGO today!</t>
  </si>
  <si>
    <t>5fd005f1ab48d15206a160e694b35afbb12b81057a30b00fde0c2dfe2630b656</t>
  </si>
  <si>
    <t>EXHIBIT_EMAIL_20241227_586_d9461dee</t>
  </si>
  <si>
    <t>2024-12-27T21:59:53+01:00</t>
  </si>
  <si>
    <t>Email: Profite de plus gros rabais pendant la semaine d’après Noël</t>
  </si>
  <si>
    <t>d9461dee5d48d47b5042895dad374f186fd9af9795d73bf32e72bef3d3b3bd8b</t>
  </si>
  <si>
    <t>EXHIBIT_EMAIL_20250103_587_a20b7301</t>
  </si>
  <si>
    <t>2025-01-03T14:01:34+01:00</t>
  </si>
  <si>
    <t>Email: ÇA Y EST : la semaine des soldes d’après Noël se termine ce soir</t>
  </si>
  <si>
    <t>a20b730115036f46050682d2b3e255b88087b01f69c7818489dbc26f88f94104</t>
  </si>
  <si>
    <t>EXHIBIT_EMAIL_20241228_588_678b2ab1</t>
  </si>
  <si>
    <t>2024-12-28T00:09:41+00:00</t>
  </si>
  <si>
    <t>Email: SJ PLACED - 🎉 Ring in the New Year with an Exclusive 40% Discount! 🎁</t>
  </si>
  <si>
    <t>678b2ab1ca4b88bb27f137ce4228b9f7d2a21ca123440ef3eb9082f88b0a047f</t>
  </si>
  <si>
    <t>EXHIBIT_EMAIL_20250102_589_bbf99e83</t>
  </si>
  <si>
    <t>2025-01-02T14:51:09-04:00</t>
  </si>
  <si>
    <t>Email: Mr Nice Guy</t>
  </si>
  <si>
    <t>bbf99e83ff9fc98e0ae0615975f13e04c154d3e7e61b8fa900de9ea2d8dfec50</t>
  </si>
  <si>
    <t>EXHIBIT_EMAIL_20250122_590_29f83bbe</t>
  </si>
  <si>
    <t>2025-01-22T17:22:29+00:00</t>
  </si>
  <si>
    <t>Email: You can't sell if you're not open</t>
  </si>
  <si>
    <t>29f83bbef1ddfcb3afd8f9bf71bd3807990e7d18186cc3c3d63373ba76442c4a</t>
  </si>
  <si>
    <t>EXHIBIT_EMAIL_20250110_591_5556ad93</t>
  </si>
  <si>
    <t>2025-01-10T09:19:25-06:00</t>
  </si>
  <si>
    <t>Email: Psst! $20 off is here 👏</t>
  </si>
  <si>
    <t>5556ad93d3cc85ef96e246c5981c78d6623645966c68a3c014440c28fb00f39d</t>
  </si>
  <si>
    <t>EXHIBIT_EMAIL_20250101_592_0c4906b0</t>
  </si>
  <si>
    <t>2025-01-01T01:06:17+00:00</t>
  </si>
  <si>
    <t>Email: New Year, New Chances to Win!</t>
  </si>
  <si>
    <t>0c4906b07fc0ba83cc1de483f26c55058aa67fad9cba23cf425b8415da68de9e</t>
  </si>
  <si>
    <t>EXHIBIT_EMAIL_20250108_593_b0184264</t>
  </si>
  <si>
    <t>2025-01-08T15:42:10+01:00</t>
  </si>
  <si>
    <t>b018426411a472bd3cc14ca5bd88727a6bd8f3321458cd2528958cc84ba243e7</t>
  </si>
  <si>
    <t>EXHIBIT_EMAIL_20241225_594_3f2f0c82</t>
  </si>
  <si>
    <t>2024-12-25T05:24:13+01:00</t>
  </si>
  <si>
    <t>3f2f0c829af22534a2c5384a4421fc9d61750c5d0e65c194c9603b9bfa854ade</t>
  </si>
  <si>
    <t>EXHIBIT_EMAIL_20250113_595_5bc3febe</t>
  </si>
  <si>
    <t>2025-01-13T12:20:56+00:00</t>
  </si>
  <si>
    <t>Email: TODAY ONLY ➡️ Choose your deal</t>
  </si>
  <si>
    <t>5bc3febe700235384cffa55b38762ddbaf5d3b52d40cf0a3e94b4ab1945f3a29</t>
  </si>
  <si>
    <t>EXHIBIT_EMAIL_20250111_596_4bb9be54</t>
  </si>
  <si>
    <t>2025-01-11T09:07:56-05:00</t>
  </si>
  <si>
    <t>Email: My January Reading List &amp; Intentions for 2025</t>
  </si>
  <si>
    <t>4bb9be54f413613ae74cbbfb4f40e75c06b90dd53058314773db78fe4adcfff9</t>
  </si>
  <si>
    <t>EXHIBIT_EMAIL_20250116_597_e1d13cfc</t>
  </si>
  <si>
    <t>2025-01-16T12:21:47-06:00</t>
  </si>
  <si>
    <t>Email: Craig, your new flight deals have landed</t>
  </si>
  <si>
    <t>e1d13cfc3d0e832fa424b9c41ee29f2cbc690f7bb9288debb7eb187908db713a</t>
  </si>
  <si>
    <t>EXHIBIT_EMAIL_20241227_598_02958316</t>
  </si>
  <si>
    <t>2024-12-27T18:23:50+00:00</t>
  </si>
  <si>
    <t>0295831676775c3932217f2bd20f5079cba2aa4642ab5b03eab79a1cb9f62a4c</t>
  </si>
  <si>
    <t>EXHIBIT_EMAIL_20250107_599_1a298449</t>
  </si>
  <si>
    <t>2025-01-07T09:15:29-06:00</t>
  </si>
  <si>
    <t>Email: COUPON ALERT 🎫 Your savings are waiting!</t>
  </si>
  <si>
    <t>1a298449fa246d8661e631f8d2a18cf56e0647592c4694f336685df697ac1c7a</t>
  </si>
  <si>
    <t>EXHIBIT_EMAIL_20241226_600_864c41f6</t>
  </si>
  <si>
    <t>2024-12-26T14:24:38+00:00</t>
  </si>
  <si>
    <t>Email: 📣 Our end-of-season sale starts now!</t>
  </si>
  <si>
    <t>864c41f64e1c4dde399861591bb1d6948768e3c2d809cafd7bfade5cec5b4ecb</t>
  </si>
  <si>
    <t>EXHIBIT_EMAIL_20250102_601_a9388634</t>
  </si>
  <si>
    <t>2025-01-02T12:04:13+00:00</t>
  </si>
  <si>
    <t>Email: Subway® any way - Triple the pickles, easy on the onions.</t>
  </si>
  <si>
    <t>a9388634d6812bda1c9a107e012f8bf10e95f217e179e7059d219d2d79bae4a2</t>
  </si>
  <si>
    <t>EXHIBIT_EMAIL_20250126_602_7d99d8b5</t>
  </si>
  <si>
    <t>2025-01-26T01:51:12+00:00</t>
  </si>
  <si>
    <t>7d99d8b56611949316155278a8aee1578f05a81ae6e15a87e57e5757939238fd</t>
  </si>
  <si>
    <t>EXHIBIT_EMAIL_20250110_603_e744be41</t>
  </si>
  <si>
    <t>2025-01-10T10:17:00-06:00</t>
  </si>
  <si>
    <t>Email: Payments over 3–48 months at Amazon.ca</t>
  </si>
  <si>
    <t>e744be41e42f1b22f7ae7ea784f380ada08e545c39c6c619f435b5290394abc4</t>
  </si>
  <si>
    <t>EXHIBIT_EMAIL_20250104_604_591da2da</t>
  </si>
  <si>
    <t>2025-01-04T00:44:44+00:00</t>
  </si>
  <si>
    <t>Email: 50 Spins up for grabs, Stacey!</t>
  </si>
  <si>
    <t>591da2da0d98797ff74764b1862654977c73869cae8866a99d591a31785ad3e1</t>
  </si>
  <si>
    <t>EXHIBIT_EMAIL_20250122_605_4cea2b65</t>
  </si>
  <si>
    <t>2025-01-22T10:45:19+00:00</t>
  </si>
  <si>
    <t>Email: 4 Stylish Kitchens in 250 Square Feet | Designers and Builders Share Their 2025 Goals</t>
  </si>
  <si>
    <t>4cea2b658ff35ded57d55fe5611ba3c7294e7c40eda3d26e83f1deba1b6340dd</t>
  </si>
  <si>
    <t>EXHIBIT_EMAIL_20250123_606_58631346</t>
  </si>
  <si>
    <t>2025-01-23T22:51:23-08:00</t>
  </si>
  <si>
    <t>Email: Start the year with Microsoft Copilot: New opportunities &amp; inspiration!</t>
  </si>
  <si>
    <t>58631346a5e89531a55e1488cd8b0805a34313813743b8a6ebc36c0e5d700431</t>
  </si>
  <si>
    <t>EXHIBIT_EMAIL_20241227_607_6294f874</t>
  </si>
  <si>
    <t>2024-12-27T20:08:33+00:00</t>
  </si>
  <si>
    <t>Email: Awfully sorry for the delay</t>
  </si>
  <si>
    <t>6294f8745254182645e1f3d4ea62afd506274a4206bd9c880a3e3de03d87bbcd</t>
  </si>
  <si>
    <t>EXHIBIT_EMAIL_20250131_608_eb66e760</t>
  </si>
  <si>
    <t>2025-01-31T18:25:56+00:00</t>
  </si>
  <si>
    <t>Email: 6 Features Released in January 🌟</t>
  </si>
  <si>
    <t>eb66e760923948006877111bdf1efecf6e8d49b30352afa96b7bb7d880ecab23</t>
  </si>
  <si>
    <t>EXHIBIT_EMAIL_20250205_609_f6395650</t>
  </si>
  <si>
    <t>2025-02-05T11:53:37+00:00</t>
  </si>
  <si>
    <t>Email: Stacey, great job on your resume</t>
  </si>
  <si>
    <t>f639565096f6a0ef92638e3aa2fb23c663bd091fc07f00dc7d064136c89b929c</t>
  </si>
  <si>
    <t>EXHIBIT_EMAIL_20250108_610_ad0967bd</t>
  </si>
  <si>
    <t>2025-01-08T06:01:24+00:00</t>
  </si>
  <si>
    <t>Email: vroofn, play with a 100% Bonus + 25 Free Spins! ⚡</t>
  </si>
  <si>
    <t>ad0967bd02874c39c741497efa626b36a96c1a48c72bba77927998ee1cbd36ba</t>
  </si>
  <si>
    <t>EXHIBIT_EMAIL_20250111_611_2a5ebfbc</t>
  </si>
  <si>
    <t>2025-01-11T20:05:19+00:00</t>
  </si>
  <si>
    <t>2a5ebfbcdf67617278c12019038e050de541c3353d9302b06b39ad547223f857</t>
  </si>
  <si>
    <t>EXHIBIT_EMAIL_20241225_612_7201622d</t>
  </si>
  <si>
    <t>2024-12-25T08:13:39+00:00</t>
  </si>
  <si>
    <t>Email: You have set up a passkey for Amazon</t>
  </si>
  <si>
    <t>7201622d92a379f92e14d94ce9cdb78881d87307ec267f4fe50dba486b05f103</t>
  </si>
  <si>
    <t>EXHIBIT_EMAIL_20250105_613_63d11c20</t>
  </si>
  <si>
    <t>2025-01-05T10:15:47+00:00</t>
  </si>
  <si>
    <t>Email: 34 Home Design Trends That Will Define 2025 | 3 Radiant White-and-Wood Kitchens</t>
  </si>
  <si>
    <t>63d11c2024d0464111dfb511dd235be2b07b67fe5258989ece0f0a6492f89a39</t>
  </si>
  <si>
    <t>EXHIBIT_EMAIL_20250111_614_cef6f2e9</t>
  </si>
  <si>
    <t>2025-01-11T02:56:13+00:00</t>
  </si>
  <si>
    <t>Email: Don't miss this HOT DEAL ����!</t>
  </si>
  <si>
    <t>cef6f2e9269eaeb8c8098f4783bd6cfd6c427fe49bbd2069ff90ed07975aa887</t>
  </si>
  <si>
    <t>EXHIBIT_EMAIL_20241231_615_d7834378</t>
  </si>
  <si>
    <t>2024-12-31T10:52:09-06:00</t>
  </si>
  <si>
    <t>Email: 2 DAYS LEFT! Up to 45% off BOXING WEEK DEALS 🤯</t>
  </si>
  <si>
    <t>d7834378378365eee5fd8f2799a9ba1492688eaab64089b6c4a24f638cd8c48e</t>
  </si>
  <si>
    <t>EXHIBIT_EMAIL_20241229_616_53b7ebab</t>
  </si>
  <si>
    <t>2024-12-29T08:00:35-06:00</t>
  </si>
  <si>
    <t>Email: Happy Paw-lidays to you and your furry friends!</t>
  </si>
  <si>
    <t>53b7ebab383321b29bcaaef7319e0dcb0f85544780708067853fd9858236ff7d</t>
  </si>
  <si>
    <t>EXHIBIT_EMAIL_20250213_617_bd850064</t>
  </si>
  <si>
    <t>2025-02-13T20:38:03+00:00</t>
  </si>
  <si>
    <t>Email: Put these spots on your radar</t>
  </si>
  <si>
    <t>bd85006433649cac1059314c67b35b372f018ad1bafa641d7b6509eb2331f7dd</t>
  </si>
  <si>
    <t>EXHIBIT_EMAIL_20250116_618_603097a1</t>
  </si>
  <si>
    <t>2025-01-16T12:15:03-06:00</t>
  </si>
  <si>
    <t>Email: Best adults only resorts worth bragging about</t>
  </si>
  <si>
    <t>603097a1815758ba72ff6bea9b787c79c9f63e5f275f6f5a8b26ae5f77141342</t>
  </si>
  <si>
    <t>EXHIBIT_EMAIL_20250115_619_d4b015d2</t>
  </si>
  <si>
    <t>2025-01-15T16:50:10+00:00</t>
  </si>
  <si>
    <t>d4b015d26835a9aa906d6e98ca613f08ae26e2a29ce8d48e75523467e9091b17</t>
  </si>
  <si>
    <t>EXHIBIT_EMAIL_20250116_620_6e28c544</t>
  </si>
  <si>
    <t>2025-01-16T19:53:24-08:00</t>
  </si>
  <si>
    <t>6e28c5444f2a6c48cf348f2353ff29efb75ed0ee5734a0e729f085d87f614af2</t>
  </si>
  <si>
    <t>EXHIBIT_EMAIL_20241226_621_2589c915</t>
  </si>
  <si>
    <t>2024-12-26T15:00:29+00:00</t>
  </si>
  <si>
    <t>Email: Don't miss 3 months of Spotify Premium for $12.69. $12.69/mo after.</t>
  </si>
  <si>
    <t>2589c915a8f98f3d28e06838a2299f06968e5284841fba48befc7e214e16449a</t>
  </si>
  <si>
    <t>EXHIBIT_EMAIL_20250125_622_f41cfe74</t>
  </si>
  <si>
    <t>2025-01-25T06:00:07+00:00</t>
  </si>
  <si>
    <t>Email: vroofn, Deposit CAD 5, Get 77 Free Spins! 🌶️</t>
  </si>
  <si>
    <t>f41cfe74092b2b73c937309e87706e4623264e2a964385ae005cad4744598155</t>
  </si>
  <si>
    <t>EXHIBIT_EMAIL_20241226_623_dc57b21a</t>
  </si>
  <si>
    <t>2024-12-26T15:12:02+00:00</t>
  </si>
  <si>
    <t>Email: Happy BOXING DAY | Get up to 30% off our top products</t>
  </si>
  <si>
    <t>dc57b21a47e0166512e37c336ebaee713d934a4814770c0eba00c5cf72075b6c</t>
  </si>
  <si>
    <t>EXHIBIT_EMAIL_20250110_624_2f88f6ef</t>
  </si>
  <si>
    <t>2025-01-10T02:49:03+00:00</t>
  </si>
  <si>
    <t>Email: Your thoughts on Printful? 🤔</t>
  </si>
  <si>
    <t>2f88f6ef3fd8977356eeec898b8405ee262ccc4d3f22636dbfe2ceb29876dbad</t>
  </si>
  <si>
    <t>EXHIBIT_EMAIL_20241231_625_d302b16e</t>
  </si>
  <si>
    <t>2024-12-31T06:01:53+00:00</t>
  </si>
  <si>
    <t>d302b16e8c210b7c0c2e53c92891466437cc5ca0b1819ad8cf6d584bbd005102</t>
  </si>
  <si>
    <t>EXHIBIT_EMAIL_20241227_626_4f3c6654</t>
  </si>
  <si>
    <t>2024-12-27T21:25:10+01:00</t>
  </si>
  <si>
    <t>Email: You have received 20 free spins</t>
  </si>
  <si>
    <t>4f3c6654d3df7bc4c2d79939e97050a0dc392d24dc55e74c92ee236c429dd590</t>
  </si>
  <si>
    <t>EXHIBIT_EMAIL_20241229_627_dcb50a8b</t>
  </si>
  <si>
    <t>2024-12-29T02:09:30+00:00</t>
  </si>
  <si>
    <t>Email: 🌟 Best of 2024: baby gear guides &amp; reviews</t>
  </si>
  <si>
    <t>dcb50a8bbf4afd6619b9effb8e519d46223adf45f25c2e3a0cccf3aa6a8bea6b</t>
  </si>
  <si>
    <t>EXHIBIT_EMAIL_20250108_628_c3d5bdb5</t>
  </si>
  <si>
    <t>2025-01-08T16:23:34-06:00</t>
  </si>
  <si>
    <t>Email: Craig, welcome to Avion Rewards</t>
  </si>
  <si>
    <t>c3d5bdb5850d27f35b8c9a7328d67babb287b9c5b6aa6ef6f55f5ee020a0b0a3</t>
  </si>
  <si>
    <t>EXHIBIT_EMAIL_20250103_629_d6ff8526</t>
  </si>
  <si>
    <t>2025-01-03T04:15:55+00:00</t>
  </si>
  <si>
    <t>d6ff852626bebde06f85151cdd91e1a291cf01c5d3f80094bb6647b7d5bafee7</t>
  </si>
  <si>
    <t>EXHIBIT_EMAIL_20250103_630_2d7f1023</t>
  </si>
  <si>
    <t>2025-01-03T04:10:27+00:00</t>
  </si>
  <si>
    <t>2d7f10234f867e825ab33998b4c84b2deedd668f47063c37d015d20fc9e0dbba</t>
  </si>
  <si>
    <t>EXHIBIT_EMAIL_20250103_631_45c28260</t>
  </si>
  <si>
    <t>2025-01-03T04:06:51+00:00</t>
  </si>
  <si>
    <t>45c28260ccf1c75464845b32dd57e6cd76a3c0e14ff41a0d28ed0c5749e25475</t>
  </si>
  <si>
    <t>EXHIBIT_EMAIL_20250103_632_2130988e</t>
  </si>
  <si>
    <t>2025-01-03T04:05:49+00:00</t>
  </si>
  <si>
    <t>2130988e40294f3e84e5e88317ed4d74710a99c54b7a4db1a72571c446d358d9</t>
  </si>
  <si>
    <t>EXHIBIT_EMAIL_20250202_633_6d9ce429</t>
  </si>
  <si>
    <t>2025-02-02T10:35:09+00:00</t>
  </si>
  <si>
    <t>Email: Warm Industrial Condo in a Former Grain Silo | Highlights From the Maison &amp; Objet Design Fair</t>
  </si>
  <si>
    <t>6d9ce429d2a13a72132e925e3a109f6c5a40191eb8110fd71dd33eea1326d026</t>
  </si>
  <si>
    <t>EXHIBIT_EMAIL_20250109_634_378b45e2</t>
  </si>
  <si>
    <t>2025-01-09T18:32:27+00:00</t>
  </si>
  <si>
    <t>Email: Jump-start your year with automation, 13 updates, and 12 new apps</t>
  </si>
  <si>
    <t>378b45e236487f8604cc0de4cfdf0fabd670d9dcd9184e4c603eeddb2dafb09c</t>
  </si>
  <si>
    <t>EXHIBIT_EMAIL_20250109_635_17547a2c</t>
  </si>
  <si>
    <t>2025-01-09T18:31:43+00:00</t>
  </si>
  <si>
    <t>17547a2c89b9613f7ce1807fe684f50a7d426294005370877298860480d67c2d</t>
  </si>
  <si>
    <t>EXHIBIT_EMAIL_20250103_636_b62b9b4d</t>
  </si>
  <si>
    <t>2025-01-03T03:34:10+00:00</t>
  </si>
  <si>
    <t>Email: Critical security alert for lunacraigcep@gmail.com</t>
  </si>
  <si>
    <t>b62b9b4d2daf39c659f41a0a11f5d8522bd9e6acdb2befcda3873c51f05b35fd</t>
  </si>
  <si>
    <t>EXHIBIT_EMAIL_20241226_637_1978ae5a</t>
  </si>
  <si>
    <t>2024-12-26T16:04:01+00:00</t>
  </si>
  <si>
    <t>Email: So many choices, all on Amazon</t>
  </si>
  <si>
    <t>1978ae5af81003ca03a307c4772ca5b54b66f403d4499c8782c22ee652a98fe5</t>
  </si>
  <si>
    <t>EXHIBIT_EMAIL_20250114_638_b846bbe5</t>
  </si>
  <si>
    <t>2025-01-14T08:00:27-06:00</t>
  </si>
  <si>
    <t>Email: Make 2025 your pet’s best year!</t>
  </si>
  <si>
    <t>b846bbe581c907ec0856795eef3c1eeb86a5b283678d2cf15370392174a11701</t>
  </si>
  <si>
    <t>EXHIBIT_EMAIL_20241228_639_6b9688fb</t>
  </si>
  <si>
    <t>2024-12-28T20:47:15+00:00</t>
  </si>
  <si>
    <t>6b9688fb9f72710c9cfe0122a618cb94f8ef074d78dace6ed2292507fb653a29</t>
  </si>
  <si>
    <t>EXHIBIT_EMAIL_20250203_640_6071eef3</t>
  </si>
  <si>
    <t>2025-02-03T15:36:40+00:00</t>
  </si>
  <si>
    <t>Email: Get 20% off your website and a free domain</t>
  </si>
  <si>
    <t>6071eef373839b228e6f44033b3f7fe4a053dd789d80e7cb291191293882703c</t>
  </si>
  <si>
    <t>EXHIBIT_EMAIL_20250112_641_3bf8c425</t>
  </si>
  <si>
    <t>2025-01-12T14:22:28+00:00</t>
  </si>
  <si>
    <t>Email: Get $10 off on more than just groceries</t>
  </si>
  <si>
    <t>3bf8c425d1070ee718ce8291a8bc623ca454d0028f6de82d00ab9970e4bbfc6a</t>
  </si>
  <si>
    <t>EXHIBIT_EMAIL_20250109_642_d7afbdc0</t>
  </si>
  <si>
    <t>2025-01-09T12:11:12-06:00</t>
  </si>
  <si>
    <t>Email: Canadians love Cuba – here’s why</t>
  </si>
  <si>
    <t>d7afbdc0965989403c983e3b9c886eebefea07f54628cc55b90992d1f4735db9</t>
  </si>
  <si>
    <t>EXHIBIT_EMAIL_20250116_643_6f52d2cf</t>
  </si>
  <si>
    <t>2025-01-16T12:02:23+00:00</t>
  </si>
  <si>
    <t>Email: FOMO on free drink and chips?</t>
  </si>
  <si>
    <t>6f52d2cfdfb5d20e3f34ad109e45c4b3d77e122595f76d6a2efa0752145cebbc</t>
  </si>
  <si>
    <t>EXHIBIT_EMAIL_20250115_644_1334f9a8</t>
  </si>
  <si>
    <t>2025-01-15T13:03:25+00:00</t>
  </si>
  <si>
    <t>Email: Keep forgetting your passwords Craig?</t>
  </si>
  <si>
    <t>1334f9a8a3950189c5c5ff1be38738e5a590ee7c11bb49e24b7f95f9277c3193</t>
  </si>
  <si>
    <t>EXHIBIT_EMAIL_20250114_645_f09a533c</t>
  </si>
  <si>
    <t>2025-01-14T21:58:59+00:00</t>
  </si>
  <si>
    <t>f09a533c5c6ab3c8dacbcdfdf3e6a44c499c2f9f7d9bd2b1409f625866fe3ca4</t>
  </si>
  <si>
    <t>EXHIBIT_EMAIL_20250114_646_18e80a3c</t>
  </si>
  <si>
    <t>2025-01-14T10:55:44+00:00</t>
  </si>
  <si>
    <t>18e80a3c63fe655e144a09dc7fa2b5bd7314996b58f648f70f6e9f71dc066c43</t>
  </si>
  <si>
    <t>EXHIBIT_EMAIL_20250108_647_957abd16</t>
  </si>
  <si>
    <t>2025-01-08T02:17:11+00:00</t>
  </si>
  <si>
    <t>Email: New! Now you can try Dropbox as a team for free 🤝</t>
  </si>
  <si>
    <t>957abd16566c620f4aab97580abfaeecd85a36feaec2bd3e0c5d88ae27be216d</t>
  </si>
  <si>
    <t>EXHIBIT_EMAIL_20241229_648_38321f76</t>
  </si>
  <si>
    <t>2024-12-29T19:49:36+00:00</t>
  </si>
  <si>
    <t>38321f760db8500973db632de8509d9937df66a0891501ccb3104e58c38034e4</t>
  </si>
  <si>
    <t>EXHIBIT_EMAIL_20250117_649_9d97a454</t>
  </si>
  <si>
    <t>2025-01-17T21:42:22-06:00</t>
  </si>
  <si>
    <t>Email: The chill's here. You don't have to be.</t>
  </si>
  <si>
    <t>9d97a45487bd8d21a8f7112fe2c6ef6520a4691214c133800e48ae1a3f58f50e</t>
  </si>
  <si>
    <t>EXHIBIT_EMAIL_20250210_650_63fdade0</t>
  </si>
  <si>
    <t>2025-02-10T10:31:50-04:00</t>
  </si>
  <si>
    <t>Email: Fwd: Formal Complaint Against Jacqueline Gallant – Conflict of Interest &amp; Professional Misconduct</t>
  </si>
  <si>
    <t>63fdade0619582425d1a733b78bac337462f6ae791088a47cba4cd4a5833dec0</t>
  </si>
  <si>
    <t>EXHIBIT_EMAIL_20250210_651_b52f8f94</t>
  </si>
  <si>
    <t>2025-02-10T14:16:57+00:00</t>
  </si>
  <si>
    <t>Email: RE: Formal Complaint Against Jacqueline Gallant – Conflict of Interest &amp; Professional Misconduct</t>
  </si>
  <si>
    <t>b52f8f94ecd7387a7a9970b40912f26236a47aea8977d55c4a8feebdf706ed66</t>
  </si>
  <si>
    <t>EXHIBIT_EMAIL_20250210_652_8f6f7114</t>
  </si>
  <si>
    <t>2025-02-10T10:06:31-04:00</t>
  </si>
  <si>
    <t>Email: Re: Formal Complaint Against Jacqueline Gallant – Conflict of Interest &amp; Professional Misconduct</t>
  </si>
  <si>
    <t>8f6f71146ecbab94bca180eb50fd9dff3b0390bccad9d403ca64e50a81e9921a</t>
  </si>
  <si>
    <t>EXHIBIT_EMAIL_20250210_653_733abe97</t>
  </si>
  <si>
    <t>2025-02-10T13:04:18+00:00</t>
  </si>
  <si>
    <t>733abe97ceb097809cdb22b7e27c2d416bfe79db7b58dbb4d72107df36e61627</t>
  </si>
  <si>
    <t>EXHIBIT_EMAIL_20250208_654_0db413b5</t>
  </si>
  <si>
    <t>2025-02-08T18:10:58-04:00</t>
  </si>
  <si>
    <t>Email: Formal Complaint Against Jacqueline Gallant – Conflict of Interest &amp; Professional Misconduct</t>
  </si>
  <si>
    <t>0db413b5ce2b276fa783be5f33f8b92952fcb7240e3a64064256166db807191f</t>
  </si>
  <si>
    <t>EXHIBIT_EMAIL_20250107_655_0bd6ebc4</t>
  </si>
  <si>
    <t>2025-01-07T18:10:55-06:00</t>
  </si>
  <si>
    <t>Email: Make one-on-one time one of a kind</t>
  </si>
  <si>
    <t>0bd6ebc4d6566b1e73e702d3e6f3193b0e5db631fa0fcba8d2da1a8bb888500b</t>
  </si>
  <si>
    <t>EXHIBIT_EMAIL_20241231_656_fae26864</t>
  </si>
  <si>
    <t>2024-12-31T16:06:50+00:00</t>
  </si>
  <si>
    <t>Email: Your 2-Week-Old Baby: How to Clip Your Baby's Nails</t>
  </si>
  <si>
    <t>fae26864724c843050662c95b73fb72dbb01fb725ef810805298db0bb8db7eb7</t>
  </si>
  <si>
    <t>EXHIBIT_EMAIL_20250107_657_39cea4f6</t>
  </si>
  <si>
    <t>2025-01-07T18:35:12+00:00</t>
  </si>
  <si>
    <t>Email: You've connected a new app to Dropbox</t>
  </si>
  <si>
    <t>39cea4f6a30642da1021a09d9941de54c86943cdbee8d0e099b0719522971aac</t>
  </si>
  <si>
    <t>EXHIBIT_EMAIL_20250107_658_9b6f0642</t>
  </si>
  <si>
    <t>2025-01-07T18:14:58+00:00</t>
  </si>
  <si>
    <t>9b6f06427524100f9fc11246c9305044902b519c3e8d1fc405eba4e3d6544271</t>
  </si>
  <si>
    <t>EXHIBIT_EMAIL_20241225_659_866083c7</t>
  </si>
  <si>
    <t>2024-12-25T10:13:43+00:00</t>
  </si>
  <si>
    <t>Email: Explore Amazon Business guest access!</t>
  </si>
  <si>
    <t>866083c7c2df249b0efabdb2aeb532bd25a7f17dd733eec8d4b762fd9076f886</t>
  </si>
  <si>
    <t>EXHIBIT_EMAIL_20250202_660_556f5b0c</t>
  </si>
  <si>
    <t>2025-02-02T01:42:03+00:00</t>
  </si>
  <si>
    <t>556f5b0c252fac0405b1bc911df98619bc6148f953d5014c42f751876be376f4</t>
  </si>
  <si>
    <t>EXHIBIT_EMAIL_20250111_661_f76db39b</t>
  </si>
  <si>
    <t>2025-01-11T10:14:18-06:00</t>
  </si>
  <si>
    <t>Email: Hurry! Your COUPONS are here 🎫🎫</t>
  </si>
  <si>
    <t>f76db39ba224f364d4c6e65b76f2504761e940a86fe8675289529b2de20c0628</t>
  </si>
  <si>
    <t>EXHIBIT_EMAIL_20241226_662_eaa2107c</t>
  </si>
  <si>
    <t>2024-12-26T06:34:39-05:00</t>
  </si>
  <si>
    <t>Email: Up to 50% OFF – Boxing Day Deals Inside 🥊</t>
  </si>
  <si>
    <t>eaa2107cff77fe2aa13566f89adb45b27e39f4b615e7796423c5640a45ea2f1d</t>
  </si>
  <si>
    <t>EXHIBIT_EMAIL_20250111_663_3ff7dff9</t>
  </si>
  <si>
    <t>2025-01-11T06:24:05+01:00</t>
  </si>
  <si>
    <t>3ff7dff9c5dabf9dd5c127d9fbc029a7d991622f99d1cc932640850795a9e72f</t>
  </si>
  <si>
    <t>EXHIBIT_EMAIL_20250121_664_dac2dbfa</t>
  </si>
  <si>
    <t>2025-01-21T19:10:45+00:00</t>
  </si>
  <si>
    <t>Email: 4 ways to fund your baby’s future</t>
  </si>
  <si>
    <t>dac2dbfaa03f893c83675110b614033e4df6187ba29175b947571ed4fa1bfd21</t>
  </si>
  <si>
    <t>EXHIBIT_EMAIL_20241225_665_f29724b7</t>
  </si>
  <si>
    <t>2024-12-25T15:08:37-06:00</t>
  </si>
  <si>
    <t>Email: Kickstart 2025 with these end-of-year deals!</t>
  </si>
  <si>
    <t>f29724b7fa367940b78c5fecda8a3bc6a0e93751ff6075ea96db4e2247dabbbb</t>
  </si>
  <si>
    <t>EXHIBIT_EMAIL_20250112_666_8374e060</t>
  </si>
  <si>
    <t>2025-01-12T07:34:10+00:00</t>
  </si>
  <si>
    <t>Email: Welcome to Wix eCommerce</t>
  </si>
  <si>
    <t>8374e06018312cf04fba24315b4e8103cbb3a8554890cbe712d5f21efc314b02</t>
  </si>
  <si>
    <t>EXHIBIT_EMAIL_20250212_667_33d25581</t>
  </si>
  <si>
    <t>2025-02-12T10:46:43+00:00</t>
  </si>
  <si>
    <t>Email: 8 Trends From London’s Surface Design Show | Scandinavian-Inspired Home With a Country Vibe</t>
  </si>
  <si>
    <t>33d25581c24c9b505708ec5f00d768abf702bb5b1dc5f8cd22235a4fdecc7585</t>
  </si>
  <si>
    <t>EXHIBIT_EMAIL_20250107_668_203e5e6c</t>
  </si>
  <si>
    <t>2025-01-07T08:02:41-06:00</t>
  </si>
  <si>
    <t>Email: Sale continues: Save 25% or more, now</t>
  </si>
  <si>
    <t>203e5e6c8acff0654336f10b3c35b1875b3920974250ee0684a9199e0f22832e</t>
  </si>
  <si>
    <t>EXHIBIT_EMAIL_20250104_669_ff9d5b21</t>
  </si>
  <si>
    <t>2025-01-04T01:24:15+00:00</t>
  </si>
  <si>
    <t>Email: Using AI in Google Sheets. Take Your GPT Workspace Skills to the Next Level! 🚀</t>
  </si>
  <si>
    <t>ff9d5b2172af46a965520526651421f78b6dfb2957e0ca37282cbafc86c4499d</t>
  </si>
  <si>
    <t>EXHIBIT_EMAIL_20250201_670_96c7709d</t>
  </si>
  <si>
    <t>2025-02-01T17:20:32-08:00</t>
  </si>
  <si>
    <t>Email: You added a new address</t>
  </si>
  <si>
    <t>96c7709d77b826866066b37321a89d4f8b02969b9a03e4de98863abc245d13d1</t>
  </si>
  <si>
    <t>EXHIBIT_EMAIL_20250201_671_073f3d8a</t>
  </si>
  <si>
    <t>2025-02-01T17:19:52-08:00</t>
  </si>
  <si>
    <t>073f3d8a0a96a1b1d5779661e9f5e82cffc596bec334fceabca7cdc423fca27e</t>
  </si>
  <si>
    <t>EXHIBIT_EMAIL_20250111_672_2f2210a8</t>
  </si>
  <si>
    <t>2025-01-11T15:46:00+00:00</t>
  </si>
  <si>
    <t>Email: Mailchimp Order</t>
  </si>
  <si>
    <t>2f2210a88c19b293d8ad5b3973656657880ed8fc1ba93a8f8871c3ad095824f2</t>
  </si>
  <si>
    <t>EXHIBIT_EMAIL_20250203_673_4d4456bc</t>
  </si>
  <si>
    <t>2025-02-03T11:17:52+00:00</t>
  </si>
  <si>
    <t>4d4456bcb433d8afa23ffe5b830a929027e919206c8c40e69db1738b67df851c</t>
  </si>
  <si>
    <t>EXHIBIT_EMAIL_20241228_674_8256658e</t>
  </si>
  <si>
    <t>2024-12-28T05:30:04+00:00</t>
  </si>
  <si>
    <t>Email: vroofn, Deposit CAD 5, Get 77 Free Spins! 💰</t>
  </si>
  <si>
    <t>8256658e1dcbebf47182cb86b82966fa2a4a99fe6ed6279ea6f471ed054ee228</t>
  </si>
  <si>
    <t>EXHIBIT_EMAIL_20250113_675_d5794cb5</t>
  </si>
  <si>
    <t>2025-01-13T12:00:37+00:00</t>
  </si>
  <si>
    <t>Email: Start the day with double the points.</t>
  </si>
  <si>
    <t>d5794cb5e2b700bca09cb9280a23cd58a719d834fb5dba84b78286b5f30f4855</t>
  </si>
  <si>
    <t>EXHIBIT_EMAIL_20250114_676_737b248a</t>
  </si>
  <si>
    <t>2025-01-14T18:11:51-06:00</t>
  </si>
  <si>
    <t>Email: Keep these resorts in mind for 2025</t>
  </si>
  <si>
    <t>737b248ab11ae3cc67d1862a5a59a53375f44ad61421aa78902baf98db27a565</t>
  </si>
  <si>
    <t>EXHIBIT_EMAIL_20250105_677_e64afd63</t>
  </si>
  <si>
    <t>2025-01-05T09:34:49-06:00</t>
  </si>
  <si>
    <t>Email: UP TO 70% OFF DEALS 🤯</t>
  </si>
  <si>
    <t>e64afd63ee054e4c2f9eb34afc00390c97b59fcb96e72ffae96e717bd00ef77f</t>
  </si>
  <si>
    <t>EXHIBIT_EMAIL_20250109_678_a201e600</t>
  </si>
  <si>
    <t>2025-01-09T09:52:40-06:00</t>
  </si>
  <si>
    <t>a201e6006cdcba77a55a7be1ac57fb4437669f18a8e67671c2e6874a16376180</t>
  </si>
  <si>
    <t>EXHIBIT_EMAIL_20241225_679_7a371705</t>
  </si>
  <si>
    <t>2024-12-25T20:19:34+00:00</t>
  </si>
  <si>
    <t>Email: Teen-friendly Uber Eats with safety in mind</t>
  </si>
  <si>
    <t>7a3717058fab47a560dcb83827c6ee10578f2a3cfdf2c738f082f9d101739147</t>
  </si>
  <si>
    <t>EXHIBIT_EMAIL_20250108_680_da4d8e0a</t>
  </si>
  <si>
    <t>2025-01-08T10:04:53-08:00</t>
  </si>
  <si>
    <t>Email: Copilot is here to assist you</t>
  </si>
  <si>
    <t>da4d8e0a270d16169d4866758d6e88ef447052022ceea76a0eb737f7e073ae70</t>
  </si>
  <si>
    <t>EXHIBIT_EMAIL_20250115_681_fcd39913</t>
  </si>
  <si>
    <t>2025-01-15T20:09:41+00:00</t>
  </si>
  <si>
    <t>Email: Hungry for a deal, Craig n Emma?</t>
  </si>
  <si>
    <t>fcd3991396a8602af94f44fc7c89a739988c9e4a69621d81099ec1d056b5ecf8</t>
  </si>
  <si>
    <t>EXHIBIT_EMAIL_20250110_682_2a633504</t>
  </si>
  <si>
    <t>2025-01-10T14:10:52+00:00</t>
  </si>
  <si>
    <t>Email: The brands you love are on Amazon</t>
  </si>
  <si>
    <t>2a6335047455a5c0d4e9e3889b315bb3b4ac28f8d444ecd3d8a4b0cfe79f0d82</t>
  </si>
  <si>
    <t>EXHIBIT_EMAIL_20241225_683_b6e24119</t>
  </si>
  <si>
    <t>2024-12-25T01:13:22+00:00</t>
  </si>
  <si>
    <t>Email: Your video is ready! Publish in a few clicks ⬆️</t>
  </si>
  <si>
    <t>b6e241196aaa59684dd9af998ec71671542816b12d595450bd19a4b662553a8e</t>
  </si>
  <si>
    <t>EXHIBIT_EMAIL_20250120_684_157e5d8d</t>
  </si>
  <si>
    <t>2025-01-20T18:07:15+00:00</t>
  </si>
  <si>
    <t>Email: 🔥 Warm up your week with new offers</t>
  </si>
  <si>
    <t>157e5d8dd6f654e9b9319dc033b43afdf3f9d5fc9c33e6ef2102853bc7e7ac88</t>
  </si>
  <si>
    <t>EXHIBIT_EMAIL_20250115_685_3f6b1b75</t>
  </si>
  <si>
    <t>2025-01-15T23:12:41+00:00</t>
  </si>
  <si>
    <t>Email: Mailchimp verification code</t>
  </si>
  <si>
    <t>3f6b1b759d8b8d2570559d5803b1db5c26df4ada279ce42c3c59ea924261e201</t>
  </si>
  <si>
    <t>EXHIBIT_EMAIL_20241225_686_92d91392</t>
  </si>
  <si>
    <t>2024-12-25T01:51:23+00:00</t>
  </si>
  <si>
    <t>92d91392b8a0b49003123d2e1b771ca99491f10586d6ae5041918c6fd632899f</t>
  </si>
  <si>
    <t>EXHIBIT_EMAIL_20250114_687_7bde558b</t>
  </si>
  <si>
    <t>2025-01-14T16:20:29+00:00</t>
  </si>
  <si>
    <t>7bde558bffb13e4588b7a86cfba029a7fab1bdbab97372f29f90ec4d3a4f12ed</t>
  </si>
  <si>
    <t>EXHIBIT_EMAIL_20250115_688_42a3ca97</t>
  </si>
  <si>
    <t>2025-01-15T13:32:19+00:00</t>
  </si>
  <si>
    <t>Email: New year, more savings at the Business Savings Event</t>
  </si>
  <si>
    <t>42a3ca97419c2ae4669def3ab05334333fb7af808d42cf52e92290438c8c6759</t>
  </si>
  <si>
    <t>EXHIBIT_EMAIL_20250203_689_a0cf3f68</t>
  </si>
  <si>
    <t>2025-02-03T19:30:33-08:00</t>
  </si>
  <si>
    <t>Email: GitHub Copilot: What’s in your free plan 🤖</t>
  </si>
  <si>
    <t>a0cf3f687f60b65e66055e056bac57a8b69ccf0737db6318c75a12f94b81307c</t>
  </si>
  <si>
    <t>EXHIBIT_EMAIL_20250109_690_c6a074af</t>
  </si>
  <si>
    <t>2025-01-09T05:41:00+00:00</t>
  </si>
  <si>
    <t>Email: Want to know everything about your favourite draw?</t>
  </si>
  <si>
    <t>c6a074afdef433ba914c528d36e833ef29072b9d82729c6bc46a4ee6800e33f6</t>
  </si>
  <si>
    <t>EXHIBIT_EMAIL_20241225_691_ef4fcc60</t>
  </si>
  <si>
    <t>2024-12-25T10:21:26-06:00</t>
  </si>
  <si>
    <t>Email: Merry Christmas, merry savings 🎄</t>
  </si>
  <si>
    <t>ef4fcc6079f06df67310e6d1c567aed54a3d98249698ced17e7e036c540db4bd</t>
  </si>
  <si>
    <t>EXHIBIT_EMAIL_20241225_692_6bbb5baf</t>
  </si>
  <si>
    <t>2024-12-25T10:36:19+00:00</t>
  </si>
  <si>
    <t>Email: The Top 5 Houzz Tours of 2024 | 5 Organizing Tips Designers Swear By</t>
  </si>
  <si>
    <t>6bbb5baf6e891597802ea886c448b52d7ce423eb7183286be2ae3eccd0fac836</t>
  </si>
  <si>
    <t>EXHIBIT_EMAIL_20241226_693_e2a3dfed</t>
  </si>
  <si>
    <t>2024-12-26T20:40:23+00:00</t>
  </si>
  <si>
    <t>e2a3dfedf32e8c5f0f17356019901bc79b9d5cc2ddaccc8bfde89630aba64c06</t>
  </si>
  <si>
    <t>EXHIBIT_EMAIL_20241225_694_b152da8d</t>
  </si>
  <si>
    <t>2024-12-25T09:06:21+00:00</t>
  </si>
  <si>
    <t>Email: Re: Read this one!!!!</t>
  </si>
  <si>
    <t>b152da8d3c3161da5232da2947c5cc0caf33ac51d6c771c26cb6894eb0299d16</t>
  </si>
  <si>
    <t>EXHIBIT_EMAIL_20250111_695_9fa34425</t>
  </si>
  <si>
    <t>2025-01-11T15:41:06+00:00</t>
  </si>
  <si>
    <t>Email: Activate your Mailchimp account</t>
  </si>
  <si>
    <t>9fa344254d07f09da499a0400d7b623cbd5b560828b2cd9518636a033ff036ce</t>
  </si>
  <si>
    <t>EXHIBIT_EMAIL_20250110_696_66e6e6ea</t>
  </si>
  <si>
    <t>2025-01-10T06:56:12+00:00</t>
  </si>
  <si>
    <t>66e6e6ea75d407963417b4c79ef46ecf96b4a7da48eab26dc8a881b690bb4ef6</t>
  </si>
  <si>
    <t>EXHIBIT_EMAIL_20250227_697_9e4135f8</t>
  </si>
  <si>
    <t>2025-02-27T17:42:16-08:00</t>
  </si>
  <si>
    <t>Email: Register now and save up to $200💰</t>
  </si>
  <si>
    <t>9e4135f8b53d096b1ccfe2b147a2c6447a4596a0387779fbe72bc52af72278ff</t>
  </si>
  <si>
    <t>EXHIBIT_EMAIL_20250123_698_137ebf08</t>
  </si>
  <si>
    <t>2025-01-23T01:44:33+00:00</t>
  </si>
  <si>
    <t>Email: 3 days left on your Zapier Chatbots trial ⏳</t>
  </si>
  <si>
    <t>137ebf083bbc6850ac3504d8d860927208a52aeb530c36a9f8061020049281da</t>
  </si>
  <si>
    <t>EXHIBIT_EMAIL_20250220_699_d3e6c8de</t>
  </si>
  <si>
    <t>2025-02-20T06:48:41-08:00</t>
  </si>
  <si>
    <t>Email: CRAIG, Gemini 2.0 Flash is now production-ready – start building!</t>
  </si>
  <si>
    <t>d3e6c8dea7d1b694d99de386795bffa778e81465823ab29f3f8538ece42219f4</t>
  </si>
  <si>
    <t>EXHIBIT_EMAIL_20250124_700_0b760416</t>
  </si>
  <si>
    <t>2025-01-24T15:59:45-08:00</t>
  </si>
  <si>
    <t>0b760416bbb6ed83faed0e13ac2fb85e30b0ca746c2640fcfa34d5ea5993294d</t>
  </si>
  <si>
    <t>EXHIBIT_EMAIL_20241230_701_a146086e</t>
  </si>
  <si>
    <t>2024-12-30T14:10:32+00:00</t>
  </si>
  <si>
    <t>Email: Reminder: Add a backup user to your business account</t>
  </si>
  <si>
    <t>a146086edcccce69c16fe3e1a30043c63964090329d8ddd6798949fa2e6b69ac</t>
  </si>
  <si>
    <t>EXHIBIT_EMAIL_20250109_702_2fd83115</t>
  </si>
  <si>
    <t>2025-01-09T11:42:07-05:00</t>
  </si>
  <si>
    <t>Email: Booklists From Mel Robbins, Adam Grant &amp; Brené Brown</t>
  </si>
  <si>
    <t>2fd831151bac2e8591002f607c788707b2a30053531abcbb90523dcd7a8782c4</t>
  </si>
  <si>
    <t>EXHIBIT_EMAIL_20250128_703_4197d970</t>
  </si>
  <si>
    <t>2025-01-28T11:21:11+00:00</t>
  </si>
  <si>
    <t>Email: Cash Crusade Assembl'em���: The Future of Casino Games</t>
  </si>
  <si>
    <t>4197d970236df79c85c7230cb223b056289b16875c15df97174cb85c3ca73c3d</t>
  </si>
  <si>
    <t>EXHIBIT_EMAIL_20250202_704_11122d84</t>
  </si>
  <si>
    <t>2025-02-02T06:29:39-08:00</t>
  </si>
  <si>
    <t>Email: [GitHub] Please reset your password</t>
  </si>
  <si>
    <t>11122d84b34e1d358971bdf13ea97d3dfcb0468ab992ee37bdbe9f8c6f74b5a0</t>
  </si>
  <si>
    <t>EXHIBIT_EMAIL_20250103_705_8baed159</t>
  </si>
  <si>
    <t>2025-01-03T19:20:42+00:00</t>
  </si>
  <si>
    <t>Email: Grab 16 spins in our player fave, Sweet 16 Blast!</t>
  </si>
  <si>
    <t>8baed1596cb40656fe199269a61ae586949ab886f7745a16fed5c55ccb9173bb</t>
  </si>
  <si>
    <t>EXHIBIT_EMAIL_20250102_706_036ef6c9</t>
  </si>
  <si>
    <t>2025-01-02T05:23:28+00:00</t>
  </si>
  <si>
    <t>036ef6c9147e95856f9f6533e115217b7ebdf4ad98df03a916cedd8aeb319cc1</t>
  </si>
  <si>
    <t>EXHIBIT_EMAIL_20250101_707_8e10abe4</t>
  </si>
  <si>
    <t>2025-01-01T14:04:12+00:00</t>
  </si>
  <si>
    <t>Email: Amazon Basics: well made, sharply priced</t>
  </si>
  <si>
    <t>8e10abe43dfd45a13042f67a5735425a763237b9d1fa06c10074275efc475e86</t>
  </si>
  <si>
    <t>EXHIBIT_EMAIL_20241226_708_cca6a096</t>
  </si>
  <si>
    <t>2024-12-26T09:26:49-06:00</t>
  </si>
  <si>
    <t>Email: Boxing Week deals, take a trip for less</t>
  </si>
  <si>
    <t>cca6a0963ceeebfd50443ca1ae62fef654d32e1b56d6caaeaeaa32144ed086b1</t>
  </si>
  <si>
    <t>EXHIBIT_EMAIL_20250119_709_3ec6dae7</t>
  </si>
  <si>
    <t>2025-01-19T06:21:32+00:00</t>
  </si>
  <si>
    <t>3ec6dae7d023021ed8c636b37ed018efe8c40303a6262b66569046a9dd03d24a</t>
  </si>
  <si>
    <t>EXHIBIT_EMAIL_20250128_710_364c3ede</t>
  </si>
  <si>
    <t>2025-01-28T02:49:37+00:00</t>
  </si>
  <si>
    <t>Email: The choice is yours, Stacey!</t>
  </si>
  <si>
    <t>364c3ede0ceccb14812e5c53a25129535b81693030d299e14f5d3ae449d9fcd5</t>
  </si>
  <si>
    <t>EXHIBIT_EMAIL_20250122_711_81cad9b2</t>
  </si>
  <si>
    <t>2025-01-22T01:24:23+00:00</t>
  </si>
  <si>
    <t>Email: Chat with PDFs with GPT Workspace</t>
  </si>
  <si>
    <t>81cad9b2ba6648e736eabf3a9f7f65a877e1369f50bb61b4efa51e88fe9ee03d</t>
  </si>
  <si>
    <t>EXHIBIT_EMAIL_20250107_712_4f4262a3</t>
  </si>
  <si>
    <t>2025-01-07T18:35:02+00:00</t>
  </si>
  <si>
    <t>Email: Hi Craig, we noticed a new sign in to your Dropbox account</t>
  </si>
  <si>
    <t>4f4262a3fbd1a8bef4ed2a4466a141af925234f9f0773f2f7cce52f88108e1f9</t>
  </si>
  <si>
    <t>EXHIBIT_EMAIL_20241226_713_b39770f3</t>
  </si>
  <si>
    <t>2024-12-26T08:39:13-06:00</t>
  </si>
  <si>
    <t>Email: Boxing Week deals like these won’t last long</t>
  </si>
  <si>
    <t>b39770f36dbe59dc2e7a8e226542d74cfa70de76722c64a3915452ca40eb5004</t>
  </si>
  <si>
    <t>EXHIBIT_EMAIL_20250106_714_73884e66</t>
  </si>
  <si>
    <t>2025-01-06T09:15:10-06:00</t>
  </si>
  <si>
    <t>Email: $10 &amp; under Holiday Clearance finds 😍</t>
  </si>
  <si>
    <t>73884e665856c611f2a7850beabb4e15359e18e720a2b4b6f17f535639eb59dd</t>
  </si>
  <si>
    <t>EXHIBIT_EMAIL_20241229_715_166fdd79</t>
  </si>
  <si>
    <t>2024-12-29T15:10:45+00:00</t>
  </si>
  <si>
    <t>Email: Get it for less on Amazon</t>
  </si>
  <si>
    <t>166fdd7914bf451067cc7debcb576647b8ebe051837ad0439c895765f0c6416d</t>
  </si>
  <si>
    <t>EXHIBIT_EMAIL_20250206_716_0e5dc7c3</t>
  </si>
  <si>
    <t>2025-02-06T01:37:33+00:00</t>
  </si>
  <si>
    <t>0e5dc7c348d6afb27561caefa46b3e44d69ec7ec4c4c72494dd1620433925f76</t>
  </si>
  <si>
    <t>EXHIBIT_EMAIL_20250116_717_ff7379a3</t>
  </si>
  <si>
    <t>2025-01-16T01:47:15+00:00</t>
  </si>
  <si>
    <t>Email: Build your dream business with Shopify</t>
  </si>
  <si>
    <t>ff7379a38750ac7f7369c34137de2859b7b968c170b7e153f35fcc9dd1c31f6a</t>
  </si>
  <si>
    <t>EXHIBIT_EMAIL_20250110_718_d9cbc18e</t>
  </si>
  <si>
    <t>2025-01-10T08:02:51+00:00</t>
  </si>
  <si>
    <t>Email: A Canva user has requested access to your design</t>
  </si>
  <si>
    <t>d9cbc18e23bb8f008ff7e44278c9aa86c3950f26d95315c9d0fdaa42cfc0440d</t>
  </si>
  <si>
    <t>EXHIBIT_EMAIL_20250129_719_8c297659</t>
  </si>
  <si>
    <t>2025-01-29T17:08:11-05:00</t>
  </si>
  <si>
    <t>Email: Already Finished Onyx Storm?</t>
  </si>
  <si>
    <t>8c29765987e796cb2192e8cd02e9d3595f9984bea03fbc6826ca641c06ada09b</t>
  </si>
  <si>
    <t>EXHIBIT_EMAIL_20250214_720_6557e903</t>
  </si>
  <si>
    <t>2025-02-14T17:19:05+00:00</t>
  </si>
  <si>
    <t>6557e903c63522d1fa3d0c66d27a5377fbf095124770096dff875bce7971b671</t>
  </si>
  <si>
    <t>EXHIBIT_EMAIL_20241220_721_50cff652</t>
  </si>
  <si>
    <t>2024-12-20T18:16:10+00:00</t>
  </si>
  <si>
    <t>Email: 🚀 What’s new in OpenPhone: 2024 end of year recap!</t>
  </si>
  <si>
    <t>50cff652d8cfd76736595a43f70570729267b2ee50f4a0e9264c4286c07bdc43</t>
  </si>
  <si>
    <t>EXHIBIT_EMAIL_20241221_722_74ee2594</t>
  </si>
  <si>
    <t>2024-12-21T23:22:38+00:00</t>
  </si>
  <si>
    <t>Email: SJ PLACED - 🎅 Christmas Special: 40% OFF on All Plans! 🎁</t>
  </si>
  <si>
    <t>74ee2594405b001101dca9ee2a769fb5226eb7ffa832be2591c6345c2d831ee6</t>
  </si>
  <si>
    <t>EXHIBIT_EMAIL_20241218_723_6e4f5315</t>
  </si>
  <si>
    <t>2024-12-18T09:44:34-06:00</t>
  </si>
  <si>
    <t>Email: Comfy holiday PJs from $18 are here 😊</t>
  </si>
  <si>
    <t>6e4f531527157bdc7ac7c883d42ff30a383d47eff8cefdbf696c7dd1820247d4</t>
  </si>
  <si>
    <t>EXHIBIT_EMAIL_20241211_724_6b6db9d4</t>
  </si>
  <si>
    <t>2024-12-11T16:20:43-06:00</t>
  </si>
  <si>
    <t>Email: The spirit of saving is here 🎄</t>
  </si>
  <si>
    <t>6b6db9d45df96970eee61004e429c3efc9ec24c4226ee0e8ff0b517807b644a0</t>
  </si>
  <si>
    <t>EXHIBIT_EMAIL_20241218_725_29825313</t>
  </si>
  <si>
    <t>2024-12-18T06:31:08+01:00</t>
  </si>
  <si>
    <t>298253135aec67854e5bccf265d9d9206ba35afda74121987aea0914852e4261</t>
  </si>
  <si>
    <t>EXHIBIT_EMAIL_20241221_726_57520f3b</t>
  </si>
  <si>
    <t>2024-12-21T09:09:03-05:00</t>
  </si>
  <si>
    <t>Email: Top 10 Gifts to Pick Up Today 🎁</t>
  </si>
  <si>
    <t>57520f3b9d7b7f4fca095b64a59c29b53b112c56d48fdc05d44694475e552767</t>
  </si>
  <si>
    <t>EXHIBIT_EMAIL_20250121_727_cb66df99</t>
  </si>
  <si>
    <t>2025-01-21T09:35:33-06:00</t>
  </si>
  <si>
    <t>Email: Rollback savings on grocery 🛒🥫</t>
  </si>
  <si>
    <t>cb66df99e3d8052fc67491a813b39083c0dd9eed53d2d10d5d83a5a53f1709c4</t>
  </si>
  <si>
    <t>EXHIBIT_EMAIL_20241219_728_e023ae1c</t>
  </si>
  <si>
    <t>2024-12-19T09:29:03-06:00</t>
  </si>
  <si>
    <t>e023ae1c740d3eca89284ef75988bb569e0202bd4a7a32d604aed8a57c831b07</t>
  </si>
  <si>
    <t>EXHIBIT_EMAIL_20241219_729_8f5b2319</t>
  </si>
  <si>
    <t>2024-12-19T15:29:55+00:00</t>
  </si>
  <si>
    <t>Email: Regarding your account: Don't forget about your Dropbox files</t>
  </si>
  <si>
    <t>8f5b2319212ee7bd1fe1f1bad8e7171a50ee20eb24a1a3631c25809711bcccc4</t>
  </si>
  <si>
    <t>EXHIBIT_EMAIL_20241223_730_9f304a0e</t>
  </si>
  <si>
    <t>2024-12-23T05:43:53-03:00</t>
  </si>
  <si>
    <t>Email: C W shared the folder "DCIM" with you</t>
  </si>
  <si>
    <t>9f304a0e5e38014e41c375134772c2a3b4fa02e1d05c0ab2a6398ae63b393a6e</t>
  </si>
  <si>
    <t>EXHIBIT_EMAIL_20241215_731_526f0554</t>
  </si>
  <si>
    <t>2024-12-15T09:19:32-06:00</t>
  </si>
  <si>
    <t>Email: Holiday party prep at low prices 🥂</t>
  </si>
  <si>
    <t>526f0554ef98f44292783f5682ad364859cf087578c2ab773dcf717f8556f1de</t>
  </si>
  <si>
    <t>EXHIBIT_EMAIL_20241224_732_e9109ae3</t>
  </si>
  <si>
    <t>2024-12-24T17:08:34-05:00</t>
  </si>
  <si>
    <t>Email: Warm Holiday Wishes</t>
  </si>
  <si>
    <t>e9109ae37f60cbd704d145fedeb3414a30cfbc1daebaf14f602e30cd621ff2c5</t>
  </si>
  <si>
    <t>EXHIBIT_EMAIL_20241216_733_c1de12f8</t>
  </si>
  <si>
    <t>2024-12-16T12:07:48+00:00</t>
  </si>
  <si>
    <t>Email: BIG NEWS! It’s time to BOGO!</t>
  </si>
  <si>
    <t>c1de12f82ff99d7d7af1c560f344d45fe0a02ade0b40c913db0a20b7a25a0f4a</t>
  </si>
  <si>
    <t>EXHIBIT_EMAIL_20241210_734_5e71debb</t>
  </si>
  <si>
    <t>2024-12-10T15:41:03-06:00</t>
  </si>
  <si>
    <t>Email: Let's get your site ready to go.</t>
  </si>
  <si>
    <t>5e71debb3b7f39586ddeff9ad2b324e97fffe237a0e0502b135748be9df4197b</t>
  </si>
  <si>
    <t>EXHIBIT_EMAIL_20241228_735_ec17ee55</t>
  </si>
  <si>
    <t>2024-12-28T01:43:24+01:00</t>
  </si>
  <si>
    <t>Email: vroofn, you have free spins on The Slotfather: Book of Wins - Hold &amp; Win! 🔪</t>
  </si>
  <si>
    <t>ec17ee55f2d840cab182452749b01521964bba2b2ca21fcc4dae0fcc52dc7199</t>
  </si>
  <si>
    <t>EXHIBIT_EMAIL_20241221_736_d0585111</t>
  </si>
  <si>
    <t>2024-12-21T06:00:07+00:00</t>
  </si>
  <si>
    <t>Email: vroofn, Deposit CAD 5, Get 77 Free Spins! 🎁</t>
  </si>
  <si>
    <t>d05851113964aba76b11e95afcd84d50c6164042aeb9e394e38f87e7253fbdc9</t>
  </si>
  <si>
    <t>EXHIBIT_EMAIL_20241208_737_72ee826f</t>
  </si>
  <si>
    <t>2024-12-08T21:24:13+00:00</t>
  </si>
  <si>
    <t>Email: Someone added you as their recovery email</t>
  </si>
  <si>
    <t>72ee826f341606f0943d64203f4a5ea71a5efa67c98e319fe889268923cb3c47</t>
  </si>
  <si>
    <t>EXHIBIT_EMAIL_20250129_738_951677e6</t>
  </si>
  <si>
    <t>2025-01-29T10:21:55+00:00</t>
  </si>
  <si>
    <t>Email: 4 Bathroom Makeovers in 50 Square Feet or Less | 8 Color Trends From Maison &amp; Objet</t>
  </si>
  <si>
    <t>951677e67d095c6f94332b77e06f6f381db90de889eb53f4382b320dfb2ff860</t>
  </si>
  <si>
    <t>EXHIBIT_EMAIL_20241209_739_ca697995</t>
  </si>
  <si>
    <t>2024-12-09T09:08:51+00:00</t>
  </si>
  <si>
    <t>Email: PLaCED - welcome to OpenPhone!</t>
  </si>
  <si>
    <t>ca69799598bb1505658996cb150faeffcc75b0e6023f1bc4a479c798232be6d5</t>
  </si>
  <si>
    <t>EXHIBIT_EMAIL_20241209_740_4f025074</t>
  </si>
  <si>
    <t>2024-12-09T01:29:22+00:00</t>
  </si>
  <si>
    <t>Email: Your cart item: now 30% OFF!</t>
  </si>
  <si>
    <t>4f02507407b0f7e2f33ed48977152063e8203092f81b4caee60c5f8eeee16b9a</t>
  </si>
  <si>
    <t>EXHIBIT_EMAIL_20241208_741_b56df9db</t>
  </si>
  <si>
    <t>2024-12-08T06:05:01+00:00</t>
  </si>
  <si>
    <t>Email: Welcome to Financeit! Important information.</t>
  </si>
  <si>
    <t>b56df9dbb3c1983407d4c6884b43b8323a98f61fed88d4f74ed1a7f4203f9a9e</t>
  </si>
  <si>
    <t>EXHIBIT_EMAIL_20241213_742_d18b399c</t>
  </si>
  <si>
    <t>2024-12-13T11:01:07+00:00</t>
  </si>
  <si>
    <t>Email: Did you know? We can design it for you</t>
  </si>
  <si>
    <t>d18b399cc0e657905f505b9e1f47874c7256a5614bc589e4aa38aeb1b392b48e</t>
  </si>
  <si>
    <t>EXHIBIT_EMAIL_20241209_743_0100937d</t>
  </si>
  <si>
    <t>2024-12-09T12:12:42-06:00</t>
  </si>
  <si>
    <t>Email: Beach now, bill later</t>
  </si>
  <si>
    <t>0100937d1ff094d1543fc72e2eb7301dec82b66ee59c415ab7a259f18c93af11</t>
  </si>
  <si>
    <t>EXHIBIT_EMAIL_20241210_744_ed5ce094</t>
  </si>
  <si>
    <t>2024-12-10T16:08:02+00:00</t>
  </si>
  <si>
    <t>Email: 39 Weeks Pregnant: Fat Deposits</t>
  </si>
  <si>
    <t>ed5ce094ecd98e947c61ed9d73574ce62dba04ee2f1190bd79605666e03a5b7d</t>
  </si>
  <si>
    <t>EXHIBIT_EMAIL_20241211_745_70595157</t>
  </si>
  <si>
    <t>2024-12-11T04:30:12+00:00</t>
  </si>
  <si>
    <t>Email: vroofn, play with a 100% Bonus + 50 Free Spins! 💸</t>
  </si>
  <si>
    <t>70595157dd31541a9dc8462b9936918d308c1f096010958b44243688199d546e</t>
  </si>
  <si>
    <t>EXHIBIT_EMAIL_20250129_746_4aae3a32</t>
  </si>
  <si>
    <t>2025-01-29T07:01:10-05:00</t>
  </si>
  <si>
    <t>Email: You’re in good company with these Mailchimp success stories</t>
  </si>
  <si>
    <t>4aae3a325959cb723fe17b02dd5829e30ea12182772fb48a6fedfcd72c3cdbe9</t>
  </si>
  <si>
    <t>EXHIBIT_EMAIL_20241228_747_a4aca1d2</t>
  </si>
  <si>
    <t>2024-12-28T03:51:29+00:00</t>
  </si>
  <si>
    <t>a4aca1d2408f9dcb1ef2d9d9c9144dcf2cab84a85dbb44b566b2a7ee6b3416e3</t>
  </si>
  <si>
    <t>EXHIBIT_EMAIL_20241220_748_f6ad5785</t>
  </si>
  <si>
    <t>2024-12-20T22:16:08+00:00</t>
  </si>
  <si>
    <t>Email: Updated Terms of Use</t>
  </si>
  <si>
    <t>f6ad5785dc464c3eeea20ed6b27390bba730634d331c062c0aaf9d8de9efbdbc</t>
  </si>
  <si>
    <t>EXHIBIT_EMAIL_20241209_749_1d43e3f6</t>
  </si>
  <si>
    <t>2024-12-09T09:55:47-06:00</t>
  </si>
  <si>
    <t>Email: Magical Deals ✨ Grab up to 40% off now!</t>
  </si>
  <si>
    <t>1d43e3f623d8b82dc8110b40f1df4db81706c8af04a8210ce4388e698a93565d</t>
  </si>
  <si>
    <t>EXHIBIT_EMAIL_20250112_750_9896785b</t>
  </si>
  <si>
    <t>2025-01-12T10:46:26+00:00</t>
  </si>
  <si>
    <t>Email: 10 Kitchen Remodeling Trends for 2025 | 4 Warm Bathrooms With Wood Vanities</t>
  </si>
  <si>
    <t>9896785b9f5eed275a83fdfe562c81eba2c89705e5c6fc9ef76c758774741e67</t>
  </si>
  <si>
    <t>EXHIBIT_EMAIL_20241223_751_18bde0fb</t>
  </si>
  <si>
    <t>2024-12-23T15:31:09+00:00</t>
  </si>
  <si>
    <t>Email: Have you seen these new features?</t>
  </si>
  <si>
    <t>18bde0fbb0a871936c4cb051bbfdaf650a7fc72c50697c4a64de80fe6f5af861</t>
  </si>
  <si>
    <t>EXHIBIT_EMAIL_20241221_752_5c397265</t>
  </si>
  <si>
    <t>2024-12-21T09:46:32-06:00</t>
  </si>
  <si>
    <t>Email: Hurry! Check off all the toys on their list 🧸</t>
  </si>
  <si>
    <t>5c397265f8e3525f7070fbbb8e5fb52d058af3e9ae795064c9111a2aa197c6b6</t>
  </si>
  <si>
    <t>EXHIBIT_EMAIL_20241223_753_6d41c69c</t>
  </si>
  <si>
    <t>2024-12-23T05:59:59+01:00</t>
  </si>
  <si>
    <t>Email: As-tu entendu parler de notre semaine de soldes d’après Noël?</t>
  </si>
  <si>
    <t>6d41c69c05f49e495bf1a99e4818a495a52480a7b9fd536f0eadf20aefe42333</t>
  </si>
  <si>
    <t>EXHIBIT_EMAIL_20241215_754_1a8685b6</t>
  </si>
  <si>
    <t>2024-12-15T23:36:16+00:00</t>
  </si>
  <si>
    <t>Email: PLaCED sent you a message</t>
  </si>
  <si>
    <t>1a8685b62bb62dc199a32a87d35c7bff4dcb0e640c51a18b65a0d947dd57230d</t>
  </si>
  <si>
    <t>EXHIBIT_EMAIL_20241209_755_419ff29f</t>
  </si>
  <si>
    <t>2024-12-09T18:33:28+00:00</t>
  </si>
  <si>
    <t>Email: Unwrap 600 bonus points by completing the Holiday Challenge</t>
  </si>
  <si>
    <t>419ff29f6a52fd78615003c280544ea7c164fab3ba321a294ae1a7bc47dafbf7</t>
  </si>
  <si>
    <t>EXHIBIT_EMAIL_20241217_756_d0d29651</t>
  </si>
  <si>
    <t>2024-12-17T10:23:58-06:00</t>
  </si>
  <si>
    <t>Email: UP TO 40% OFF 💫 Magical deals on toys &amp; more!</t>
  </si>
  <si>
    <t>d0d296514d4c8c055aa7d7e962a60658928e8bf4e0a5e3c94cbe278c17ecdfaa</t>
  </si>
  <si>
    <t>EXHIBIT_EMAIL_20241222_757_df843aa8</t>
  </si>
  <si>
    <t>2024-12-22T17:47:32-06:00</t>
  </si>
  <si>
    <t>Email: BOXING WEEK DEALS START AT 10 PM EST ⌚</t>
  </si>
  <si>
    <t>df843aa841822a44ffa65afe0d9be64672a2413c4be65bc1f37929a869b7c713</t>
  </si>
  <si>
    <t>EXHIBIT_EMAIL_20241211_758_d8606a97</t>
  </si>
  <si>
    <t>2024-12-11T12:11:19+00:00</t>
  </si>
  <si>
    <t>Email: These Black Friday deals are back: Up to 50% off holiday cards &amp; wall calendars</t>
  </si>
  <si>
    <t>d8606a97d2ffc13711a537aded9fd71ecfeac71964d6b751d56f1ea1e7331cc9</t>
  </si>
  <si>
    <t>EXHIBIT_EMAIL_20241226_759_1fd9f395</t>
  </si>
  <si>
    <t>2024-12-26T06:00:02+00:00</t>
  </si>
  <si>
    <t>Email: vroofn, you have free spins on Christmas Reach! 🎄</t>
  </si>
  <si>
    <t>1fd9f3955bdcc2eb045da5599c63499072732a0a3ba27547f9cc7ca727d0be88</t>
  </si>
  <si>
    <t>EXHIBIT_EMAIL_20241212_760_18b0f096</t>
  </si>
  <si>
    <t>2024-12-12T13:59:36-06:00</t>
  </si>
  <si>
    <t>Email: Holiday Deals + Surprises In-store! 🎁</t>
  </si>
  <si>
    <t>18b0f09668ebfb12e444c0c79384df950c9aab1acf51dbfbb0d3566e14517c5b</t>
  </si>
  <si>
    <t>EXHIBIT_EMAIL_20241219_761_3e3673ba</t>
  </si>
  <si>
    <t>2024-12-19T09:56:07-06:00</t>
  </si>
  <si>
    <t>Email: Last-minute gifts at low prices you'll love 🎁</t>
  </si>
  <si>
    <t>3e3673bab59922d52cf0f08feed77e81ac64b7bb1717c4bc15efda9bb82e6bc5</t>
  </si>
  <si>
    <t>EXHIBIT_EMAIL_20241220_762_b0146b2f</t>
  </si>
  <si>
    <t>2024-12-20T16:58:48+00:00</t>
  </si>
  <si>
    <t>Email: Your 3 months of Spotify Premium for  $12.69 are waiting. $12.69/mo</t>
  </si>
  <si>
    <t>after. Cancel anytime."</t>
  </si>
  <si>
    <t>b0146b2fb7fb48eac38d59ea66c849e4a5f9583381aec3b12b588b3af17d1b93</t>
  </si>
  <si>
    <t>EXHIBIT_EMAIL_20241211_763_62722a33</t>
  </si>
  <si>
    <t>2024-12-11T01:25:52+00:00</t>
  </si>
  <si>
    <t>Email: 30% off your next 3 orders - just for you 👀</t>
  </si>
  <si>
    <t>62722a33445d707c742b6583f4f6a7f03d48519fc38397e514abf2d4e6a15840</t>
  </si>
  <si>
    <t>EXHIBIT_EMAIL_20241220_764_9a6b44ef</t>
  </si>
  <si>
    <t>2024-12-20T19:44:40+00:00</t>
  </si>
  <si>
    <t>9a6b44efbb86358c30faeba10a5047856b8b0e2178bb380e32f80910f26c0ebb</t>
  </si>
  <si>
    <t>EXHIBIT_EMAIL_20250113_765_2cfddbc9</t>
  </si>
  <si>
    <t>2025-01-13T18:35:47-05:00</t>
  </si>
  <si>
    <t>Email: What you need to know to about your audience</t>
  </si>
  <si>
    <t>2cfddbc968f056a338694d13241a362a0ebb4896d16d936812b247cce22db835</t>
  </si>
  <si>
    <t>EXHIBIT_EMAIL_20250108_766_359cc7fc</t>
  </si>
  <si>
    <t>2025-01-08T06:19:49+01:00</t>
  </si>
  <si>
    <t>359cc7fc476af8995f68886ac9750f54376f2c9ee2719f2f54d28ef94f932b12</t>
  </si>
  <si>
    <t>EXHIBIT_EMAIL_20241224_767_03277a95</t>
  </si>
  <si>
    <t>2024-12-24T16:07:19+00:00</t>
  </si>
  <si>
    <t>Email: 41 Weeks Pregnant: The Truth About Newborn Poop</t>
  </si>
  <si>
    <t>03277a956c4363ca5f1de2b7b6d3f9ec7b8404b09a4bbc6257fad418af8ec26a</t>
  </si>
  <si>
    <t>EXHIBIT_EMAIL_20250114_768_bba5f518</t>
  </si>
  <si>
    <t>2025-01-14T16:44:37+00:00</t>
  </si>
  <si>
    <t>Email: Your 4-Week-Old Baby: 11 Brilliant IKEA Hacks for Nurseries</t>
  </si>
  <si>
    <t>bba5f518d9b2d074f5eed8e640e05f5762705d6b7ffe31ad1a09f6125157b975</t>
  </si>
  <si>
    <t>EXHIBIT_EMAIL_20241214_769_dec94005</t>
  </si>
  <si>
    <t>2024-12-14T17:47:38+00:00</t>
  </si>
  <si>
    <t>Email: Place 1 order to unlock 30% off</t>
  </si>
  <si>
    <t>dec940055a74c34425bd2bf773055f683cb460cad097eb60097d79002332887b</t>
  </si>
  <si>
    <t>EXHIBIT_EMAIL_20241216_770_592c0938</t>
  </si>
  <si>
    <t>2024-12-16T03:14:12-06:00</t>
  </si>
  <si>
    <t>592c0938ada494f1b5809cd373168fe84b1b3edfcbfa46609e498c366e571e04</t>
  </si>
  <si>
    <t>EXHIBIT_EMAIL_20241212_771_3a6806a4</t>
  </si>
  <si>
    <t>2024-12-12T06:22:00+00:00</t>
  </si>
  <si>
    <t>Email: SJ PLACED - 12 visitors love Oasis Property Experts</t>
  </si>
  <si>
    <t>3a6806a447ed7e0e368d248184b5180044bfdc7b397bfb3eb336d165766da47c</t>
  </si>
  <si>
    <t>EXHIBIT_EMAIL_20241223_772_26d554df</t>
  </si>
  <si>
    <t>2024-12-23T18:17:08-08:00</t>
  </si>
  <si>
    <t>26d554dfda7513f716a697f656a680141edf931ef5081a16e5858133bc880088</t>
  </si>
  <si>
    <t>EXHIBIT_EMAIL_20241210_773_4b4b87b4</t>
  </si>
  <si>
    <t>2024-12-10T14:03:26-05:00</t>
  </si>
  <si>
    <t>Email: Effective strategies to cut operational costs</t>
  </si>
  <si>
    <t>4b4b87b4b08a555efd4851c00eeb6c051fff1c8e80fd0a5cae0c51480f6420c7</t>
  </si>
  <si>
    <t>EXHIBIT_EMAIL_20241218_774_6d83329c</t>
  </si>
  <si>
    <t>2024-12-18T05:09:11+01:00</t>
  </si>
  <si>
    <t>6d83329ce0c8991e1ba02f8d2d41d3be4af4c4209c42edb43149e737705ca0a5</t>
  </si>
  <si>
    <t>EXHIBIT_EMAIL_20241221_775_36f16d80</t>
  </si>
  <si>
    <t>2024-12-21T10:10:00+00:00</t>
  </si>
  <si>
    <t>Email: Your guide to a cozy holiday at home</t>
  </si>
  <si>
    <t>36f16d8056d6ffee2d1891af509f484f738280b249365fa7dbdca5f2e6267250</t>
  </si>
  <si>
    <t>EXHIBIT_EMAIL_20250125_776_b7cbbfd0</t>
  </si>
  <si>
    <t>2025-01-25T11:17:23+00:00</t>
  </si>
  <si>
    <t>Email: Get back to business for $1</t>
  </si>
  <si>
    <t>b7cbbfd09855b572d0ea3d10529cdbfdaacb683d48528de6bed31a0b9d28908d</t>
  </si>
  <si>
    <t>EXHIBIT_EMAIL_20250106_777_54a5b3c7</t>
  </si>
  <si>
    <t>2025-01-06T15:24:56+00:00</t>
  </si>
  <si>
    <t>Email: It’s the ✨BUY MORE, SAVE MORE✨ event</t>
  </si>
  <si>
    <t>54a5b3c7242e61000a26e91d9b9b65a6e0f7b8b7f7477ec04e4719d1a1722f93</t>
  </si>
  <si>
    <t>EXHIBIT_EMAIL_20241220_778_c57b3beb</t>
  </si>
  <si>
    <t>2024-12-20T23:42:18+00:00</t>
  </si>
  <si>
    <t>Email: Your phone number(s) will be released soon</t>
  </si>
  <si>
    <t>c57b3beb3b09b953ba74e347dce3a1815bab44089495bd304a4d3188cad3c5dd</t>
  </si>
  <si>
    <t>EXHIBIT_EMAIL_20241224_779_b718ee06</t>
  </si>
  <si>
    <t>2024-12-24T05:09:04+01:00</t>
  </si>
  <si>
    <t>b718ee06f1757850b2f6483570c496243c1366476793c20b41485b3b174f6e95</t>
  </si>
  <si>
    <t>EXHIBIT_EMAIL_20250206_780_aef96d4d</t>
  </si>
  <si>
    <t>2025-02-06T15:24:13+00:00</t>
  </si>
  <si>
    <t>Email: Stacey's family order from Costco is confirmed for February 6</t>
  </si>
  <si>
    <t>aef96d4d5e145db13bc4346b317ea82092fd60fb57d788275daca27c75998547</t>
  </si>
  <si>
    <t>EXHIBIT_EMAIL_20241220_781_48d0369d</t>
  </si>
  <si>
    <t>2024-12-20T02:01:41+00:00</t>
  </si>
  <si>
    <t>Email: Save on these restaurant dishes.</t>
  </si>
  <si>
    <t>48d0369d0abc608371f2b7628f1afde8cb3ba9d289f5c83076d929cf58799104</t>
  </si>
  <si>
    <t>EXHIBIT_EMAIL_20250112_782_e9878145</t>
  </si>
  <si>
    <t>2025-01-12T09:37:25-06:00</t>
  </si>
  <si>
    <t>Email: CLEARANCE prices you can't miss 🫵</t>
  </si>
  <si>
    <t>e98781453654f11f8046350cdf17f02fe53858cf5bd457d6c7a1b94ec24ff283</t>
  </si>
  <si>
    <t>EXHIBIT_EMAIL_20250211_783_7b2718fb</t>
  </si>
  <si>
    <t>2025-02-11T12:03:13+00:00</t>
  </si>
  <si>
    <t>Email: 🚨Footlong time is almost over 🚨</t>
  </si>
  <si>
    <t>7b2718fbecca64ff99bd8eea74c6a26d8941061251a2bbf0a4c514fbe55b228a</t>
  </si>
  <si>
    <t>EXHIBIT_EMAIL_20250123_784_49e1375d</t>
  </si>
  <si>
    <t>2025-01-23T19:01:31-08:00</t>
  </si>
  <si>
    <t>Email: charliewharlie369, see amclau59, jbu71 and more in your feed</t>
  </si>
  <si>
    <t>49e1375d1af4659db045a2cd44706e092abb5fc24c1e7b3b0c7fed1f984d1a34</t>
  </si>
  <si>
    <t>EXHIBIT_EMAIL_20241211_785_c829d132</t>
  </si>
  <si>
    <t>2024-12-11T23:52:59+00:00</t>
  </si>
  <si>
    <t>Email: Step into the fiery realm of Dragon Winds!</t>
  </si>
  <si>
    <t>c829d13233b851b1720614633c87a595046b28e1e7d9beb5bb6f960f85b59ef4</t>
  </si>
  <si>
    <t>EXHIBIT_EMAIL_20241217_786_2469f254</t>
  </si>
  <si>
    <t>2024-12-17T12:21:11+00:00</t>
  </si>
  <si>
    <t>Email: Up to 40% off wall calendars + an EXTRA 20% off your order</t>
  </si>
  <si>
    <t>2469f25479951eabd0edeffb125acd34d665ff67c9658b1e4415762ba5df603f</t>
  </si>
  <si>
    <t>EXHIBIT_EMAIL_20241224_787_7f2e3dbf</t>
  </si>
  <si>
    <t>2024-12-24T14:13:30-05:00</t>
  </si>
  <si>
    <t>Email: KPIs: How to set the right metrics for your business</t>
  </si>
  <si>
    <t>7f2e3dbfeaa99fde5c1517f9719bca84863b684a0a6f2f82afce5d77d8e51fb5</t>
  </si>
  <si>
    <t>EXHIBIT_EMAIL_20241209_788_11384173</t>
  </si>
  <si>
    <t>2024-12-09T23:24:09-04:00</t>
  </si>
  <si>
    <t>113841734e221460359646be106bdd77baa83db607556e0f9b642496c5d985a0</t>
  </si>
  <si>
    <t>EXHIBIT_EMAIL_20241209_789_152d1eae</t>
  </si>
  <si>
    <t>2024-12-09T13:19:19+00:00</t>
  </si>
  <si>
    <t>Email: CUPA Pizarras – Request of information about THERMOSLATE®</t>
  </si>
  <si>
    <t>152d1eaeb3d699f9805c7a8e5326e442856e132a5326e0b24c2925db1b8336d7</t>
  </si>
  <si>
    <t>EXHIBIT_EMAIL_20250109_790_c8309fcc</t>
  </si>
  <si>
    <t>2025-01-09T02:46:07+00:00</t>
  </si>
  <si>
    <t>Email: How to start your first Printful order</t>
  </si>
  <si>
    <t>c8309fcce0ec26a625267f1a50a9cd755cd34eedb27ef53670c53e1e507b88ae</t>
  </si>
  <si>
    <t>EXHIBIT_EMAIL_20241223_791_90c74e45</t>
  </si>
  <si>
    <t>2024-12-23T02:16:05-06:00</t>
  </si>
  <si>
    <t>Email: Your cart's rolling away. Complete your order today.</t>
  </si>
  <si>
    <t>90c74e45ad2df0a656c6d7f5d2f10d76bc0c65c65dae4c9eb4b1e44ba50e4901</t>
  </si>
  <si>
    <t>EXHIBIT_EMAIL_20241222_792_648bd151</t>
  </si>
  <si>
    <t>2024-12-22T23:22:14+00:00</t>
  </si>
  <si>
    <t>648bd151b8098874dfd2d03566022cf71ae4504d98f4a623513d7e8ef2feb045</t>
  </si>
  <si>
    <t>EXHIBIT_EMAIL_20250106_793_a8baef90</t>
  </si>
  <si>
    <t>2025-01-06T12:33:45-04:00</t>
  </si>
  <si>
    <t>Email: Invoice from Paul’s Roofing</t>
  </si>
  <si>
    <t>a8baef9058b254d99b18310a57788bc4e4aa3217269a0464fcba2b2d23ee8ddd</t>
  </si>
  <si>
    <t>EXHIBIT_EMAIL_20241218_794_860a46f1</t>
  </si>
  <si>
    <t>2024-12-18T20:03:40+00:00</t>
  </si>
  <si>
    <t>Email: 39 Weeks, 5 Days Pregnant</t>
  </si>
  <si>
    <t>860a46f1c7959d6d767ea0da7bb06e845843726e45d5e7320054cb4c44a9381b</t>
  </si>
  <si>
    <t>EXHIBIT_EMAIL_20241213_795_91b28893</t>
  </si>
  <si>
    <t>2024-12-13T11:46:54+00:00</t>
  </si>
  <si>
    <t>91b288934267066c4b4213a87e13ce78ecf3148b285037d096c283452329d334</t>
  </si>
  <si>
    <t>EXHIBIT_EMAIL_20241222_796_44c52db0</t>
  </si>
  <si>
    <t>2024-12-22T03:23:19+00:00</t>
  </si>
  <si>
    <t>Email: Why This *One* Formula Ingredient Matters</t>
  </si>
  <si>
    <t>44c52db0642176115345cf6ebab5c4d567b8c46236e92b32ee5bed5db997ac5c</t>
  </si>
  <si>
    <t>EXHIBIT_EMAIL_20241224_797_b0b63760</t>
  </si>
  <si>
    <t>2024-12-24T23:42:20+00:00</t>
  </si>
  <si>
    <t>Email: Last chance to port your number(s)</t>
  </si>
  <si>
    <t>b0b63760a27dad47a95688f49e03b00a5df9cd0ac9dba354568bb1a852cc2ab9</t>
  </si>
  <si>
    <t>EXHIBIT_EMAIL_20241225_798_d3f577e9</t>
  </si>
  <si>
    <t>2024-12-25T00:42:16-08:00</t>
  </si>
  <si>
    <t>Email: Read this one!!!!</t>
  </si>
  <si>
    <t>d3f577e9b2ee71a295b4ea0ad2e8ad88981fb693825a2afad702558e471bca8a</t>
  </si>
  <si>
    <t>EXHIBIT_EMAIL_20250213_799_21209536</t>
  </si>
  <si>
    <t>2025-02-13T14:04:47-04:00</t>
  </si>
  <si>
    <t>Email: Hey</t>
  </si>
  <si>
    <t>212095367b58b297abbf49c374dbc1ae5f6d8f57d264e19bf3cac26f89690f4a</t>
  </si>
  <si>
    <t>EXHIBIT_EMAIL_20241224_800_71246606</t>
  </si>
  <si>
    <t>2024-12-24T17:00:04+00:00</t>
  </si>
  <si>
    <t>Email: 9 steps to transform your customer service experience</t>
  </si>
  <si>
    <t>7124660680ccc32cbd5f922215092a87ea24deead1b1f97211e328612e900c14</t>
  </si>
  <si>
    <t>EXHIBIT_EMAIL_20241210_801_77310e1d</t>
  </si>
  <si>
    <t>2024-12-10T20:27:25+00:00</t>
  </si>
  <si>
    <t>Email: 30% off is waiting for you at checkout</t>
  </si>
  <si>
    <t>77310e1d5aca81255ee077a4a18a8cb37b44e1331920aba0d5685eb4543d1ff6</t>
  </si>
  <si>
    <t>EXHIBIT_EMAIL_20241215_802_6f06d701</t>
  </si>
  <si>
    <t>2024-12-15T01:19:16+00:00</t>
  </si>
  <si>
    <t>Email: Your own creative studio at CapCut</t>
  </si>
  <si>
    <t>6f06d701cc70ed678fe00bb6f51e79eefa8e79341dada9ba2d70f1d251d2f97a</t>
  </si>
  <si>
    <t>EXHIBIT_EMAIL_20241218_803_43da1223</t>
  </si>
  <si>
    <t>2024-12-18T14:40:44+00:00</t>
  </si>
  <si>
    <t>Email: Our Christmas Sale is waiting</t>
  </si>
  <si>
    <t>43da1223593d6beb05a25cc1389343b880b4163ca872f0b3efa4b25c2d41cc64</t>
  </si>
  <si>
    <t>EXHIBIT_EMAIL_20241207_804_5fd4a54a</t>
  </si>
  <si>
    <t>2024-12-07T15:13:00-04:00</t>
  </si>
  <si>
    <t>5fd4a54ad497bb1c180e7d5605f9f7ff4e70244605546ab4b0f2f7b7a3008ede</t>
  </si>
  <si>
    <t>EXHIBIT_EMAIL_20241208_805_97e9d7d5</t>
  </si>
  <si>
    <t>2024-12-08T07:15:21+01:00</t>
  </si>
  <si>
    <t>97e9d7d580cc865d06af64b133b5f35b0c68e7a8ba2a6a02e3935d09d19a81f7</t>
  </si>
  <si>
    <t>EXHIBIT_EMAIL_20241228_806_7ee4c739</t>
  </si>
  <si>
    <t>2024-12-28T03:50:12+00:00</t>
  </si>
  <si>
    <t>7ee4c739c270bf50c43ebf0649b7301e683f886f394218d8efd4922786b89c79</t>
  </si>
  <si>
    <t>EXHIBIT_EMAIL_20250209_807_67be3c3d</t>
  </si>
  <si>
    <t>2025-02-09T06:23:58+01:00</t>
  </si>
  <si>
    <t>67be3c3dbc15d1182e89d76e952e9a09cf5fa7399ae639b5fcbd77f2c7df95f6</t>
  </si>
  <si>
    <t>EXHIBIT_EMAIL_20241210_808_21f2ec29</t>
  </si>
  <si>
    <t>2024-12-10T13:59:57+01:00</t>
  </si>
  <si>
    <t>Email: DÉPÊCHE-TOI : 40 % de rabais pour quelques heures seulement</t>
  </si>
  <si>
    <t>21f2ec29d4ba31139ba834f9bc46e5b10363407caa8d272b616548c49938013a</t>
  </si>
  <si>
    <t>EXHIBIT_EMAIL_20250217_809_8fdd052f</t>
  </si>
  <si>
    <t>2025-02-17T10:08:57+00:00</t>
  </si>
  <si>
    <t>Email: Presidents’ Day Sale: still time to save!</t>
  </si>
  <si>
    <t>8fdd052f97d715a534800ba657536695eb9f342cd070e04b8097e7b81ddce690</t>
  </si>
  <si>
    <t>EXHIBIT_EMAIL_20241218_810_020047f5</t>
  </si>
  <si>
    <t>2024-12-18T15:26:44+00:00</t>
  </si>
  <si>
    <t>Email: Back up your Amazon Business account now</t>
  </si>
  <si>
    <t>020047f538cea77c45167f9223ac1dac20c3ee609c8ea8b328f8aab09856f405</t>
  </si>
  <si>
    <t>EXHIBIT_EMAIL_20241211_811_f8ad50f7</t>
  </si>
  <si>
    <t>2024-12-11T01:38:37+01:00</t>
  </si>
  <si>
    <t>f8ad50f703b60870ca58f78283dc62a572ed9c9562a4dd206da70d7d7dd0bbdf</t>
  </si>
  <si>
    <t>EXHIBIT_EMAIL_20241222_812_daa5285d</t>
  </si>
  <si>
    <t>2024-12-22T10:58:23+00:00</t>
  </si>
  <si>
    <t>Email: Pros’ Favorite Time-Saving Practices | The 10 Most Popular New Bedrooms of 2024</t>
  </si>
  <si>
    <t>daa5285d8b0a669bb50d170269a018238e519d07fd6af48bace97ac8f247b319</t>
  </si>
  <si>
    <t>EXHIBIT_EMAIL_20241219_813_ce9edc64</t>
  </si>
  <si>
    <t>2024-12-19T15:04:13+00:00</t>
  </si>
  <si>
    <t>Email: 🎉 Introducing Shed Suite Marketplace</t>
  </si>
  <si>
    <t>ce9edc64820eb32c8704b6e4efeff654735dabb4065b8663992048b2b4cb75fe</t>
  </si>
  <si>
    <t>EXHIBIT_EMAIL_20241220_814_9091a87b</t>
  </si>
  <si>
    <t>2024-12-20T10:19:53-06:00</t>
  </si>
  <si>
    <t>Email: Up to 40% off Magical Deals won't last forever ⏰</t>
  </si>
  <si>
    <t>9091a87bc6fc931e9ef897f6aa03aacc31eb37f02ad4b0d2d7a6a9a2ed8b65eb</t>
  </si>
  <si>
    <t>EXHIBIT_EMAIL_20241208_815_bc909c54</t>
  </si>
  <si>
    <t>2024-12-08T12:21:46+00:00</t>
  </si>
  <si>
    <t>bc909c54e57c361e763b5a4eccdf7ad107c0ad52338617aa3da8fe472b6f3409</t>
  </si>
  <si>
    <t>EXHIBIT_EMAIL_20241229_816_e5dfee7a</t>
  </si>
  <si>
    <t>2024-12-29T03:16:59+00:00</t>
  </si>
  <si>
    <t>e5dfee7a760ead588d6340950d055e3252bdc2ae9258db273ed5e99842b68b7c</t>
  </si>
  <si>
    <t>EXHIBIT_EMAIL_20241223_817_7737e5e8</t>
  </si>
  <si>
    <t>2024-12-23T01:26:12-08:00</t>
  </si>
  <si>
    <t>Email: Photos</t>
  </si>
  <si>
    <t>7737e5e810502866703fbe216e11a6520fe1cc5c1b7f6328c5c1baa170aef536</t>
  </si>
  <si>
    <t>EXHIBIT_EMAIL_20241212_818_23378a3c</t>
  </si>
  <si>
    <t>2024-12-12T15:15:39+00:00</t>
  </si>
  <si>
    <t>Email: 🚨 Up to 25% off business staples 🚨</t>
  </si>
  <si>
    <t>23378a3c6d0da7159fa5bde01535ad420a44faf5e08d87c605cd868105a1939e</t>
  </si>
  <si>
    <t>EXHIBIT_EMAIL_20241215_819_c08075d2</t>
  </si>
  <si>
    <t>2024-12-15T23:06:05+00:00</t>
  </si>
  <si>
    <t>Email: Verify Email</t>
  </si>
  <si>
    <t>c08075d2a6a39b681b865157090218a1221084dcae0bf641bc24d0d0e5d9a388</t>
  </si>
  <si>
    <t>EXHIBIT_EMAIL_20241217_820_6f86c71b</t>
  </si>
  <si>
    <t>2024-12-17T12:05:51-06:00</t>
  </si>
  <si>
    <t>Email: Should you break up with Google?</t>
  </si>
  <si>
    <t>6f86c71beefbda5acef30bd7f55e7e02e9f68d134e51c168cc99097b809b66d9</t>
  </si>
  <si>
    <t>EXHIBIT_EMAIL_20250109_821_15f47965</t>
  </si>
  <si>
    <t>2025-01-09T09:46:09+00:00</t>
  </si>
  <si>
    <t>15f47965584f78d917b994b11013fd9cb3ac312e4a4822518e04a8e6cff51ffa</t>
  </si>
  <si>
    <t>EXHIBIT_EMAIL_20250116_822_459e30b0</t>
  </si>
  <si>
    <t>2025-01-16T02:23:54-06:00</t>
  </si>
  <si>
    <t>Email: Verification Method Deleted</t>
  </si>
  <si>
    <t>459e30b06abf7f215d2d19841bda291a20f1424cbdc6c0e41ea7a43024df630a</t>
  </si>
  <si>
    <t>EXHIBIT_EMAIL_20250116_823_ae2b0ab1</t>
  </si>
  <si>
    <t>2025-01-16T02:23:32-06:00</t>
  </si>
  <si>
    <t>ae2b0ab18d57fa2af521322223d72b4092eb8911cdc9692031577a7fb1671962</t>
  </si>
  <si>
    <t>EXHIBIT_EMAIL_20241217_824_10544934</t>
  </si>
  <si>
    <t>2024-12-17T10:14:00-06:00</t>
  </si>
  <si>
    <t>Email: Ready for a city escape?</t>
  </si>
  <si>
    <t>105449341f21e7fead8196d58ed040d59bc905498136ad4ff2be71ca1a943250</t>
  </si>
  <si>
    <t>EXHIBIT_EMAIL_20250112_825_b42c2c7d</t>
  </si>
  <si>
    <t>2025-01-12T00:50:30+00:00</t>
  </si>
  <si>
    <t>Email: Your DashPass membership is now paused</t>
  </si>
  <si>
    <t>b42c2c7de2d2995fa677a7f64f632e25d37feef6cfc54c6068c5563130d9145d</t>
  </si>
  <si>
    <t>EXHIBIT_EMAIL_20241226_826_649fbc86</t>
  </si>
  <si>
    <t>2024-12-26T09:43:15-06:00</t>
  </si>
  <si>
    <t>Email: It's Boxing Day! Up to 45% off on toys, electronics &amp; more 📱</t>
  </si>
  <si>
    <t>649fbc86d0c4be5f13f5601fdca84ec66a3cc6d87d0003547254ede2b67bc576</t>
  </si>
  <si>
    <t>EXHIBIT_EMAIL_20241218_827_1d953131</t>
  </si>
  <si>
    <t>2024-12-18T02:04:09+00:00</t>
  </si>
  <si>
    <t>Email: Experience First-Class magic! ����</t>
  </si>
  <si>
    <t>1d953131e8b0a4f720614dec5fd77a90b46c5438e3db57f2ca23b7682301dac1</t>
  </si>
  <si>
    <t>EXHIBIT_EMAIL_20241217_828_e590df74</t>
  </si>
  <si>
    <t>2024-12-17T05:09:25+01:00</t>
  </si>
  <si>
    <t>e590df742744e3cb8c42564a8bff56b50d31bd57b8017223dea34bb9ff4bdb4c</t>
  </si>
  <si>
    <t>EXHIBIT_EMAIL_20241208_829_523aa41e</t>
  </si>
  <si>
    <t>2024-12-08T10:54:57-06:00</t>
  </si>
  <si>
    <t>Email: Don't miss up to 40% off MAGICAL DEALS 🪄</t>
  </si>
  <si>
    <t>523aa41e4eade5f810b6bad9e9dd6a0d2d8e31c61a6d3ab8717e5ee74bf1f35b</t>
  </si>
  <si>
    <t>EXHIBIT_EMAIL_20241216_830_71d8b37f</t>
  </si>
  <si>
    <t>2024-12-16T17:47:40+00:00</t>
  </si>
  <si>
    <t>71d8b37fcee49feb704db5074a4ee7d3ba10c2c466ecf760ab0760df8d3f417f</t>
  </si>
  <si>
    <t>EXHIBIT_EMAIL_20241216_831_08c3ff97</t>
  </si>
  <si>
    <t>2024-12-16T02:05:56+00:00</t>
  </si>
  <si>
    <t>Email: Get baby products using your pre-tax dollars 🥳 💸</t>
  </si>
  <si>
    <t>08c3ff973d89e6e920dcef72554394fc606350e7ea4a4ef02a12676c7e8fe88b</t>
  </si>
  <si>
    <t>EXHIBIT_EMAIL_20241212_832_d3b9e534</t>
  </si>
  <si>
    <t>2024-12-12T17:47:33+00:00</t>
  </si>
  <si>
    <t>d3b9e534f3cd0f524fd46d8928101a71780ac441ccd114449da546dfdc082f48</t>
  </si>
  <si>
    <t>EXHIBIT_EMAIL_20241216_833_a0409aac</t>
  </si>
  <si>
    <t>2024-12-16T23:58:51+00:00</t>
  </si>
  <si>
    <t>a0409aacf90a2935c83fd0b734f0b0f05b1a8568286cd1cb8c3457673b86cd7b</t>
  </si>
  <si>
    <t>EXHIBIT_EMAIL_20241213_834_5971a002</t>
  </si>
  <si>
    <t>2024-12-13T12:44:07+00:00</t>
  </si>
  <si>
    <t>Email: Final units remaining!</t>
  </si>
  <si>
    <t>5971a002deeae891360b9bc4310eefa28a48849cc15598637161525754c2c331</t>
  </si>
  <si>
    <t>EXHIBIT_EMAIL_20241214_835_f82669b7</t>
  </si>
  <si>
    <t>2024-12-14T14:04:47+00:00</t>
  </si>
  <si>
    <t>Email: ✨ Free stuff during pregnancy ✨  &amp; a granola bar recall</t>
  </si>
  <si>
    <t>f82669b7ccb5ec30d661e35e80232f4b2211192f4bf05605bd3fd7452c4d1329</t>
  </si>
  <si>
    <t>EXHIBIT_EMAIL_20241224_836_33b9c5ee</t>
  </si>
  <si>
    <t>2024-12-24T13:24:24+00:00</t>
  </si>
  <si>
    <t>Email: A holiday treat for you, MVP!</t>
  </si>
  <si>
    <t>33b9c5ee2330ea10cf44d49cd3fe4d1cc4e76fe503ed555b83893cd56c62f731</t>
  </si>
  <si>
    <t>EXHIBIT_EMAIL_20250101_837_29529825</t>
  </si>
  <si>
    <t>2025-01-01T01:23:11+00:00</t>
  </si>
  <si>
    <t>295298257104cd3b105d06bb1c37d3806562d01b3f3c16311d3b571366040bcf</t>
  </si>
  <si>
    <t>EXHIBIT_EMAIL_20250202_838_0569af74</t>
  </si>
  <si>
    <t>2025-02-02T02:12:03+00:00</t>
  </si>
  <si>
    <t>Email: All your grandparent names 🍭 &amp; a nap poll</t>
  </si>
  <si>
    <t>0569af74350e28debe0f3f0726e95f6fd5bdabfa7950271284b6a15a73d19579</t>
  </si>
  <si>
    <t>EXHIBIT_EMAIL_20241220_839_0188a300</t>
  </si>
  <si>
    <t>2024-12-20T12:02:19+00:00</t>
  </si>
  <si>
    <t>Email: We would never let you miss a BOGO!</t>
  </si>
  <si>
    <t>0188a300069d61c1e25e1354246ddbd2a8c2e10dc374102b8a757056f76b59d6</t>
  </si>
  <si>
    <t>EXHIBIT_EMAIL_20250110_840_74af67f7</t>
  </si>
  <si>
    <t>2025-01-10T01:02:04+00:00</t>
  </si>
  <si>
    <t>Email: I have a 40% off deal I think you’ll love</t>
  </si>
  <si>
    <t>74af67f7dc329c26bfe32bc8386a58ef848ac5dc79c90f78983b85902e4be4e5</t>
  </si>
  <si>
    <t>EXHIBIT_EMAIL_20250202_841_fc1caa29</t>
  </si>
  <si>
    <t>2025-02-02T09:40:56-06:00</t>
  </si>
  <si>
    <t>Email: Our brands 🤝 Your savings</t>
  </si>
  <si>
    <t>fc1caa293719c74b87be1ec841016be45ec439a1cd3869038bb8e804ef2b2c81</t>
  </si>
  <si>
    <t>EXHIBIT_EMAIL_20250117_842_53c38eb5</t>
  </si>
  <si>
    <t>2025-01-17T07:59:58+01:00</t>
  </si>
  <si>
    <t>Email: Libère ton emploi du temps, les soldes d’hiver sont là</t>
  </si>
  <si>
    <t>53c38eb511e9dd5b3388630ed242b20739f71b2d8d18abc22abe780fd3424004</t>
  </si>
  <si>
    <t>EXHIBIT_EMAIL_20241223_843_30027e2d</t>
  </si>
  <si>
    <t>2024-12-23T10:59:52-06:00</t>
  </si>
  <si>
    <t>Email: Say hello to Boxing Week Deals — UP TO 45% OFF 💝</t>
  </si>
  <si>
    <t>30027e2d447ae1c9cef90d18938dbb01ad095178b0e93395b020328caa0a8bb5</t>
  </si>
  <si>
    <t>EXHIBIT_EMAIL_20241218_844_9383b48b</t>
  </si>
  <si>
    <t>2024-12-18T12:44:22+00:00</t>
  </si>
  <si>
    <t>9383b48bbf5281851c2d45ec44ca704248bf5cbb4e58f35b928abe18080cbd86</t>
  </si>
  <si>
    <t>EXHIBIT_EMAIL_20241210_845_a0a052e6</t>
  </si>
  <si>
    <t>2024-12-10T11:31:16-06:00</t>
  </si>
  <si>
    <t>Email: Up to 40% off Magical Deals 🔮 Plus, get $15 OFF eligible items!</t>
  </si>
  <si>
    <t>a0a052e6607890d8cf18414e2b246ee6bad44ec9e0150cebd04576f078f359bb</t>
  </si>
  <si>
    <t>EXHIBIT_EMAIL_20241215_846_f8807ccb</t>
  </si>
  <si>
    <t>2024-12-15T10:10:51+00:00</t>
  </si>
  <si>
    <t>Email: 5 Proven Tips for Turning Leads Into Customers | The 10 Most Popular New Bathrooms of 2024</t>
  </si>
  <si>
    <t>f8807ccbd98999f8ffbec08b2d41872f73aa726391adb104bd1894b1c9e7c4ad</t>
  </si>
  <si>
    <t>EXHIBIT_EMAIL_20241209_847_d1873597</t>
  </si>
  <si>
    <t>2024-12-09T00:39:31+00:00</t>
  </si>
  <si>
    <t>Email: Your affiliate account is pending</t>
  </si>
  <si>
    <t>d187359783b75fca8d575a2ad7f08fb12913638be236e0b36301c456d2a0b2bf</t>
  </si>
  <si>
    <t>EXHIBIT_EMAIL_20250101_848_a00b51ca</t>
  </si>
  <si>
    <t>2025-01-01T12:45:19+00:00</t>
  </si>
  <si>
    <t>Email: Your cart is calling:</t>
  </si>
  <si>
    <t>a00b51caa5d9dcc61364e99e2fe09c937fa86e4a868e8d0e378b328e60ed3f55</t>
  </si>
  <si>
    <t>EXHIBIT_EMAIL_20241213_849_222e6215</t>
  </si>
  <si>
    <t>2024-12-13T08:30:23+00:00</t>
  </si>
  <si>
    <t>Email: 5 Effective Ways to Keep Clients Happy | The 10 Most Popular New Kitchens of 2024</t>
  </si>
  <si>
    <t>222e6215f67eb34a3906cb604c52eef513fe38d87b1f8e02a5b268bb04e8023d</t>
  </si>
  <si>
    <t>EXHIBIT_EMAIL_20250113_850_d3ffbebc</t>
  </si>
  <si>
    <t>2025-01-13T08:56:16+00:00</t>
  </si>
  <si>
    <t>Email: Welcome gift inside</t>
  </si>
  <si>
    <t>d3ffbebc0b7bbe32047ebc37cc6fe4d02d9174fe3543fb7fc67de6e61f4541c6</t>
  </si>
  <si>
    <t>EXHIBIT_EMAIL_20250213_851_80daebce</t>
  </si>
  <si>
    <t>2025-02-13T13:15:17-06:00</t>
  </si>
  <si>
    <t>Email: Adults only resorts at their absolute best</t>
  </si>
  <si>
    <t>80daebcec528a942502cb6f096bfee5842b66b020fb4e62624b9b82141f16c0f</t>
  </si>
  <si>
    <t>EXHIBIT_EMAIL_20241218_852_d840661b</t>
  </si>
  <si>
    <t>2024-12-18T23:08:40+00:00</t>
  </si>
  <si>
    <t>Email: ICYMI: Top diapers &amp; weekly poll highlights</t>
  </si>
  <si>
    <t>d840661b9c0b62dd534f28edc2313bc929a6e21d27f0d50ffd3ecee628873aea</t>
  </si>
  <si>
    <t>EXHIBIT_EMAIL_20250114_853_6728f260</t>
  </si>
  <si>
    <t>2025-01-14T01:46:37+00:00</t>
  </si>
  <si>
    <t>6728f260278f44da98fe22966eec5e515b9933fe197dcf3cbf56dbf1dc6516ea</t>
  </si>
  <si>
    <t>EXHIBIT_EMAIL_20250204_854_df6f8b2a</t>
  </si>
  <si>
    <t>2025-02-04T12:05:36+00:00</t>
  </si>
  <si>
    <t>Email: Love is in the air.</t>
  </si>
  <si>
    <t>df6f8b2aca50955406b5636dd9ff8a0fcffbbcc4aa54d112ddf83351358662c2</t>
  </si>
  <si>
    <t>EXHIBIT_EMAIL_20241218_855_0aad8973</t>
  </si>
  <si>
    <t>2024-12-18T11:15:21+00:00</t>
  </si>
  <si>
    <t>Email: A year on IFTTT</t>
  </si>
  <si>
    <t>0aad89739a46c8d5b22a87f8d3159d8ea6af3b5108b641251122073658dcfb32</t>
  </si>
  <si>
    <t>EXHIBIT_EMAIL_20241224_856_eefdd300</t>
  </si>
  <si>
    <t>2024-12-24T20:02:29+00:00</t>
  </si>
  <si>
    <t>eefdd300ec85d6240f7a7813f89e5e244d3f96945be92f2124f8e4694687f0b9</t>
  </si>
  <si>
    <t>EXHIBIT_EMAIL_20241224_857_87f6e3e6</t>
  </si>
  <si>
    <t>2024-12-24T09:21:36-06:00</t>
  </si>
  <si>
    <t>Email: Don’t miss $10 off your next online order ❗</t>
  </si>
  <si>
    <t>87f6e3e62e000a5f30909007e8e8fed591c7c44a6dbb2e344aef1f10ae81bf4a</t>
  </si>
  <si>
    <t>EXHIBIT_EMAIL_20250210_858_b0e5939b</t>
  </si>
  <si>
    <t>2025-02-10T17:13:24-04:00</t>
  </si>
  <si>
    <t>Email: Fwd:</t>
  </si>
  <si>
    <t>b0e5939be63e215c0b1d2b8d5620f02ac29e05dcb208eaaaa7db4f3c7d5317d8</t>
  </si>
  <si>
    <t>EXHIBIT_EMAIL_20250210_859_b5bbf8c9</t>
  </si>
  <si>
    <t>2025-02-10T17:00:38-04:00</t>
  </si>
  <si>
    <t>b5bbf8c9f849b7b2883be4bc331da667037e5e93f53bc34a7147d8d057f49498</t>
  </si>
  <si>
    <t>EXHIBIT_EMAIL_20250225_860_7d509c57</t>
  </si>
  <si>
    <t>2025-02-25T14:33:53+00:00</t>
  </si>
  <si>
    <t>Email: Save 50% and get a free domain when you upgrade your site today</t>
  </si>
  <si>
    <t>7d509c578618dd748d2009cdba61415563359d82dd84f4d21f7f6df54a2386e5</t>
  </si>
  <si>
    <t>EXHIBIT_EMAIL_20250106_861_c24966e3</t>
  </si>
  <si>
    <t>2025-01-06T06:36:55-08:00</t>
  </si>
  <si>
    <t>Email: Dive into fresh creative pathways with Illustrator</t>
  </si>
  <si>
    <t>c24966e3a0140d22fcddea9665d08e1910426d19420e04f333aa59f4a046bbd3</t>
  </si>
  <si>
    <t>EXHIBIT_EMAIL_20250215_862_3dae43cd</t>
  </si>
  <si>
    <t>2025-02-15T05:10:43+01:00</t>
  </si>
  <si>
    <t>3dae43cda616f20a35601e0d34dea3408dcd83cd2bfe0cb7040b9d946c949a84</t>
  </si>
  <si>
    <t>EXHIBIT_EMAIL_20250119_863_259da44c</t>
  </si>
  <si>
    <t>2025-01-19T09:35:07-06:00</t>
  </si>
  <si>
    <t>Email: Psst! You could save $100s with partner offers 🎥🎵</t>
  </si>
  <si>
    <t>259da44ce9504d0270d7ce67fa76e5f14adb84ff4f3814037339d05a5489d580</t>
  </si>
  <si>
    <t>EXHIBIT_EMAIL_20250216_864_d01ec158</t>
  </si>
  <si>
    <t>2025-02-16T09:35:29-06:00</t>
  </si>
  <si>
    <t>Email: Clearance savings that REALLY sizzle 🔥🔥</t>
  </si>
  <si>
    <t>d01ec1582eefb7aa0b9e93a2db8e578d422a653ff483eb785615f9f0d57ff576</t>
  </si>
  <si>
    <t>EXHIBIT_EMAIL_20241213_865_69274426</t>
  </si>
  <si>
    <t>2024-12-13T09:49:29-06:00</t>
  </si>
  <si>
    <t>Email: Delicious holiday meals at prices you'll love 🥘</t>
  </si>
  <si>
    <t>69274426969a67d8051f086b0de84340349370e6f76f3ed472aec5cb6f87c742</t>
  </si>
  <si>
    <t>EXHIBIT_EMAIL_20241226_866_f38ad68a</t>
  </si>
  <si>
    <t>2024-12-26T07:01:24+01:00</t>
  </si>
  <si>
    <t>f38ad68af89d5456c9cb5002cc2ec4829b07416a9b99ce25f721d168258dc887</t>
  </si>
  <si>
    <t>EXHIBIT_EMAIL_20241211_867_fae6f0b4</t>
  </si>
  <si>
    <t>2024-12-11T06:57:10-08:00</t>
  </si>
  <si>
    <t>Email: Pitch perfect PDFs</t>
  </si>
  <si>
    <t>fae6f0b41db604002db583d5b56b0e1f7b4d07f77b85f283e4faa2fb88aba887</t>
  </si>
  <si>
    <t>EXHIBIT_EMAIL_20250210_868_3717b51c</t>
  </si>
  <si>
    <t>2025-02-10T09:31:35-05:00</t>
  </si>
  <si>
    <t>Email: Webinar: Building resilience in a changingworld—Key strategies for 2025</t>
  </si>
  <si>
    <t>3717b51c6736b807ce6f66c53a43c22f53d96960e85d43546f614d6113b41dba</t>
  </si>
  <si>
    <t>EXHIBIT_EMAIL_20241209_869_2d516a26</t>
  </si>
  <si>
    <t>2024-12-09T11:01:23+00:00</t>
  </si>
  <si>
    <t>Email: Let’s create! Your first product in 3, 2, 1…</t>
  </si>
  <si>
    <t>2d516a26a7741a273dee8da3e3197300176f3b229645bd56807cd9dd9a0b850c</t>
  </si>
  <si>
    <t>EXHIBIT_EMAIL_20250210_870_7f19f72f</t>
  </si>
  <si>
    <t>2025-02-10T11:27:45-05:00</t>
  </si>
  <si>
    <t>Email: Deals Coming in Hot 🔥</t>
  </si>
  <si>
    <t>7f19f72fe9f3f3bc6afed7c216924475bfe23d68be7e6c49b3a70b16999e0697</t>
  </si>
  <si>
    <t>EXHIBIT_EMAIL_20241229_871_843c1413</t>
  </si>
  <si>
    <t>2024-12-29T03:14:05-08:00</t>
  </si>
  <si>
    <t>Email: Microsoft account security code</t>
  </si>
  <si>
    <t>843c1413823b9950b6a218b67d1ddfd0df487d66e932ab733dfd4c3b00d1c22e</t>
  </si>
  <si>
    <t>EXHIBIT_EMAIL_20241223_872_05d7464d</t>
  </si>
  <si>
    <t>2024-12-23T12:24:14-06:00</t>
  </si>
  <si>
    <t>Email: Last Chance: Enter for Amazing Prizes!</t>
  </si>
  <si>
    <t>05d7464d1020fed772c7d5f95174f752c8c0c0d4cce666b667578d915efb6db7</t>
  </si>
  <si>
    <t>EXHIBIT_EMAIL_20241216_873_efc7ad26</t>
  </si>
  <si>
    <t>2024-12-16T07:45:52+00:00</t>
  </si>
  <si>
    <t>efc7ad2641d4fc393b002584af3bbd3004fc414c28a4536c046b907052d26242</t>
  </si>
  <si>
    <t>EXHIBIT_EMAIL_20241213_874_90d34d27</t>
  </si>
  <si>
    <t>2024-12-13T17:49:56-05:00</t>
  </si>
  <si>
    <t>Email: Remember to finish opening your CIBC account</t>
  </si>
  <si>
    <t>90d34d2735f37eb8eef1883b5e3f8104dad386dbf56707c87a47966cfb63c321</t>
  </si>
  <si>
    <t>EXHIBIT_EMAIL_20241129_875_631de4a3</t>
  </si>
  <si>
    <t>2024-11-29T10:11:06-06:00</t>
  </si>
  <si>
    <t>Email: ⏳ We’re about to call it quits on Black Friday ⏳</t>
  </si>
  <si>
    <t>631de4a3a541163f2763c62d8b42e4c97f152e5cf3651fafec1931792ff9c276</t>
  </si>
  <si>
    <t>EXHIBIT_EMAIL_20241129_876_a9702750</t>
  </si>
  <si>
    <t>2024-11-29T16:18:06-08:00</t>
  </si>
  <si>
    <t>Email: Microsoft account password change</t>
  </si>
  <si>
    <t>a97027503891e40e95bf6a953f09da72c600a3c88453f250de3f17dae717d428</t>
  </si>
  <si>
    <t>EXHIBIT_EMAIL_20241129_877_042dc81b</t>
  </si>
  <si>
    <t>2024-11-29T16:12:19-08:00</t>
  </si>
  <si>
    <t>042dc81b708a63c77b1b837faa130b0d5e74443b1961a96064de5495b532ce8c</t>
  </si>
  <si>
    <t>EXHIBIT_EMAIL_20241126_878_f75a5458</t>
  </si>
  <si>
    <t>2024-11-26T12:04:07+00:00</t>
  </si>
  <si>
    <t>Email: The sweetest deal of the season is here.</t>
  </si>
  <si>
    <t>f75a5458d4b3502d4b9d7cb72c84cb856f7d987f6059046345d95efee7ba5005</t>
  </si>
  <si>
    <t>EXHIBIT_EMAIL_20241218_879_02f8aff4</t>
  </si>
  <si>
    <t>2024-12-18T10:11:02-06:00</t>
  </si>
  <si>
    <t>Email: Last call for gifts from Amazon.ca</t>
  </si>
  <si>
    <t>02f8aff48c6f9389bd09958541f11de2b84b3670091b8111ad29f5e07dec0555</t>
  </si>
  <si>
    <t>EXHIBIT_EMAIL_20241203_880_7e1db9c9</t>
  </si>
  <si>
    <t>2024-12-03T01:08:46+00:00</t>
  </si>
  <si>
    <t>Email: Welcome to Ripl—tips for getting started!</t>
  </si>
  <si>
    <t>7e1db9c98960a284521f397d1a0dda2215296d8555e8fc3c7180b117933a9cdd</t>
  </si>
  <si>
    <t>EXHIBIT_EMAIL_20241130_881_3611e887</t>
  </si>
  <si>
    <t>2024-11-30T05:32:24+00:00</t>
  </si>
  <si>
    <t>3611e887d172bc80a5af108b01c771b3fde3d7914ff836ddd5eaaa59d9ded50e</t>
  </si>
  <si>
    <t>EXHIBIT_EMAIL_20241130_882_ef22c4eb</t>
  </si>
  <si>
    <t>2024-11-30T05:32:23+00:00</t>
  </si>
  <si>
    <t>ef22c4eb6117841ee259a76bc2f6194be669674198a03d136d0181ddad6f39f9</t>
  </si>
  <si>
    <t>EXHIBIT_EMAIL_20241129_883_8acfb95c</t>
  </si>
  <si>
    <t>2024-11-29T23:52:57+00:00</t>
  </si>
  <si>
    <t>8acfb95cb3acebe83e079b20b603c500302665691bf4ddbbe91ac2153589be7f</t>
  </si>
  <si>
    <t>EXHIBIT_EMAIL_20241129_884_ea7e7402</t>
  </si>
  <si>
    <t>2024-11-29T19:19:21+00:00</t>
  </si>
  <si>
    <t>ea7e74024435fa216f39f799a84162d8899b1c8ca6a9a642196472106c3f8246</t>
  </si>
  <si>
    <t>EXHIBIT_EMAIL_20241129_885_2369b85c</t>
  </si>
  <si>
    <t>2024-11-29T19:18:20+00:00</t>
  </si>
  <si>
    <t>2369b85cbd7bde6579a87bfee939697d5e3fce719774333eb16fb45d387963f9</t>
  </si>
  <si>
    <t>EXHIBIT_EMAIL_20241127_886_ee6e3d8e</t>
  </si>
  <si>
    <t>2024-11-27T04:30:17+00:00</t>
  </si>
  <si>
    <t>Email: vroofn, play with a 120% Bonus + 30 Free Spins! 🐸</t>
  </si>
  <si>
    <t>ee6e3d8e9f4a7aee170d0afab4927b652639f21c4c1a2788e450e8c4189499e5</t>
  </si>
  <si>
    <t>EXHIBIT_EMAIL_20241123_887_703b898e</t>
  </si>
  <si>
    <t>2024-11-23T19:07:14+00:00</t>
  </si>
  <si>
    <t>Email: Play FREE for a $1 Million Top Prize this Thanksgiving when you deposit $5+! 🦃</t>
  </si>
  <si>
    <t>703b898e30ad492d484952cf6719535382620eb7e72a26e719c82b622a4d2e44</t>
  </si>
  <si>
    <t>EXHIBIT_EMAIL_20241130_888_8aa93ab6</t>
  </si>
  <si>
    <t>2024-11-30T02:16:28+00:00</t>
  </si>
  <si>
    <t>Email: [Personal] Your Friday evening order with Uber Eats</t>
  </si>
  <si>
    <t>8aa93ab69f01f99d9df1883e1664ce353da3da4b259f72845ed0dce345843579</t>
  </si>
  <si>
    <t>EXHIBIT_EMAIL_20250116_889_a84af92e</t>
  </si>
  <si>
    <t>2025-01-16T09:42:46-06:00</t>
  </si>
  <si>
    <t>a84af92e1aa3adfd9389430b520ae2c1c6d6fcf4ad7badec276e7f2c1f3dd9c8</t>
  </si>
  <si>
    <t>EXHIBIT_EMAIL_20241126_890_41ba602d</t>
  </si>
  <si>
    <t>2024-11-26T23:16:47+00:00</t>
  </si>
  <si>
    <t>Email: ⌛ 2 days left to play FREE for a $1 MILLION TopPrize🦃</t>
  </si>
  <si>
    <t>41ba602ddc954a94e48a0b3782f76333ab17ae88c8b9ada0fb123849c173898c</t>
  </si>
  <si>
    <t>EXHIBIT_EMAIL_20241123_891_830dd9ea</t>
  </si>
  <si>
    <t>2024-11-23T10:21:52-06:00</t>
  </si>
  <si>
    <t>Email: The hottest BLACK FRIDAY DEALS are here 🔥</t>
  </si>
  <si>
    <t>830dd9ea5167b4644026be2ea148abf742155c9906e490e973e8687caa991d2d</t>
  </si>
  <si>
    <t>EXHIBIT_EMAIL_20241203_892_47c88ac0</t>
  </si>
  <si>
    <t>2024-12-03T10:38:23-06:00</t>
  </si>
  <si>
    <t>Email: It’s Giving Tuesday 🫶 Shop toys to donate!</t>
  </si>
  <si>
    <t>47c88ac08562eaf35383160d88a708fc7e58027ff9316d92f2668156b5ca0f3a</t>
  </si>
  <si>
    <t>EXHIBIT_EMAIL_20241206_893_0bf22af6</t>
  </si>
  <si>
    <t>2024-12-06T12:04:13+00:00</t>
  </si>
  <si>
    <t>Email: $3 off a Footlong sub? YEE-HAW!</t>
  </si>
  <si>
    <t>0bf22af6f5f65668cfe94adf6cc5a5a560556b184dd52d6e659b9a2685ac384f</t>
  </si>
  <si>
    <t>EXHIBIT_EMAIL_20241213_894_5a908b0f</t>
  </si>
  <si>
    <t>2024-12-13T12:14:15+01:00</t>
  </si>
  <si>
    <t>5a908b0f1e7e042e1d130d0d7b08bc421a18ac2d0735cd1a4e2d5f037cd954c7</t>
  </si>
  <si>
    <t>EXHIBIT_EMAIL_20250112_895_d0cd49e6</t>
  </si>
  <si>
    <t>2025-01-12T01:44:30+00:00</t>
  </si>
  <si>
    <t>Email: Welcome to your Zapier Chatbots trial 👋</t>
  </si>
  <si>
    <t>d0cd49e63d91d16bbb60d488cd885b20cab1607781b99ea33a4945cb1448b79d</t>
  </si>
  <si>
    <t>EXHIBIT_EMAIL_20241125_896_727aecff</t>
  </si>
  <si>
    <t>2024-11-25T12:28:22+00:00</t>
  </si>
  <si>
    <t>Email: Our apologies for the urgency</t>
  </si>
  <si>
    <t>727aecff02fb050d00c272efe01700a29c38e597703ead0bd5990715a9d471f3</t>
  </si>
  <si>
    <t>EXHIBIT_EMAIL_20241129_897_f33255b7</t>
  </si>
  <si>
    <t>2024-11-29T13:18:37+00:00</t>
  </si>
  <si>
    <t>Email: Your Business Prime offer is waiting</t>
  </si>
  <si>
    <t>f33255b772eb4d04617c5ccaa41d3aa0a1b30bfda7cf26670681f979545751ac</t>
  </si>
  <si>
    <t>EXHIBIT_EMAIL_20241130_898_fa9288aa</t>
  </si>
  <si>
    <t>2024-11-30T00:45:17+00:00</t>
  </si>
  <si>
    <t>Email: Craig n Emma, your Uber account phone number was updated</t>
  </si>
  <si>
    <t>fa9288aac9392aee01a79c45e43b06bba0aa4562c17cb15931e1e08ccbbf28a2</t>
  </si>
  <si>
    <t>EXHIBIT_EMAIL_20241130_899_fa9288aa</t>
  </si>
  <si>
    <t>EXHIBIT_EMAIL_20241204_900_f0d4579e</t>
  </si>
  <si>
    <t>2024-12-04T14:00:16+00:00</t>
  </si>
  <si>
    <t>Email: 👀 Is your digital presence losing customers?</t>
  </si>
  <si>
    <t>f0d4579eee766486901c93250b4f8b2bc28eb147431da425f112f37f30d9863d</t>
  </si>
  <si>
    <t>EXHIBIT_EMAIL_20241128_901_c59b7610</t>
  </si>
  <si>
    <t>2024-11-28T15:35:39+00:00</t>
  </si>
  <si>
    <t>Email: 🚨 LAST SHOT: CLAIM A FREE $3 NFL CONTEST TICKETTODAY🚨</t>
  </si>
  <si>
    <t>c59b7610ae4157d3e7715a2dfb5cc451a79e569c93c3b417bca22ebfdc5cba1e</t>
  </si>
  <si>
    <t>EXHIBIT_EMAIL_20241129_902_b0da6cb1</t>
  </si>
  <si>
    <t>2024-11-29T12:57:06+01:00</t>
  </si>
  <si>
    <t>Email: obtiens jusqu’à 60 % de rabais + 20 % SUPPLÉMENTAIRE</t>
  </si>
  <si>
    <t>b0da6cb1dbce4447f76e82ab9621dcb25db320bfa8bf9952e3fc083fa0974b09</t>
  </si>
  <si>
    <t>EXHIBIT_EMAIL_20241205_903_0942ae2b</t>
  </si>
  <si>
    <t>2024-12-05T23:47:04+00:00</t>
  </si>
  <si>
    <t>0942ae2b484fa4a3d7739b17e3403420439ba1fa65518d28aac33b18bda3f673</t>
  </si>
  <si>
    <t>EXHIBIT_EMAIL_20241127_904_977e6d87</t>
  </si>
  <si>
    <t>2024-11-27T22:36:07-08:00</t>
  </si>
  <si>
    <t>977e6d87b884fe25ad4f5b29a23888e145e3a66518198ca8b240d04670a31095</t>
  </si>
  <si>
    <t>EXHIBIT_EMAIL_20241128_905_af1164d2</t>
  </si>
  <si>
    <t>2024-11-28T12:20:46-06:00</t>
  </si>
  <si>
    <t>Email: Black Friday deals await</t>
  </si>
  <si>
    <t>af1164d2e886153237ff498da3f02bd9855a979b379c6db8fc91c7ed137fb739</t>
  </si>
  <si>
    <t>EXHIBIT_EMAIL_20241206_906_00066bf7</t>
  </si>
  <si>
    <t>2024-12-06T14:19:59+00:00</t>
  </si>
  <si>
    <t>Email: Your offers are calling–will you answer? 📞</t>
  </si>
  <si>
    <t>00066bf7074a4a33b7da64c598a5cbfb0c5d41cdad68ec32150453e88103a33e</t>
  </si>
  <si>
    <t>EXHIBIT_EMAIL_20250211_907_a786655e</t>
  </si>
  <si>
    <t>2025-02-11T17:15:51+00:00</t>
  </si>
  <si>
    <t>Email: Stacey's family order from Shoppers Drug Mart is confirmed for</t>
  </si>
  <si>
    <t>February 11"</t>
  </si>
  <si>
    <t>a786655edd2019705ebc6f687dce7dbff3be227b73dbdd8aa08710e46abcb476</t>
  </si>
  <si>
    <t>EXHIBIT_EMAIL_20241202_908_14e43bf8</t>
  </si>
  <si>
    <t>2024-12-02T12:04:32-08:00</t>
  </si>
  <si>
    <t>Email: Microsoft account password reset</t>
  </si>
  <si>
    <t>14e43bf8d3169dcdbc9a849e49510182269b0204013feb02f9b3468cc6ee0f2a</t>
  </si>
  <si>
    <t>EXHIBIT_EMAIL_20241122_909_f4fd09a1</t>
  </si>
  <si>
    <t>2024-11-22T20:51:16+00:00</t>
  </si>
  <si>
    <t>Email: BOGO deals incoming  👀</t>
  </si>
  <si>
    <t>f4fd09a1365a2b6e9b1a6003bf2b48a4571f0e834a3e8fff72dd4cf21b176674</t>
  </si>
  <si>
    <t>EXHIBIT_EMAIL_20241221_910_915be8b6</t>
  </si>
  <si>
    <t>2024-12-21T11:01:13+00:00</t>
  </si>
  <si>
    <t>Email: Let’s do this, K 💪!</t>
  </si>
  <si>
    <t>915be8b67aca85f92729d25a363af1c2cda16e5b1f57d0c8d7afd2c30e36e8e7</t>
  </si>
  <si>
    <t>EXHIBIT_EMAIL_20241204_911_c785ca26</t>
  </si>
  <si>
    <t>2024-12-04T09:43:05-05:00</t>
  </si>
  <si>
    <t>Email: My Top Gifts for Booklovers + Holiday Wishes</t>
  </si>
  <si>
    <t>c785ca26aae29d5580cbd5bfbf9e601504a3d7d071893cd838cfd05fef0637d9</t>
  </si>
  <si>
    <t>EXHIBIT_EMAIL_20241201_912_61d45af3</t>
  </si>
  <si>
    <t>2024-12-01T13:35:29+00:00</t>
  </si>
  <si>
    <t>Email: 15 Powder Rooms With Fabulous Wallcoverings | 9 Steps to Create an Engaging End-of-Year Client Newsl</t>
  </si>
  <si>
    <t>61d45af374bf52647c463b84806dead4f6e2a9b136b812b550b3331268a2d592</t>
  </si>
  <si>
    <t>EXHIBIT_EMAIL_20241204_913_32ee2797</t>
  </si>
  <si>
    <t>2024-12-04T14:00:02+01:00</t>
  </si>
  <si>
    <t>Email: PROMO PROLONGÉE : jusqu’à 60 % de rabais + 25 % de rabais supplémentaire</t>
  </si>
  <si>
    <t>32ee27972cf7f1ba57a1be155f41a2b683a9e42499fa588084498b81dd3c778f</t>
  </si>
  <si>
    <t>EXHIBIT_EMAIL_20241127_914_cfc30572</t>
  </si>
  <si>
    <t>2024-11-27T22:33:33-08:00</t>
  </si>
  <si>
    <t>Email: Microsoft account app passwords need updating</t>
  </si>
  <si>
    <t>cfc30572dedcd0ee63f7d4f9debde8fd28fb4e6a63e2b2dab9844dd877dd5e78</t>
  </si>
  <si>
    <t>EXHIBIT_EMAIL_20241207_915_dfa7d971</t>
  </si>
  <si>
    <t>2024-12-07T04:30:14+00:00</t>
  </si>
  <si>
    <t>Email: vroofn, Deposit CAD 5, Get 77 Free Spins! 💸</t>
  </si>
  <si>
    <t>dfa7d971ff920d4be8f068f860a71d22473cd0b8eda211845734bbcbc32219ae</t>
  </si>
  <si>
    <t>EXHIBIT_EMAIL_20241126_916_b4f14d64</t>
  </si>
  <si>
    <t>2024-11-26T17:46:50-08:00</t>
  </si>
  <si>
    <t>b4f14d643c17e9ae244ebc82df8a4b3f2f411b39df0024e1ad36c45de55c8570</t>
  </si>
  <si>
    <t>EXHIBIT_EMAIL_20241124_917_1d305c5b</t>
  </si>
  <si>
    <t>2024-11-24T10:19:43-06:00</t>
  </si>
  <si>
    <t>Email: Get 10% off when you buy 5 beauty items 💄</t>
  </si>
  <si>
    <t>1d305c5b4109b5c7a314b5d075c349dac52ded5d4a5dbd7791ef4cc5f968d0e1</t>
  </si>
  <si>
    <t>EXHIBIT_EMAIL_20241204_918_77446cf1</t>
  </si>
  <si>
    <t>2024-12-04T11:02:22-06:00</t>
  </si>
  <si>
    <t>Email: LAST DAY 📢 Up to 50% off Cyber Week Deals!</t>
  </si>
  <si>
    <t>77446cf1d70106c4f80040b9c196808682e1f61f39e6b087eac652778485178a</t>
  </si>
  <si>
    <t>EXHIBIT_EMAIL_20241202_919_86bf1366</t>
  </si>
  <si>
    <t>2024-12-02T17:08:17+00:00</t>
  </si>
  <si>
    <t>Email: Your new exclusive offers, made just for you, just landed.</t>
  </si>
  <si>
    <t>86bf1366c9fb4031f9041f2995f91ffb733e3c2ab672d3e8534e6488118d6221</t>
  </si>
  <si>
    <t>EXHIBIT_EMAIL_20241129_920_e0811df6</t>
  </si>
  <si>
    <t>2024-11-29T10:22:17+00:00</t>
  </si>
  <si>
    <t>Email: 🕵️‍♀️ We found the best Black Friday deals ➡️</t>
  </si>
  <si>
    <t>e0811df6ff1f9cbc081dd083b3b238ca5e53f7ad1c78392ed2703833827dbf71</t>
  </si>
  <si>
    <t>EXHIBIT_EMAIL_20250131_921_aed3ca22</t>
  </si>
  <si>
    <t>2025-01-31T20:21:04+00:00</t>
  </si>
  <si>
    <t>Email: Special Olympics Donuts are back! 🍩💫</t>
  </si>
  <si>
    <t>aed3ca22eb45032bc2a14441cbb0eedcd47c0a54df2c02cef50da34e06ab13ae</t>
  </si>
  <si>
    <t>EXHIBIT_EMAIL_20241123_922_07e12325</t>
  </si>
  <si>
    <t>2024-11-23T20:19:31+00:00</t>
  </si>
  <si>
    <t>Email: Dishes and discounts catered to your taste</t>
  </si>
  <si>
    <t>07e12325a1dd1adb3c714558ada9e90c83661fed899693293721ee349b1bb4ac</t>
  </si>
  <si>
    <t>EXHIBIT_EMAIL_20241201_923_6f22f8ad</t>
  </si>
  <si>
    <t>2024-12-01T13:57:06+01:00</t>
  </si>
  <si>
    <t>Email: DERNIÈRE SOIRÉE pour avoir jusqu’à 60 % de rabais + 20 % de rabais</t>
  </si>
  <si>
    <t>6f22f8adf7e7b5956473563cc8517ad13c304108d84ce9d8484cbee21e7a78d3</t>
  </si>
  <si>
    <t>EXHIBIT_EMAIL_20241130_924_1686d2fa</t>
  </si>
  <si>
    <t>2024-11-30T13:29:52+01:00</t>
  </si>
  <si>
    <t>Email: De nouveau en stock : PUMA x ONE PIECE</t>
  </si>
  <si>
    <t>1686d2fa35c4d258fd3e8b521e1c3c12cd47c30feef6f18ea42990c097d87bc0</t>
  </si>
  <si>
    <t>EXHIBIT_EMAIL_20241217_925_27523c63</t>
  </si>
  <si>
    <t>2024-12-17T12:14:48-06:00</t>
  </si>
  <si>
    <t>Email: Your winter upgrade: Pure grown-up paradise</t>
  </si>
  <si>
    <t>27523c63e02f4c692322799bacf4ac18f02f8667d13e1f07d7ccf7af30920ebb</t>
  </si>
  <si>
    <t>EXHIBIT_EMAIL_20241126_926_5eb69838</t>
  </si>
  <si>
    <t>2024-11-26T07:03:29-05:00</t>
  </si>
  <si>
    <t>Email: 50% OFF – Book Door Crashers 📚</t>
  </si>
  <si>
    <t>5eb6983883c02ac574dc864cf5875aec1d1424956ca8f517f0cff697dd0486ca</t>
  </si>
  <si>
    <t>EXHIBIT_EMAIL_20241221_927_908e3cb8</t>
  </si>
  <si>
    <t>2024-12-21T14:05:28+00:00</t>
  </si>
  <si>
    <t>Email: What we learned in 2024 + 🎶 Babylist Bops (TY!)</t>
  </si>
  <si>
    <t>908e3cb850a956f703e78686b52ec57393e180bc73a86ca9cc8bc88f240e5ded</t>
  </si>
  <si>
    <t>EXHIBIT_EMAIL_20241206_928_4adbc8d8</t>
  </si>
  <si>
    <t>2024-12-06T23:42:59+00:00</t>
  </si>
  <si>
    <t>Email: Welcome 👋 Here’s what to do next</t>
  </si>
  <si>
    <t>4adbc8d8f6fcc2ee0ed0a0ca602ab5f267670c1556aec80a6d12628b77df0449</t>
  </si>
  <si>
    <t>EXHIBIT_EMAIL_20241231_929_2f37f241</t>
  </si>
  <si>
    <t>2024-12-31T06:00:47+01:00</t>
  </si>
  <si>
    <t>Email: Arrête de défiler, commence à économiser</t>
  </si>
  <si>
    <t>2f37f24120671954e4673cc96959a522bb4a16b1d1834f5443b227753ef1144a</t>
  </si>
  <si>
    <t>EXHIBIT_EMAIL_20241214_930_8d1a6f66</t>
  </si>
  <si>
    <t>2024-12-14T23:42:15+00:00</t>
  </si>
  <si>
    <t>Email: How to port your number(s) out of OpenPhone</t>
  </si>
  <si>
    <t>8d1a6f66fd321ad32487c640a7c8e571720cd81e0ccc8a324bdace64e0074b6b</t>
  </si>
  <si>
    <t>EXHIBIT_EMAIL_20250211_931_6ed82a8c</t>
  </si>
  <si>
    <t>2025-02-11T08:35:25+00:00</t>
  </si>
  <si>
    <t>Email: TalkingParents Subscription Canceled</t>
  </si>
  <si>
    <t>6ed82a8cc0a0c1193c38fd1176f93cfc81ff0af2cdcc8492902cd4032b23e6f9</t>
  </si>
  <si>
    <t>EXHIBIT_EMAIL_20241206_932_a96103ca</t>
  </si>
  <si>
    <t>2024-12-06T00:31:24+00:00</t>
  </si>
  <si>
    <t>Email: ❄️ Win a KOHO Metal Card this holiday season ❄️</t>
  </si>
  <si>
    <t>a96103cae06ce9a12f797f2668c0e4e4f9ed5b6616c5b7c9d6b56ec1c478dd1d</t>
  </si>
  <si>
    <t>EXHIBIT_EMAIL_20241212_933_32490f5c</t>
  </si>
  <si>
    <t>2024-12-12T18:49:47-08:00</t>
  </si>
  <si>
    <t>32490f5ce87ab33d77c5a223a2e2665646d5e59cf3de1b488bc22d757f32d162</t>
  </si>
  <si>
    <t>EXHIBIT_EMAIL_20241128_934_55e9c62a</t>
  </si>
  <si>
    <t>2024-11-28T11:12:58-06:00</t>
  </si>
  <si>
    <t>Email: FINAL WEEK! Up to 50% off BLACK FRIDAY DEALS 💥</t>
  </si>
  <si>
    <t>55e9c62aa1898cefacadd289fcf3f40a515a3998c528d11f7dbdf1a12d26fbec</t>
  </si>
  <si>
    <t>EXHIBIT_EMAIL_20241126_935_fe85f060</t>
  </si>
  <si>
    <t>2024-11-26T13:23:15+00:00</t>
  </si>
  <si>
    <t>Email: New Black Friday savings for you</t>
  </si>
  <si>
    <t>fe85f060b790426c437f137f9cb75e06ca542d28fd1e75226422dda6cadac89a</t>
  </si>
  <si>
    <t>EXHIBIT_EMAIL_20241203_936_07305066</t>
  </si>
  <si>
    <t>2024-12-03T09:07:38-05:00</t>
  </si>
  <si>
    <t>Email: A BIG Grateful Thank You</t>
  </si>
  <si>
    <t>07305066f57258ad51edfa0628db81e21c3f90d6e655726dcb2cd6ae009ad623</t>
  </si>
  <si>
    <t>EXHIBIT_EMAIL_20241126_937_8bf045d0</t>
  </si>
  <si>
    <t>2024-11-26T08:02:32-06:00</t>
  </si>
  <si>
    <t>Email: Black Friday sale: Still time to save 30%+ when you join</t>
  </si>
  <si>
    <t>8bf045d071cfe6c7f23ed9697c3951b11f811b1a9d3a9bd88d36eb5cd66077ca</t>
  </si>
  <si>
    <t>EXHIBIT_EMAIL_20241210_938_c5b5b8ed</t>
  </si>
  <si>
    <t>2024-12-10T00:44:14+00:00</t>
  </si>
  <si>
    <t>c5b5b8edfa5e8a65986465106a6529ec5b66bc9c47428ec45e78a2de9f11e1e6</t>
  </si>
  <si>
    <t>EXHIBIT_EMAIL_20241129_939_6e8e3253</t>
  </si>
  <si>
    <t>2024-11-29T01:21:28+00:00</t>
  </si>
  <si>
    <t>6e8e3253b8f91a717bea2d4572170fdcbf850b08f7993808c3f64e4472c82330</t>
  </si>
  <si>
    <t>EXHIBIT_EMAIL_20241214_940_e4996cf7</t>
  </si>
  <si>
    <t>2024-12-14T09:43:03-06:00</t>
  </si>
  <si>
    <t>Email: Your MAGICAL DEALS are waiting ✨ Up to 40% off!</t>
  </si>
  <si>
    <t>e4996cf749212e3cffe8c52e8f3769d0f0d9f6121058edfb6b4ac754cadcaa65</t>
  </si>
  <si>
    <t>EXHIBIT_EMAIL_20241201_941_670a735e</t>
  </si>
  <si>
    <t>2024-12-01T16:28:55+00:00</t>
  </si>
  <si>
    <t>670a735ee9e3236d06d41da4adc912f6679d1cc2c794500979da206f5aa81d76</t>
  </si>
  <si>
    <t>EXHIBIT_EMAIL_20241209_942_bca6fc83</t>
  </si>
  <si>
    <t>2024-12-09T00:38:45+00:00</t>
  </si>
  <si>
    <t>Email: Save 33% with a yearly Ripl subscription—learnhow</t>
  </si>
  <si>
    <t>bca6fc8386dbbd86942f91b9d236c507a1c59b8fc2f44139d4138e3278f14159</t>
  </si>
  <si>
    <t>EXHIBIT_EMAIL_20241128_943_0c4c3a95</t>
  </si>
  <si>
    <t>2024-11-28T04:59:26+00:00</t>
  </si>
  <si>
    <t>0c4c3a95531d22bacb1a603086d486cf28afb4dcb79f7780d42e0eaa099f556f</t>
  </si>
  <si>
    <t>EXHIBIT_EMAIL_20250115_944_38c30daf</t>
  </si>
  <si>
    <t>2025-01-15T23:11:26+00:00</t>
  </si>
  <si>
    <t>38c30dafe3ee379bac4471999d97510605ec1252244bb8532f679846e412ef42</t>
  </si>
  <si>
    <t>EXHIBIT_EMAIL_20241127_945_c67c7590</t>
  </si>
  <si>
    <t>2024-11-27T22:33:32-08:00</t>
  </si>
  <si>
    <t>c67c75904f2afe8a154d64a9685add3f95b530105812dc248e029dfc7af339cc</t>
  </si>
  <si>
    <t>EXHIBIT_EMAIL_20241127_946_1f3124e0</t>
  </si>
  <si>
    <t>2024-11-27T20:20:02-08:00</t>
  </si>
  <si>
    <t>1f3124e0d6f0aa5a367343a3b10642d2acfc2a4c286420b7f3909d84e09e70cf</t>
  </si>
  <si>
    <t>EXHIBIT_EMAIL_20241127_947_a721bd89</t>
  </si>
  <si>
    <t>2024-11-27T17:33:27-08:00</t>
  </si>
  <si>
    <t>a721bd89a40ccc27f4ebdc9fffc3a85a89d91a60118f650a2547a6216bdd275a</t>
  </si>
  <si>
    <t>EXHIBIT_EMAIL_20241222_948_a1c6d191</t>
  </si>
  <si>
    <t>2024-12-22T20:02:54+00:00</t>
  </si>
  <si>
    <t>a1c6d191e6baf1f5114380277819614713a87c6d7529ad49fca897753c199fa8</t>
  </si>
  <si>
    <t>EXHIBIT_EMAIL_20250125_949_85a13692</t>
  </si>
  <si>
    <t>2025-01-25T09:40:31-06:00</t>
  </si>
  <si>
    <t>Email: Can't-miss Holiday Clearance prices ⭐</t>
  </si>
  <si>
    <t>85a13692f63ae9da452494bced38eeeb2c5195d6b07bdffed297c5d20c2ee0b7</t>
  </si>
  <si>
    <t>EXHIBIT_EMAIL_20241202_950_2806acbc</t>
  </si>
  <si>
    <t>2024-12-02T20:12:27+00:00</t>
  </si>
  <si>
    <t>Email: See what we’ve picked out just for you</t>
  </si>
  <si>
    <t>2806acbc7b605d369d767c40ad3d9323718850f2380a0eeb254ed98c3a32956c</t>
  </si>
  <si>
    <t>EXHIBIT_EMAIL_20241203_951_23b629f5</t>
  </si>
  <si>
    <t>2024-12-03T12:44:05+00:00</t>
  </si>
  <si>
    <t>23b629f594de5210b778a918e4035196142c9c2ec51ac0e0a402cad92bc30855</t>
  </si>
  <si>
    <t>EXHIBIT_EMAIL_20241203_952_9a1070bf</t>
  </si>
  <si>
    <t>2024-12-03T17:23:29+00:00</t>
  </si>
  <si>
    <t>9a1070bfed47ff098b8411ef8196347cbfe89b81b7a6c2ff03ad820d3dd9e19f</t>
  </si>
  <si>
    <t>EXHIBIT_EMAIL_20241126_953_b162d988</t>
  </si>
  <si>
    <t>2024-11-26T12:15:19-06:00</t>
  </si>
  <si>
    <t>Email: As low as 0% APR for you on Black Friday</t>
  </si>
  <si>
    <t>b162d9882442bbbde8113fdd1b0147b1816bc81f98a7588c2ca9f848e5f5b929</t>
  </si>
  <si>
    <t>EXHIBIT_EMAIL_20250228_954_daf0e6d8</t>
  </si>
  <si>
    <t>2025-02-28T15:11:21+00:00</t>
  </si>
  <si>
    <t>daf0e6d88b22395894f2f1e8b25f93709280760d44473037f5665b16aa426bba</t>
  </si>
  <si>
    <t>EXHIBIT_EMAIL_20241202_955_094ee159</t>
  </si>
  <si>
    <t>2024-12-02T14:44:05+00:00</t>
  </si>
  <si>
    <t>Email: 6 Item(s) are ghosting from Your Cart🦇</t>
  </si>
  <si>
    <t>094ee159f390d5c8270dc87bc99cc69e0816ee333ac8437c3110144d1ee850b7</t>
  </si>
  <si>
    <t>EXHIBIT_EMAIL_20241129_956_66c768cd</t>
  </si>
  <si>
    <t>2024-11-29T12:29:44+00:00</t>
  </si>
  <si>
    <t>Email: Awfully sorry for telling you...Cali Boyd</t>
  </si>
  <si>
    <t>66c768cdc251a4890d10a2ee43739ae7752054a87f091a09d0a3e1568172d100</t>
  </si>
  <si>
    <t>EXHIBIT_EMAIL_20241202_957_37303329</t>
  </si>
  <si>
    <t>2024-12-02T18:00:20+00:00</t>
  </si>
  <si>
    <t>Email: Cyber Monday Sale: 88% off for K</t>
  </si>
  <si>
    <t>373033291a28484ec71847de131c1253da827728d99911d9a878b9432c2c9a07</t>
  </si>
  <si>
    <t>EXHIBIT_EMAIL_20250210_958_4e39e0fb</t>
  </si>
  <si>
    <t>2025-02-10T09:36:15-06:00</t>
  </si>
  <si>
    <t>Email: Low prices on Valentine's Day meals 💘</t>
  </si>
  <si>
    <t>4e39e0fbd96c04ff9ba530e3119d8e1f9cdf21c7aaede0bdf273854ffca0ac12</t>
  </si>
  <si>
    <t>EXHIBIT_EMAIL_20241218_959_234dd4f6</t>
  </si>
  <si>
    <t>2024-12-18T01:37:59+01:00</t>
  </si>
  <si>
    <t>Email: vroofn, you have free spins on Lucky Porker Bonus Buy !🐷</t>
  </si>
  <si>
    <t>234dd4f6e0d32bd2275d9439830c154c3b4c68d081a58ae596484704b74f4f5a</t>
  </si>
  <si>
    <t>EXHIBIT_EMAIL_20241125_960_3dcd7266</t>
  </si>
  <si>
    <t>2024-11-25T14:59:52+01:00</t>
  </si>
  <si>
    <t>Email: NOUVEAUX articles maintenant à 60 %</t>
  </si>
  <si>
    <t>3dcd7266f351def0fe63b7320373ba8168c67899659233aad3b74e3d8d2948c3</t>
  </si>
  <si>
    <t>EXHIBIT_EMAIL_20250107_961_21f0133e</t>
  </si>
  <si>
    <t>2025-01-07T17:51:20+00:00</t>
  </si>
  <si>
    <t>Email: You've successfully reset your Dropbox password</t>
  </si>
  <si>
    <t>21f0133ea72a6ba3220ed3b496f46a1e5e47af492d524724576d08ccda27fbe6</t>
  </si>
  <si>
    <t>EXHIBIT_EMAIL_20241205_962_10a1dbfa</t>
  </si>
  <si>
    <t>2024-12-05T11:57:36-08:00</t>
  </si>
  <si>
    <t>Email: Hey K, welcome to Gemini</t>
  </si>
  <si>
    <t>10a1dbfa3d14dbdf0f2b15bfd5e658ab8419ea804d54962515cea62ad6aff835</t>
  </si>
  <si>
    <t>EXHIBIT_EMAIL_20241205_963_d0c6708c</t>
  </si>
  <si>
    <t>2024-12-05T11:01:30-06:00</t>
  </si>
  <si>
    <t>Email: Up to 40% off MAGICAL DEALS ✨</t>
  </si>
  <si>
    <t>d0c6708cf8024400151e375f6602783f28adfc66b89246279cdf9d8d2b5a70b3</t>
  </si>
  <si>
    <t>EXHIBIT_EMAIL_20241203_964_6ceef3ef</t>
  </si>
  <si>
    <t>2024-12-03T08:03:01-06:00</t>
  </si>
  <si>
    <t>Email: Sale ends soon: Book now to save 30% or more</t>
  </si>
  <si>
    <t>6ceef3ef4d67ad24235c793a748ec96b4228bca27819e2096298ee3e30c1a1bb</t>
  </si>
  <si>
    <t>EXHIBIT_EMAIL_20241129_965_aa5a4c17</t>
  </si>
  <si>
    <t>Email: Your Google Account was recovered successfully</t>
  </si>
  <si>
    <t>aa5a4c17990e2b551a860772d70d2ea1df82da799328477e4005b9816e25e5ea</t>
  </si>
  <si>
    <t>EXHIBIT_EMAIL_20241209_966_5e9cc374</t>
  </si>
  <si>
    <t>2024-12-09T10:17:13-06:00</t>
  </si>
  <si>
    <t>Email: Split up the cost of gifts from Apple</t>
  </si>
  <si>
    <t>5e9cc374aef91ae502a9c61b358b203802f8d7321e5e193576e5434c95a3c948</t>
  </si>
  <si>
    <t>EXHIBIT_EMAIL_20241122_967_b632886a</t>
  </si>
  <si>
    <t>2024-11-22T21:30:50+00:00</t>
  </si>
  <si>
    <t>Email: 🎁 ⭐Create a wishlist to keep track of gift ideas</t>
  </si>
  <si>
    <t>b632886a504a3746c6222df6d4f077b9c9f7e5a2f03c29d7f5f677aa23cf9e76</t>
  </si>
  <si>
    <t>EXHIBIT_EMAIL_20250130_968_e6170dfd</t>
  </si>
  <si>
    <t>2025-01-30T14:01:51+00:00</t>
  </si>
  <si>
    <t>Email: We’ve updated our Privacy Notices</t>
  </si>
  <si>
    <t>e6170dfd3d50e0a649237def6bf959d6870eee46d19b8993f5a10d3b66cae9f9</t>
  </si>
  <si>
    <t>EXHIBIT_EMAIL_20250124_969_6cfba67e</t>
  </si>
  <si>
    <t>2025-01-24T06:10:12-08:00</t>
  </si>
  <si>
    <t>Email: Unlock Microsoft offers and updates!</t>
  </si>
  <si>
    <t>6cfba67ed395afa63c8a278564c05213eed9f585bc76095a3e28500c99e4aab8</t>
  </si>
  <si>
    <t>EXHIBIT_EMAIL_20250206_970_8b242804</t>
  </si>
  <si>
    <t>2025-02-06T22:25:04+00:00</t>
  </si>
  <si>
    <t>Email: ✨ Make your videos stand out</t>
  </si>
  <si>
    <t>8b242804ea9bf3a4ea7667eb656a85e13a1f422f2e9d7d5787a24cac92aafe8e</t>
  </si>
  <si>
    <t>EXHIBIT_EMAIL_20250102_971_820d3eb0</t>
  </si>
  <si>
    <t>2025-01-02T14:59:55+01:00</t>
  </si>
  <si>
    <t>Email: DÉPÊCHE-TOI : la semaine des soldes d’après Noël est presque terminée</t>
  </si>
  <si>
    <t>820d3eb028f41503df7ce92d7320959f0a1074bd755943c6fcbc7a0b434c1fc4</t>
  </si>
  <si>
    <t>EXHIBIT_EMAIL_20250218_972_1732b0fa</t>
  </si>
  <si>
    <t>2025-02-18T00:37:46+00:00</t>
  </si>
  <si>
    <t>Email: [Confirm your email]</t>
  </si>
  <si>
    <t>1732b0fa2364ef744fe2e96a2cbc7f6f60c6dc58898fc0c031ea5aba585715c3</t>
  </si>
  <si>
    <t>EXHIBIT_EMAIL_20241203_973_5da081a2</t>
  </si>
  <si>
    <t>2024-12-03T15:38:08-06:00</t>
  </si>
  <si>
    <t>Email: Up to 50% off electronics, toys, appliances &amp; more for Cyber Week 💻</t>
  </si>
  <si>
    <t>5da081a200294129d3f28bffce4e7017946e91b4fd6d5778c3f55825b3d1897e</t>
  </si>
  <si>
    <t>EXHIBIT_EMAIL_20250112_974_02c2930f</t>
  </si>
  <si>
    <t>2025-01-12T02:16:40+00:00</t>
  </si>
  <si>
    <t>Email: Indoor play tips &amp; why “picky eater” should be banned</t>
  </si>
  <si>
    <t>02c2930fe4fb30913ed2466072e8833a1b5139292495b255c5343618f2b8288e</t>
  </si>
  <si>
    <t>EXHIBIT_EMAIL_20241126_975_eff9c4ac</t>
  </si>
  <si>
    <t>2024-11-26T23:00:20+01:00</t>
  </si>
  <si>
    <t>Email: ces incontournables sont maintenant à 60 % de rabais</t>
  </si>
  <si>
    <t>eff9c4aca9bfd92639bbc863ba5c978f0cb724b7cac514f5805c3f299d78402f</t>
  </si>
  <si>
    <t>EXHIBIT_EMAIL_20241206_976_7b83f6a0</t>
  </si>
  <si>
    <t>2024-12-06T07:31:48-08:00</t>
  </si>
  <si>
    <t>Email: Cyber Monday ends soon — save 50%</t>
  </si>
  <si>
    <t>7b83f6a0f45861a49c111a4c5ea7828f89c9de57907cd6f0776cf1073a5a1ba0</t>
  </si>
  <si>
    <t>EXHIBIT_EMAIL_20241123_977_777af5f8</t>
  </si>
  <si>
    <t>2024-11-23T03:40:17+00:00</t>
  </si>
  <si>
    <t>Email: 🛒 You left some items behind...</t>
  </si>
  <si>
    <t>777af5f804db2445ff80ccb9a212cdafd62104e213d6b3dd9a559afc2abb7692</t>
  </si>
  <si>
    <t>EXHIBIT_EMAIL_20250213_978_3e6753c6</t>
  </si>
  <si>
    <t>2025-02-13T08:44:26-04:00</t>
  </si>
  <si>
    <t>Email: Fwd: Interac e-Transfer: You've received $240.00 from Paul Carey and it has been automatically depos</t>
  </si>
  <si>
    <t>3e6753c6da40f335bfc03000661357df2cfad227ed7286146ef484e2c17a3e92</t>
  </si>
  <si>
    <t>EXHIBIT_EMAIL_20241127_979_67283a63</t>
  </si>
  <si>
    <t>2024-11-27T15:00:54-06:00</t>
  </si>
  <si>
    <t>Email: 🏒NEW 2024-25 NHL GDM Cards are Coming Soon!</t>
  </si>
  <si>
    <t>67283a631b0855c0f2d7e712124b16498c92adb0339339afe0299d05d210e2df</t>
  </si>
  <si>
    <t>EXHIBIT_EMAIL_20241127_980_deb22d7d</t>
  </si>
  <si>
    <t>2024-11-27T10:05:03+00:00</t>
  </si>
  <si>
    <t>Email: 🔥 Our Black Friday Sale: starts now! 🔥</t>
  </si>
  <si>
    <t>deb22d7d60ff95dc132f20f8804c0bb564478a6a288c5126c139d4983365e419</t>
  </si>
  <si>
    <t>EXHIBIT_EMAIL_20241202_981_d9227a1c</t>
  </si>
  <si>
    <t>2024-12-02T23:56:38+01:00</t>
  </si>
  <si>
    <t>Email: UNE GROSSE PROMO : jusqu’à 60 % de rabais + 25 % de rabais supplémentaire</t>
  </si>
  <si>
    <t>d9227a1c0e24950c1e03d996ab5d544b0322e61af0a10bb78955c9e592c32031</t>
  </si>
  <si>
    <t>EXHIBIT_EMAIL_20241207_982_c8625e4b</t>
  </si>
  <si>
    <t>2024-12-07T02:20:20+00:00</t>
  </si>
  <si>
    <t>c8625e4b3bd71abf531b3e06cc3b94a319ba0985e252baa20b7979ea39468f73</t>
  </si>
  <si>
    <t>EXHIBIT_EMAIL_20241129_983_b0453ce3</t>
  </si>
  <si>
    <t>2024-11-29T06:03:47-05:00</t>
  </si>
  <si>
    <t>Email: Up to 50% off - It's OFFICIALLY Black Friday 🖤</t>
  </si>
  <si>
    <t>b0453ce3cb481a4ad5dad09bf1925cfa1c4a7d7ad4ca85c84dc762c4fbd83c52</t>
  </si>
  <si>
    <t>EXHIBIT_EMAIL_20241122_984_550f892f</t>
  </si>
  <si>
    <t>2024-11-22T19:15:16-08:00</t>
  </si>
  <si>
    <t>550f892ffae2e616855fa10bef1601a3b65049ddee38cf026e2ab71a336016d8</t>
  </si>
  <si>
    <t>EXHIBIT_EMAIL_20241208_985_92765c7a</t>
  </si>
  <si>
    <t>2024-12-08T06:17:22+01:00</t>
  </si>
  <si>
    <t>92765c7ade431f983d5e625255a7494dbe34e8decd664c7b0e2ac32335968b22</t>
  </si>
  <si>
    <t>EXHIBIT_EMAIL_20250109_986_08212f02</t>
  </si>
  <si>
    <t>2025-01-09T18:20:05+00:00</t>
  </si>
  <si>
    <t>Email: What’s new in January: Deadlines🎯</t>
  </si>
  <si>
    <t>08212f0277c442cba3753b562ed88eff2ae5690689d59dc5bfd0af1b96991c78</t>
  </si>
  <si>
    <t>EXHIBIT_EMAIL_20241202_987_2874dcbb</t>
  </si>
  <si>
    <t>2024-12-02T12:05:32-08:00</t>
  </si>
  <si>
    <t>2874dcbb4100eb902189734030f526f2fb9a6ccce3ddf264199f3cbaf86c499d</t>
  </si>
  <si>
    <t>EXHIBIT_EMAIL_20250126_988_c8b85a16</t>
  </si>
  <si>
    <t>2025-01-26T00:57:17+00:00</t>
  </si>
  <si>
    <t>c8b85a16bf66396400300ceb3f5d8e627de2a35b636322b3afce92036bb84fa7</t>
  </si>
  <si>
    <t>EXHIBIT_EMAIL_20241210_989_ae867497</t>
  </si>
  <si>
    <t>2024-12-10T14:44:23+00:00</t>
  </si>
  <si>
    <t>Email: Make this Footlong Season a buzzer beater.</t>
  </si>
  <si>
    <t>ae867497d48efa46716aa3139a41dd90de42f6c7580ab509c0305b632cfb777b</t>
  </si>
  <si>
    <t>EXHIBIT_EMAIL_20241202_990_397faa12</t>
  </si>
  <si>
    <t>2024-12-02T12:58:18+01:00</t>
  </si>
  <si>
    <t>Email: CYBER-RABAIS : jusqu’à 60 % de rabais + 25 % extra</t>
  </si>
  <si>
    <t>397faa12c5dd3f563f05f48b4fda614512ffd5186e60a286ac189f4c23febbc7</t>
  </si>
  <si>
    <t>EXHIBIT_EMAIL_20241130_991_337f0c01</t>
  </si>
  <si>
    <t>2024-11-30T09:27:36-06:00</t>
  </si>
  <si>
    <t>Email: 2 DAYS LEFT! Get BLACK FRIDAY DEALS before they're gone 🛒</t>
  </si>
  <si>
    <t>337f0c01db26eb82ad11e2ea968140cee3b7c1278d818dfffd3e16972877c7a4</t>
  </si>
  <si>
    <t>EXHIBIT_EMAIL_20241203_992_46ea190f</t>
  </si>
  <si>
    <t>2024-12-03T03:33:32+00:00</t>
  </si>
  <si>
    <t>46ea190fe8f9a8f1c9d24f5c71cf19737a7626aba78689794f31d491069e1d4f</t>
  </si>
  <si>
    <t>EXHIBIT_EMAIL_20250221_993_b4f8ee88</t>
  </si>
  <si>
    <t>2025-02-21T20:27:16+00:00</t>
  </si>
  <si>
    <t>Email: Rent a car and reimagine weekends</t>
  </si>
  <si>
    <t>b4f8ee880549b119fcf4f4136ab971deb42e599e27e95c453314654a3270bc74</t>
  </si>
  <si>
    <t>EXHIBIT_EMAIL_20241127_994_2a15887d</t>
  </si>
  <si>
    <t>2024-11-27T17:37:11-06:00</t>
  </si>
  <si>
    <t>Email: MORE BLACK FRIDAY DEALS START AT 9 PM EST ⌚</t>
  </si>
  <si>
    <t>2a15887dab7260da7fa5ec0ae73a589e3c3c481aecaa0d886a8854f625c55933</t>
  </si>
  <si>
    <t>EXHIBIT_EMAIL_20241127_995_27b7e6fb</t>
  </si>
  <si>
    <t>2024-11-27T10:34:56-06:00</t>
  </si>
  <si>
    <t>Email: Shop. Save. Repeat 🙌 Up to 50% off Black Friday Deals!</t>
  </si>
  <si>
    <t>27b7e6fb5da22a42df2a5b5643748666f46162a2c662cc8d534df76cd97862e9</t>
  </si>
  <si>
    <t>EXHIBIT_EMAIL_20241130_996_bf4c7ddf</t>
  </si>
  <si>
    <t>2024-11-30T12:29:43+00:00</t>
  </si>
  <si>
    <t>bf4c7ddf1a4277336c1b6e21491285a1882c44fffaadfd11c22952c955c390d9</t>
  </si>
  <si>
    <t>EXHIBIT_EMAIL_20241228_997_1d78d156</t>
  </si>
  <si>
    <t>2024-12-28T09:32:59+01:00</t>
  </si>
  <si>
    <t>1d78d156e5efa8fc554a61f8cd2b20f7d3ae9f06040f7543617692bede5484ec</t>
  </si>
  <si>
    <t>EXHIBIT_EMAIL_20241127_998_9f6f341f</t>
  </si>
  <si>
    <t>2024-11-27T12:29:18+00:00</t>
  </si>
  <si>
    <t>9f6f341f5f6c7cfc2dfefd72209189e45d3ed1c59e4cb1584cfa276af1b4aabd</t>
  </si>
  <si>
    <t>EXHIBIT_EMAIL_20241203_999_e18176e1</t>
  </si>
  <si>
    <t>2024-12-03T16:08:58+00:00</t>
  </si>
  <si>
    <t>Email: 38 Weeks Pregnant: 72 Hours After Birth - What Happens?</t>
  </si>
  <si>
    <t>e18176e123636b32528eb697c8f85ba10cac5ea3d1a63eac489d5bc9da722fb3</t>
  </si>
  <si>
    <t>EXHIBIT_EMAIL_20250109_1000_26bc57ec</t>
  </si>
  <si>
    <t>2025-01-09T06:49:16-08:00</t>
  </si>
  <si>
    <t>Email: Ignite your creativity with the ultimate toolkit</t>
  </si>
  <si>
    <t>26bc57ec59136d77f63e1ffab253e24e51133509b01d4af056750f49be60191f</t>
  </si>
  <si>
    <t>EXHIBIT_EMAIL_20241127_1001_d2887103</t>
  </si>
  <si>
    <t>2024-11-27T17:09:12+00:00</t>
  </si>
  <si>
    <t>Email: Looking at breast pumps? Get 1 for free</t>
  </si>
  <si>
    <t>d2887103d6b58433a52d5a0de25c793e8e3a84d870f0cd9348192627f595830a</t>
  </si>
  <si>
    <t>EXHIBIT_EMAIL_20241216_1002_53c337fd</t>
  </si>
  <si>
    <t>2024-12-16T08:04:02+00:00</t>
  </si>
  <si>
    <t>Email: Welcome to Premium</t>
  </si>
  <si>
    <t>53c337fdf86f15c1bcced9869820373460b2faf23418c32ad8111dcfae2322be</t>
  </si>
  <si>
    <t>EXHIBIT_EMAIL_20241207_1003_38dd529b</t>
  </si>
  <si>
    <t>2024-12-07T18:20:20-04:00</t>
  </si>
  <si>
    <t>Email: Invoice for Bell Hill Rd</t>
  </si>
  <si>
    <t>38dd529b83b5d9757c0011dcc99b6fe292c1110783c4f3831b6eb02847a55eb8</t>
  </si>
  <si>
    <t>EXHIBIT_EMAIL_20241207_1004_abdbe2e6</t>
  </si>
  <si>
    <t>2024-12-07T18:22:13-04:00</t>
  </si>
  <si>
    <t>abdbe2e6a77a471064a18b423dc6370a58c47228f1fef68dacb2d0c79962dc9d</t>
  </si>
  <si>
    <t>EXHIBIT_EMAIL_20241130_1005_f30cec9d</t>
  </si>
  <si>
    <t>2024-11-30T21:57:19+01:00</t>
  </si>
  <si>
    <t>Email: Une autre chance pour avoir jusqu’à 60 % de rabais + 20 % de rabais</t>
  </si>
  <si>
    <t>f30cec9d9032e065e67a4cf54e5f8a54e1e934934d33b19d4403deee932383e1</t>
  </si>
  <si>
    <t>EXHIBIT_EMAIL_20241201_1006_6fb00f42</t>
  </si>
  <si>
    <t>2024-12-01T07:01:58-05:00</t>
  </si>
  <si>
    <t>Email: ⏱️ FINAL Hours! Up to 50% off Ends Today</t>
  </si>
  <si>
    <t>6fb00f42e86fbc617633aff7ce4dc9f37ce2c579ababf0221547c5dc1ea7132d</t>
  </si>
  <si>
    <t>EXHIBIT_EMAIL_20250101_1007_c7211e2a</t>
  </si>
  <si>
    <t>2025-01-01T01:24:11+00:00</t>
  </si>
  <si>
    <t>Email: Welcome to GPT Workspace</t>
  </si>
  <si>
    <t>c7211e2a2cea364fc49b729d52ffff060793b27b6fc503ce87e69550afff1c47</t>
  </si>
  <si>
    <t>EXHIBIT_EMAIL_20241203_1008_453a6e80</t>
  </si>
  <si>
    <t>2024-12-03T04:14:21+00:00</t>
  </si>
  <si>
    <t>Email: You at 37 Weeks: Yay or Nay to Nurse Gift Baskets</t>
  </si>
  <si>
    <t>453a6e80f856ede9e623dbb65b9433a8de986d269cb9d2e89ce6c34acc906d9e</t>
  </si>
  <si>
    <t>EXHIBIT_EMAIL_20241214_1009_291ebd92</t>
  </si>
  <si>
    <t>2024-12-14T17:44:12+00:00</t>
  </si>
  <si>
    <t>291ebd92fb79c3fac1ee7c873ab16057fc822f34c049df1f0fcd3bfbc0a5e902</t>
  </si>
  <si>
    <t>EXHIBIT_EMAIL_20250212_1010_45c305ac</t>
  </si>
  <si>
    <t>2025-02-12T03:24:50+00:00</t>
  </si>
  <si>
    <t>Email: You Have a New Message</t>
  </si>
  <si>
    <t>45c305ace04df428b4a6b6c9a956dba9ed5840145bdbc08cb16d50b4394c3bd2</t>
  </si>
  <si>
    <t>EXHIBIT_EMAIL_20250212_1011_969cdc98</t>
  </si>
  <si>
    <t>2025-02-12T03:00:22+00:00</t>
  </si>
  <si>
    <t>969cdc98dd35a86988e2b9ab22438a54a6465e18a1900231f02f54fc68edc167</t>
  </si>
  <si>
    <t>EXHIBIT_EMAIL_20250212_1012_86a5b1e0</t>
  </si>
  <si>
    <t>2025-02-12T03:24:46+00:00</t>
  </si>
  <si>
    <t>86a5b1e0cabf4b4377c616cd739a32d337254bbf22e432278c2884acd56b0101</t>
  </si>
  <si>
    <t>EXHIBIT_EMAIL_20250212_1013_d280d399</t>
  </si>
  <si>
    <t>2025-02-12T00:51:33+00:00</t>
  </si>
  <si>
    <t>d280d399dc00607084b9ca8d0cd26d069c0ff533b1bd7afb9035ab19ac3bb3ce</t>
  </si>
  <si>
    <t>EXHIBIT_EMAIL_20250212_1014_4041f944</t>
  </si>
  <si>
    <t>2025-02-12T00:16:03+00:00</t>
  </si>
  <si>
    <t>4041f94490aa11fc7b7716397b224e1fb74899d1fd5a81d7f03f4e482b77a361</t>
  </si>
  <si>
    <t>EXHIBIT_EMAIL_20241206_1015_7099f310</t>
  </si>
  <si>
    <t>2024-12-06T23:08:43+00:00</t>
  </si>
  <si>
    <t>Email: 🎊🎊Congrats! Chris David!</t>
  </si>
  <si>
    <t>7099f3101eaa721757665738edf1967bde43be7404719a78560561564e66571b</t>
  </si>
  <si>
    <t>EXHIBIT_EMAIL_20241203_1016_b9284868</t>
  </si>
  <si>
    <t>2024-12-03T12:11:46-06:00</t>
  </si>
  <si>
    <t>Email: Your marketing attribution is failing you</t>
  </si>
  <si>
    <t>b9284868757efe3882df07f1121fb7b2b7f063a1e3ada27edd127b7ffe5bafb8</t>
  </si>
  <si>
    <t>EXHIBIT_EMAIL_20241130_1017_e775dbd0</t>
  </si>
  <si>
    <t>2024-11-30T04:30:17+00:00</t>
  </si>
  <si>
    <t>Email: vroofn, Deposit CAD 5, Get 77 Free Spins! 🎅</t>
  </si>
  <si>
    <t>e775dbd065a654b8ae23bc6751fca96986594bf984f16e844571d37ff8270aae</t>
  </si>
  <si>
    <t>EXHIBIT_EMAIL_20241127_1018_e6339a58</t>
  </si>
  <si>
    <t>2024-11-27T20:39:45-06:00</t>
  </si>
  <si>
    <t>Email: New Black Friday Deals LIVE NOW: Up to 50% off 🤩</t>
  </si>
  <si>
    <t>e6339a587587f5f550f671e50fc0122aa9058284b1e26ebb447bbaf6e902d47e</t>
  </si>
  <si>
    <t>EXHIBIT_EMAIL_20241224_1019_819ebf4e</t>
  </si>
  <si>
    <t>2024-12-24T10:59:30-06:00</t>
  </si>
  <si>
    <t>Email: Unwrap up to 45% off BOXING WEEK DEALS 📦</t>
  </si>
  <si>
    <t>819ebf4e56b8f89809002c9493993810f449055e778266f3a8e1e44f55aa32b4</t>
  </si>
  <si>
    <t>EXHIBIT_EMAIL_20250120_1020_3a268f24</t>
  </si>
  <si>
    <t>2025-01-20T10:05:59-06:00</t>
  </si>
  <si>
    <t>Email: Are you ready for your best year yet? 🤸</t>
  </si>
  <si>
    <t>3a268f248b87ade8172b676bba9d9e9e66ded63fe1b53d09c0df07ffae005a1b</t>
  </si>
  <si>
    <t>EXHIBIT_EMAIL_20241203_1021_6f00ede1</t>
  </si>
  <si>
    <t>2024-12-03T03:38:18+00:00</t>
  </si>
  <si>
    <t>6f00ede1cf91c2e81f3c10c94086f9f682340fff24ddfabd877cb6ce780ff1f8</t>
  </si>
  <si>
    <t>EXHIBIT_EMAIL_20241203_1022_87579cbd</t>
  </si>
  <si>
    <t>2024-12-03T03:37:52+00:00</t>
  </si>
  <si>
    <t>87579cbd54a82857cebfba6f15fd8e114b7f06460638b4533e48bb140c460d64</t>
  </si>
  <si>
    <t>EXHIBIT_EMAIL_20250131_1023_911873ef</t>
  </si>
  <si>
    <t>2025-01-31T09:55:59-06:00</t>
  </si>
  <si>
    <t>Email: Save up to 33% on select Walmart brands 🛒</t>
  </si>
  <si>
    <t>911873efeec8648d481672b4ca68d5cb3aefc59c8d9d8b2208e15957871852a9</t>
  </si>
  <si>
    <t>EXHIBIT_EMAIL_20241225_1024_be6d54ea</t>
  </si>
  <si>
    <t>2024-12-25T06:00:03+00:00</t>
  </si>
  <si>
    <t>Email: vroofn, play with a 120% Bonus + 30 Free Spins! 🐟</t>
  </si>
  <si>
    <t>be6d54ea4786499e3497f6267d18e91b6f11e2d8bbce216e0ece82677e465fd7</t>
  </si>
  <si>
    <t>EXHIBIT_EMAIL_20241230_1025_028f31fe</t>
  </si>
  <si>
    <t>2024-12-30T10:50:09-06:00</t>
  </si>
  <si>
    <t>Email: Holiday Clearance on toys, electronics &amp; more 💛</t>
  </si>
  <si>
    <t>028f31fed9f06da1d9ce1875c91a383f515ea6851106bc10de90250213db36ac</t>
  </si>
  <si>
    <t>EXHIBIT_EMAIL_20241213_1026_e241fc47</t>
  </si>
  <si>
    <t>2024-12-13T17:14:42+00:00</t>
  </si>
  <si>
    <t>Email: Registration success</t>
  </si>
  <si>
    <t>e241fc4701a6f82d478c70448d8c3a7581f97710f6c8b59b490c43640fea3802</t>
  </si>
  <si>
    <t>EXHIBIT_EMAIL_20241213_1027_adb9c572</t>
  </si>
  <si>
    <t>2024-12-13T17:01:53+00:00</t>
  </si>
  <si>
    <t>adb9c572db315ebf125be8ed6910bde309dc75a94589b5ad34e01f7a1ca80775</t>
  </si>
  <si>
    <t>EXHIBIT_EMAIL_20250121_1028_b9c487d0</t>
  </si>
  <si>
    <t>2025-01-21T16:10:40+01:00</t>
  </si>
  <si>
    <t>Email: Adoucissons la promotion</t>
  </si>
  <si>
    <t>b9c487d0c41459fca4368913c7db2166700940df8653108648f5ec4fadc02877</t>
  </si>
  <si>
    <t>EXHIBIT_EMAIL_20241214_1029_c78938bc</t>
  </si>
  <si>
    <t>2024-12-14T20:21:00+00:00</t>
  </si>
  <si>
    <t>c78938bc8a25252b8ba753244b70b1e2a6669e612a69875a7e4c5656e76590d6</t>
  </si>
  <si>
    <t>EXHIBIT_EMAIL_20241210_1030_7fce9290</t>
  </si>
  <si>
    <t>2024-12-10T14:15:39+00:00</t>
  </si>
  <si>
    <t>Email: Protect your Amazon Business account</t>
  </si>
  <si>
    <t>7fce92902bd05365dbe9055bf1ab69754b9971318c945ee037136617b3227186</t>
  </si>
  <si>
    <t>EXHIBIT_EMAIL_20250113_1031_f034215e</t>
  </si>
  <si>
    <t>2025-01-13T06:46:43-08:00</t>
  </si>
  <si>
    <t>Email: All your ideas. One amazing set of apps.</t>
  </si>
  <si>
    <t>f034215e9aab4a03acce018e77d5c34329f807264513367cfefdf326db9a5144</t>
  </si>
  <si>
    <t>EXHIBIT_EMAIL_20241201_1032_095efb05</t>
  </si>
  <si>
    <t>2024-12-01T02:15:38+00:00</t>
  </si>
  <si>
    <t>Email: 🤣🤭 LOL at this hospital bag item, plus an epidural FYI</t>
  </si>
  <si>
    <t>095efb053b590931be782cd5fe78928941db9ab4656e33f789fbfb927e776cdc</t>
  </si>
  <si>
    <t>EXHIBIT_EMAIL_20241209_1033_4e6e47fe</t>
  </si>
  <si>
    <t>2024-12-09T06:17:57+01:00</t>
  </si>
  <si>
    <t>4e6e47fe664432e85835ea9d6fef1a0d164e57274df234a59509862252d9295a</t>
  </si>
  <si>
    <t>EXHIBIT_EMAIL_20241130_1034_b284f151</t>
  </si>
  <si>
    <t>2024-11-30T07:03:15-05:00</t>
  </si>
  <si>
    <t>Email: 2 DAYS LEFT: Up to 50% off 1,000s of Books 📚</t>
  </si>
  <si>
    <t>b284f1512a5445dd3b03e98aa728c69a7f41f2d0a9c8c299fd67f0e5bc09a8cd</t>
  </si>
  <si>
    <t>EXHIBIT_EMAIL_20250117_1035_6110c611</t>
  </si>
  <si>
    <t>2025-01-17T15:36:06-06:00</t>
  </si>
  <si>
    <t>Email: Welcome to Heroku! Let's Build Something Amazing</t>
  </si>
  <si>
    <t>6110c61123a805b427e070e1b5db42eb56485747918d568722ce340a03e08ff4</t>
  </si>
  <si>
    <t>EXHIBIT_EMAIL_20241204_1036_0dc77e85</t>
  </si>
  <si>
    <t>2024-12-04T14:01:59+00:00</t>
  </si>
  <si>
    <t>Email: Our Cyber Monday Sale for K is ending soon</t>
  </si>
  <si>
    <t>0dc77e85d2369c4d87763e9d6bcbdb55317a9638eaae721afcfa622ab17b44b6</t>
  </si>
  <si>
    <t>EXHIBIT_EMAIL_20241128_1037_42f56c77</t>
  </si>
  <si>
    <t>2024-11-28T04:15:56+00:00</t>
  </si>
  <si>
    <t>42f56c77997db6f8e631ba645f9ef279d2a94dd358a31fba590329aba1ec33c4</t>
  </si>
  <si>
    <t>EXHIBIT_EMAIL_20241229_1038_5121a57c</t>
  </si>
  <si>
    <t>2024-12-29T10:11:14+00:00</t>
  </si>
  <si>
    <t>Email: The 10 Most Popular New Home Bars of 2024 | How to Explain Price Increases to Clients</t>
  </si>
  <si>
    <t>5121a57cb08f48c5df87069077a90a041f8590689899de8a69947946188d3b86</t>
  </si>
  <si>
    <t>EXHIBIT_EMAIL_20250123_1039_a2aedf31</t>
  </si>
  <si>
    <t>2025-01-23T09:26:11-06:00</t>
  </si>
  <si>
    <t>Email: Choose a hotel with free cancellation options</t>
  </si>
  <si>
    <t>a2aedf3121292a694219208a17a585fbd40cdbd9b4c93214bb80f6b2d586ae21</t>
  </si>
  <si>
    <t>EXHIBIT_EMAIL_20241128_1040_82ca47b8</t>
  </si>
  <si>
    <t>2024-11-28T04:30:11+00:00</t>
  </si>
  <si>
    <t>Email: vroofn, you have free spins on Fishin' Pots of Gold™ Gold Blitz Extreme™! 🐠</t>
  </si>
  <si>
    <t>82ca47b833e8ab8fd149c3182140eaebdb473296dc314d13963deb11f40943ab</t>
  </si>
  <si>
    <t>EXHIBIT_EMAIL_20250116_1041_820b3b5a</t>
  </si>
  <si>
    <t>2025-01-16T16:38:33+00:00</t>
  </si>
  <si>
    <t>Email: New year, better website.</t>
  </si>
  <si>
    <t>820b3b5a995f8e00081812b03f481e4c4716d7de16941feef750f0f599e71f06</t>
  </si>
  <si>
    <t>EXHIBIT_EMAIL_20241214_1042_0c48ee5d</t>
  </si>
  <si>
    <t>2024-12-14T00:08:59+00:00</t>
  </si>
  <si>
    <t>0c48ee5d2cc80afefe6720b5b14866f69a1b210303a4b790ff710e6d16d7fc97</t>
  </si>
  <si>
    <t>EXHIBIT_EMAIL_20250101_1043_b3d1a5e4</t>
  </si>
  <si>
    <t>2025-01-01T10:48:32-06:00</t>
  </si>
  <si>
    <t>Email: New year, big savings 🎉</t>
  </si>
  <si>
    <t>b3d1a5e470a70356e91d8155a6c0e22004ba0298b5c7af3934cb3ed4956a143c</t>
  </si>
  <si>
    <t>EXHIBIT_EMAIL_20241124_1044_e7eefa03</t>
  </si>
  <si>
    <t>2024-11-24T09:08:17+00:00</t>
  </si>
  <si>
    <t>Email: 8 Stylish Bathrooms With Wood Vanities | 6 Kitchen Design Trends at Paris’ Esprit Meuble Trade Show</t>
  </si>
  <si>
    <t>e7eefa033fd3cca1e4dc15ccbc27c9d2e3af6ab6e60717e13fc2c7e298e79df8</t>
  </si>
  <si>
    <t>EXHIBIT_EMAIL_20241212_1045_36adb7c5</t>
  </si>
  <si>
    <t>2024-12-12T09:52:28-06:00</t>
  </si>
  <si>
    <t>Email: Here's $15 off ⭐ Shop MAGICAL DEALS now!</t>
  </si>
  <si>
    <t>36adb7c5b9f7af0ef74882ae3d8f5b041ce33295eeafe2f68d0bcfb1ebf8d145</t>
  </si>
  <si>
    <t>EXHIBIT_EMAIL_20241229_1046_f03870b1</t>
  </si>
  <si>
    <t>2024-12-29T03:13:50+00:00</t>
  </si>
  <si>
    <t>f03870b169a8dcbb78229ff3ddffd364f023b5d1a1f330b14ca1bdbf30eae6da</t>
  </si>
  <si>
    <t>EXHIBIT_EMAIL_20241229_1047_c57e70b1</t>
  </si>
  <si>
    <t>2024-12-29T00:56:19+00:00</t>
  </si>
  <si>
    <t>c57e70b1a713ac2ffd825e5f75d3aefc850366c757f3ffa81935002857d4e571</t>
  </si>
  <si>
    <t>EXHIBIT_EMAIL_20241203_1048_abdc6069</t>
  </si>
  <si>
    <t>2024-12-03T13:18:16-06:00</t>
  </si>
  <si>
    <t>Email: Jingle your way to $10K with 31 Days of Circle K!</t>
  </si>
  <si>
    <t>abdc606995057ad4af1d2183d1d0a46ae00821f13a4d014678f253071bf19dd8</t>
  </si>
  <si>
    <t>EXHIBIT_EMAIL_20250114_1049_3eddd79a</t>
  </si>
  <si>
    <t>2025-01-14T14:26:05+00:00</t>
  </si>
  <si>
    <t>3eddd79aa405a8d4d7bd2ce304f29abad75438ee0b9a08e225e9db768c4de295</t>
  </si>
  <si>
    <t>EXHIBIT_EMAIL_20250126_1050_db719fc5</t>
  </si>
  <si>
    <t>2025-01-26T10:03:29+00:00</t>
  </si>
  <si>
    <t>Email: Home Professionals Optimistic After a Strong 2024 Finish | 8 Wildly Stylish Powder Rooms</t>
  </si>
  <si>
    <t>db719fc54c8fd5cc28d616e0f35d14b4142039816f8f34769cb9ab6a01c80e24</t>
  </si>
  <si>
    <t>EXHIBIT_EMAIL_20241218_1051_624520ad</t>
  </si>
  <si>
    <t>2024-12-18T15:00:57+01:00</t>
  </si>
  <si>
    <t>Email: Vente de fin d’année : jusqu’à 60 % de rabais</t>
  </si>
  <si>
    <t>624520ad4a6e3faa2b9d8b9c4ed0cb95772c5f261ba5ce857e1febb4524daa20</t>
  </si>
  <si>
    <t>EXHIBIT_EMAIL_20241223_1052_2c3e18a6</t>
  </si>
  <si>
    <t>2024-12-23T09:08:44-05:00</t>
  </si>
  <si>
    <t>Email: Last-Minute Gifts They'll Love 🎅</t>
  </si>
  <si>
    <t>2c3e18a6306583eda1cfdbfd2de2141695a734d30650c4a4c6a3be431369ebac</t>
  </si>
  <si>
    <t>EXHIBIT_EMAIL_20241206_1053_5b9fa353</t>
  </si>
  <si>
    <t>2024-12-06T19:39:18-08:00</t>
  </si>
  <si>
    <t>Email: Microsoft account security info was added</t>
  </si>
  <si>
    <t>5b9fa35357ca16493db2dcf7c7b8d79aaaac046b2841b6c9bdd43395e53e7d0d</t>
  </si>
  <si>
    <t>EXHIBIT_EMAIL_20241125_1054_d2d977af</t>
  </si>
  <si>
    <t>2024-11-25T07:19:22-05:00</t>
  </si>
  <si>
    <t>Email: 💥 Up to 50% off – Black Friday Starts NOW!</t>
  </si>
  <si>
    <t>d2d977af656b54067414db5ccf56df21169f585c1afcba2ec8a9563a49b7c16c</t>
  </si>
  <si>
    <t>EXHIBIT_EMAIL_20241121_1055_c14246b7</t>
  </si>
  <si>
    <t>2024-11-21T20:16:19+00:00</t>
  </si>
  <si>
    <t>Email: Why does Tesla require their cars to be towed and maintenance performed when the 12 v...?</t>
  </si>
  <si>
    <t>c14246b7b1337c312130e0c4ae4a3bfbb255d5d8baedb49833fa7128efede841</t>
  </si>
  <si>
    <t>EXHIBIT_EMAIL_20241121_1056_f5f6db4c</t>
  </si>
  <si>
    <t>2024-11-21T21:36:55-08:00</t>
  </si>
  <si>
    <t>f5f6db4ce69ceb6d880906d0b3472530d1a6446713476784603f6430678cae36</t>
  </si>
  <si>
    <t>EXHIBIT_EMAIL_20241106_1057_7d7705db</t>
  </si>
  <si>
    <t>2024-11-06T13:26:14-06:00</t>
  </si>
  <si>
    <t>Email: Is feature-based selling dead? 🤔</t>
  </si>
  <si>
    <t>7d7705db4dbf2854d5fea3f0dd311b177bd907a143952542c09ee6df286f71ed</t>
  </si>
  <si>
    <t>EXHIBIT_EMAIL_20241108_1058_19657f5f</t>
  </si>
  <si>
    <t>2024-11-08T16:23:26+00:00</t>
  </si>
  <si>
    <t>Email: Psst. Your offers will expire soon.</t>
  </si>
  <si>
    <t>19657f5fafd98067bb75949de5cc22d15b5ac799a0fffd5eb7431031e7b7ca71</t>
  </si>
  <si>
    <t>EXHIBIT_EMAIL_20241120_1059_a54b9e00</t>
  </si>
  <si>
    <t>2024-11-20T20:26:04+00:00</t>
  </si>
  <si>
    <t>a54b9e00a0a24b283786a826a7faf474d1c87eb3066b224ca77845bc9a538f45</t>
  </si>
  <si>
    <t>EXHIBIT_EMAIL_20241115_1060_cbedf4ee</t>
  </si>
  <si>
    <t>2024-11-15T13:06:00+00:00</t>
  </si>
  <si>
    <t>Email: Discover gift ideas for your business</t>
  </si>
  <si>
    <t>cbedf4ee3dcc0554b4a0d8e8045c1185c2cc5f92d036be71ef067525af3cf526</t>
  </si>
  <si>
    <t>EXHIBIT_EMAIL_20241114_1061_2dfe8164</t>
  </si>
  <si>
    <t>2024-11-14T05:58:48+00:00</t>
  </si>
  <si>
    <t>Email: Subscribe to Emma Ryan’s “C”?</t>
  </si>
  <si>
    <t>2dfe81646b5a867756fdf404da0e56abe3b710886f868717c2e6f45a13b03ba2</t>
  </si>
  <si>
    <t>EXHIBIT_EMAIL_20241113_1062_87055f25</t>
  </si>
  <si>
    <t>2024-11-13T12:20:05+00:00</t>
  </si>
  <si>
    <t>Email: NEW ACHIEVEMENT: Link Receipts</t>
  </si>
  <si>
    <t>87055f25bde49f7bea87766f5054dcd8f4142afe499bd9631009ce927175906e</t>
  </si>
  <si>
    <t>EXHIBIT_EMAIL_20241115_1063_61f12368</t>
  </si>
  <si>
    <t>2024-11-15T19:14:01-08:00</t>
  </si>
  <si>
    <t>Email: charliewharlie369, see Lexi, Jessie Fleming and more in your feed</t>
  </si>
  <si>
    <t>61f12368264d0552795e3c79b480c42d2f24541a16acd74cd35fcd7629c861fb</t>
  </si>
  <si>
    <t>EXHIBIT_EMAIL_20241118_1064_f5285986</t>
  </si>
  <si>
    <t>2024-11-18T12:15:05-05:00</t>
  </si>
  <si>
    <t>Email: Deals That Make Great Gifts 💝</t>
  </si>
  <si>
    <t>f5285986d36f7acfc1b8e45e75cf3e3f150f11f0ed0af46d3efc1907105a9af2</t>
  </si>
  <si>
    <t>EXHIBIT_EMAIL_20250213_1065_049daa52</t>
  </si>
  <si>
    <t>2025-02-13T14:32:46-04:00</t>
  </si>
  <si>
    <t>Email: URGENT REQUEST FOR HARPER RYANS RECORDS</t>
  </si>
  <si>
    <t>049daa52beef90edaed68128725d6562054c73fddfafae69ff308b7a01280998</t>
  </si>
  <si>
    <t>EXHIBIT_EMAIL_20241111_1066_c2c7e5a7</t>
  </si>
  <si>
    <t>2024-11-11T14:11:19+00:00</t>
  </si>
  <si>
    <t>Email: ⏰ Early Black Friday deals start now!</t>
  </si>
  <si>
    <t>c2c7e5a71d4825e6ba19e7a86d33dc7d75afe80ccc52a831c6dd842b59a26b03</t>
  </si>
  <si>
    <t>EXHIBIT_EMAIL_20241122_1067_f488bd9b</t>
  </si>
  <si>
    <t>2024-11-22T13:02:30-06:00</t>
  </si>
  <si>
    <t>Email: Craig, are you looking for the perfect holiday gift?</t>
  </si>
  <si>
    <t>f488bd9b0440585dc8c0a18a2f17f25426723d9009e587508c0e0b8203410fc9</t>
  </si>
  <si>
    <t>EXHIBIT_EMAIL_20241113_1068_d182aa11</t>
  </si>
  <si>
    <t>2024-11-13T14:45:23+00:00</t>
  </si>
  <si>
    <t>d182aa11d639360cae6e9b53b319eb779f74c8bbbd2b7db5b6ebce27e579cd4f</t>
  </si>
  <si>
    <t>EXHIBIT_EMAIL_20241110_1069_ee1be675</t>
  </si>
  <si>
    <t>2024-11-10T00:11:53+00:00</t>
  </si>
  <si>
    <t>Email: Thanks! 💗 Here's a CA$100 Coupon Bundle for You</t>
  </si>
  <si>
    <t>ee1be6758a12cea57ef41ecc7156188bf76ca253c3c9b35513e78818713db832</t>
  </si>
  <si>
    <t>EXHIBIT_EMAIL_20241122_1070_02cef79f</t>
  </si>
  <si>
    <t>2024-11-22T11:35:28-06:00</t>
  </si>
  <si>
    <t>Email: Deals In-Store + Your Tokyo Adventure Awaits</t>
  </si>
  <si>
    <t>02cef79f24c3245616f0ef1a4065bded7ce3f19b01a0210587ba5075904288db</t>
  </si>
  <si>
    <t>EXHIBIT_EMAIL_20241119_1071_152fc7fe</t>
  </si>
  <si>
    <t>2024-11-19T12:20:48-06:00</t>
  </si>
  <si>
    <t>Email: Are you playing it too safe with your brand? 🤔</t>
  </si>
  <si>
    <t>152fc7fe2e0d95c373a252d8b59e12446a221c94823dd124d5f48e9ec64803fa</t>
  </si>
  <si>
    <t>EXHIBIT_EMAIL_20241223_1072_b95aa7cc</t>
  </si>
  <si>
    <t>2024-12-23T12:21:40-06:00</t>
  </si>
  <si>
    <t>b95aa7cc8c2faacb08cb956d1c9ac3ba613bad7db9035dc5d50faac68d43755a</t>
  </si>
  <si>
    <t>EXHIBIT_EMAIL_20241121_1073_bfc1aa02</t>
  </si>
  <si>
    <t>2024-11-21T02:05:51+00:00</t>
  </si>
  <si>
    <t>bfc1aa027f17284e62a0987331f68f6afb17f164c456b43c8626301d40caa2a2</t>
  </si>
  <si>
    <t>EXHIBIT_EMAIL_20241120_1074_ea6169ed</t>
  </si>
  <si>
    <t>2024-11-20T17:38:12-06:00</t>
  </si>
  <si>
    <t>Email: NEW BLACK FRIDAY DEALS START AT 9 PM EST ⌚</t>
  </si>
  <si>
    <t>ea6169ede5b1d049b757b5d905f0dee782c0b0f7c72c3139b67a425e13f9ec23</t>
  </si>
  <si>
    <t>EXHIBIT_EMAIL_20241120_1075_82d518e4</t>
  </si>
  <si>
    <t>2024-11-20T10:32:56-06:00</t>
  </si>
  <si>
    <t>Email: Up to 50% off — Black Friday Deals are on 👊</t>
  </si>
  <si>
    <t>82d518e4904c0a6aa6b3dc2840d2782dc94be58aeb3a24406bdca819af3f4913</t>
  </si>
  <si>
    <t>EXHIBIT_EMAIL_20250217_1076_36230670</t>
  </si>
  <si>
    <t>2025-02-17T12:06:59-06:00</t>
  </si>
  <si>
    <t>Email: Finds for everyone in the family</t>
  </si>
  <si>
    <t>36230670c468890c473f848f4177f0f12e8caf35b18c751aed23afa3092213e9</t>
  </si>
  <si>
    <t>EXHIBIT_EMAIL_20241119_1077_7c3cf7c9</t>
  </si>
  <si>
    <t>2024-11-19T16:22:29+00:00</t>
  </si>
  <si>
    <t>Email: Your cart item: now 74% OFF!</t>
  </si>
  <si>
    <t>7c3cf7c91a015a6c5aa9e938abcd57b5a851f43775c97a5aff6d6291daf869fb</t>
  </si>
  <si>
    <t>EXHIBIT_EMAIL_20241112_1078_364f81f2</t>
  </si>
  <si>
    <t>2024-11-12T01:02:44-06:00</t>
  </si>
  <si>
    <t>Email: Earn Reward Dollars on your fall faves 🍂</t>
  </si>
  <si>
    <t>364f81f2cfe20a79df71065972296850c8593ffdd212c83edf0b1826a750265d</t>
  </si>
  <si>
    <t>EXHIBIT_EMAIL_20241122_1079_cc3b1c04</t>
  </si>
  <si>
    <t>2024-11-22T07:03:03-08:00</t>
  </si>
  <si>
    <t>Email: Save 50% with this Black Friday offer</t>
  </si>
  <si>
    <t>cc3b1c047a602aba00cfba06bc46f67b5d2a9648c89b5fa8223e9dd7ad769331</t>
  </si>
  <si>
    <t>EXHIBIT_EMAIL_20241120_1080_e7b5fc41</t>
  </si>
  <si>
    <t>2024-11-20T15:11:29-06:00</t>
  </si>
  <si>
    <t>Email: No gift wrap 🎁, but these offers sure feel like presents!</t>
  </si>
  <si>
    <t>e7b5fc41ce0500c76ca0967cacbb18c7ae6649eb62f0ca6bb79af5bfc13a938a</t>
  </si>
  <si>
    <t>EXHIBIT_EMAIL_20241116_1081_379e1de8</t>
  </si>
  <si>
    <t>2024-11-16T05:08:35+01:00</t>
  </si>
  <si>
    <t>379e1de80aa892a5c40bb9bbcefe857b7006db21f954587e4565cef239c34ba6</t>
  </si>
  <si>
    <t>EXHIBIT_EMAIL_20241112_1082_991f9ec6</t>
  </si>
  <si>
    <t>2024-11-12T20:22:41+00:00</t>
  </si>
  <si>
    <t>Email: What is the purpose of using diodes with transistors in switching circuits? What woul...?</t>
  </si>
  <si>
    <t>991f9ec655a46497ee5dba72ce3dfb6b7c3cc21cad962d2e45e0979e4a85cd04</t>
  </si>
  <si>
    <t>EXHIBIT_EMAIL_20241108_1083_8e875b8e</t>
  </si>
  <si>
    <t>2024-11-08T00:08:50+00:00</t>
  </si>
  <si>
    <t>Email: Critical security alert for placed.sj@gmail.com</t>
  </si>
  <si>
    <t>8e875b8ebe900f34a140e5fbb6e5d2134afd6676fea5e9f26e1d0f14990ff434</t>
  </si>
  <si>
    <t>EXHIBIT_EMAIL_20241105_1084_d9f58cdf</t>
  </si>
  <si>
    <t>2024-11-05T02:04:05+00:00</t>
  </si>
  <si>
    <t>Email: Pampers: 💭 We want to know what you think</t>
  </si>
  <si>
    <t>d9f58cdf78d7893c1aa0c0c0b6780592c24a2f5bd80c91c3712de53106e9fa5e</t>
  </si>
  <si>
    <t>EXHIBIT_EMAIL_20241109_1085_2f26a116</t>
  </si>
  <si>
    <t>2024-11-09T07:53:24+00:00</t>
  </si>
  <si>
    <t>2f26a1165f242092dd71e22b76160861e55fd3bc5611e0c35aa0dd95620ec393</t>
  </si>
  <si>
    <t>EXHIBIT_EMAIL_20241117_1086_cedd5c26</t>
  </si>
  <si>
    <t>2024-11-17T09:09:46+00:00</t>
  </si>
  <si>
    <t>Email: 6 Proven Time Management Tips for Home Professionals | 6 Mudrooms With Great Storage Ideas</t>
  </si>
  <si>
    <t>cedd5c26bfe799b7654c2eabc07d3cc664bb2d50257f98bd995bac274173789e</t>
  </si>
  <si>
    <t>EXHIBIT_EMAIL_20241114_1087_55a543e8</t>
  </si>
  <si>
    <t>2024-11-14T10:04:03-06:00</t>
  </si>
  <si>
    <t>Email: UP TO 50% OFF! BLACK FRIDAY DEALS 🤩</t>
  </si>
  <si>
    <t>55a543e8e5beadef8f75320eec850caf46c6e9b41c3fd58146f8849a71eb324b</t>
  </si>
  <si>
    <t>EXHIBIT_EMAIL_20241107_1088_969f4305</t>
  </si>
  <si>
    <t>2024-11-07T04:23:36+00:00</t>
  </si>
  <si>
    <t>Email: What happens to EV cars at the end of battery life?</t>
  </si>
  <si>
    <t>969f4305677dcab054bba7b05dda31785291d7ea7dff5c1e230f2744875301db</t>
  </si>
  <si>
    <t>EXHIBIT_EMAIL_20241216_1089_92deae34</t>
  </si>
  <si>
    <t>2024-12-16T05:38:08-04:00</t>
  </si>
  <si>
    <t>Email: Harper</t>
  </si>
  <si>
    <t>92deae342b87cb9455f2f9d338fbf2f1c98bfc4a20d40bff9798a2cc718288cc</t>
  </si>
  <si>
    <t>EXHIBIT_EMAIL_20241107_1090_1762e405</t>
  </si>
  <si>
    <t>2024-11-07T20:45:20+00:00</t>
  </si>
  <si>
    <t>Email: Try out AI workflows in 3 easy steps</t>
  </si>
  <si>
    <t>1762e4059e047ba06a7ddb7fc22190aaf604a4e694247ea97a072ee2b8a64c61</t>
  </si>
  <si>
    <t>EXHIBIT_EMAIL_20241218_1091_7e957baf</t>
  </si>
  <si>
    <t>2024-12-18T06:30:31+01:00</t>
  </si>
  <si>
    <t>7e957baf6a06d77e70520454b9f71188398e5eb1a1e1c466cb59c03f0a575950</t>
  </si>
  <si>
    <t>EXHIBIT_EMAIL_20241104_1092_786fdb25</t>
  </si>
  <si>
    <t>2024-11-04T12:02:27+00:00</t>
  </si>
  <si>
    <t>786fdb2583bc097a35a7b52acc48e7f8b4047e0c15d23dfab4b15610270716cc</t>
  </si>
  <si>
    <t>EXHIBIT_EMAIL_20241112_1093_596ecf23</t>
  </si>
  <si>
    <t>2024-11-12T16:16:30+00:00</t>
  </si>
  <si>
    <t>Email: 35 Weeks Pregnant: Signs of Labor to Know About</t>
  </si>
  <si>
    <t>596ecf235966eaa9f4ac310de421ee7c03897ea7f42cfb3a3f82c299e964032f</t>
  </si>
  <si>
    <t>EXHIBIT_EMAIL_20241118_1094_d222dc14</t>
  </si>
  <si>
    <t>2024-11-18T05:35:37+01:00</t>
  </si>
  <si>
    <t>d222dc1485e987fc76d13c7a841413c988998d4cf5ea4641f59bc2001e871bb5</t>
  </si>
  <si>
    <t>EXHIBIT_EMAIL_20241112_1095_013b25b4</t>
  </si>
  <si>
    <t>2024-11-12T01:54:38+00:00</t>
  </si>
  <si>
    <t>013b25b4565e2c363aeb8e4d7ddd4ec22aa8de2b082426403740bb8d834d68e2</t>
  </si>
  <si>
    <t>EXHIBIT_EMAIL_20241121_1096_8e268276</t>
  </si>
  <si>
    <t>2024-11-21T12:13:12-06:00</t>
  </si>
  <si>
    <t>Email: For you: As low as 0% APR at Amazon.ca</t>
  </si>
  <si>
    <t>8e2682761009c94281fd05df6840e9f347c3da0cd23507d690af0ec1e4e03f8b</t>
  </si>
  <si>
    <t>EXHIBIT_EMAIL_20241117_1097_520402ea</t>
  </si>
  <si>
    <t>2024-11-17T06:36:55+00:00</t>
  </si>
  <si>
    <t>Email: Design anytime, anywhere 🌍✨</t>
  </si>
  <si>
    <t>520402ea15b426dea0e63b4738c874c4119fa3599b98517329e6f5f9ecc0891b</t>
  </si>
  <si>
    <t>EXHIBIT_EMAIL_20250114_1098_e344d025</t>
  </si>
  <si>
    <t>2025-01-14T17:55:43-04:00</t>
  </si>
  <si>
    <t>Email: Re: Obtaining the things to care for her.</t>
  </si>
  <si>
    <t>e344d025f2595fb466a97c1551651870120cda4186323b55955bef0835fea02b</t>
  </si>
  <si>
    <t>EXHIBIT_EMAIL_20250114_1099_3a56bd0f</t>
  </si>
  <si>
    <t>2025-01-14T17:38:04-04:00</t>
  </si>
  <si>
    <t>3a56bd0f23362ca2330e1f0d21661b6c441c44a14cf803ab7a69e0426d29c874</t>
  </si>
  <si>
    <t>EXHIBIT_EMAIL_20250114_1100_8f2c5dd8</t>
  </si>
  <si>
    <t>2025-01-14T17:31:00-04:00</t>
  </si>
  <si>
    <t>8f2c5dd8501d53062779248a2c700081b6074a9ae7f2221a60aa253f51da864f</t>
  </si>
  <si>
    <t>EXHIBIT_EMAIL_20250114_1101_febc2a56</t>
  </si>
  <si>
    <t>2025-01-14T16:39:38-04:00</t>
  </si>
  <si>
    <t>febc2a563e370ea2588d6c7d5ea357b5c70239fe08f05c9e9c5bba31216a5601</t>
  </si>
  <si>
    <t>EXHIBIT_EMAIL_20250114_1102_3d70f502</t>
  </si>
  <si>
    <t>2025-01-14T15:02:57-04:00</t>
  </si>
  <si>
    <t>3d70f502e201d19e32bf24316fca2b113097e5761eb7480bdec44322ca128730</t>
  </si>
  <si>
    <t>EXHIBIT_EMAIL_20250114_1103_a2ed6a27</t>
  </si>
  <si>
    <t>2025-01-14T13:48:07-04:00</t>
  </si>
  <si>
    <t>a2ed6a27642c10595180a4b407a3033698ffd8589d4430812a2de2b0704a353c</t>
  </si>
  <si>
    <t>EXHIBIT_EMAIL_20250114_1104_3ae7f6c0</t>
  </si>
  <si>
    <t>2025-01-14T13:44:52-04:00</t>
  </si>
  <si>
    <t>3ae7f6c00fad3ce25b6dbfe3b0c994c0eea6702335212a10fa69ca5fc3fb5457</t>
  </si>
  <si>
    <t>EXHIBIT_EMAIL_20250114_1105_6e0a837a</t>
  </si>
  <si>
    <t>2025-01-14T13:32:30-04:00</t>
  </si>
  <si>
    <t>6e0a837ab3ddf16141a90e661b24661283026a5a8994d1f19e2e050d21e35c66</t>
  </si>
  <si>
    <t>EXHIBIT_EMAIL_20250114_1106_313a187d</t>
  </si>
  <si>
    <t>2025-01-14T13:28:38-04:00</t>
  </si>
  <si>
    <t>313a187d0c9098b2f7e1e758accba8e760d4616db7f880b431fe0e684523823d</t>
  </si>
  <si>
    <t>EXHIBIT_EMAIL_20250114_1107_ada304b2</t>
  </si>
  <si>
    <t>2025-01-14T13:07:50-04:00</t>
  </si>
  <si>
    <t>ada304b2c2531318824d3fa9033d48b9e00a43a5207e0d953f255661bfeb2e71</t>
  </si>
  <si>
    <t>EXHIBIT_EMAIL_20250114_1108_f008927f</t>
  </si>
  <si>
    <t>2025-01-14T12:31:34-04:00</t>
  </si>
  <si>
    <t>f008927f64452f173b4162c3dbb968c0e9faea068c90141f42fa4d401b23dce5</t>
  </si>
  <si>
    <t>EXHIBIT_EMAIL_20250114_1109_9294f9cc</t>
  </si>
  <si>
    <t>2025-01-14T12:04:33-04:00</t>
  </si>
  <si>
    <t>9294f9cce0a5433404d1b88dda81ad9e5edcb673c4e7fb660f9f5a2326ead9ec</t>
  </si>
  <si>
    <t>EXHIBIT_EMAIL_20250114_1110_21dae676</t>
  </si>
  <si>
    <t>2025-01-14T12:03:06-04:00</t>
  </si>
  <si>
    <t>21dae67694a86e08ebfef68d9ab0009398e6cb9037775bdfcf8a5c799a48ad36</t>
  </si>
  <si>
    <t>EXHIBIT_EMAIL_20250114_1111_d1c411ad</t>
  </si>
  <si>
    <t>2025-01-14T11:57:53-04:00</t>
  </si>
  <si>
    <t>d1c411adb4b079f8fa02d21c93834369e7f65a03aa3b8671ac916e508faf0260</t>
  </si>
  <si>
    <t>EXHIBIT_EMAIL_20250114_1112_a2df267e</t>
  </si>
  <si>
    <t>2025-01-14T11:57:42-04:00</t>
  </si>
  <si>
    <t>a2df267e4412ef1e230635ccc84d5752d63655ff3e928fc21d1c49210d96b410</t>
  </si>
  <si>
    <t>EXHIBIT_EMAIL_20250114_1113_fc715662</t>
  </si>
  <si>
    <t>2025-01-14T11:57:26-04:00</t>
  </si>
  <si>
    <t>fc715662d67a16bb1e5587bacba83217af9eb234f0c543ef4d405af0a35ce4e0</t>
  </si>
  <si>
    <t>EXHIBIT_EMAIL_20250114_1114_11565e2a</t>
  </si>
  <si>
    <t>2025-01-14T11:57:12-04:00</t>
  </si>
  <si>
    <t>11565e2abf4eed4b75ce8ab4316f2ceefa7a23446a15e59250aa9a90969b3084</t>
  </si>
  <si>
    <t>EXHIBIT_EMAIL_20250114_1115_14a921ca</t>
  </si>
  <si>
    <t>2025-01-14T11:56:47-04:00</t>
  </si>
  <si>
    <t>14a921cac44b970dcc7257f0c61bddb590bb9177b50c538334c6f4a9dababc50</t>
  </si>
  <si>
    <t>EXHIBIT_EMAIL_20250114_1116_139b5d53</t>
  </si>
  <si>
    <t>2025-01-14T11:56:20-04:00</t>
  </si>
  <si>
    <t>139b5d53df82812233720de7f2d93757369b47a844397a685bb6b520fb5e08ba</t>
  </si>
  <si>
    <t>EXHIBIT_EMAIL_20250114_1117_5040605c</t>
  </si>
  <si>
    <t>2025-01-14T11:54:15-04:00</t>
  </si>
  <si>
    <t>5040605cb4053e3e17c6782f76afc042ec6e4fbdc15b0405284446ee8e124d7a</t>
  </si>
  <si>
    <t>EXHIBIT_EMAIL_20250114_1118_3773acd8</t>
  </si>
  <si>
    <t>2025-01-14T11:53:58-04:00</t>
  </si>
  <si>
    <t>3773acd8366b9db22e3335746543ad88170acb1c10818503d6bdd599ac31d2a3</t>
  </si>
  <si>
    <t>EXHIBIT_EMAIL_20250114_1119_c015020b</t>
  </si>
  <si>
    <t>2025-01-14T11:53:35-04:00</t>
  </si>
  <si>
    <t>c015020b70dc5901963b51c960e3a8c880dcd88d904b5516044677e047f3a1c1</t>
  </si>
  <si>
    <t>EXHIBIT_EMAIL_20250114_1120_c1fc0a4e</t>
  </si>
  <si>
    <t>2025-01-14T11:53:24-04:00</t>
  </si>
  <si>
    <t>c1fc0a4ebb57f404a085be2f7b8a15cab1f2b063ab05a269663aa07d8532cb78</t>
  </si>
  <si>
    <t>EXHIBIT_EMAIL_20250114_1121_6828a946</t>
  </si>
  <si>
    <t>2025-01-14T11:53:07-04:00</t>
  </si>
  <si>
    <t>6828a9463f187eca5e724feb8f013640fc53c2c368d9f5244ff3a0c997a2068d</t>
  </si>
  <si>
    <t>EXHIBIT_EMAIL_20250114_1122_46b3909e</t>
  </si>
  <si>
    <t>2025-01-14T11:52:29-04:00</t>
  </si>
  <si>
    <t>46b3909e0fd863470a52494010cca2dd4c47315474f8b14e48025e65f52977e4</t>
  </si>
  <si>
    <t>EXHIBIT_EMAIL_20250114_1123_8ee06224</t>
  </si>
  <si>
    <t>2025-01-14T11:52:05-04:00</t>
  </si>
  <si>
    <t>8ee0622460717fe54205a760fa3c1717e4a1fe434df138800998a82d8b30261f</t>
  </si>
  <si>
    <t>EXHIBIT_EMAIL_20250114_1124_4f45ef1e</t>
  </si>
  <si>
    <t>2025-01-14T11:51:37-04:00</t>
  </si>
  <si>
    <t>4f45ef1e80c4d1f9326ca4124be7b10c614b2e6f9aa22e3335368dff544f7b87</t>
  </si>
  <si>
    <t>EXHIBIT_EMAIL_20250114_1125_e6c4567b</t>
  </si>
  <si>
    <t>2025-01-14T11:49:30-04:00</t>
  </si>
  <si>
    <t>e6c4567bf0fec8e97297d88631482d2e1fc710ddfa63be26132fcc6a78d79444</t>
  </si>
  <si>
    <t>EXHIBIT_EMAIL_20250114_1126_2f3e6de3</t>
  </si>
  <si>
    <t>2025-01-14T11:47:25-04:00</t>
  </si>
  <si>
    <t>2f3e6de3e2cd33d668ef0b4a223f7fd0302c34bb9d5fa2886041d66bf77a7b0f</t>
  </si>
  <si>
    <t>EXHIBIT_EMAIL_20250114_1127_5d03510e</t>
  </si>
  <si>
    <t>2025-01-14T11:46:57-04:00</t>
  </si>
  <si>
    <t>5d03510e1313e1d1c54d891b4e98429832771df76cab50b92c00ad4f6d14ff34</t>
  </si>
  <si>
    <t>EXHIBIT_EMAIL_20250114_1128_63c90106</t>
  </si>
  <si>
    <t>2025-01-14T11:46:21-04:00</t>
  </si>
  <si>
    <t>63c90106f1f1cc1d841cc65008265f8091dd084e0e2b661ab9adc65c9a128ea4</t>
  </si>
  <si>
    <t>EXHIBIT_EMAIL_20250114_1129_f15bcc33</t>
  </si>
  <si>
    <t>2025-01-14T11:45:10-04:00</t>
  </si>
  <si>
    <t>f15bcc3366851fcf58e2713f6ac808e23bcebbf706c12678572c9bfc4945e0c6</t>
  </si>
  <si>
    <t>EXHIBIT_EMAIL_20250114_1130_d496673b</t>
  </si>
  <si>
    <t>2025-01-14T11:43:39-04:00</t>
  </si>
  <si>
    <t>d496673ba9b792be522c233daef245bc7106ba83f8cecec76503b4d5ebae0bd5</t>
  </si>
  <si>
    <t>EXHIBIT_EMAIL_20250114_1131_74c85dce</t>
  </si>
  <si>
    <t>2025-01-14T11:42:32-04:00</t>
  </si>
  <si>
    <t>74c85dced24b41dd6bec22cb61b4c62e2f69e8b44cac379b77aebe0d5e2a21ad</t>
  </si>
  <si>
    <t>EXHIBIT_EMAIL_20250114_1132_1b8760e6</t>
  </si>
  <si>
    <t>2025-01-14T11:41:41-04:00</t>
  </si>
  <si>
    <t>1b8760e69a737836b41c2bb99daf0c6e9b14145e377b4e7bcfcf61b3dc32ae05</t>
  </si>
  <si>
    <t>EXHIBIT_EMAIL_20250114_1133_fdff2d01</t>
  </si>
  <si>
    <t>2025-01-14T11:37:02-04:00</t>
  </si>
  <si>
    <t>fdff2d01915822021f26280eafef987fda3b0bc89b329e03673cce91636c8214</t>
  </si>
  <si>
    <t>EXHIBIT_EMAIL_20250114_1134_04952a10</t>
  </si>
  <si>
    <t>2025-01-14T11:36:40-04:00</t>
  </si>
  <si>
    <t>04952a107255ea369057fd33a221204436c012d632b0b4263ee4aa8f67f97ffc</t>
  </si>
  <si>
    <t>EXHIBIT_EMAIL_20250114_1135_5a686cf1</t>
  </si>
  <si>
    <t>2025-01-14T11:36:32-04:00</t>
  </si>
  <si>
    <t>5a686cf1ae16307d89bdd612fd80338c225559fe01f88de6f885318133c1386a</t>
  </si>
  <si>
    <t>EXHIBIT_EMAIL_20250114_1136_34aeeb56</t>
  </si>
  <si>
    <t>2025-01-14T11:36:00-04:00</t>
  </si>
  <si>
    <t>34aeeb566aca192072a5edff1cb78ce5867620bca85335f6a9b6f0811554c335</t>
  </si>
  <si>
    <t>EXHIBIT_EMAIL_20250114_1137_76277fda</t>
  </si>
  <si>
    <t>2025-01-14T11:35:56-04:00</t>
  </si>
  <si>
    <t>76277fdaf002ee8430d5a47a8e78082431cc893edd7e0d28877322b9540b7706</t>
  </si>
  <si>
    <t>EXHIBIT_EMAIL_20250114_1138_55739950</t>
  </si>
  <si>
    <t>2025-01-14T11:35:20-04:00</t>
  </si>
  <si>
    <t>55739950a57e37598a0ec0b0b2944cfa33e21f5de20613a5e2ddf1cf36918ec3</t>
  </si>
  <si>
    <t>EXHIBIT_EMAIL_20250114_1139_e17c0ff3</t>
  </si>
  <si>
    <t>2025-01-14T11:34:32-04:00</t>
  </si>
  <si>
    <t>e17c0ff390dc02bbf29ad1c9f6240629e05f2d1e0b585613442b93fdf682505b</t>
  </si>
  <si>
    <t>EXHIBIT_EMAIL_20250114_1140_02a174d8</t>
  </si>
  <si>
    <t>2025-01-14T11:33:23-04:00</t>
  </si>
  <si>
    <t>02a174d8ef0e573ae36d85858e4a25398376ec0fede0657ac8b269c6095b7991</t>
  </si>
  <si>
    <t>EXHIBIT_EMAIL_20250114_1141_f95c565c</t>
  </si>
  <si>
    <t>2025-01-14T11:32:36-04:00</t>
  </si>
  <si>
    <t>f95c565c1042cfaf4df1352f08f103bd111cab0cde26403c0d39fa04c5a5bc38</t>
  </si>
  <si>
    <t>EXHIBIT_EMAIL_20250114_1142_20877556</t>
  </si>
  <si>
    <t>2025-01-14T11:23:32-04:00</t>
  </si>
  <si>
    <t>208775566272f83a9730e0bfa25c6f7b23660f1dfe3dcaa9aea7e785a0dbd0fe</t>
  </si>
  <si>
    <t>EXHIBIT_EMAIL_20250114_1143_603560b0</t>
  </si>
  <si>
    <t>2025-01-14T11:25:48-04:00</t>
  </si>
  <si>
    <t>603560b06686ca104b832708c5b2470e2a28691fb7cf4f16b8a120aec810d467</t>
  </si>
  <si>
    <t>EXHIBIT_EMAIL_20250114_1144_70ef2a9d</t>
  </si>
  <si>
    <t>2025-01-14T11:24:59-04:00</t>
  </si>
  <si>
    <t>70ef2a9d1d333ad0e13c625acfdf5927aaa7c0458075b9e401bf7558a0a83b82</t>
  </si>
  <si>
    <t>EXHIBIT_EMAIL_20250114_1145_e8b98a13</t>
  </si>
  <si>
    <t>2025-01-14T11:22:31-04:00</t>
  </si>
  <si>
    <t>Email: Fwd: Re: Obtaining the things to care for her.</t>
  </si>
  <si>
    <t>e8b98a135e8a592b9dcb029e36c6c5abaef396a3a9b456f3e0bcdad6b34bfe8e</t>
  </si>
  <si>
    <t>EXHIBIT_EMAIL_20250114_1146_18c9b114</t>
  </si>
  <si>
    <t>2025-01-14T11:22:10-04:00</t>
  </si>
  <si>
    <t>18c9b114bcb6363147d70ff6e38ce31acddec08fd45d8d21d3968b6917056359</t>
  </si>
  <si>
    <t>EXHIBIT_EMAIL_20250114_1147_57f52917</t>
  </si>
  <si>
    <t>2025-01-14T11:21:49-04:00</t>
  </si>
  <si>
    <t>57f5291750fe691477514fe6a64fea3f1ddcfb6107be63ce69f915bb095b0f4d</t>
  </si>
  <si>
    <t>EXHIBIT_EMAIL_20250114_1148_0e24cc1a</t>
  </si>
  <si>
    <t>2025-01-14T11:20:27-04:00</t>
  </si>
  <si>
    <t>0e24cc1ade01d60c5e955d2be2fea91ef880226d33e02c64924f7abf37ab8ffe</t>
  </si>
  <si>
    <t>EXHIBIT_EMAIL_20250114_1149_acd925e2</t>
  </si>
  <si>
    <t>2025-01-14T11:20:02-04:00</t>
  </si>
  <si>
    <t>acd925e27e6875c78be303a934d7c74dc5cf3daf766bbeb1c257c97150735297</t>
  </si>
  <si>
    <t>EXHIBIT_EMAIL_20250114_1150_4ab2dc79</t>
  </si>
  <si>
    <t>2025-01-14T11:20:38-04:00</t>
  </si>
  <si>
    <t>4ab2dc7970dd447fb841954e9c49f9feaa942e914f5b1f2b8632e025c808c687</t>
  </si>
  <si>
    <t>EXHIBIT_EMAIL_20250114_1151_6342ee63</t>
  </si>
  <si>
    <t>2025-01-14T11:20:20-04:00</t>
  </si>
  <si>
    <t>6342ee633533370a3ab9c1e2968a6ce62d7a47e63e19f35a7fe6c4fc11002f4d</t>
  </si>
  <si>
    <t>EXHIBIT_EMAIL_20250114_1152_4a34df22</t>
  </si>
  <si>
    <t>2025-01-14T11:19:17-04:00</t>
  </si>
  <si>
    <t>4a34df22a63ef2de9ede08ef568623d4dac77a6892a5510b34f5be7b79eac04b</t>
  </si>
  <si>
    <t>EXHIBIT_EMAIL_20250114_1153_a7d8f5b4</t>
  </si>
  <si>
    <t>2025-01-14T11:19:30-04:00</t>
  </si>
  <si>
    <t>a7d8f5b45fae705928356638421f0c8dc4a606449bb6316e70ba9212347ac3ac</t>
  </si>
  <si>
    <t>EXHIBIT_EMAIL_20250114_1154_1342c561</t>
  </si>
  <si>
    <t>2025-01-14T11:19:06-04:00</t>
  </si>
  <si>
    <t>1342c56142efdbc2161d36d28bbfe82a6be9b461860df534ef706e7dd1881ef8</t>
  </si>
  <si>
    <t>EXHIBIT_EMAIL_20250114_1155_93907da2</t>
  </si>
  <si>
    <t>2025-01-14T11:18:25-04:00</t>
  </si>
  <si>
    <t>93907da2c0abeddb470ed54e372694ac9120130a332530337a39d1c4ddb61df3</t>
  </si>
  <si>
    <t>EXHIBIT_EMAIL_20250114_1156_deab2135</t>
  </si>
  <si>
    <t>2025-01-14T11:18:31-04:00</t>
  </si>
  <si>
    <t>deab2135edc5e5b66483ee8d01bfb1583c837f12c899dbe0dc6d35636cdf1fb5</t>
  </si>
  <si>
    <t>EXHIBIT_EMAIL_20250114_1157_22bdeeb5</t>
  </si>
  <si>
    <t>2025-01-14T11:17:41-04:00</t>
  </si>
  <si>
    <t>22bdeeb5e31626eadda6aa786d37d72ee0d39d108e36c10ed49bdc3d49cdd575</t>
  </si>
  <si>
    <t>EXHIBIT_EMAIL_20250114_1158_4bb5c5aa</t>
  </si>
  <si>
    <t>2025-01-14T11:16:29-04:00</t>
  </si>
  <si>
    <t>4bb5c5aa810c01987c2f0a436ba14c1659702e165c849542903ab7d895f35f94</t>
  </si>
  <si>
    <t>EXHIBIT_EMAIL_20250114_1159_cbccb55b</t>
  </si>
  <si>
    <t>2025-01-14T11:05:48-04:00</t>
  </si>
  <si>
    <t>cbccb55bae7a07811111ccd29609fdcaa1fc65741120a2c7f74644cdc506fd6a</t>
  </si>
  <si>
    <t>EXHIBIT_EMAIL_20250114_1160_c68377a5</t>
  </si>
  <si>
    <t>2025-01-14T10:55:18-04:00</t>
  </si>
  <si>
    <t>c68377a54f73087c7bd88a21c17312ca29d6b1ff567b37ffabdcb9abc497d729</t>
  </si>
  <si>
    <t>EXHIBIT_EMAIL_20250114_1161_5ac709a6</t>
  </si>
  <si>
    <t>2025-01-14T10:54:30-04:00</t>
  </si>
  <si>
    <t>5ac709a63817f86fbc271cffcf1931ce640c011d675b523b3cf818dd561dec77</t>
  </si>
  <si>
    <t>EXHIBIT_EMAIL_20250114_1162_930e26b0</t>
  </si>
  <si>
    <t>2025-01-14T10:52:31-04:00</t>
  </si>
  <si>
    <t>930e26b0814f57ae19cd9355b7598b6636252ec5f3348a38697f2435a7d5bf53</t>
  </si>
  <si>
    <t>EXHIBIT_EMAIL_20250114_1163_cc4c874b</t>
  </si>
  <si>
    <t>2025-01-14T10:51:59-04:00</t>
  </si>
  <si>
    <t>cc4c874bf18d45d41cc8b923f09bf9aaf9ae5edf5db2478ec284cdda508a5ed8</t>
  </si>
  <si>
    <t>EXHIBIT_EMAIL_20250114_1164_102ac7f2</t>
  </si>
  <si>
    <t>2025-01-14T10:44:10-04:00</t>
  </si>
  <si>
    <t>102ac7f259df101b32bdae5cbae40f9f5bf5763edfd7de69bd5f1a2415ad1f5e</t>
  </si>
  <si>
    <t>EXHIBIT_EMAIL_20250114_1165_4041f686</t>
  </si>
  <si>
    <t>2025-01-14T10:43:19-04:00</t>
  </si>
  <si>
    <t>4041f686f78903bcd7cb241f49ff44bd39c463f00ebade2bbd998c71615f9208</t>
  </si>
  <si>
    <t>EXHIBIT_EMAIL_20250114_1166_4f97f3f2</t>
  </si>
  <si>
    <t>2025-01-14T10:42:33-04:00</t>
  </si>
  <si>
    <t>Email: Obtaining the things to care for her.</t>
  </si>
  <si>
    <t>4f97f3f2d10b73d857be3f9bd62f67eee957a3368df3d58e9f5b481301ab3316</t>
  </si>
  <si>
    <t>EXHIBIT_EMAIL_20241115_1167_8cae8e9a</t>
  </si>
  <si>
    <t>2024-11-15T09:06:22-06:00</t>
  </si>
  <si>
    <t>Email: Join for 30% off this Black Friday</t>
  </si>
  <si>
    <t>8cae8e9a69dcab5a19ab93677f9c5a39d05f6547798f17ffb2790b6110579fe1</t>
  </si>
  <si>
    <t>EXHIBIT_EMAIL_20241101_1168_cfc080cd</t>
  </si>
  <si>
    <t>2024-11-01T19:25:36+00:00</t>
  </si>
  <si>
    <t>cfc080cdd4c870f124dfcd29ed077d5993d9e2c7a8edcc76217017c97544660f</t>
  </si>
  <si>
    <t>EXHIBIT_EMAIL_20241109_1169_a234c6b8</t>
  </si>
  <si>
    <t>a234c6b8fce18648f7876825d3ac441237db480432beb79b84ab4bb02172fb9b</t>
  </si>
  <si>
    <t>EXHIBIT_EMAIL_20241118_1170_f08c86aa</t>
  </si>
  <si>
    <t>2024-11-18T20:26:09+00:00</t>
  </si>
  <si>
    <t>Email: BOGO deal from McDonald’s</t>
  </si>
  <si>
    <t>f08c86aae69b007c34559624023322336b03643087aafe9b385c013855eca287</t>
  </si>
  <si>
    <t>EXHIBIT_EMAIL_20241119_1171_6ea0a0a7</t>
  </si>
  <si>
    <t>2024-11-19T20:24:07+00:00</t>
  </si>
  <si>
    <t>6ea0a0a76941a82f4f1f9c88f02dae1fd5814fc5ec916c503f283deb65bab96f</t>
  </si>
  <si>
    <t>EXHIBIT_EMAIL_20241108_1172_55f14e08</t>
  </si>
  <si>
    <t>2024-11-08T12:04:43+00:00</t>
  </si>
  <si>
    <t>Email: Get 2x the points and 2x the ❤️</t>
  </si>
  <si>
    <t>55f14e081e3457973c3029b2cca2a57da302b42c47e68c494b8b0e8e9f7d4208</t>
  </si>
  <si>
    <t>EXHIBIT_EMAIL_20241207_1173_995c2a8b</t>
  </si>
  <si>
    <t>2024-12-07T20:07:44+00:00</t>
  </si>
  <si>
    <t>Email: Offers on the flavors you love most</t>
  </si>
  <si>
    <t>995c2a8b5db27aef46b411f384072364c4f8e0edc6ffc199e6e70355c670f782</t>
  </si>
  <si>
    <t>EXHIBIT_EMAIL_20241109_1174_d16d51e0</t>
  </si>
  <si>
    <t>2024-11-09T00:12:33+00:00</t>
  </si>
  <si>
    <t>d16d51e0dd172ce626af2e3d9f13195324f9cea697231359fba42704ee1c450f</t>
  </si>
  <si>
    <t>EXHIBIT_EMAIL_20241107_1175_f20fce15</t>
  </si>
  <si>
    <t>2024-11-07T12:10:48+00:00</t>
  </si>
  <si>
    <t>Email: Your cart item: now 87% OFF!</t>
  </si>
  <si>
    <t>f20fce157b9e994d535c7e69c47fd5d3309fa8f811489b108ad67b421c4550dc</t>
  </si>
  <si>
    <t>EXHIBIT_EMAIL_20241120_1176_e5533329</t>
  </si>
  <si>
    <t>2024-11-20T20:05:53+00:00</t>
  </si>
  <si>
    <t>Email: 35 Weeks, 5 Days Pregnant</t>
  </si>
  <si>
    <t>e553332903e11c02cff359b2a21b5c13766f3d5d95bcb3ecdd4aaf04b9fd770a</t>
  </si>
  <si>
    <t>EXHIBIT_EMAIL_20241207_1177_3a50425f</t>
  </si>
  <si>
    <t>2024-12-07T21:34:50+00:00</t>
  </si>
  <si>
    <t>Email: You're in, K! Start exploring VistaPrint</t>
  </si>
  <si>
    <t>3a50425fc317cd21c552dc560c0993a0228494cfab8ef57ce7c90ccd484ca309</t>
  </si>
  <si>
    <t>EXHIBIT_EMAIL_20241108_1178_e3d68a2a</t>
  </si>
  <si>
    <t>2024-11-08T14:33:23+00:00</t>
  </si>
  <si>
    <t>e3d68a2a15249880dc1fd1eb3eb30ca515553edc50595a78e65b64775aacf3b5</t>
  </si>
  <si>
    <t>EXHIBIT_EMAIL_20241103_1179_678b5ace</t>
  </si>
  <si>
    <t>2024-11-03T15:02:24+00:00</t>
  </si>
  <si>
    <t>Email: Oops! There are 6 item(s) in your cart low in stock...</t>
  </si>
  <si>
    <t>678b5ace17674f9863dac14b412e292979b837b70bbb983764fc3f5f659d88c8</t>
  </si>
  <si>
    <t>EXHIBIT_EMAIL_20241118_1180_0dabb64d</t>
  </si>
  <si>
    <t>2024-11-18T09:37:16-06:00</t>
  </si>
  <si>
    <t>Email: EPIC SAVINGS ALERT! Black Friday Deals up to 50% off 🛍️</t>
  </si>
  <si>
    <t>0dabb64d5cf9c4dadca059b8a894ae477e60eae7062d70397d348cfbc898ac9a</t>
  </si>
  <si>
    <t>EXHIBIT_EMAIL_20241120_1181_e3ba4a19</t>
  </si>
  <si>
    <t>2024-11-20T21:47:45+00:00</t>
  </si>
  <si>
    <t>Email: Play FREE for a $1 Million Top Prize this Thanksgiving!🦃</t>
  </si>
  <si>
    <t>e3ba4a1980f2b64be1c446451484d321c089aec363da13370a02a04a617431cc</t>
  </si>
  <si>
    <t>EXHIBIT_EMAIL_20241111_1182_a701edc8</t>
  </si>
  <si>
    <t>2024-11-11T20:31:23+00:00</t>
  </si>
  <si>
    <t>Email: BOGO 6pc wings from Mary Brown’s Chicken 🐔</t>
  </si>
  <si>
    <t>a701edc8472a92ea00231a0930ad4608a7bf2a7f2a0a4025d580bb9ef68a8cc7</t>
  </si>
  <si>
    <t>EXHIBIT_EMAIL_20241112_1183_9b4e82e2</t>
  </si>
  <si>
    <t>2024-11-12T14:00:45+00:00</t>
  </si>
  <si>
    <t>Email: 🎁 SJ PLACED, Claim Your Black Friday Exclusive VIP access 🎉</t>
  </si>
  <si>
    <t>9b4e82e21a4b3d1c5e0af99959212fb919ffa94adb895d637b9871ba696ef127</t>
  </si>
  <si>
    <t>EXHIBIT_EMAIL_20241103_1184_0fc71264</t>
  </si>
  <si>
    <t>2024-11-03T12:09:53+00:00</t>
  </si>
  <si>
    <t>Email: It’s the most wonderful day of the year!</t>
  </si>
  <si>
    <t>0fc71264fa4f09f22dc7120ceca305147a2daefbfe09d4e39f22df8c08a08665</t>
  </si>
  <si>
    <t>EXHIBIT_EMAIL_20241118_1185_fb18080b</t>
  </si>
  <si>
    <t>2024-11-18T05:08:53+01:00</t>
  </si>
  <si>
    <t>fb18080b424bb092058b08af19775b4af446e9dc8b27e89449a17ee807e15837</t>
  </si>
  <si>
    <t>EXHIBIT_EMAIL_20241201_1186_8e1147de</t>
  </si>
  <si>
    <t>2024-12-01T09:28:41-06:00</t>
  </si>
  <si>
    <t>Email: Holiday hosting picks at low prices 🍽️</t>
  </si>
  <si>
    <t>8e1147de3c06ec4378a51c3dfe202c49cd012eaee4049caa75509cb50536b01b</t>
  </si>
  <si>
    <t>EXHIBIT_EMAIL_20241110_1187_6d8ba92c</t>
  </si>
  <si>
    <t>2024-11-10T12:10:47+00:00</t>
  </si>
  <si>
    <t>Email: Your cart item: now 80% OFF!</t>
  </si>
  <si>
    <t>6d8ba92ce8ac17cad0c9a2725db6420cefa07eaee1d1f08f7a06774586698da2</t>
  </si>
  <si>
    <t>EXHIBIT_EMAIL_20241223_1188_2cf32f6c</t>
  </si>
  <si>
    <t>2024-12-23T06:50:18-08:00</t>
  </si>
  <si>
    <t>Email: Go beyond the borders of an image</t>
  </si>
  <si>
    <t>2cf32f6c4b1b7669e631c22e8298bac9cd31c054ad899b4d6dd582572ad0c2dd</t>
  </si>
  <si>
    <t>EXHIBIT_EMAIL_20241108_1189_fe1c563f</t>
  </si>
  <si>
    <t>2024-11-08T13:01:48-06:00</t>
  </si>
  <si>
    <t>Email: Holiday Rollbacks 💥 Up to 30% off!</t>
  </si>
  <si>
    <t>fe1c563f82bd73b8fb992b0d7772f568e14e1af4ce6d94e2f75066b503d36c6f</t>
  </si>
  <si>
    <t>EXHIBIT_EMAIL_20250206_1190_33db31e2</t>
  </si>
  <si>
    <t>2025-02-06T20:00:04+00:00</t>
  </si>
  <si>
    <t>Email: Your cart item: now 86% OFF!</t>
  </si>
  <si>
    <t>33db31e2769c09e33f927b85cf1e8daefd91b73da381388456e4b6352ad93ccf</t>
  </si>
  <si>
    <t>EXHIBIT_EMAIL_20241113_1191_c2e34ed0</t>
  </si>
  <si>
    <t>2024-11-13T13:29:21+00:00</t>
  </si>
  <si>
    <t>Email: 📥 Automate with RSS feeds 📥</t>
  </si>
  <si>
    <t>c2e34ed000469976d4704f1fcdc332b78b46e22807e6421a96fd60ee079daf47</t>
  </si>
  <si>
    <t>EXHIBIT_EMAIL_20241107_1192_99a99c02</t>
  </si>
  <si>
    <t>2024-11-07T00:12:42+00:00</t>
  </si>
  <si>
    <t>Email: @Cali Boyd, You've received CA$11.69 Treat!</t>
  </si>
  <si>
    <t>99a99c02cc78e67ca176d661bc8d6237b0fd6c50ca5fdd870a97a254ae40577b</t>
  </si>
  <si>
    <t>EXHIBIT_EMAIL_20241121_1193_3d27370e</t>
  </si>
  <si>
    <t>2024-11-21T20:45:18+00:00</t>
  </si>
  <si>
    <t>Email: Type your Zap idea + watch AI create it!</t>
  </si>
  <si>
    <t>3d27370e64c3c71a651e21244a120857da64df42d5efb1adf6d6e793bdc97724</t>
  </si>
  <si>
    <t>EXHIBIT_EMAIL_20250128_1194_73b742d5</t>
  </si>
  <si>
    <t>2025-01-28T08:53:09-06:00</t>
  </si>
  <si>
    <t>Email: Epic beaches, big cities, great savings</t>
  </si>
  <si>
    <t>73b742d5aa0576cd56ad4cdee29dbc0ab65b27b8a09563f7d748a90b6d5e78b6</t>
  </si>
  <si>
    <t>EXHIBIT_EMAIL_20241110_1195_5d5494f6</t>
  </si>
  <si>
    <t>2024-11-10T20:07:29+00:00</t>
  </si>
  <si>
    <t>Email: Bring on the savings 🥳</t>
  </si>
  <si>
    <t>5d5494f6d718366a4f428d1118dba6321bc4f444b0af40f69d88612862cbf43e</t>
  </si>
  <si>
    <t>EXHIBIT_EMAIL_20241106_1196_f8e86c38</t>
  </si>
  <si>
    <t>2024-11-06T16:39:50-06:00</t>
  </si>
  <si>
    <t>Email: Craig, your special savings are here!</t>
  </si>
  <si>
    <t>f8e86c38df88b2fb37de6f710ff61a515d90ab827ae82271035449dd27b5633c</t>
  </si>
  <si>
    <t>EXHIBIT_EMAIL_20250115_1197_1387985e</t>
  </si>
  <si>
    <t>2025-01-15T15:09:19-06:00</t>
  </si>
  <si>
    <t>Email: The month just got a lot better with these offers!</t>
  </si>
  <si>
    <t>1387985e798f29dac23afbfb8d3c52f9d724b870b7a37b8d2383c34689cbfc3f</t>
  </si>
  <si>
    <t>EXHIBIT_EMAIL_20241102_1198_2bee49bd</t>
  </si>
  <si>
    <t>2024-11-02T13:05:43+00:00</t>
  </si>
  <si>
    <t>Email: 19 pregnancy superfoods &amp; 2025 name predictions</t>
  </si>
  <si>
    <t>2bee49bd835bdc00f9b94d08fb248ed061a45840726331d0d3e0bc13235f330a</t>
  </si>
  <si>
    <t>EXHIBIT_EMAIL_20241102_1199_a116b7a5</t>
  </si>
  <si>
    <t>2024-11-02T01:18:42+00:00</t>
  </si>
  <si>
    <t>Email: A breast pump with a tongue?</t>
  </si>
  <si>
    <t>a116b7a5db5e0a6e7314c96e83b523b8f5862da391903782cbbf58896f624ebb</t>
  </si>
  <si>
    <t>EXHIBIT_EMAIL_20250214_1200_f9cca990</t>
  </si>
  <si>
    <t>2025-02-14T18:07:29-08:00</t>
  </si>
  <si>
    <t>f9cca990cef70f76afe9031ee1c6e088ee8a169e7f4893b5bbab318acc751dc4</t>
  </si>
  <si>
    <t>EXHIBIT_EMAIL_20241124_1201_2324532a</t>
  </si>
  <si>
    <t>2024-11-24T15:00:23+01:00</t>
  </si>
  <si>
    <t>Email: il ne reste plus beaucoup de temps pour profiter des 60 % de rabais</t>
  </si>
  <si>
    <t>2324532ac20cefe699ae0c0b66eb5664fc06a4dc7816cf577f15ac8ad887a4a8</t>
  </si>
  <si>
    <t>EXHIBIT_EMAIL_20241105_1202_2f01cf0c</t>
  </si>
  <si>
    <t>2024-11-05T23:07:43+00:00</t>
  </si>
  <si>
    <t>2f01cf0c3d456f5495f9afa8ca3c098092c5d8ff3c75f8cc51fc2de777c6ecb1</t>
  </si>
  <si>
    <t>EXHIBIT_EMAIL_20250203_1203_06245a3b</t>
  </si>
  <si>
    <t>2025-02-03T14:30:50-05:00</t>
  </si>
  <si>
    <t>Email: It's Black History Month</t>
  </si>
  <si>
    <t>06245a3b343f983eeee1bbf1d4a54fa1011af8dfca8a292324964f6512fb8df9</t>
  </si>
  <si>
    <t>EXHIBIT_EMAIL_20250104_1204_878acbfd</t>
  </si>
  <si>
    <t>2025-01-04T15:01:34+00:00</t>
  </si>
  <si>
    <t>Email: Get the gifts you really want</t>
  </si>
  <si>
    <t>878acbfdc7fbb77fd4fc8f4fe58e494c88fcc5970dea15a2c111e402745e517b</t>
  </si>
  <si>
    <t>EXHIBIT_EMAIL_20241220_1205_31c99f20</t>
  </si>
  <si>
    <t>2024-12-20T19:24:53+00:00</t>
  </si>
  <si>
    <t>Email: 🎉 Kickstart 2025: Your January Social Media Calendar Inside!</t>
  </si>
  <si>
    <t>31c99f2017242db6521969e5d95a1a93a6a31945f555abf8f856069ac6486270</t>
  </si>
  <si>
    <t>EXHIBIT_EMAIL_20250108_1206_e9ee59bc</t>
  </si>
  <si>
    <t>2025-01-08T11:01:13+00:00</t>
  </si>
  <si>
    <t>Email: Action required: Please verify your email</t>
  </si>
  <si>
    <t>e9ee59bc1da6d116dc42693be3f00001d6ddf7ae35baa058e7a6e3e0f5fc1eda</t>
  </si>
  <si>
    <t>EXHIBIT_EMAIL_20241202_1207_f59659f9</t>
  </si>
  <si>
    <t>2024-12-02T18:55:31-08:00</t>
  </si>
  <si>
    <t>Email: charliewharlie369, see crystallayden, loganref and more in your feed</t>
  </si>
  <si>
    <t>f59659f9274dc03879eb377440f17726bf059ef0e868420ba0b9ad341ccfc122</t>
  </si>
  <si>
    <t>EXHIBIT_EMAIL_20241102_1208_13522f1e</t>
  </si>
  <si>
    <t>2024-11-02T02:00:29+00:00</t>
  </si>
  <si>
    <t>Email: We fished 100 USD Chip for You ⛵</t>
  </si>
  <si>
    <t>13522f1e0fd18a72ce967f7e961f0582c6d05a88a52600d566a32c76c2b7d2cb</t>
  </si>
  <si>
    <t>EXHIBIT_EMAIL_20241109_1209_5d4916d5</t>
  </si>
  <si>
    <t>2024-11-09T09:49:34-06:00</t>
  </si>
  <si>
    <t>Email: Don’t miss BLACK FRIDAY EARLY DEALS 🚨</t>
  </si>
  <si>
    <t>5d4916d5d3576fbd2a23f60a9e94111d518905f20a2292f961d4cd4cb2d6b544</t>
  </si>
  <si>
    <t>EXHIBIT_EMAIL_20241106_1210_24b23d14</t>
  </si>
  <si>
    <t>2024-11-06T20:10:39+00:00</t>
  </si>
  <si>
    <t>Email: Tasty offers are waiting</t>
  </si>
  <si>
    <t>24b23d14119a6f395a2754aa7c7f09895996ac5f7b6e5e7d6bd1f0f02f11ea6c</t>
  </si>
  <si>
    <t>EXHIBIT_EMAIL_20241116_1211_52ae0736</t>
  </si>
  <si>
    <t>2024-11-16T00:21:53+00:00</t>
  </si>
  <si>
    <t>52ae0736e880583db793b247438a1cd9ed499b614618c8e3d7335dd9a3771b06</t>
  </si>
  <si>
    <t>EXHIBIT_EMAIL_20241113_1212_b60afbf4</t>
  </si>
  <si>
    <t>2024-11-13T20:33:53+00:00</t>
  </si>
  <si>
    <t>Email: Get these deals while they’re hot</t>
  </si>
  <si>
    <t>b60afbf428911b7c357e3323b3b6212c6d1fd4a3a5318c36f27745b6c8b47b84</t>
  </si>
  <si>
    <t>EXHIBIT_EMAIL_20241120_1213_a823e573</t>
  </si>
  <si>
    <t>2024-11-20T19:10:09+00:00</t>
  </si>
  <si>
    <t>Email: Rediscover the sound of Premium</t>
  </si>
  <si>
    <t>a823e573a103e2317cafd4e3cc73221538c656d635ce459fad10c7b1f60d20d4</t>
  </si>
  <si>
    <t>EXHIBIT_EMAIL_20241106_1214_7360ac87</t>
  </si>
  <si>
    <t>2024-11-06T09:11:03+00:00</t>
  </si>
  <si>
    <t>Email: 5 Furniture Trends at the Fall High Point Market | Elegant Bathroom With a Wet-Room Layout</t>
  </si>
  <si>
    <t>7360ac87c17f85ebc5db1cf018e462ecce1bd7dd4970ef89bf760871e2a4d2e9</t>
  </si>
  <si>
    <t>EXHIBIT_EMAIL_20241110_1215_c61e3371</t>
  </si>
  <si>
    <t>2024-11-10T08:13:32+00:00</t>
  </si>
  <si>
    <t>Email: 4 Lighting Trends at the Fall High Point Market | 5 Kitchens With Dark and Moody Details</t>
  </si>
  <si>
    <t>c61e337188b8f216eebf6421c36910d6a7b8bf423130b9c8486e9f1d0f8fe23a</t>
  </si>
  <si>
    <t>EXHIBIT_EMAIL_20250104_1216_4567026e</t>
  </si>
  <si>
    <t>2025-01-04T09:29:00-06:00</t>
  </si>
  <si>
    <t>Email: CLEARANCE ALERT 🚨 Save big now!</t>
  </si>
  <si>
    <t>4567026ea2f6a662d24eb9ef6b6c9f21e868c12905ec5000d6e3a34be63ccab1</t>
  </si>
  <si>
    <t>EXHIBIT_EMAIL_20241225_1217_dc2ea220</t>
  </si>
  <si>
    <t>2024-12-25T01:03:13+00:00</t>
  </si>
  <si>
    <t>Email: Making videos has never been easier</t>
  </si>
  <si>
    <t>dc2ea2204bf3853e985e4f13ba33a6b4ac9b8c323691d202ab855a29f7841d85</t>
  </si>
  <si>
    <t>EXHIBIT_EMAIL_20241110_1218_08249de7</t>
  </si>
  <si>
    <t>2024-11-10T12:00:07+00:00</t>
  </si>
  <si>
    <t>Email: Hey Craig, use your $15 off at Walmart before it expires</t>
  </si>
  <si>
    <t>08249de769b15456b732561fbbe2b7edc25fdf8535485687633bf80def7639c5</t>
  </si>
  <si>
    <t>EXHIBIT_EMAIL_20241209_1219_9e511d6b</t>
  </si>
  <si>
    <t>2024-12-09T16:03:49+00:00</t>
  </si>
  <si>
    <t>Email: Get ready for the start of something great, dawn!</t>
  </si>
  <si>
    <t>9e511d6bbd347214559a728c6de42a9b0e36e12a4844a48c85e8b2dd430f3cfd</t>
  </si>
  <si>
    <t>EXHIBIT_EMAIL_20250109_1220_73c1a3e2</t>
  </si>
  <si>
    <t>2025-01-09T09:47:11+00:00</t>
  </si>
  <si>
    <t>73c1a3e2d054da4e00aeca6ec7b71c332043f9700d10a5a31b2395e39702a8b2</t>
  </si>
  <si>
    <t>EXHIBIT_EMAIL_20241225_1221_80c5f4e2</t>
  </si>
  <si>
    <t>2024-12-25T02:37:35-08:00</t>
  </si>
  <si>
    <t>Email: Re: Harper’s Crazy Holiday</t>
  </si>
  <si>
    <t>80c5f4e2bfd1550ce87152b1ffb763e783a185c3f3644a610223267e965352aa</t>
  </si>
  <si>
    <t>EXHIBIT_EMAIL_20241225_1222_a4280970</t>
  </si>
  <si>
    <t>2024-12-25T09:09:27+00:00</t>
  </si>
  <si>
    <t>a42809700e7ecb79b4b2effb909ce9590c121eb83c42a7d15c5d950bf247cb7d</t>
  </si>
  <si>
    <t>EXHIBIT_EMAIL_20241225_1223_c9e3cef8</t>
  </si>
  <si>
    <t>2024-12-25T00:38:39-08:00</t>
  </si>
  <si>
    <t>c9e3cef8198b844194df1d14d5b059109751ecdbdabf6cafc6727e90fffc7bcb</t>
  </si>
  <si>
    <t>EXHIBIT_EMAIL_20241224_1224_49ee42d6</t>
  </si>
  <si>
    <t>2024-12-24T22:21:01-08:00</t>
  </si>
  <si>
    <t>49ee42d641e0d5b10ea2caae7f48a896d9a51ad751997ef76aa106cb69b5f8cc</t>
  </si>
  <si>
    <t>EXHIBIT_EMAIL_20241225_1225_b975152a</t>
  </si>
  <si>
    <t>2024-12-25T01:05:27+00:00</t>
  </si>
  <si>
    <t>b975152ab4b1743514268dab76bbd8cc00bba4e7daa732cd7e36577263a4998d</t>
  </si>
  <si>
    <t>EXHIBIT_EMAIL_20241224_1226_005768f5</t>
  </si>
  <si>
    <t>2024-12-24T05:41:58-08:00</t>
  </si>
  <si>
    <t>Email: Harper’s Crazy Holiday</t>
  </si>
  <si>
    <t>005768f5f89b35bf15f4808e3b42b7d55cc7f272ca962d0ed68ed6c34ab3aa23</t>
  </si>
  <si>
    <t>EXHIBIT_EMAIL_20241206_1227_ae6c6769</t>
  </si>
  <si>
    <t>2024-12-06T13:37:14-05:00</t>
  </si>
  <si>
    <t>Email: Our Ultimate Booklover Gift Guide 🎁</t>
  </si>
  <si>
    <t>ae6c67696c1beeff8ebe3b4c1ed436915a47a1b96046a8851fa0ac01c01e90af</t>
  </si>
  <si>
    <t>EXHIBIT_EMAIL_20241223_1228_3f4fb7a9</t>
  </si>
  <si>
    <t>2024-12-23T08:02:57+00:00</t>
  </si>
  <si>
    <t>3f4fb7a90a0026b46fa26e820ef846b1d59147fc762699fe3f6f3a5fdd276352</t>
  </si>
  <si>
    <t>EXHIBIT_EMAIL_20241115_1229_933b9c4d</t>
  </si>
  <si>
    <t>2024-11-15T14:25:41+00:00</t>
  </si>
  <si>
    <t>Email: 📞 Hey, it’s your offers calling.</t>
  </si>
  <si>
    <t>933b9c4d444568f30e70300110a95824b617486bec806549d60982a358b67994</t>
  </si>
  <si>
    <t>EXHIBIT_EMAIL_20241123_1230_02a2ee63</t>
  </si>
  <si>
    <t>2024-11-23T19:55:44-08:00</t>
  </si>
  <si>
    <t>Email: charliewharlie369, see loganref, gillian_picco and more in your feed</t>
  </si>
  <si>
    <t>02a2ee631eed00ff8918c32848f0a41ed6eca2d8531ad5c5d7f4e0fb418f1dd7</t>
  </si>
  <si>
    <t>EXHIBIT_EMAIL_20250204_1231_8718525b</t>
  </si>
  <si>
    <t>2025-02-04T14:32:43+00:00</t>
  </si>
  <si>
    <t>8718525b49612c5f9fbb20bd9e13dc33d45430a3a2ce73aad9a255da64545992</t>
  </si>
  <si>
    <t>EXHIBIT_EMAIL_20241103_1232_8efb9154</t>
  </si>
  <si>
    <t>2024-11-03T20:44:59+00:00</t>
  </si>
  <si>
    <t>8efb91549f02caae8580369a05eef78a1fea9ab550cd7443c73919ef6b634d9a</t>
  </si>
  <si>
    <t>EXHIBIT_EMAIL_20241109_1233_f593f284</t>
  </si>
  <si>
    <t>2024-11-09T20:12:42+00:00</t>
  </si>
  <si>
    <t>Email: 20% off Costco $90+. Last chance!</t>
  </si>
  <si>
    <t>f593f2843a388f05799aa38c74b199de67e30350febe3e4fa5cc6d8efc676022</t>
  </si>
  <si>
    <t>EXHIBIT_EMAIL_20241105_1234_5f87f417</t>
  </si>
  <si>
    <t>2024-11-05T12:10:59+00:00</t>
  </si>
  <si>
    <t>Email: Your cart item: now 76% OFF!</t>
  </si>
  <si>
    <t>5f87f417000e191c42aa9d7d7dec60e9cbb9d8c33d63b6222911392b8cfe4838</t>
  </si>
  <si>
    <t>EXHIBIT_EMAIL_20241207_1235_86fc21d8</t>
  </si>
  <si>
    <t>2024-12-07T00:38:43+00:00</t>
  </si>
  <si>
    <t>Email: Get started with some of our top collections</t>
  </si>
  <si>
    <t>86fc21d86efc16cd6d93be01c9c29a271f2eb8062601008c14c62ae9c03940cc</t>
  </si>
  <si>
    <t>EXHIBIT_EMAIL_20241103_1236_5a945319</t>
  </si>
  <si>
    <t>2024-11-03T08:00:38-06:00</t>
  </si>
  <si>
    <t>Email: Get Ready for Fall Adventures with Trupanion</t>
  </si>
  <si>
    <t>5a9453193fd9b5830bc668576f690ea21980435ebabab5fb0b36e490021abaf8</t>
  </si>
  <si>
    <t>EXHIBIT_EMAIL_20241121_1237_e3b580ce</t>
  </si>
  <si>
    <t>2024-11-21T11:00:25+00:00</t>
  </si>
  <si>
    <t>Email: Smart home for the holidays 🏠</t>
  </si>
  <si>
    <t>e3b580ce5493061af4fcf20ace3ec2341799d76357c56bbe851c11c0d2ca732c</t>
  </si>
  <si>
    <t>EXHIBIT_EMAIL_20250201_1238_b8c5351d</t>
  </si>
  <si>
    <t>2025-02-01T06:00:03+00:00</t>
  </si>
  <si>
    <t>b8c5351d32458910b045b83f5ba0e8975be6931a682613d592ca412ae429477a</t>
  </si>
  <si>
    <t>EXHIBIT_EMAIL_20250115_1239_3bc410ae</t>
  </si>
  <si>
    <t>2025-01-15T12:15:06+00:00</t>
  </si>
  <si>
    <t>Email: TWO DAYS ONLY ➡️ Semi-Annual Sale SNEAK PEEK 🤫</t>
  </si>
  <si>
    <t>3bc410aeb44e2a97cccd3156a8f65fd09b4004f3bb28944695f72e52b83a1473</t>
  </si>
  <si>
    <t>EXHIBIT_EMAIL_20250101_1240_d81301d1</t>
  </si>
  <si>
    <t>2025-01-01T07:17:23+00:00</t>
  </si>
  <si>
    <t>d81301d14d06d6980825e6d8e4a18c0a9446a596b0953aed5812cea01bb55ed9</t>
  </si>
  <si>
    <t>EXHIBIT_EMAIL_20250101_1241_249cb8f3</t>
  </si>
  <si>
    <t>2025-01-01T07:01:58+00:00</t>
  </si>
  <si>
    <t>249cb8f3f20bfa4e8545ab34fbb63fec453e3ee0221883f91a38b935d79030c7</t>
  </si>
  <si>
    <t>EXHIBIT_EMAIL_20250101_1242_7cf98d3b</t>
  </si>
  <si>
    <t>2025-01-01T06:42:20+00:00</t>
  </si>
  <si>
    <t>7cf98d3bf658f8d82968bffd5f6741fb2e48cf387bc66326a056402a7e0b17ea</t>
  </si>
  <si>
    <t>EXHIBIT_EMAIL_20241107_1243_c16e191e</t>
  </si>
  <si>
    <t>2024-11-07T11:06:30-06:00</t>
  </si>
  <si>
    <t>c16e191eb9720ddbd6895e41e75e7be946407b5f995a0ca47231ac01bd10911f</t>
  </si>
  <si>
    <t>EXHIBIT_EMAIL_20241206_1244_9b45683d</t>
  </si>
  <si>
    <t>2024-12-06T07:01:23-06:00</t>
  </si>
  <si>
    <t>Email: Final days to take advantage of this rental offer!</t>
  </si>
  <si>
    <t>9b45683d99ec5168c803e07dce0068b6d52faa14bf8c7f7b65fcea7af21b6a10</t>
  </si>
  <si>
    <t>EXHIBIT_EMAIL_20241105_1245_aed44b97</t>
  </si>
  <si>
    <t>2024-11-05T15:16:47-08:00</t>
  </si>
  <si>
    <t>aed44b97cd7c96b360c2aa0bfbe38c54d24078a1b94a4ab1f1f0297516626b48</t>
  </si>
  <si>
    <t>EXHIBIT_EMAIL_20241129_1246_dfcc9551</t>
  </si>
  <si>
    <t>2024-11-29T17:56:51+01:00</t>
  </si>
  <si>
    <t>Email: jusqu’à 60 % de rabais PLUS 20 % de rabais supplémentaire</t>
  </si>
  <si>
    <t>dfcc9551e446a7d819bb1286a74d7a4f22f57f1cf0b43ad488f984dea6b5523c</t>
  </si>
  <si>
    <t>EXHIBIT_EMAIL_20241110_1247_f2ca7119</t>
  </si>
  <si>
    <t>2024-11-10T02:05:27+00:00</t>
  </si>
  <si>
    <t>Email: An Aldi cheese recall &amp; registry inspo for *extra* parents</t>
  </si>
  <si>
    <t>f2ca71192b645cfa563f4e325c22cc7739b8e9640fc9495ca8d13828ce8d4704</t>
  </si>
  <si>
    <t>EXHIBIT_EMAIL_20241111_1248_ad3378ca</t>
  </si>
  <si>
    <t>2024-11-11T14:00:57+01:00</t>
  </si>
  <si>
    <t>Email: Dernière chance de faire des réserves et d’économiser sur les cadeaux</t>
  </si>
  <si>
    <t>ad3378cab59b595e4ab4e839860f5c49359f8a6d45cd9df23b3ec32862478460</t>
  </si>
  <si>
    <t>EXHIBIT_EMAIL_20250101_1249_79d94a4d</t>
  </si>
  <si>
    <t>2025-01-01T16:10:37-06:00</t>
  </si>
  <si>
    <t>Email: The New Year brings new deals for you! 🎆</t>
  </si>
  <si>
    <t>79d94a4d406901ca042e91fdd077a47ce6c34d5dc0e346e910a1ebd5dac79606</t>
  </si>
  <si>
    <t>EXHIBIT_EMAIL_20241206_1250_55f83770</t>
  </si>
  <si>
    <t>2024-12-06T04:30:10+00:00</t>
  </si>
  <si>
    <t>Email: vroofn, you have free spins on Coins of Christmas - Hold &amp; Win! 🧑‍🎄</t>
  </si>
  <si>
    <t>55f83770e0d87faea5ca7d035fa8f05d3f314b8cdaaaf80d9b5d3f7763fd6ad7</t>
  </si>
  <si>
    <t>EXHIBIT_EMAIL_20250218_1251_d62be88e</t>
  </si>
  <si>
    <t>2025-02-18T01:13:59+00:00</t>
  </si>
  <si>
    <t>Email: Luna Bagoo has accepted your invite!</t>
  </si>
  <si>
    <t>d62be88e0581fc0f9733dbac23e12a85609e33893ef94839e577a340f7072fde</t>
  </si>
  <si>
    <t>EXHIBIT_EMAIL_20241110_1252_21fbd790</t>
  </si>
  <si>
    <t>2024-11-10T20:10:44+00:00</t>
  </si>
  <si>
    <t>Email: I'm almost 18 and I inherited 3.5 million dollars can I live off this for the rest of...?</t>
  </si>
  <si>
    <t>21fbd7907e60ee5b36bc716531df7d78ae6fe6bef7f07d108693c2f57b90037b</t>
  </si>
  <si>
    <t>EXHIBIT_EMAIL_20241107_1253_357c0251</t>
  </si>
  <si>
    <t>2024-11-07T05:51:32-06:00</t>
  </si>
  <si>
    <t>Email: Clearance alert 🚨 Grab your favourites now 😊</t>
  </si>
  <si>
    <t>357c0251fcc8a2570d01631ac536d90ae1e737c8c1b54f9fdbea2efbb721471b</t>
  </si>
  <si>
    <t>EXHIBIT_EMAIL_20241103_1254_4cff5830</t>
  </si>
  <si>
    <t>2024-11-03T09:06:59-06:00</t>
  </si>
  <si>
    <t>Email: Our beauty gift guide is here ✨</t>
  </si>
  <si>
    <t>4cff5830b51ce6614b94d0cce54290b7276b12dc41629e5b967e98e440eab82d</t>
  </si>
  <si>
    <t>EXHIBIT_EMAIL_20250121_1255_52338645</t>
  </si>
  <si>
    <t>2025-01-21T09:14:23-06:00</t>
  </si>
  <si>
    <t>Email: Sale ends soon: Book now to save 25%+</t>
  </si>
  <si>
    <t>523386455708cdd593776bc5a6c12ca6287eca03b04b5c8f82e10aee23e636ae</t>
  </si>
  <si>
    <t>EXHIBIT_EMAIL_20250211_1256_ea7b97ac</t>
  </si>
  <si>
    <t>2025-02-11T00:08:36+00:00</t>
  </si>
  <si>
    <t>ea7b97ac818dee7ca332f15e01e4be0548c63289ee29d6e3fc0037fa6d965bca</t>
  </si>
  <si>
    <t>EXHIBIT_EMAIL_20241122_1257_795c3c21</t>
  </si>
  <si>
    <t>2024-11-22T04:00:05+00:00</t>
  </si>
  <si>
    <t>Email: Grow Your Local Business Without Breaking the Bank</t>
  </si>
  <si>
    <t>795c3c21449276ad2cd329df36c1fc42b6af7ab627da71406280595df1f983dd</t>
  </si>
  <si>
    <t>EXHIBIT_EMAIL_20241201_1258_494f500e</t>
  </si>
  <si>
    <t>2024-12-01T10:52:49-06:00</t>
  </si>
  <si>
    <t>Email: 'Tis the Season for Prizes!</t>
  </si>
  <si>
    <t>494f500e738129f3742b6ea7bef2afc543b10469b713ad7d8bccaac612b078c0</t>
  </si>
  <si>
    <t>EXHIBIT_EMAIL_20241219_1259_016d31d4</t>
  </si>
  <si>
    <t>2024-12-19T09:07:14-05:00</t>
  </si>
  <si>
    <t>Email: ⏰ Open for Great Last-Minute Gifts</t>
  </si>
  <si>
    <t>016d31d4e8124a4fb3849468db6e02755ff6da617d321006646aa4f5677c12f0</t>
  </si>
  <si>
    <t>EXHIBIT_EMAIL_20241108_1260_5158be2c</t>
  </si>
  <si>
    <t>2024-11-08T23:04:15+00:00</t>
  </si>
  <si>
    <t>Email: New Product Updates ⚡️</t>
  </si>
  <si>
    <t>5158be2c3bb7e5c0e6a3502581e8a18f834a76fa404b7d353e18522ec6d32769</t>
  </si>
  <si>
    <t>EXHIBIT_EMAIL_20250212_1261_869b387d</t>
  </si>
  <si>
    <t>2025-02-12T14:20:55+00:00</t>
  </si>
  <si>
    <t>Email: Don't miss out—the Business Savings Event ends February 17</t>
  </si>
  <si>
    <t>869b387d7d6fddc9477514774b3eb34c33e61d98087bbf894eed9a53281e7876</t>
  </si>
  <si>
    <t>EXHIBIT_EMAIL_20241108_1262_f7810eac</t>
  </si>
  <si>
    <t>2024-11-08T09:46:51-08:00</t>
  </si>
  <si>
    <t>Email: Templates for your holiday content</t>
  </si>
  <si>
    <t>f7810eac5f7aeed799a13a7475deb681c9028a1647fa7a773f873b0e773c6ee4</t>
  </si>
  <si>
    <t>EXHIBIT_EMAIL_20241219_1263_34574276</t>
  </si>
  <si>
    <t>2024-12-19T20:11:22+00:00</t>
  </si>
  <si>
    <t>Email: Take a look at some festive favorites</t>
  </si>
  <si>
    <t>34574276e87dc45a948a6785dbdb1669eb7695712768887d457fb4686667a98b</t>
  </si>
  <si>
    <t>EXHIBIT_EMAIL_20241113_1264_e13d628e</t>
  </si>
  <si>
    <t>2024-11-13T07:01:32-06:00</t>
  </si>
  <si>
    <t>Email: See your account activity for October.</t>
  </si>
  <si>
    <t>e13d628ea04699a001dddcd386da2514e0be5ae9913484163cb4b76c0b2fb3e0</t>
  </si>
  <si>
    <t>EXHIBIT_EMAIL_20241120_1265_79f60317</t>
  </si>
  <si>
    <t>2024-11-20T01:47:24+00:00</t>
  </si>
  <si>
    <t>79f6031799a58b1cc53567e738966e5d979cac26b5f219612c0f035bd5a44baa</t>
  </si>
  <si>
    <t>EXHIBIT_EMAIL_20241207_1266_0cd5cb3b</t>
  </si>
  <si>
    <t>2024-12-07T16:30:40+00:00</t>
  </si>
  <si>
    <t>0cd5cb3b291ef895f418775c462e8720e83c47f5293f74ab0b0a53597466cd35</t>
  </si>
  <si>
    <t>EXHIBIT_EMAIL_20250203_1267_6ba40c63</t>
  </si>
  <si>
    <t>2025-02-03T14:59:39+01:00</t>
  </si>
  <si>
    <t>Email: Voici un cadeau pour la Saint-Valentin : 40 % sur les articlesà prix régulier et 30 % sur les soldes</t>
  </si>
  <si>
    <t>6ba40c6355d8946cac8e0a3432872ffcfac07ee32eb08eb497886ba578096908</t>
  </si>
  <si>
    <t>EXHIBIT_EMAIL_20241105_1268_c7da2edd</t>
  </si>
  <si>
    <t>2024-11-05T09:30:42-06:00</t>
  </si>
  <si>
    <t>Email: Save 10%+ on VIP Access hotels with Member Prices</t>
  </si>
  <si>
    <t>c7da2edd2adf51df98d7eb8eed809be2d1e73a717846963dfc42d383325a3d19</t>
  </si>
  <si>
    <t>EXHIBIT_EMAIL_20241112_1269_e30a0ed9</t>
  </si>
  <si>
    <t>2024-11-12T14:34:04+00:00</t>
  </si>
  <si>
    <t>e30a0ed9fe0d4356260f2e8567cca6c1675627c592587b8df9132e306d1a9252</t>
  </si>
  <si>
    <t>EXHIBIT_EMAIL_20250103_1270_790da6d6</t>
  </si>
  <si>
    <t>2025-01-03T00:50:07-03:00</t>
  </si>
  <si>
    <t>Email: C W shared the folder "Pictures" with you</t>
  </si>
  <si>
    <t>790da6d6b433e454e700cd2c7c6c28178d7f9267669aec0d8f3c0e0a96dd4eee</t>
  </si>
  <si>
    <t>EXHIBIT_EMAIL_20241127_1271_2f47dfa8</t>
  </si>
  <si>
    <t>2024-11-27T08:55:55+00:00</t>
  </si>
  <si>
    <t>Email: Designers’ Favorite Ways to Use Brass in a Kitchen | Traditional Meets Zen in a Remodeled Bathroom</t>
  </si>
  <si>
    <t>2f47dfa8ad1ac43083325b384f5b2918522e22aabf2912b39c4c8023a83d305c</t>
  </si>
  <si>
    <t>EXHIBIT_EMAIL_20241122_1272_7d888cd6</t>
  </si>
  <si>
    <t>2024-11-22T06:33:14-05:00</t>
  </si>
  <si>
    <t>Email: An update on your Simplii Financial application!</t>
  </si>
  <si>
    <t>7d888cd6ddceb0b1597e18b7b6a1dea32f94fceca91439d9f52c435a53a7225d</t>
  </si>
  <si>
    <t>EXHIBIT_EMAIL_20241109_1273_7436f09c</t>
  </si>
  <si>
    <t>2024-11-09T06:17:30+01:00</t>
  </si>
  <si>
    <t>7436f09c015e39ec62733eef4e519a757a7f71238085d28abc2b4037379c63fa</t>
  </si>
  <si>
    <t>EXHIBIT_EMAIL_20241102_1274_5a9a94bd</t>
  </si>
  <si>
    <t>2024-11-02T09:09:08-04:00</t>
  </si>
  <si>
    <t>Email: $15 TODAY ONLY! Our #1 Best Book of the Year</t>
  </si>
  <si>
    <t>5a9a94bd7322a3e2f71533e8eeec2d3060a781cac7d24ebe0da19697f3d2fc7f</t>
  </si>
  <si>
    <t>EXHIBIT_EMAIL_20241120_1275_edc9cf91</t>
  </si>
  <si>
    <t>2024-11-20T07:07:13-08:00</t>
  </si>
  <si>
    <t>Email: Save 50% and create designs, videos, and more</t>
  </si>
  <si>
    <t>edc9cf91f4680ff7ebc365bc502368090d548412a0c7841c69fbbaaedaa5cb5f</t>
  </si>
  <si>
    <t>EXHIBIT_EMAIL_20241113_1276_ecf7cd43</t>
  </si>
  <si>
    <t>2024-11-13T18:27:19-06:00</t>
  </si>
  <si>
    <t>Email: BLACK FRIDAY DEALS START SOON AT 9 PM EST ⌚</t>
  </si>
  <si>
    <t>ecf7cd4356fc3a0524f505bdec2a243afdc7a6ab6c3b4ca4147060498118c023</t>
  </si>
  <si>
    <t>EXHIBIT_EMAIL_20241105_1277_5b437e83</t>
  </si>
  <si>
    <t>2024-11-05T10:16:14-06:00</t>
  </si>
  <si>
    <t>Email: Black Friday Early Deals start Nov 7 ⏰</t>
  </si>
  <si>
    <t>5b437e838851ededaf484e01653f19f389eac1098c0eb369c5a6a688ff1449c6</t>
  </si>
  <si>
    <t>EXHIBIT_EMAIL_20241205_1278_ed01052c</t>
  </si>
  <si>
    <t>2024-12-05T15:09:26+00:00</t>
  </si>
  <si>
    <t>ed01052cfab03b4efb7cb3957a7333e46d94ce1157824018684164ba502193a6</t>
  </si>
  <si>
    <t>EXHIBIT_EMAIL_20241220_1279_1a0ee751</t>
  </si>
  <si>
    <t>2024-12-20T20:08:40+00:00</t>
  </si>
  <si>
    <t>Email: Dispatched on 2024-12-20&amp;gt;</t>
  </si>
  <si>
    <t>1a0ee7513598e026cd921bd8dcdc60c9070f0b18d2193c76bf301f46aca8e6ac</t>
  </si>
  <si>
    <t>EXHIBIT_EMAIL_20241121_1280_6e876e9d</t>
  </si>
  <si>
    <t>2024-11-21T12:05:30+00:00</t>
  </si>
  <si>
    <t>Email: *Knock knock* Craig, it’s Subway®.</t>
  </si>
  <si>
    <t>6e876e9d623b729edb7ed82c4decc8e06cf5f27c99af0d6401b1cce2c34ecd4b</t>
  </si>
  <si>
    <t>EXHIBIT_EMAIL_20241119_1281_39a54f8c</t>
  </si>
  <si>
    <t>2024-11-19T15:00:25+01:00</t>
  </si>
  <si>
    <t>Email: économise jusqu’à 60 % dès AUJOURD’HUI</t>
  </si>
  <si>
    <t>39a54f8c83d0771eac200a4b18dc687da34214542c3258f2f35f4ff186d2b5b7</t>
  </si>
  <si>
    <t>EXHIBIT_EMAIL_20241204_1282_03e36c22</t>
  </si>
  <si>
    <t>2024-12-04T01:38:54+00:00</t>
  </si>
  <si>
    <t>03e36c22034ab1ed59d5767f5242fc6606c9923c1111d1f863a752ffec90a6c9</t>
  </si>
  <si>
    <t>EXHIBIT_EMAIL_20241105_1283_a1f02d3f</t>
  </si>
  <si>
    <t>2024-11-05T21:18:35+00:00</t>
  </si>
  <si>
    <t>Email: Will a smoker’s lungs clean themselves if they quit smoking and how long does it take?</t>
  </si>
  <si>
    <t>a1f02d3f58bee1379ff68604beb57d20df4db16123547285b5194f30ea38e21f</t>
  </si>
  <si>
    <t>EXHIBIT_EMAIL_20241119_1284_9e6bdd41</t>
  </si>
  <si>
    <t>2024-11-19T09:28:07-06:00</t>
  </si>
  <si>
    <t>Email: UP TO 50% OFF ELECTRONICS 📱 Black Friday continues!</t>
  </si>
  <si>
    <t>9e6bdd4156f8fdeebcb545981e1fcb74751a623a8aeabb768760cc07bd2dc188</t>
  </si>
  <si>
    <t>EXHIBIT_EMAIL_20241112_1285_a9d5be31</t>
  </si>
  <si>
    <t>2024-11-12T23:05:55+00:00</t>
  </si>
  <si>
    <t>Email: Just in: Momcozy’s NEW bottle washer</t>
  </si>
  <si>
    <t>a9d5be31b224123bb2ecf4c45c52c528d9a98fa45ab16542f39058a4e09e5cc7</t>
  </si>
  <si>
    <t>EXHIBIT_EMAIL_20241102_1286_34f8d27c</t>
  </si>
  <si>
    <t>2024-11-02T04:15:19+00:00</t>
  </si>
  <si>
    <t>Email: Can an electrical current be deadly if it is just 1 volt but 100 ampere?</t>
  </si>
  <si>
    <t>34f8d27c91d645fcea5b37d7fd3bccbb0b1ac1c920a79f2d5026110f5f3864f3</t>
  </si>
  <si>
    <t>EXHIBIT_EMAIL_20241129_1287_5b4568cc</t>
  </si>
  <si>
    <t>2024-11-29T09:48:46-06:00</t>
  </si>
  <si>
    <t>Email: It's Black Friday 🥳 Enjoy up to 50% off!</t>
  </si>
  <si>
    <t>5b4568cc25a906011403520a77fe4a51b62ba89c632a231707bb01b76d6ec779</t>
  </si>
  <si>
    <t>EXHIBIT_EMAIL_20250111_1288_a4d5fc07</t>
  </si>
  <si>
    <t>2025-01-11T02:44:30+00:00</t>
  </si>
  <si>
    <t>Email: 🎉 Give $5, get $5 back</t>
  </si>
  <si>
    <t>a4d5fc07495fda0b493d90a72520f876041ecb894ad25896d366a18ad14ef423</t>
  </si>
  <si>
    <t>EXHIBIT_EMAIL_20241106_1289_21fefd4c</t>
  </si>
  <si>
    <t>2024-11-06T09:41:27-06:00</t>
  </si>
  <si>
    <t>Email: The FRAÎCHE x Walmart Holiday Collection is finally here 🎀</t>
  </si>
  <si>
    <t>21fefd4cbb0f3df62e995c70d60f559852f3c1dca9289041c8df85ff6f054178</t>
  </si>
  <si>
    <t>EXHIBIT_EMAIL_20241216_1290_a30caa64</t>
  </si>
  <si>
    <t>2024-12-16T09:39:21-06:00</t>
  </si>
  <si>
    <t>Email: Low prices on your holiday meal prep 🍗</t>
  </si>
  <si>
    <t>a30caa64d075b6f3cb3ab580ebba91f4f93e8ab233621677b7e348772cca0f7b</t>
  </si>
  <si>
    <t>EXHIBIT_EMAIL_20250213_1291_2c39ce8f</t>
  </si>
  <si>
    <t>2025-02-13T12:02:13-05:00</t>
  </si>
  <si>
    <t>Email: $500 in Google Ads credit &amp; 100+ offers with a B12 website</t>
  </si>
  <si>
    <t>2c39ce8f8c8b3dfeb276760eaba5bb3ce8dacb31b92ede74ce5ea4f64b4eda09</t>
  </si>
  <si>
    <t>EXHIBIT_EMAIL_20241231_1292_0c6e54b9</t>
  </si>
  <si>
    <t>2024-12-31T09:20:40-06:00</t>
  </si>
  <si>
    <t>0c6e54b9eb7f6b8de8cad52d0990bc991a1e1282703da1deb3552e98796a9584</t>
  </si>
  <si>
    <t>EXHIBIT_EMAIL_20241215_1293_6dc2f0bf</t>
  </si>
  <si>
    <t>2024-12-15T08:07:22-05:00</t>
  </si>
  <si>
    <t>Email: Bookish Gifts That Are Top Shelf</t>
  </si>
  <si>
    <t>6dc2f0bfb6b646bc8bc3e11eb362c88652591d8b0de993a105c6a39eeb7b2985</t>
  </si>
  <si>
    <t>EXHIBIT_EMAIL_20241125_1294_f66af435</t>
  </si>
  <si>
    <t>2024-11-25T05:09:30+01:00</t>
  </si>
  <si>
    <t>f66af43565d6543f269e823d06835f5d2cded3d73b3ae8915c4b1e5cdce6f815</t>
  </si>
  <si>
    <t>EXHIBIT_EMAIL_20241105_1295_04fa7b03</t>
  </si>
  <si>
    <t>2024-11-05T16:11:17+00:00</t>
  </si>
  <si>
    <t>Email: 34 Weeks Pregnant: Pain Relief Options for Labor</t>
  </si>
  <si>
    <t>04fa7b03f647a23439d1223ee6eda6efe9d5c92b0a92c354405dd0b60e9d6c79</t>
  </si>
  <si>
    <t>EXHIBIT_EMAIL_20241104_1296_6c0e3491</t>
  </si>
  <si>
    <t>2024-11-04T10:39:41-05:00</t>
  </si>
  <si>
    <t>Email: Deals That Make Great Gifts 🎁</t>
  </si>
  <si>
    <t>6c0e3491af4eaeb9c93fd457fa23db1e5563f88954e9ccc652087682b84396f3</t>
  </si>
  <si>
    <t>EXHIBIT_EMAIL_20241103_1297_ee869695</t>
  </si>
  <si>
    <t>2024-11-03T07:50:14+00:00</t>
  </si>
  <si>
    <t>Email: 10 Questions to Quickly Identify Your Customers’ Needs | 5 Warm and Welcoming Kitchens</t>
  </si>
  <si>
    <t>ee8696953ac2d825507f778ab324dc8b917ec63369de74538aefe351c4f26132</t>
  </si>
  <si>
    <t>EXHIBIT_EMAIL_20241112_1298_cf3db953</t>
  </si>
  <si>
    <t>2024-11-12T18:02:22+00:00</t>
  </si>
  <si>
    <t>Email: Fancy some new offers?</t>
  </si>
  <si>
    <t>cf3db953cb15730b0d5c4344bbdb41472720df3fcef0ac7e1b698bc3c3f1619e</t>
  </si>
  <si>
    <t>EXHIBIT_EMAIL_20241124_1299_c20ce250</t>
  </si>
  <si>
    <t>2024-11-24T02:03:21+00:00</t>
  </si>
  <si>
    <t>Email: 🧷 The best disposable diaper + 🤢 water bottle germs</t>
  </si>
  <si>
    <t>c20ce2502de073956266b7dd4753be46c7547aed227a00e716819423c444bfb1</t>
  </si>
  <si>
    <t>EXHIBIT_EMAIL_20241115_1300_c80c1a69</t>
  </si>
  <si>
    <t>2024-11-15T20:53:40+00:00</t>
  </si>
  <si>
    <t>Email: Explore new restaurants on Uber Eats 🍽️</t>
  </si>
  <si>
    <t>c80c1a69190b442830dba44f77847ef1733b5e910531ac96dd8b80de14a070f2</t>
  </si>
  <si>
    <t>EXHIBIT_EMAIL_20241202_1301_3f9c683b</t>
  </si>
  <si>
    <t>2024-12-02T13:06:18+00:00</t>
  </si>
  <si>
    <t>Email: Don't let 3 months of Spotify Premium for $12.69 go. $12.69/month</t>
  </si>
  <si>
    <t>after.  Cancel anytime."</t>
  </si>
  <si>
    <t>3f9c683b3a79d2ad6958aa8fe2636584f8afb77fe0d69d07588e2ba5da8da36a</t>
  </si>
  <si>
    <t>EXHIBIT_EMAIL_20241117_1302_9be11b79</t>
  </si>
  <si>
    <t>2024-11-17T20:06:51+00:00</t>
  </si>
  <si>
    <t>Email: Your serving of savings, Craig n Emma</t>
  </si>
  <si>
    <t>9be11b790f8f3370a5d6acd225955f2c24d683028c7021de5a98d48ffcd4a45f</t>
  </si>
  <si>
    <t>EXHIBIT_EMAIL_20241116_1303_e6826453</t>
  </si>
  <si>
    <t>2024-11-16T19:19:39+00:00</t>
  </si>
  <si>
    <t>Email: Your cart item: now 38% OFF!</t>
  </si>
  <si>
    <t>e682645341798495fb1020bf8f26ec266dada1dbb7d198b85652e88bc5fc46f2</t>
  </si>
  <si>
    <t>EXHIBIT_EMAIL_20241121_1304_48fa2806</t>
  </si>
  <si>
    <t>2024-11-21T03:49:34+11:00</t>
  </si>
  <si>
    <t>Email: Important Product Safety Information from Instacart</t>
  </si>
  <si>
    <t>48fa2806b31cfbab58c1c3348646622cfa00514d3c4bf43eb88192e97ada3241</t>
  </si>
  <si>
    <t>EXHIBIT_EMAIL_20250120_1305_13bb15fe</t>
  </si>
  <si>
    <t>2025-01-20T14:45:07+00:00</t>
  </si>
  <si>
    <t>Email: 💡AI Guide is Here</t>
  </si>
  <si>
    <t>13bb15fed50c1aac4e01360b30f37fcfb6cf66d95c12f61ff73b87bdb7d5ef81</t>
  </si>
  <si>
    <t>EXHIBIT_EMAIL_20241104_1306_59633e21</t>
  </si>
  <si>
    <t>2024-11-04T23:30:08+00:00</t>
  </si>
  <si>
    <t>Email: New week? 📆 New offers just for you! 🤩</t>
  </si>
  <si>
    <t>59633e21ba373d8dfb856b91326e88eefb577819d208da721cef50f14b5393a4</t>
  </si>
  <si>
    <t>EXHIBIT_EMAIL_20241204_1307_daa089d3</t>
  </si>
  <si>
    <t>2024-12-04T20:12:21+00:00</t>
  </si>
  <si>
    <t>Email: Craig n Emma, got room for a discount?🍴</t>
  </si>
  <si>
    <t>daa089d312d2c9a5fdaaa056e2863a8e74557c86c95acbf38f9b0857c5be9945</t>
  </si>
  <si>
    <t>EXHIBIT_EMAIL_20241120_1308_0a36ce63</t>
  </si>
  <si>
    <t>2024-11-20T20:27:05-06:00</t>
  </si>
  <si>
    <t>Email: IT'S ON: New Black Friday Deals — Up to 50% off 🔥</t>
  </si>
  <si>
    <t>0a36ce63455bb348fb99473b6b5432c6ec0990c4bd6f2ab0b52e8cf544ee3a50</t>
  </si>
  <si>
    <t>EXHIBIT_EMAIL_20241113_1309_a31d2cf4</t>
  </si>
  <si>
    <t>2024-11-13T05:30:14+00:00</t>
  </si>
  <si>
    <t>Email: vroofn, play with a 150% Bonus + 25 Free Spins! 🐺</t>
  </si>
  <si>
    <t>a31d2cf4d307f1af43b9e92558f92dc1501380c61ceb0eb3849ad715b7424154</t>
  </si>
  <si>
    <t>EXHIBIT_EMAIL_20241130_1310_cda27e76</t>
  </si>
  <si>
    <t>2024-11-30T00:35:41+00:00</t>
  </si>
  <si>
    <t>Email: New device sign-in</t>
  </si>
  <si>
    <t>cda27e767ecb8e7e1b5ec22064ae47929d4987b4a8ef7354ee8b6b70853175d9</t>
  </si>
  <si>
    <t>EXHIBIT_EMAIL_20241206_1311_ff5004a4</t>
  </si>
  <si>
    <t>2024-12-06T00:38:48+00:00</t>
  </si>
  <si>
    <t>Email: Score on social - customize your own posts</t>
  </si>
  <si>
    <t>ff5004a42d42cb235a482db7aef93798b68535a9ef1368312ce559a2a8f8dd22</t>
  </si>
  <si>
    <t>EXHIBIT_EMAIL_20241201_1312_0f3d8749</t>
  </si>
  <si>
    <t>2024-12-01T17:38:17-06:00</t>
  </si>
  <si>
    <t>Email: CYBER WEEK DEALS START AT 9 PM EST ⌚</t>
  </si>
  <si>
    <t>0f3d87495f50dd0f529451c05175f99efe47742da02edb4f1b17a11715a58775</t>
  </si>
  <si>
    <t>EXHIBIT_EMAIL_20250109_1313_8ac9bbd1</t>
  </si>
  <si>
    <t>2025-01-09T11:48:35-06:00</t>
  </si>
  <si>
    <t>8ac9bbd19ef99aec7c929e3c37924c6ec999cb53b2d5656cd14cf0a8fe0f72d2</t>
  </si>
  <si>
    <t>EXHIBIT_EMAIL_20241230_1314_d26a428c</t>
  </si>
  <si>
    <t>2024-12-30T19:18:31-08:00</t>
  </si>
  <si>
    <t>Email: charliewharlie369, see cyrtara, jvl2311 and more in your feed</t>
  </si>
  <si>
    <t>d26a428c47fb6abc05e4e283717f1f95598b1c0ca323a1a9b26adcc91cc911c1</t>
  </si>
  <si>
    <t>EXHIBIT_EMAIL_20241119_1315_b40ce5d3</t>
  </si>
  <si>
    <t>2024-11-19T16:08:54+00:00</t>
  </si>
  <si>
    <t>Email: 36 Weeks Pregnant: Best Hospital Bag Checklist</t>
  </si>
  <si>
    <t>b40ce5d3db5d034a45c9d735e69497dd263e7bf39261977acefb8a2f535c02e9</t>
  </si>
  <si>
    <t>EXHIBIT_EMAIL_20241125_1316_19d71b1a</t>
  </si>
  <si>
    <t>2024-11-25T17:08:55+00:00</t>
  </si>
  <si>
    <t>Email: How Can Debt Consolidation Help You?</t>
  </si>
  <si>
    <t>19d71b1ad0deee4a1f8c1879d1020e24ca92d42acba5035d54aec3363751d6a2</t>
  </si>
  <si>
    <t>EXHIBIT_EMAIL_20250113_1317_b10dbba9</t>
  </si>
  <si>
    <t>2025-01-13T20:33:50-08:00</t>
  </si>
  <si>
    <t>Email: Get your $100 e-voucher</t>
  </si>
  <si>
    <t>b10dbba92a876dae76c1e67183c314f5b1067d8075c66c9c6e2d2bdff5cff358</t>
  </si>
  <si>
    <t>EXHIBIT_EMAIL_20241109_1318_482fd50c</t>
  </si>
  <si>
    <t>2024-11-09T05:30:04+00:00</t>
  </si>
  <si>
    <t>Email: vroofn, Deposit CAD 5, Get 77 Free Spins! 🐷</t>
  </si>
  <si>
    <t>482fd50cbe7be2bfc9e86e78d801531d78a0474198cdaf82b9de3df90955fff2</t>
  </si>
  <si>
    <t>EXHIBIT_EMAIL_20241102_1319_695e3b54</t>
  </si>
  <si>
    <t>2024-11-02T23:02:25+00:00</t>
  </si>
  <si>
    <t>Email: Discount Notice! Awaiting coupon.</t>
  </si>
  <si>
    <t>695e3b54e7211d3959394423295aa308ca91dce03de1a22235e207b5df820c3c</t>
  </si>
  <si>
    <t>EXHIBIT_EMAIL_20241116_1320_83b43107</t>
  </si>
  <si>
    <t>2024-11-16T20:00:34+00:00</t>
  </si>
  <si>
    <t>Email: Whatever you're craving, we'll bring it to you. 🍔</t>
  </si>
  <si>
    <t>83b43107a46c88833e028bcf2bccbbebde118c5af8b65c8b761b71ca2fcde3ed</t>
  </si>
  <si>
    <t>EXHIBIT_EMAIL_20241215_1321_6d51383f</t>
  </si>
  <si>
    <t>2024-12-15T20:27:00-04:00</t>
  </si>
  <si>
    <t>Email: H</t>
  </si>
  <si>
    <t>6d51383f9caa2b6fa04e074187d8f90fd9a1bebc09b7774c0ba330e8713aa4e9</t>
  </si>
  <si>
    <t>EXHIBIT_EMAIL_20241224_1322_346e1ba3</t>
  </si>
  <si>
    <t>2024-12-24T16:47:28+01:00</t>
  </si>
  <si>
    <t>346e1ba3eec7c772bc66c18e0173dcfeb3b3ceaf7a53ef1553688c6e3b8bba6f</t>
  </si>
  <si>
    <t>EXHIBIT_EMAIL_20250206_1323_cdcd5bfd</t>
  </si>
  <si>
    <t>2025-02-06T05:59:48+01:00</t>
  </si>
  <si>
    <t>Email: 40 % sur les articles à prix régulier et 30 % sur les soldes ❤️</t>
  </si>
  <si>
    <t>cdcd5bfdd9084388baf3c5eeca36868063ea4060b037e1c798f7c4ee063b2c6a</t>
  </si>
  <si>
    <t>EXHIBIT_EMAIL_20241105_1324_99f3a603</t>
  </si>
  <si>
    <t>2024-11-05T16:08:48+00:00</t>
  </si>
  <si>
    <t>99f3a603522189c9c870414ddbcb05fc06ddda2797288746aacd29b64bbcae38</t>
  </si>
  <si>
    <t>EXHIBIT_EMAIL_20241113_1325_69faaab5</t>
  </si>
  <si>
    <t>2024-11-13T08:13:53+00:00</t>
  </si>
  <si>
    <t>Email: 10 Paint Colors Set to Define 2025 | 4 Spa-Like Bathrooms in About 65 Square Feet</t>
  </si>
  <si>
    <t>69faaab52a2e4512c66165f8ef0f80f9ea45e6f9252f46b7793dfdfb8e7b5af4</t>
  </si>
  <si>
    <t>EXHIBIT_EMAIL_20241114_1326_94536a4e</t>
  </si>
  <si>
    <t>2024-11-14T12:02:01+00:00</t>
  </si>
  <si>
    <t>Email: Kick start your celebrations with Subway®.</t>
  </si>
  <si>
    <t>94536a4e4e9de05e3ee2c9152b1f608e4be0d79e07a9d8ded4b006eadf3a4dde</t>
  </si>
  <si>
    <t>EXHIBIT_EMAIL_20241030_1327_a08e73a4</t>
  </si>
  <si>
    <t>2024-10-30T17:46:10+00:00</t>
  </si>
  <si>
    <t>Email: New workflow upgrades from our Happy Zapping week</t>
  </si>
  <si>
    <t>a08e73a4b7c49caa48dba41c8639beb4aa573b7147f0dcedea1aeae927a2420d</t>
  </si>
  <si>
    <t>EXHIBIT_EMAIL_20241218_1328_3761f0c3</t>
  </si>
  <si>
    <t>2024-12-18T10:11:30+00:00</t>
  </si>
  <si>
    <t>Email: The 10 Most Popular New Living Rooms of 2024 | 8 Ways to Keep Your Business Running Smoothly When Yo</t>
  </si>
  <si>
    <t>3761f0c37b65439ebd899bee6931be430a0130bac97cba80839ffb82390f771d</t>
  </si>
  <si>
    <t>EXHIBIT_EMAIL_20241105_1329_e0bc4f73</t>
  </si>
  <si>
    <t>2024-11-05T05:30:14+00:00</t>
  </si>
  <si>
    <t>Email: vroofn, you have free spins on Coins of Zeus - Hold &amp; Win™! ⚡</t>
  </si>
  <si>
    <t>e0bc4f739e7edb67324feedde274c96b339df42fec99edab1a032a8a49d11a76</t>
  </si>
  <si>
    <t>EXHIBIT_EMAIL_20250107_1330_5cc1c860</t>
  </si>
  <si>
    <t>2025-01-07T15:30:08+00:00</t>
  </si>
  <si>
    <t>Email: Your Designs in 360º 🚀</t>
  </si>
  <si>
    <t>5cc1c8602b35e90dae120902acc0eb869d61592a26f709f5d834bfa1e4cbfb8c</t>
  </si>
  <si>
    <t>EXHIBIT_EMAIL_20241113_1331_f7bd1f4b</t>
  </si>
  <si>
    <t>2024-11-13T13:32:56+00:00</t>
  </si>
  <si>
    <t>Email: Get ready for Black Friday Week</t>
  </si>
  <si>
    <t>f7bd1f4b8ef7082e45fd97e8276c9bfcb44afb38ada4fa6e5573fff31a0a7c36</t>
  </si>
  <si>
    <t>EXHIBIT_EMAIL_20241124_1332_085191e9</t>
  </si>
  <si>
    <t>2024-11-24T04:19:18+00:00</t>
  </si>
  <si>
    <t>Email: What are study hacks that A+ students use?</t>
  </si>
  <si>
    <t>085191e95000c989b63b3d093a8de7362acf0a67ce703da1ea1242d6f31afdcb</t>
  </si>
  <si>
    <t>EXHIBIT_EMAIL_20250227_1333_22df30d1</t>
  </si>
  <si>
    <t>2025-02-27T14:07:51-05:00</t>
  </si>
  <si>
    <t>Email: NEW LEGO Sets – Dropping March 1! 🏁🏎️</t>
  </si>
  <si>
    <t>22df30d11cd5cf0510e65bda06bd432d14ed7ed26677242887b716c9cd9c72ba</t>
  </si>
  <si>
    <t>EXHIBIT_EMAIL_20250107_1334_1ea56fe5</t>
  </si>
  <si>
    <t>2025-01-07T17:03:38+00:00</t>
  </si>
  <si>
    <t>Email: Your 3-Week-Old Baby: What's Up with Spit Up?</t>
  </si>
  <si>
    <t>1ea56fe556abf586167c6aa2fab695eafb8de77c1ad541c58c8b6f2baf0f5405</t>
  </si>
  <si>
    <t>EXHIBIT_EMAIL_20241201_1335_b23a141b</t>
  </si>
  <si>
    <t>2024-12-01T20:47:22+00:00</t>
  </si>
  <si>
    <t>Email: Craig n Emma, these discounts are calling your name</t>
  </si>
  <si>
    <t>b23a141b9d1b51d3b957ebe6e3dd45bce8a7a4b94d11629065d06232c3deae33</t>
  </si>
  <si>
    <t>EXHIBIT_EMAIL_20250102_1336_fe7b36c4</t>
  </si>
  <si>
    <t>2025-01-02T10:19:17-05:00</t>
  </si>
  <si>
    <t>Email: Join Our 2025 Reading Challenge! 📚</t>
  </si>
  <si>
    <t>fe7b36c4ffecf6e7f8d59d9bdb0c31d5d0b16d124d8e34b3a001f3ef6b3e7327</t>
  </si>
  <si>
    <t>EXHIBIT_EMAIL_20241221_1337_12f19c9b</t>
  </si>
  <si>
    <t>2024-12-21T01:01:15+00:00</t>
  </si>
  <si>
    <t>Email: Didn’t connect with Ripl? We’d love to hear why</t>
  </si>
  <si>
    <t>12f19c9b46297e30c994fcc83c9ed113d14e398d5df68d5faefd5a59c5c4f1ca</t>
  </si>
  <si>
    <t>EXHIBIT_EMAIL_20241101_1338_31560b32</t>
  </si>
  <si>
    <t>2024-11-01T14:32:27+00:00</t>
  </si>
  <si>
    <t>Email: Your offers will be disappearing soon</t>
  </si>
  <si>
    <t>31560b32273ae86c57712e040988d4b757a8f6e978294c1e5a3a7de5b1c0ebab</t>
  </si>
  <si>
    <t>EXHIBIT_EMAIL_20241205_1339_45fd3a57</t>
  </si>
  <si>
    <t>2024-12-05T15:00:27+01:00</t>
  </si>
  <si>
    <t>Email: C’EST ICI : la vente Ami.e.s et Famille</t>
  </si>
  <si>
    <t>45fd3a575285c2a308fba159358ffe7a67ef9b68be710b74f0a453507d5a9f07</t>
  </si>
  <si>
    <t>EXHIBIT_EMAIL_20241223_1340_b09b9492</t>
  </si>
  <si>
    <t>2024-12-23T05:52:27-04:00</t>
  </si>
  <si>
    <t>Email: Congratulations on your alc.ca Promo Reward</t>
  </si>
  <si>
    <t>b09b94926aafefb013b52122ebc6c24ecb30d3e637c423fccbfcb15fd0ad3217</t>
  </si>
  <si>
    <t>EXHIBIT_EMAIL_20241207_1341_36ca9f72</t>
  </si>
  <si>
    <t>2024-12-07T12:36:47+00:00</t>
  </si>
  <si>
    <t>36ca9f7269ecb34323f88f591298a21064f793fa6c2170d09d2310fefe7806a2</t>
  </si>
  <si>
    <t>EXHIBIT_EMAIL_20241127_1342_46ac9b63</t>
  </si>
  <si>
    <t>2024-11-27T22:46:36+00:00</t>
  </si>
  <si>
    <t>Email: 🚨 CLAIM A FREE $3 NFL CONTEST TICKET FOR THANKSGIVING 🚨</t>
  </si>
  <si>
    <t>46ac9b63f67b33412cfe8f360ba3e7e8ec2182812a137b71d9f922605faae11b</t>
  </si>
  <si>
    <t>EXHIBIT_EMAIL_20241116_1343_2b3619e9</t>
  </si>
  <si>
    <t>2024-11-16T05:30:09+00:00</t>
  </si>
  <si>
    <t>Email: vroofn, Deposit CAD 5, Get 77 Free Spins! 🚆</t>
  </si>
  <si>
    <t>2b3619e97a3892ae10d7080d2a0a029a409f4ca9fe038c134360ef8068cccf5f</t>
  </si>
  <si>
    <t>EXHIBIT_EMAIL_20241108_1344_7e3f574a</t>
  </si>
  <si>
    <t>2024-11-08T17:37:31+00:00</t>
  </si>
  <si>
    <t>Email: CRAIG: You’re steps away from no-fee banking - 0009826511</t>
  </si>
  <si>
    <t>7e3f574aa9b7e0d15e2a46f4f2ce0d40eb24f028a3efded82d38e55c7f901635</t>
  </si>
  <si>
    <t>EXHIBIT_EMAIL_20250129_1345_74fd30fc</t>
  </si>
  <si>
    <t>2025-01-29T01:24:26+00:00</t>
  </si>
  <si>
    <t>Email: Respond to emails automatically with GPT Gmail</t>
  </si>
  <si>
    <t>74fd30fc8413bc75cd23824c48034c447db42870058c5fb514d09370d0eba7f7</t>
  </si>
  <si>
    <t>EXHIBIT_EMAIL_20241101_1346_e887ad6b</t>
  </si>
  <si>
    <t>2024-11-01T23:02:28+00:00</t>
  </si>
  <si>
    <t>Email: 1 COUPON inside:</t>
  </si>
  <si>
    <t>e887ad6bf904a4c8b62676c36f0dc02b40661c3ff130d131d5215123656c36b4</t>
  </si>
  <si>
    <t>EXHIBIT_EMAIL_20241121_1347_1d5d29e0</t>
  </si>
  <si>
    <t>2024-11-21T09:18:29-05:00</t>
  </si>
  <si>
    <t>Email: Feast on fresh features &amp; content, Placed</t>
  </si>
  <si>
    <t>1d5d29e042b37b7eb18b49d1c70224dc63e77f5ae93fd9f086ad6dc308151a64</t>
  </si>
  <si>
    <t>EXHIBIT_EMAIL_20241217_1348_3431409a</t>
  </si>
  <si>
    <t>2024-12-17T09:20:39-06:00</t>
  </si>
  <si>
    <t>Email: $10 off is waiting for you ⏱️</t>
  </si>
  <si>
    <t>3431409aa6b412e50672dba01af7055abdfbd51ad624ab32351edce595600c28</t>
  </si>
  <si>
    <t>EXHIBIT_EMAIL_20241126_1349_be3cb3c8</t>
  </si>
  <si>
    <t>2024-11-26T19:06:59+00:00</t>
  </si>
  <si>
    <t>Email: An 8-in-1 crib?!</t>
  </si>
  <si>
    <t>be3cb3c808463eeba5c8dca2f209092a7b7ed5e5de33a545cf936142a6ade8ca</t>
  </si>
  <si>
    <t>EXHIBIT_EMAIL_20250204_1350_8e2bef54</t>
  </si>
  <si>
    <t>2025-02-04T16:44:44+00:00</t>
  </si>
  <si>
    <t>Email: Chatbase is Back on Product Hunt</t>
  </si>
  <si>
    <t>8e2bef542c9b53a49f9c7061b9080e3aa3a07eb666314fe8367a174d5b425d6e</t>
  </si>
  <si>
    <t>EXHIBIT_EMAIL_20241206_1351_d36bf01c</t>
  </si>
  <si>
    <t>2024-12-06T23:40:03+00:00</t>
  </si>
  <si>
    <t>Email: Your OpenPhone Code</t>
  </si>
  <si>
    <t>d36bf01c96289cb855122284e728eb28c0cf36184f9c5c4aafec67f3df33ee83</t>
  </si>
  <si>
    <t>EXHIBIT_EMAIL_20241104_1352_98d5c84b</t>
  </si>
  <si>
    <t>2024-11-04T03:59:31+00:00</t>
  </si>
  <si>
    <t>Email: Scheduled Archive of Google Data started</t>
  </si>
  <si>
    <t>98d5c84b3c782dc67a8e82ab8c7d54f851e796e1b4902094ee56961026c47452</t>
  </si>
  <si>
    <t>EXHIBIT_EMAIL_20241119_1353_46dcd481</t>
  </si>
  <si>
    <t>2024-11-19T19:03:36+00:00</t>
  </si>
  <si>
    <t>Email: A helpful way to prep for feeding baby</t>
  </si>
  <si>
    <t>46dcd48151a981bebc191d6c241fcb2225b4487db9b34069ab9bcfb278d3c5c2</t>
  </si>
  <si>
    <t>EXHIBIT_EMAIL_20241209_1354_3fbdafbe</t>
  </si>
  <si>
    <t>2024-12-09T11:39:21-05:00</t>
  </si>
  <si>
    <t>Email: Up to 50% off Holiday Faves &amp; More Deals 🎅</t>
  </si>
  <si>
    <t>3fbdafbed73fb10a94db89dc7d99e343d650f979c7368819b66e8f56ddf93573</t>
  </si>
  <si>
    <t>EXHIBIT_EMAIL_20241106_1355_bbd5ed35</t>
  </si>
  <si>
    <t>2024-11-06T05:30:39+00:00</t>
  </si>
  <si>
    <t>Email: vroofn, play with a  100% Bonus + 50 Free Spins! 💸</t>
  </si>
  <si>
    <t>bbd5ed35348acd50eface5b5e2990553950b49620143d80b08ce061c5f884827</t>
  </si>
  <si>
    <t>EXHIBIT_EMAIL_20241116_1356_ddfc5338</t>
  </si>
  <si>
    <t>2024-11-16T11:37:04+00:00</t>
  </si>
  <si>
    <t>Email: [Personal] Your Wednesday evening order with Uber Eats</t>
  </si>
  <si>
    <t>ddfc5338031367661c0d62771d2d8cf5c332679af91d700567f6a506c2562764</t>
  </si>
  <si>
    <t>EXHIBIT_EMAIL_20241203_1357_f2d2eb68</t>
  </si>
  <si>
    <t>2024-12-03T20:17:55+00:00</t>
  </si>
  <si>
    <t>f2d2eb68e1c3a78e19b074666be35ee7ffa0f51fbfc4ba17e154a13dae13bd4a</t>
  </si>
  <si>
    <t>EXHIBIT_EMAIL_20241203_1358_7c886b78</t>
  </si>
  <si>
    <t>2024-12-03T12:38:47-04:00</t>
  </si>
  <si>
    <t>Email: Atlantic Lottery - Your password reset request.</t>
  </si>
  <si>
    <t>7c886b784b30f6321824a5b17e5e1098293ff91780354f767112cf30c23ff700</t>
  </si>
  <si>
    <t>EXHIBIT_EMAIL_20241226_1359_3b58fadb</t>
  </si>
  <si>
    <t>2024-12-26T10:21:28-06:00</t>
  </si>
  <si>
    <t>Email: Deals to make your Boxing Day</t>
  </si>
  <si>
    <t>3b58fadbd24737be9d889552b68ebc5fa8dfe4d237a8d3742d31d8bf4df3f2cd</t>
  </si>
  <si>
    <t>EXHIBIT_EMAIL_20250115_1360_9ac5b008</t>
  </si>
  <si>
    <t>2025-01-15T01:24:21+00:00</t>
  </si>
  <si>
    <t>Email: Create Google Slides 10x better</t>
  </si>
  <si>
    <t>9ac5b008a9c85daa8a143df198bac27bbd01b2c303c75422a07ab72e3f40eb80</t>
  </si>
  <si>
    <t>EXHIBIT_EMAIL_20241208_1361_6a157655</t>
  </si>
  <si>
    <t>2024-12-08T20:33:21+00:00</t>
  </si>
  <si>
    <t>6a157655f0da976e7c3002aa7a6b9a47596ba4bc16e6a3f24ba87f7cd73223eb</t>
  </si>
  <si>
    <t>EXHIBIT_EMAIL_20241115_1362_be7d5162</t>
  </si>
  <si>
    <t>2024-11-15T09:51:51-06:00</t>
  </si>
  <si>
    <t>Email: Black Friday Deals: Up to 50% off for you 😊</t>
  </si>
  <si>
    <t>be7d51620298be624306a304b391b7789f219551653ed86038dfa0d18f6164ec</t>
  </si>
  <si>
    <t>EXHIBIT_EMAIL_20241218_1363_35a980b1</t>
  </si>
  <si>
    <t>2024-12-18T11:19:39+00:00</t>
  </si>
  <si>
    <t>35a980b16a8fe18bc8f34233aeb475b46ca93632109b9082cd014b6dd336014d</t>
  </si>
  <si>
    <t>EXHIBIT_EMAIL_20250112_1364_0a676613</t>
  </si>
  <si>
    <t>2025-01-12T08:00:05+00:00</t>
  </si>
  <si>
    <t>Email: Mailchimp billing estimate</t>
  </si>
  <si>
    <t>0a6766130eb8bd56cb157cab342f6d53219b0e5152849a77b3a957949c7dba6b</t>
  </si>
  <si>
    <t>EXHIBIT_EMAIL_20241102_1365_c7d56435</t>
  </si>
  <si>
    <t>2024-11-02T05:30:03+00:00</t>
  </si>
  <si>
    <t>Email: vroofn, Deposit CAD 5, Get 77 Free Spins! ⚡️</t>
  </si>
  <si>
    <t>c7d56435df75116c2549f0840d7431ff00d2c02733aed0562e74ec1d57bc1a76</t>
  </si>
  <si>
    <t>EXHIBIT_EMAIL_20241127_1366_023fc71c</t>
  </si>
  <si>
    <t>2024-11-27T15:10:33-06:00</t>
  </si>
  <si>
    <t>Email: Merry deals await for you!</t>
  </si>
  <si>
    <t>023fc71c57570172e5cd61eaf793f579d09c2041b4c9a29121e2049da5c24e34</t>
  </si>
  <si>
    <t>EXHIBIT_EMAIL_20250103_1367_401c6964</t>
  </si>
  <si>
    <t>2025-01-03T09:16:33-06:00</t>
  </si>
  <si>
    <t>Email: Fresh finds to fuel your new year 🥗</t>
  </si>
  <si>
    <t>401c6964e4a0c6f4e7e3596b9ea6f6e115353658f19a3b0a94b6f1eb3ec37b51</t>
  </si>
  <si>
    <t>EXHIBIT_EMAIL_20241119_1368_798fffc9</t>
  </si>
  <si>
    <t>2024-11-19T05:30:22+00:00</t>
  </si>
  <si>
    <t>Email: vroofn, you have free spins on Fishin' Pots Of Gold™! 🐟</t>
  </si>
  <si>
    <t>798fffc9427b9aea004fb7f099070b1b7d3d563a0e26df4953a6d3492c3e6bd2</t>
  </si>
  <si>
    <t>EXHIBIT_EMAIL_20250119_1369_b4549f95</t>
  </si>
  <si>
    <t>2025-01-19T09:07:27-05:00</t>
  </si>
  <si>
    <t>Email: LAST CHANCE! Sale Ends Soon ⏰</t>
  </si>
  <si>
    <t>b4549f951a7876350224ad058402c630b55320177d2bbbcb49299636ab1e8137</t>
  </si>
  <si>
    <t>EXHIBIT_EMAIL_20250204_1370_cc5b86a9</t>
  </si>
  <si>
    <t>2025-02-04T23:47:40+00:00</t>
  </si>
  <si>
    <t>Email: Build Your Dream App — Now Free to Try on iOS &amp; Android</t>
  </si>
  <si>
    <t>cc5b86a9a1e75df90ab84a9772771e7f08b52efe7c68df7c52618840ea347b6a</t>
  </si>
  <si>
    <t>EXHIBIT_EMAIL_20241114_1371_244aa24e</t>
  </si>
  <si>
    <t>2024-11-14T04:15:55+00:00</t>
  </si>
  <si>
    <t>Email: If I connect a neutral wire to the ground rod, is there any case where there will be ...?</t>
  </si>
  <si>
    <t>244aa24ef27695e4cf3173e5a557bfbb2d1faf0ce7c3401629adfa7966ae4afd</t>
  </si>
  <si>
    <t>EXHIBIT_EMAIL_20241204_1372_4c44fb68</t>
  </si>
  <si>
    <t>2024-12-04T18:59:30+00:00</t>
  </si>
  <si>
    <t>Email: Ends soon: Spend only $10 to skip delivery fees</t>
  </si>
  <si>
    <t>4c44fb684f3d7bf53ee7e899ba7bc2a49cef09138fd3ebbdfbcbf53f441ee913</t>
  </si>
  <si>
    <t>EXHIBIT_EMAIL_20241207_1373_42e9b5ab</t>
  </si>
  <si>
    <t>2024-12-07T04:38:58-08:00</t>
  </si>
  <si>
    <t>Email: Welcome to your family group</t>
  </si>
  <si>
    <t>42e9b5abc66405a2cb7e435651d95e792858994b53af6e8f49765739870ef383</t>
  </si>
  <si>
    <t>EXHIBIT_EMAIL_20250211_1374_6a74d3d8</t>
  </si>
  <si>
    <t>2025-02-11T10:06:53+00:00</t>
  </si>
  <si>
    <t>Email: Your Subway® MVP Rewards points are expiring soon</t>
  </si>
  <si>
    <t>6a74d3d830425aae75d9ba763d59ee527813a64119c024a7ec5b776202cd1106</t>
  </si>
  <si>
    <t>EXHIBIT_EMAIL_20250122_1375_fb2a6e6f</t>
  </si>
  <si>
    <t>2025-01-22T15:10:34-06:00</t>
  </si>
  <si>
    <t>Email: Ready for some serious savings? 🤔</t>
  </si>
  <si>
    <t>fb2a6e6fce36cbcb3c4a5d2945bc38d4bdcd9712a864ddf561364cc3e0959300</t>
  </si>
  <si>
    <t>EXHIBIT_EMAIL_20241119_1376_b894a86e</t>
  </si>
  <si>
    <t>2024-11-19T11:13:02-06:00</t>
  </si>
  <si>
    <t>b894a86e7afa213e0ce2cf4c34074c4e24d8ed2f2854f3fcb948ae58545b5204</t>
  </si>
  <si>
    <t>EXHIBIT_EMAIL_20250107_1377_d7c753a6</t>
  </si>
  <si>
    <t>2025-01-07T18:34:44+00:00</t>
  </si>
  <si>
    <t>Email: Hi Craig, finish login with your Dropbox security code</t>
  </si>
  <si>
    <t>d7c753a6bd0509025d47b6bf063be8747bfb17d7b27dada0a25219ad64887eec</t>
  </si>
  <si>
    <t>EXHIBIT_EMAIL_20250107_1378_c0fc2bf4</t>
  </si>
  <si>
    <t>2025-01-07T18:33:55+00:00</t>
  </si>
  <si>
    <t>c0fc2bf49ae7e340978b39f8fc2a2515fd12c990270ffd1a9630a23563502a67</t>
  </si>
  <si>
    <t>EXHIBIT_EMAIL_20241111_1379_c1dafeb0</t>
  </si>
  <si>
    <t>2024-11-11T10:38:45-06:00</t>
  </si>
  <si>
    <t>Email: 2 DAYS LEFT! Shop Black Friday Early Deals NOW ⏰</t>
  </si>
  <si>
    <t>c1dafeb045bd704b4393b19e88a7c8b2499007bf1329219d60867b6af5a7244d</t>
  </si>
  <si>
    <t>EXHIBIT_EMAIL_20250110_1380_25dddc1e</t>
  </si>
  <si>
    <t>2025-01-10T10:31:46-08:00</t>
  </si>
  <si>
    <t>Email: Download the Copilot mobile app for intuitive design, helpful responses</t>
  </si>
  <si>
    <t>25dddc1e611f52e19974933ec151e728e44e38b034ec1bdbb6d7909fbde3304e</t>
  </si>
  <si>
    <t>EXHIBIT_EMAIL_20241126_1381_c86edc45</t>
  </si>
  <si>
    <t>2024-11-26T14:11:37+00:00</t>
  </si>
  <si>
    <t>Email: Play it back with Spotify Premium. Get 3 months for $12.69.</t>
  </si>
  <si>
    <t>$12.69/mo. after. Cancel anytime."</t>
  </si>
  <si>
    <t>c86edc452207162354feafe8adf75025c2cb280b158dbe3bcf1cfcc5646951ee</t>
  </si>
  <si>
    <t>EXHIBIT_EMAIL_20250110_1382_cd29b728</t>
  </si>
  <si>
    <t>2025-01-10T17:31:41-08:00</t>
  </si>
  <si>
    <t>Email: Great, Craig, you submitted your website application!</t>
  </si>
  <si>
    <t>cd29b728ae6537796013355aaff2cef4a1c7ab349de83c6e77088c140adb1af2</t>
  </si>
  <si>
    <t>EXHIBIT_EMAIL_20250129_1383_fe609770</t>
  </si>
  <si>
    <t>2025-01-29T08:31:25+00:00</t>
  </si>
  <si>
    <t>fe60977027034ab960b5bab652aba8bc25cdbb50c1d4f41d6a9dc33f98d18750</t>
  </si>
  <si>
    <t>EXHIBIT_EMAIL_20241101_1384_70d0e8d5</t>
  </si>
  <si>
    <t>2024-11-01T09:31:07-06:00</t>
  </si>
  <si>
    <t>Email: Grocery pickup or delivery? Your choice 😊</t>
  </si>
  <si>
    <t>70d0e8d50f08ccef27e0b5732c825357869989b6df2f646070c67b3e14339100</t>
  </si>
  <si>
    <t>EXHIBIT_EMAIL_20250104_1385_0e6d8bd2</t>
  </si>
  <si>
    <t>2025-01-04T06:00:23+00:00</t>
  </si>
  <si>
    <t>Email: vroofn, Deposit CAD 5, Get 77 Free Spins! 🎤</t>
  </si>
  <si>
    <t>0e6d8bd222635fa865e32e7cae4f3bc909543b2231d2b35f985268758060478a</t>
  </si>
  <si>
    <t>EXHIBIT_EMAIL_20241112_1386_0334ac0c</t>
  </si>
  <si>
    <t>2024-11-12T09:23:07-06:00</t>
  </si>
  <si>
    <t>Email: Get away for the holidays with Member Prices</t>
  </si>
  <si>
    <t>0334ac0c0fa677a972749c43a2e570ef9fd381046c76722dfe67bacf18a10bf0</t>
  </si>
  <si>
    <t>EXHIBIT_EMAIL_20250124_1387_1de4b667</t>
  </si>
  <si>
    <t>2025-01-24T09:08:08-06:00</t>
  </si>
  <si>
    <t>Email: New Deals + OREO Hot Chocolate Now In-Store</t>
  </si>
  <si>
    <t>1de4b66792b88ca95822e0c8dbcd214f16f22574242530f912a439162e951891</t>
  </si>
  <si>
    <t>EXHIBIT_EMAIL_20241122_1388_a90476dc</t>
  </si>
  <si>
    <t>2024-11-22T04:01:14+01:00</t>
  </si>
  <si>
    <t>Email: obtiens jusqu’à 60 % de rabais sur tes articles préférés</t>
  </si>
  <si>
    <t>a90476dc8aaaa4164d2bf4ee4da4ca4983f15d19cbd7617c03906a91990b0ef4</t>
  </si>
  <si>
    <t>EXHIBIT_EMAIL_20241204_1389_ecf2ff55</t>
  </si>
  <si>
    <t>2024-12-04T09:12:34+00:00</t>
  </si>
  <si>
    <t>Email: 5 Cozy English Country Cottages | 25 Kitchen Storage Features Pros Swear By</t>
  </si>
  <si>
    <t>ecf2ff556bddc705b85bc15ebc2eed5034a49d35e97e13c2603b85696ea8cf2a</t>
  </si>
  <si>
    <t>EXHIBIT_EMAIL_20241117_1390_cdea3867</t>
  </si>
  <si>
    <t>2024-11-17T02:03:48+00:00</t>
  </si>
  <si>
    <t>Email: Viral products worth the hype &amp; “my BFF’s dad” names</t>
  </si>
  <si>
    <t>cdea38673fcd66ce31bac79cc724422ab82b21595df80b118295f16a0550518a</t>
  </si>
  <si>
    <t>EXHIBIT_EMAIL_20241227_1391_71a36c1b</t>
  </si>
  <si>
    <t>2024-12-27T17:45:19+00:00</t>
  </si>
  <si>
    <t>Email: The KOHO 2024 recap awaits!</t>
  </si>
  <si>
    <t>71a36c1bbb04ae2271f935ea3a6eb7841e02cd9039d22695fcf00572803eb8f6</t>
  </si>
  <si>
    <t>EXHIBIT_EMAIL_20241118_1392_95a1731a</t>
  </si>
  <si>
    <t>2024-11-18T10:30:24-05:00</t>
  </si>
  <si>
    <t>Email: Introducing: The Webinar Wizard 🪄</t>
  </si>
  <si>
    <t>95a1731ace9e66a050dd8e59516db83a4f4b2fa4aa9684b5adf1cd1b4173d716</t>
  </si>
  <si>
    <t>EXHIBIT_EMAIL_20241216_1393_34389f47</t>
  </si>
  <si>
    <t>2024-12-16T14:40:28+00:00</t>
  </si>
  <si>
    <t>Email: Christmas Sale: 88% off for K</t>
  </si>
  <si>
    <t>34389f47cf31a3b3669b4c90ca635316f74ad86a4340bab43727b4f0069f44f1</t>
  </si>
  <si>
    <t>EXHIBIT_EMAIL_20241119_1394_bc8ce6df</t>
  </si>
  <si>
    <t>2024-11-19T20:14:41+00:00</t>
  </si>
  <si>
    <t>Email: My landlord hasn't picked up rent for almost 1 year. He doesn't answer the phone or t...?</t>
  </si>
  <si>
    <t>bc8ce6dfee6638759b1e5ac2ab24cf249642cbbc7553dd7b32180da7c2677871</t>
  </si>
  <si>
    <t>EXHIBIT_EMAIL_20241121_1395_eec113f3</t>
  </si>
  <si>
    <t>2024-11-21T17:50:04+00:00</t>
  </si>
  <si>
    <t>Email: Black Friday deals start now</t>
  </si>
  <si>
    <t>eec113f3b59f030e074f1ce0be4db972000bba96d5f7e9207cf809827374ca0a</t>
  </si>
  <si>
    <t>EXHIBIT_EMAIL_20241115_1396_9cc983f9</t>
  </si>
  <si>
    <t>2024-11-15T20:19:24+00:00</t>
  </si>
  <si>
    <t>Email: Please Confirm It ASAP...</t>
  </si>
  <si>
    <t>9cc983f90dcf4298113307d1f54cfcfdd8f69f92fc968b006f31b03a3f2e5e97</t>
  </si>
  <si>
    <t>EXHIBIT_EMAIL_20241122_1397_25d37d75</t>
  </si>
  <si>
    <t>2024-11-22T20:12:59+00:00</t>
  </si>
  <si>
    <t>Email: Successfully Accepted ✅</t>
  </si>
  <si>
    <t>25d37d75e134cdebedd1b75a1f5ed5f9ca6e4801796af0a8c8d50227f1105dd7</t>
  </si>
  <si>
    <t>EXHIBIT_EMAIL_20241123_1398_8d90686f</t>
  </si>
  <si>
    <t>2024-11-23T12:20:20+00:00</t>
  </si>
  <si>
    <t>Email: 5 Item(s) are ghosting from Your Cart🦇</t>
  </si>
  <si>
    <t>8d90686ff6c3cec27b552477554eb9447bb493067e2ac9f183f3a3d026a35c54</t>
  </si>
  <si>
    <t>EXHIBIT_EMAIL_20241211_1399_a020d43d</t>
  </si>
  <si>
    <t>2024-12-11T05:28:18+01:00</t>
  </si>
  <si>
    <t>a020d43d5174baa326ad326571af55c3c033fd46506d65b67b8e3fad3049fd72</t>
  </si>
  <si>
    <t>EXHIBIT_EMAIL_20250129_1400_04090574</t>
  </si>
  <si>
    <t>2025-01-29T11:17:30+00:00</t>
  </si>
  <si>
    <t>Email: Your future online store is waiting</t>
  </si>
  <si>
    <t>04090574360dac5a850a7f6d57a43088a1af8ce3a950fcf60e1c656aaba73cf9</t>
  </si>
  <si>
    <t>EXHIBIT_EMAIL_20241110_1401_b1303fb1</t>
  </si>
  <si>
    <t>2024-11-10T11:05:57-06:00</t>
  </si>
  <si>
    <t>Email: UP TO 40% OFF! Black Friday Early Deals are on 🚨</t>
  </si>
  <si>
    <t>b1303fb1227ddd9a7811854a71d4c72741447f03d7e8773f17fd4084264d9f8c</t>
  </si>
  <si>
    <t>EXHIBIT_EMAIL_20241129_1402_81fd06f6</t>
  </si>
  <si>
    <t>2024-11-29T16:15:36-08:00</t>
  </si>
  <si>
    <t>81fd06f639faa37669e9de77bb7ced12b5833070b966cdf27c61b3af47410ba0</t>
  </si>
  <si>
    <t>EXHIBIT_EMAIL_20241121_1403_8f013455</t>
  </si>
  <si>
    <t>2024-11-21T10:15:47-06:00</t>
  </si>
  <si>
    <t>Email: NEW DEALS ADDED! Up to 50% off for Black Friday 🙌</t>
  </si>
  <si>
    <t>8f0134550686efb140606fdd4e12e082bc8aaf884d79aa4e6e836777b474f2cf</t>
  </si>
  <si>
    <t>EXHIBIT_EMAIL_20241202_1404_76a79d87</t>
  </si>
  <si>
    <t>2024-12-02T19:03:19+01:00</t>
  </si>
  <si>
    <t>Email: 60 % de rabais + 25 % de rabais = 100 % bonheur</t>
  </si>
  <si>
    <t>76a79d878e39ffea5271e5919eb9bb3c7c8af6dc7a8353bed282d576d7c15600</t>
  </si>
  <si>
    <t>EXHIBIT_EMAIL_20241212_1405_0baaec35</t>
  </si>
  <si>
    <t>2024-12-12T04:30:09+00:00</t>
  </si>
  <si>
    <t>Email: vroofn, you have free spins on Bass Cash X UP™! 🎣</t>
  </si>
  <si>
    <t>0baaec35ec7924926590cf983ef81d5ee5df12d3a475943f5a2296598b0d6af3</t>
  </si>
  <si>
    <t>EXHIBIT_EMAIL_20250113_1406_61276f39</t>
  </si>
  <si>
    <t>2025-01-13T09:40:59-06:00</t>
  </si>
  <si>
    <t>Email: Your home refresh starts here 🧹🏠</t>
  </si>
  <si>
    <t>61276f3910ea4d1d37fcf0b2c35098fde7236b593543b7bf7c5de5764e27d7b6</t>
  </si>
  <si>
    <t>EXHIBIT_EMAIL_20241101_1407_6b29867b</t>
  </si>
  <si>
    <t>2024-11-01T15:34:21-05:00</t>
  </si>
  <si>
    <t>Email: Epic $4K Gaming Prize Packs + Save on Fuel with Hometown Rewards</t>
  </si>
  <si>
    <t>6b29867b9f224e57d078e7af60dc7a60ad7280721919c185046e2a03c3548a9a</t>
  </si>
  <si>
    <t>EXHIBIT_EMAIL_20241107_1408_65267e1e</t>
  </si>
  <si>
    <t>2024-11-07T10:53:35-06:00</t>
  </si>
  <si>
    <t>Email: UP TO 40% OFF! BLACK FRIDAY EARLY DEALS 🙌</t>
  </si>
  <si>
    <t>65267e1ee38a9ae9e66ae0e3a877228a43920b99eb5718d2599f3501c5b8afd6</t>
  </si>
  <si>
    <t>EXHIBIT_EMAIL_20241202_1409_78716fde</t>
  </si>
  <si>
    <t>2024-12-02T00:01:26+01:00</t>
  </si>
  <si>
    <t>Email: Joue à ta façon avec PUMA x PLAYMOBIL</t>
  </si>
  <si>
    <t>78716fde82b542f0524ed5cc358ecaec533031f9f431e021d056305a9998ec79</t>
  </si>
  <si>
    <t>EXHIBIT_EMAIL_20241104_1410_f7636946</t>
  </si>
  <si>
    <t>2024-11-04T21:02:14+00:00</t>
  </si>
  <si>
    <t>Email: Miss easy shopping? Top picks are ready for you.</t>
  </si>
  <si>
    <t>f76369460ce52435dc7ed8cacd8e396a754f42c5173bb205dd2f430b80af2866</t>
  </si>
  <si>
    <t>EXHIBIT_EMAIL_20250118_1411_f7eed3f2</t>
  </si>
  <si>
    <t>2025-01-18T06:00:05+00:00</t>
  </si>
  <si>
    <t>Email: vroofn, Deposit CAD 5, Get 77 Free Spins! 🌛</t>
  </si>
  <si>
    <t>f7eed3f20f7710960036c30ea16a8ed20ceae1238668d24fd7c3becd697d9ab0</t>
  </si>
  <si>
    <t>EXHIBIT_EMAIL_20241116_1412_26d691bc</t>
  </si>
  <si>
    <t>2024-11-16T02:00:37+00:00</t>
  </si>
  <si>
    <t>26d691bc09e2b21b45f65c987f2f696fcb6da3b0347097d8de0fa90c1f0a6f73</t>
  </si>
  <si>
    <t>EXHIBIT_EMAIL_20241106_1413_f468ebc9</t>
  </si>
  <si>
    <t>2024-11-06T19:52:19-08:00</t>
  </si>
  <si>
    <t>Email: charliewharlie369, see Jessie Fleming, Mackenzie Verner and more in your feed</t>
  </si>
  <si>
    <t>f468ebc93b6fe432b84c83e94b5fb68a914434837591aa37c0fff89fb4fd5e61</t>
  </si>
  <si>
    <t>EXHIBIT_EMAIL_20241204_1414_0dade033</t>
  </si>
  <si>
    <t>2024-12-04T12:03:55+00:00</t>
  </si>
  <si>
    <t>Email: Want a FREE Footlong cookie? Buy a Footlong sub, today only! 🚨 🍪</t>
  </si>
  <si>
    <t>0dade033c708311512b292741aede6caec4fe2a05841a75190766a63c6805eb0</t>
  </si>
  <si>
    <t>EXHIBIT_EMAIL_20241127_1415_3f7f9fe8</t>
  </si>
  <si>
    <t>2024-11-27T22:32:05-08:00</t>
  </si>
  <si>
    <t>3f7f9fe83dc09797d6f1b07fa9e77045fad4fac85285f299b55e412d8c48692d</t>
  </si>
  <si>
    <t>EXHIBIT_EMAIL_20250213_1416_daaf6021</t>
  </si>
  <si>
    <t>2025-02-13T12:02:13+00:00</t>
  </si>
  <si>
    <t>Email: Get a $5 Snackwich Bundle before it is gone‼️</t>
  </si>
  <si>
    <t>daaf60210fe1d46c011233cf2ade8cdfb9225ebd9bbf78a1aa5b12f3ab7bad5d</t>
  </si>
  <si>
    <t>EXHIBIT_EMAIL_20241116_1417_bd3bc8f3</t>
  </si>
  <si>
    <t>2024-11-16T09:45:24-06:00</t>
  </si>
  <si>
    <t>Email: Up to 50% off home &amp; more BLACK FRIDAY DEALS ✨</t>
  </si>
  <si>
    <t>bd3bc8f30dc88bdd1efccadd262876a710d591fa9bd9b4d4e582bec9732d8c22</t>
  </si>
  <si>
    <t>EXHIBIT_EMAIL_20250122_1418_4cb6a5a1</t>
  </si>
  <si>
    <t>2025-01-22T23:14:42+00:00</t>
  </si>
  <si>
    <t>4cb6a5a18302ac92017164666653af6fee78f2a63cb0101bf851f2dc9b9aefff</t>
  </si>
  <si>
    <t>EXHIBIT_EMAIL_20250103_1419_f79aac26</t>
  </si>
  <si>
    <t>2025-01-03T09:07:21-05:00</t>
  </si>
  <si>
    <t>Email: 💥 Buy 3, Get the 4th FREE: Graphic Novels, Manga &amp; Teen Books</t>
  </si>
  <si>
    <t>f79aac26508b97c873a1ec0f7d6d39165a789a938acf6debc800b22fb142cc6c</t>
  </si>
  <si>
    <t>EXHIBIT_EMAIL_20241113_1420_ee45912d</t>
  </si>
  <si>
    <t>2024-11-13T21:05:51-06:00</t>
  </si>
  <si>
    <t>Email: NOW LIVE: Black Friday Deals — Up to 50% off  🔥🖤</t>
  </si>
  <si>
    <t>ee45912d8022dadda3702d88b8bd070132bfde72bddaf0ea095a396658d576c6</t>
  </si>
  <si>
    <t>EXHIBIT_EMAIL_20241212_1421_63a1b908</t>
  </si>
  <si>
    <t>2024-12-12T09:10:33-06:00</t>
  </si>
  <si>
    <t>Email: Your free trial is ending on 2024-12-15.</t>
  </si>
  <si>
    <t>63a1b908702d6c580f10fd6b07ba3197ed8e9f7b6a36613a23ed3563f075540e</t>
  </si>
  <si>
    <t>EXHIBIT_EMAIL_20241107_1422_0c0e8157</t>
  </si>
  <si>
    <t>2024-11-07T14:45:43+00:00</t>
  </si>
  <si>
    <t>Email: BOGO before it’s a no go!</t>
  </si>
  <si>
    <t>0c0e815798a018b23656662c3ad6dbadadec119dfec188a51302d6179cfc4bb4</t>
  </si>
  <si>
    <t>EXHIBIT_EMAIL_20241102_1423_04356b4b</t>
  </si>
  <si>
    <t>2024-11-02T20:12:00+00:00</t>
  </si>
  <si>
    <t>Email: How likely are you to recommend Instacart to a friend or colleague?</t>
  </si>
  <si>
    <t>04356b4b697baffd3616dcbc5325ad0c847829a1e04f010b3b453b3dcbedefa5</t>
  </si>
  <si>
    <t>EXHIBIT_EMAIL_20250202_1424_a8f23387</t>
  </si>
  <si>
    <t>2025-02-02T00:35:44+00:00</t>
  </si>
  <si>
    <t>Email: New sign-in to your Samsung account</t>
  </si>
  <si>
    <t>a8f233870f5781f3ab53951723669d3f8332931cd4ad60c9fc63f2a1b713d868</t>
  </si>
  <si>
    <t>EXHIBIT_EMAIL_20241116_1425_46c9fa97</t>
  </si>
  <si>
    <t>2024-11-16T04:19:57+00:00</t>
  </si>
  <si>
    <t>Email: If you cry in jail/prison, do you get beat up?</t>
  </si>
  <si>
    <t>46c9fa972e22adf49e2ddde4dddc4d7851e9f9d815618a69077c955a76db28d7</t>
  </si>
  <si>
    <t>EXHIBIT_EMAIL_20241201_1426_55f483a0</t>
  </si>
  <si>
    <t>2024-12-01T21:03:25-06:00</t>
  </si>
  <si>
    <t>Email: NOW LIVE: Cyber Week Deals — Up to 50% off 🩵</t>
  </si>
  <si>
    <t>55f483a069c87e5e2913b0484e137ba4a13124aa51de53c281f7dafc3e2a19d4</t>
  </si>
  <si>
    <t>EXHIBIT_EMAIL_20241117_1427_a7555f75</t>
  </si>
  <si>
    <t>2024-11-17T19:23:46+00:00</t>
  </si>
  <si>
    <t>a7555f75cd014e178851d4bd58d1f99d20852b8cae8abf4c79f9c9bd51eb9f33</t>
  </si>
  <si>
    <t>EXHIBIT_EMAIL_20250208_1428_002e9aa4</t>
  </si>
  <si>
    <t>2025-02-08T01:52:27+00:00</t>
  </si>
  <si>
    <t>Email: Railway Functions,  CLI Updates, AI-powered Answer Generation in Help Station,</t>
  </si>
  <si>
    <t>Video Guides"</t>
  </si>
  <si>
    <t>002e9aa45d91d58a27b06bd4e8f417c4bda93b64f2f30528fdfa7dca08fb72d7</t>
  </si>
  <si>
    <t>EXHIBIT_EMAIL_20241210_1429_6e30fa17</t>
  </si>
  <si>
    <t>2024-12-10T00:15:52+00:00</t>
  </si>
  <si>
    <t>Email: Psst, in here: up to 50% off holiday cards and wall calendars</t>
  </si>
  <si>
    <t>6e30fa176f265dcebe022c968979dcc700d8972e2008553fdd857321cbf74fd5</t>
  </si>
  <si>
    <t>EXHIBIT_EMAIL_20241204_1430_fd44a0ee</t>
  </si>
  <si>
    <t>2024-12-04T04:30:08+00:00</t>
  </si>
  <si>
    <t>Email: vroofn, get a 200% Bonus! 💥</t>
  </si>
  <si>
    <t>fd44a0ee67a1a4574b2228cf46cc43248b388c3870153c1ad039ff44fbf4d698</t>
  </si>
  <si>
    <t>EXHIBIT_EMAIL_20250115_1431_a7e7ee9d</t>
  </si>
  <si>
    <t>2025-01-15T14:36:30-06:00</t>
  </si>
  <si>
    <t>Email: Don’t miss out - finish setting up your account today!</t>
  </si>
  <si>
    <t>a7e7ee9d19fa88413ebd9d5ed4533b5c332ab91f7fbd384e86c8a823c29f51dc</t>
  </si>
  <si>
    <t>EXHIBIT_EMAIL_20241114_1432_beeccc29</t>
  </si>
  <si>
    <t>2024-11-14T06:36:55+00:00</t>
  </si>
  <si>
    <t>Email: Join the Design Battle! It’s time to get creative 🎨💥</t>
  </si>
  <si>
    <t>beeccc29907c92a429e61b393312e938a23a5fd8e8f0cbeeb87af72fd0b931b9</t>
  </si>
  <si>
    <t>EXHIBIT_EMAIL_20250118_1433_fa4f04f6</t>
  </si>
  <si>
    <t>2025-01-18T23:54:35+00:00</t>
  </si>
  <si>
    <t>fa4f04f6cb7500c838449e0c1142be796b693d97e97f2e2c7c3caad873c8a0c7</t>
  </si>
  <si>
    <t>EXHIBIT_EMAIL_20241222_1434_e0cd9693</t>
  </si>
  <si>
    <t>2024-12-22T09:38:52-06:00</t>
  </si>
  <si>
    <t>Email: Get a sneak peek at BOXING WEEK DEALS 👀</t>
  </si>
  <si>
    <t>e0cd96932770985dbf07ab01ec4e16b8b1a8a27b6770c582ef03274d865675d6</t>
  </si>
  <si>
    <t>EXHIBIT_EMAIL_20241107_1435_89c3e9c5</t>
  </si>
  <si>
    <t>2024-11-07T00:15:10+00:00</t>
  </si>
  <si>
    <t>89c3e9c5384f6302227a27bb2e11cea76822d58d79742381119396a636acd38b</t>
  </si>
  <si>
    <t>EXHIBIT_EMAIL_20241106_1436_e92d22b9</t>
  </si>
  <si>
    <t>2024-11-06T23:15:19+00:00</t>
  </si>
  <si>
    <t>e92d22b9136e398100d3cede96651d84e41d6af221b57ff98d14cd9e85ccc275</t>
  </si>
  <si>
    <t>EXHIBIT_EMAIL_20241120_1437_c9b9dd26</t>
  </si>
  <si>
    <t>2024-11-20T14:23:37+00:00</t>
  </si>
  <si>
    <t>c9b9dd26c1b760725f114e720dc9a65ac63cbafb1c3420672a5c6c651169c582</t>
  </si>
  <si>
    <t>EXHIBIT_EMAIL_20250227_1438_503471d8</t>
  </si>
  <si>
    <t>2025-02-27T09:25:54+00:00</t>
  </si>
  <si>
    <t>Email: Let clients book your services themselves</t>
  </si>
  <si>
    <t>503471d8c315d0ab1e75b7290765e03d93b38e7e4504befbd45518c28f8ba108</t>
  </si>
  <si>
    <t>EXHIBIT_EMAIL_20250107_1439_8cba59eb</t>
  </si>
  <si>
    <t>2025-01-07T10:47:59-05:00</t>
  </si>
  <si>
    <t>Email: Tariffs, immigration and interest rates: What to expect in 2025</t>
  </si>
  <si>
    <t>8cba59eb774056e4c696cdbfa69d1545cf33f916ffb928169de7b9841fc71f9d</t>
  </si>
  <si>
    <t>EXHIBIT_EMAIL_20241202_1440_5426f1a7</t>
  </si>
  <si>
    <t>2024-12-02T11:11:30-06:00</t>
  </si>
  <si>
    <t>Email: Cyber Week Deals: Get up to 50% off now 🔥</t>
  </si>
  <si>
    <t>5426f1a77f10810ddbac364d1dc99ab9bef3e4f923a45a4eeb5a0028cd48e7b7</t>
  </si>
  <si>
    <t>EXHIBIT_EMAIL_20241123_1441_355deb20</t>
  </si>
  <si>
    <t>2024-11-23T05:30:03+00:00</t>
  </si>
  <si>
    <t>Email: vroofn, Deposit CAD 5, Get 77 Free Spins! 🐺</t>
  </si>
  <si>
    <t>355deb208ff02e931598c8dc8831a0270e564fd448de27bddbd63a804c48e0c8</t>
  </si>
  <si>
    <t>EXHIBIT_EMAIL_20241119_1442_f9fb38be</t>
  </si>
  <si>
    <t>2024-11-19T14:14:54+00:00</t>
  </si>
  <si>
    <t>f9fb38be5c0eb3183f7bd9cf5804eaed2c15fd09123a85dce3481b5bcf86d1c9</t>
  </si>
  <si>
    <t>EXHIBIT_EMAIL_20241224_1443_5dc73402</t>
  </si>
  <si>
    <t>2024-12-24T09:07:52-05:00</t>
  </si>
  <si>
    <t>Email: The Gift Card Every Booklover Wants</t>
  </si>
  <si>
    <t>5dc7340274a744ede1eafa7157e9d55d034c100790277d8208e0d20fabaa3ea9</t>
  </si>
  <si>
    <t>EXHIBIT_EMAIL_20250205_1444_7c33a43c</t>
  </si>
  <si>
    <t>2025-02-05T20:07:42+00:00</t>
  </si>
  <si>
    <t>Email: Restaurants everyone is loving</t>
  </si>
  <si>
    <t>7c33a43ca730157e3beea73beb3f32821c11a6358e7616b3487f96ed97a46290</t>
  </si>
  <si>
    <t>EXHIBIT_EMAIL_20250213_1445_fa76d581</t>
  </si>
  <si>
    <t>2025-02-13T08:44:41-04:00</t>
  </si>
  <si>
    <t>Email: Fwd: Interac e-Transfer: You've received $150.00 from Paul Carey and it has been automatically depos</t>
  </si>
  <si>
    <t>fa76d581b104fc0040e03977113d5c25cc2ea55b09481d48b68d23f3620c351d</t>
  </si>
  <si>
    <t>EXHIBIT_EMAIL_20241209_1446_5b9401cc</t>
  </si>
  <si>
    <t>2024-12-09T01:30:09-04:00</t>
  </si>
  <si>
    <t>5b9401cc9568eef31c0b11ece3211ef162e17f9e8fb4ebb63dec328905445de4</t>
  </si>
  <si>
    <t>EXHIBIT_EMAIL_20250118_1447_7ad1e556</t>
  </si>
  <si>
    <t>2025-01-18T07:55:10+01:00</t>
  </si>
  <si>
    <t>7ad1e556651440cf0516da605ba5bf3f94a0bff5603bf0114eee5b4d93934b39</t>
  </si>
  <si>
    <t>EXHIBIT_EMAIL_20250225_1448_166082fc</t>
  </si>
  <si>
    <t>2025-02-25T02:00:55+00:00</t>
  </si>
  <si>
    <t>Email: More for your buck!</t>
  </si>
  <si>
    <t>166082fcdb68b7edd66d58b21b81ecbd879734fb008c12307862a50a9174bf79</t>
  </si>
  <si>
    <t>EXHIBIT_EMAIL_20241120_1449_efbdc64e</t>
  </si>
  <si>
    <t>2024-11-20T05:30:08+00:00</t>
  </si>
  <si>
    <t>Email: vroofn, play with a 100% Bonus + 10 Free Spins! 🐉</t>
  </si>
  <si>
    <t>efbdc64ed416df89870a3bfab2da3a8261a7e50e0ddc41f1a33329f68c56a05d</t>
  </si>
  <si>
    <t>EXHIBIT_EMAIL_20250214_1450_263056bf</t>
  </si>
  <si>
    <t>263056bff0495a14d3f49878809d15519986cead50f7c63430ff0318b11c96a0</t>
  </si>
  <si>
    <t>EXHIBIT_EMAIL_20241105_1451_36523500</t>
  </si>
  <si>
    <t>2024-11-05T19:29:08+00:00</t>
  </si>
  <si>
    <t>Email: What Are Builders’ Margins for 2025?</t>
  </si>
  <si>
    <t>365235007d210cec50162fb7e3a567f4f33c0f81a8750461bb4a5251f364ed07</t>
  </si>
  <si>
    <t>EXHIBIT_EMAIL_20250122_1452_3a221019</t>
  </si>
  <si>
    <t>2025-01-22T19:30:35+00:00</t>
  </si>
  <si>
    <t>Email: 🚀 What’s new in OpenPhone: Make integration, phone menu insights, and more</t>
  </si>
  <si>
    <t>3a22101999d5e577fcbbb3031b4faf2fc7aa68e5123b818a1ee37b66f4c3a513</t>
  </si>
  <si>
    <t>EXHIBIT_EMAIL_20241112_1453_d7ad5038</t>
  </si>
  <si>
    <t>2024-11-12T20:33:50+00:00</t>
  </si>
  <si>
    <t>d7ad50388ae5672a8e75c4dc2d3e98d043ab089f696059dabcfab483eee915df</t>
  </si>
  <si>
    <t>EXHIBIT_EMAIL_20250202_1454_b2f8a321</t>
  </si>
  <si>
    <t>2025-02-02T00:36:41+00:00</t>
  </si>
  <si>
    <t>Email: 2-step verification settings changed</t>
  </si>
  <si>
    <t>b2f8a3215aad0a8ba07b64b1e678b5b966fb21a15e571df934d96a0ed50ef836</t>
  </si>
  <si>
    <t>EXHIBIT_EMAIL_20241105_1455_9df3ddbc</t>
  </si>
  <si>
    <t>2024-11-05T18:19:32+00:00</t>
  </si>
  <si>
    <t>Email: Emma, cover what matters most with a personal loan</t>
  </si>
  <si>
    <t>9df3ddbc19c8a6bf235c7c8f0da23dce03849a38dff2617730687e4656e07ba7</t>
  </si>
  <si>
    <t>EXHIBIT_EMAIL_20250210_1456_ea650a1e</t>
  </si>
  <si>
    <t>2025-02-10T14:29:42-06:00</t>
  </si>
  <si>
    <t>Email: Answer for a chance at $5,000!</t>
  </si>
  <si>
    <t>ea650a1e0a4c8e60c7aa235656353d16c021edc1919e8943ee2a5cd8733ef222</t>
  </si>
  <si>
    <t>EXHIBIT_EMAIL_20241126_1457_785e89ae</t>
  </si>
  <si>
    <t>2024-11-26T16:08:55+00:00</t>
  </si>
  <si>
    <t>Email: 37 Weeks Pregnant: What to Know About C-sections</t>
  </si>
  <si>
    <t>785e89ae1694e14e7995d851cc1984cae0f30d87195fea5befc5284799635fb4</t>
  </si>
  <si>
    <t>EXHIBIT_EMAIL_20250117_1458_fa5d07f8</t>
  </si>
  <si>
    <t>2025-01-17T05:09:53+01:00</t>
  </si>
  <si>
    <t>fa5d07f877f29f397d220747d1d669e1419ef4c14821ef7a6c8b811d01f35f13</t>
  </si>
  <si>
    <t>EXHIBIT_EMAIL_20241212_1459_b64b5c11</t>
  </si>
  <si>
    <t>2024-12-12T18:16:40-06:00</t>
  </si>
  <si>
    <t>Email: Your guide to stress-free last-minute shopping</t>
  </si>
  <si>
    <t>b64b5c1135c865c6e39bd994bf4994f4a17218c85e6a4999a4ef4b5ccd79f368</t>
  </si>
  <si>
    <t>EXHIBIT_EMAIL_20241213_1460_449790cf</t>
  </si>
  <si>
    <t>2024-12-13T16:59:18+00:00</t>
  </si>
  <si>
    <t>Email: Registration</t>
  </si>
  <si>
    <t>449790cf281258da98ef4555324eeecece49e9934b597f4255c47df820c64862</t>
  </si>
  <si>
    <t>EXHIBIT_EMAIL_20241218_1461_94438228</t>
  </si>
  <si>
    <t>2024-12-18T15:09:48-06:00</t>
  </si>
  <si>
    <t>Email: A merry week calls for merry deals</t>
  </si>
  <si>
    <t>944382284d4940ff7d79f71896603450868a6a95052e954c9809e32edbe32847</t>
  </si>
  <si>
    <t>EXHIBIT_EMAIL_20241210_1462_45384b9c</t>
  </si>
  <si>
    <t>2024-12-10T09:20:02-06:00</t>
  </si>
  <si>
    <t>Email: Here’s $10 off to get your shopping started 🙌</t>
  </si>
  <si>
    <t>45384b9c5b7a8a2e3bcf829a8ed3544cdd55a6b6806da784c4ae99c7bd56169c</t>
  </si>
  <si>
    <t>EXHIBIT_EMAIL_20240723_1463_3f903a4c</t>
  </si>
  <si>
    <t>2024-07-23T13:15:26-05:00</t>
  </si>
  <si>
    <t>Email: Is Luna drinking enough water?</t>
  </si>
  <si>
    <t>3f903a4ce0861596fa249253ac5e004eaf7edf21acf9ed80e27fe30902d9b3ae</t>
  </si>
  <si>
    <t>EXHIBIT_EMAIL_20241202_1464_38c463ac</t>
  </si>
  <si>
    <t>2024-12-02T08:40:47-06:00</t>
  </si>
  <si>
    <t>Email: ⚡ Cyber Monday ⚡ A week of deals and daily door crashers 🚪</t>
  </si>
  <si>
    <t>38c463ac1943073354e84e7e82718026bad90be7a2a24d8f8012ba64285ee07b</t>
  </si>
  <si>
    <t>EXHIBIT_EMAIL_20250115_1465_0d049c1f</t>
  </si>
  <si>
    <t>0d049c1f5d41db17c975c79e8daa0248b6fc81175ba4cc6c6625cdf14fc8697a</t>
  </si>
  <si>
    <t>EXHIBIT_EMAIL_20250218_1466_b39d9554</t>
  </si>
  <si>
    <t>2025-02-18T03:52:44+00:00</t>
  </si>
  <si>
    <t>b39d9554f567d03d95577805c5924a1ea82ef3695cc80301b1f263b5852ae4a9</t>
  </si>
  <si>
    <t>EXHIBIT_EMAIL_20241206_1467_386d01f8</t>
  </si>
  <si>
    <t>2024-12-06T09:47:05-06:00</t>
  </si>
  <si>
    <t>Email: Low prices on holiday meals are here 🍲</t>
  </si>
  <si>
    <t>386d01f80a040fa9a7ac9cc1227751a6f72546aee1777cf84d23b6739d12a322</t>
  </si>
  <si>
    <t>EXHIBIT_EMAIL_20250218_1468_9d1b6491</t>
  </si>
  <si>
    <t>2025-02-18T20:51:10+00:00</t>
  </si>
  <si>
    <t>9d1b649119f5512a32c923e0b5100f2f796371d0543f07f398629b961e3653d6</t>
  </si>
  <si>
    <t>EXHIBIT_EMAIL_20241128_1469_8ce4fc8a</t>
  </si>
  <si>
    <t>2024-11-28T13:31:16-08:00</t>
  </si>
  <si>
    <t>Email: End of support for Windows 10 — what you need to know</t>
  </si>
  <si>
    <t>8ce4fc8af6bd50151d42b5b88471e5364c46c310ff81c5b5b1c0fb8e1118d57a</t>
  </si>
  <si>
    <t>EXHIBIT_EMAIL_20241127_1470_ce1a0a7f</t>
  </si>
  <si>
    <t>2024-11-27T22:31:13-08:00</t>
  </si>
  <si>
    <t>ce1a0a7f6c78e2bda8b76767eb0222443acdd76752fb86d3541128928df49745</t>
  </si>
  <si>
    <t>EXHIBIT_EMAIL_20241127_1471_cbc95ad4</t>
  </si>
  <si>
    <t>2024-11-27T14:52:36+00:00</t>
  </si>
  <si>
    <t>Email: 📆 Check Out Your December Financial Calendar</t>
  </si>
  <si>
    <t>cbc95ad4ceb66ee6c24f3bff69cd433325a1dcb2b86fcd21a3c8225bd2032341</t>
  </si>
  <si>
    <t>EXHIBIT_EMAIL_20241112_1472_9bc7f296</t>
  </si>
  <si>
    <t>2024-11-12T10:57:43-06:00</t>
  </si>
  <si>
    <t>Email: Psst! BLACK FRIDAY DEALS start Nov 13 ⏳</t>
  </si>
  <si>
    <t>9bc7f2969d1072555804eda8568ca05ca265a789a48ff7d8e8f84ee83c364f22</t>
  </si>
  <si>
    <t>EXHIBIT_EMAIL_20241126_1473_115bfab4</t>
  </si>
  <si>
    <t>2024-11-26T14:21:16+00:00</t>
  </si>
  <si>
    <t>Email: 🛍️You deserve a little treat</t>
  </si>
  <si>
    <t>115bfab4d73a3d0da7a88e319c5cbc8074e528e2fcf07eaf36c0851b9aa1a511</t>
  </si>
  <si>
    <t>EXHIBIT_EMAIL_20241216_1474_7c51805b</t>
  </si>
  <si>
    <t>2024-12-16T00:36:58-04:00</t>
  </si>
  <si>
    <t>7c51805b93f7b4daa618685c8a0099e3d28d1eeec21c70ff44ee1c72ad26f72a</t>
  </si>
  <si>
    <t>EXHIBIT_EMAIL_20241108_1475_7f84af50</t>
  </si>
  <si>
    <t>2024-11-08T00:41:06+00:00</t>
  </si>
  <si>
    <t>7f84af50e817a54d8d4b7f9709a0a1821f3e85d3f60be7da95d46a30e7c20aeb</t>
  </si>
  <si>
    <t>EXHIBIT_EMAIL_20250124_1476_1d93b3a1</t>
  </si>
  <si>
    <t>2025-01-24T14:31:57-05:00</t>
  </si>
  <si>
    <t>Email: Psst ... 2025's Buzziest Books Are Here ➡️</t>
  </si>
  <si>
    <t>1d93b3a11badbb560985dc8fc39f8260b459f73f13d96de6ad0a9167557a5248</t>
  </si>
  <si>
    <t>EXHIBIT_EMAIL_20241122_1477_833f2474</t>
  </si>
  <si>
    <t>2024-11-22T08:02:43-06:00</t>
  </si>
  <si>
    <t>Email: Black Friday starts now: Join to get 30%+ off</t>
  </si>
  <si>
    <t>833f2474a8e796c4ff02c2dedf951d6f0d714a4e9b17461dc3389c707dd0f9e8</t>
  </si>
  <si>
    <t>EXHIBIT_EMAIL_20250116_1478_444d475e</t>
  </si>
  <si>
    <t>2025-01-16T08:07:54-08:00</t>
  </si>
  <si>
    <t>Email: Bring on the likes</t>
  </si>
  <si>
    <t>444d475e3da0f96aff4b1f4776b42fe67ce9ff94b54524735b09e7de7d27991b</t>
  </si>
  <si>
    <t>EXHIBIT_EMAIL_20241215_1479_bc745310</t>
  </si>
  <si>
    <t>2024-12-15T12:16:12+00:00</t>
  </si>
  <si>
    <t>Email: Ending soon | up to 30% off gifts that arrive by Christmas</t>
  </si>
  <si>
    <t>bc7453105d45d3e20e0727f4e351ee243539b86fe6751eb513536e02578f9c95</t>
  </si>
  <si>
    <t>EXHIBIT_EMAIL_20241123_1480_ca85b761</t>
  </si>
  <si>
    <t>2024-11-23T05:08:56+01:00</t>
  </si>
  <si>
    <t>ca85b761b248a62bf00f0a0143dafa7df1580ea452e5f37b3c99d70030f6bc1e</t>
  </si>
  <si>
    <t>EXHIBIT_EMAIL_20241113_1481_d6736598</t>
  </si>
  <si>
    <t>2024-11-13T15:08:14-06:00</t>
  </si>
  <si>
    <t>Email: Craig, ready to save? Grab your weekly deals today!</t>
  </si>
  <si>
    <t>d67365981d99cc38958e091cf591c958f6445ab58d7296d52db7d34c13c354da</t>
  </si>
  <si>
    <t>EXHIBIT_EMAIL_20250225_1482_ab919a11</t>
  </si>
  <si>
    <t>2025-02-25T11:55:52-06:00</t>
  </si>
  <si>
    <t>Email: Is AI taking over podcasting? 😲</t>
  </si>
  <si>
    <t>ab919a11c4e8f4b101bd2d629efde88ead12d66a0a18170f6a9205f8247ec3b5</t>
  </si>
  <si>
    <t>EXHIBIT_EMAIL_20241127_1483_2816e2fe</t>
  </si>
  <si>
    <t>2024-11-27T18:11:37-06:00</t>
  </si>
  <si>
    <t>Email: Make 2025 about new destinations</t>
  </si>
  <si>
    <t>2816e2fe90dae4bbb7d54206116a57770ab6cfe94e26f951af44e8face73179c</t>
  </si>
  <si>
    <t>EXHIBIT_EMAIL_20241216_1484_6ef2d681</t>
  </si>
  <si>
    <t>2024-12-16T04:28:50+00:00</t>
  </si>
  <si>
    <t>Email: Verify Email Address for Discord</t>
  </si>
  <si>
    <t>6ef2d681a8d08816599f3049bcdb09e61b5e1d5697155da89ea0952914fc4448</t>
  </si>
  <si>
    <t>EXHIBIT_EMAIL_20250213_1485_f296c2f7</t>
  </si>
  <si>
    <t>2025-02-13T19:05:59+00:00</t>
  </si>
  <si>
    <t>f296c2f710d39d6051aa9164891feccd5dee316eb7abfc585b466c0507388c62</t>
  </si>
  <si>
    <t>EXHIBIT_EMAIL_20241221_1486_3aa9683c</t>
  </si>
  <si>
    <t>2024-12-21T19:46:43+00:00</t>
  </si>
  <si>
    <t>3aa9683cd5e58d0e792a46d84bb5e56e882abe378ec4d45b90a844b7051e398d</t>
  </si>
  <si>
    <t>EXHIBIT_EMAIL_20250122_1487_0960cce2</t>
  </si>
  <si>
    <t>2025-01-22T20:13:51+00:00</t>
  </si>
  <si>
    <t>0960cce27311e107946fe11be93350d4693ab38ffdd79af465c8e5a210889cc7</t>
  </si>
  <si>
    <t>EXHIBIT_EMAIL_20250206_1488_8a3b1769</t>
  </si>
  <si>
    <t>8a3b176940b83ac73750b8ef8578644c10cc6083eae9d2d55546d0b97e0c42d6</t>
  </si>
  <si>
    <t>EXHIBIT_EMAIL_20241117_1489_21d7808e</t>
  </si>
  <si>
    <t>2024-11-17T04:25:15+00:00</t>
  </si>
  <si>
    <t>Email: If a police officer pulls you over for speeding and asks “do you know how fast you we...?</t>
  </si>
  <si>
    <t>21d7808e54cee63b4623c99c1a06a8eb6ec3c0f3e896b38dcb5344471e4613a6</t>
  </si>
  <si>
    <t>EXHIBIT_EMAIL_20241116_1490_5b093567</t>
  </si>
  <si>
    <t>2024-11-16T13:05:34+00:00</t>
  </si>
  <si>
    <t>Email: [Personal] Your Saturday morning order with Uber Eats</t>
  </si>
  <si>
    <t>5b093567f7709e0735d94f4e679df9e41be50222a2c911d8fac05644d63aade4</t>
  </si>
  <si>
    <t>EXHIBIT_EMAIL_20241216_1491_277af77f</t>
  </si>
  <si>
    <t>2024-12-16T12:15:25+00:00</t>
  </si>
  <si>
    <t>Email: It’s not too late! But you have to order now 🎁</t>
  </si>
  <si>
    <t>277af77f064858547b9a70feb8650bd82904f881d604cdbae6b2c4621b7d5a55</t>
  </si>
  <si>
    <t>EXHIBIT_EMAIL_20240430_1492_b3b1116f</t>
  </si>
  <si>
    <t>2024-04-30T16:05:51+00:00</t>
  </si>
  <si>
    <t>Email: Your March  Coinbase statement is ready to download</t>
  </si>
  <si>
    <t>b3b1116f7cadecb703cd4ead492656beabb65dd48b7810e949b6aeeadd27e443</t>
  </si>
  <si>
    <t>EXHIBIT_EMAIL_20250211_1493_1e83e5ce</t>
  </si>
  <si>
    <t>2025-02-11T10:03:08-06:00</t>
  </si>
  <si>
    <t>Email: Update for Avion Select members</t>
  </si>
  <si>
    <t>1e83e5ce6f36edabe5e6b60313cbd26bb0fc60dea00f22e1ef0e7beafc7b909a</t>
  </si>
  <si>
    <t>EXHIBIT_EMAIL_20241128_1494_584a48de</t>
  </si>
  <si>
    <t>2024-11-28T01:09:19+00:00</t>
  </si>
  <si>
    <t>Email: Get back into your Spotify account</t>
  </si>
  <si>
    <t>584a48de588019f082f0feaffdfaadee786b42beb6b7e41cbf9ff7b721034e7e</t>
  </si>
  <si>
    <t>EXHIBIT_EMAIL_20241128_1495_85ff35de</t>
  </si>
  <si>
    <t>2024-11-28T01:02:18+00:00</t>
  </si>
  <si>
    <t>85ff35de71ae5b5d7f7e7310bbf10848ede72ea3657932dd34503a4f11733dee</t>
  </si>
  <si>
    <t>EXHIBIT_EMAIL_20250127_1496_ab143cd9</t>
  </si>
  <si>
    <t>2025-01-27T09:38:24-06:00</t>
  </si>
  <si>
    <t>Email: Low prices on Valentine's Day gifts for all 💝</t>
  </si>
  <si>
    <t>ab143cd90c56f7e118f44a661cfc51cb5d635fc2e5992d8daa67dd8190e6edd6</t>
  </si>
  <si>
    <t>EXHIBIT_EMAIL_20241130_1497_0d3ac091</t>
  </si>
  <si>
    <t>2024-11-30T00:02:58+01:00</t>
  </si>
  <si>
    <t>Email: obtiens jusqu’à 60 % de rabais PLUS 20 % de rabais MAINTENANT</t>
  </si>
  <si>
    <t>0d3ac0911c9cdce1c2770a8b563ae39758d33b3b9ecee1704ebdde785a473bec</t>
  </si>
  <si>
    <t>EXHIBIT_EMAIL_20241115_1498_60e973d5</t>
  </si>
  <si>
    <t>2024-11-15T02:58:31+00:00</t>
  </si>
  <si>
    <t>60e973d5d7090b979fb80667f1d522592c2c311552854d211d40327c725afb5f</t>
  </si>
  <si>
    <t>EXHIBIT_EMAIL_20250129_1499_eff56868</t>
  </si>
  <si>
    <t>2025-01-29T06:00:07+00:00</t>
  </si>
  <si>
    <t>Email: vroofn, you have free spins on City Dawgs - Hold &amp; Win™! 🐶</t>
  </si>
  <si>
    <t>eff56868e329b6d72c48c67f0d7719c10ce3f56ce9066eff139d56b51ee386dc</t>
  </si>
  <si>
    <t>EXHIBIT_EMAIL_20250127_1500_43a23b1a</t>
  </si>
  <si>
    <t>2025-01-27T01:44:35+00:00</t>
  </si>
  <si>
    <t>Email: Your Zapier Chatbots trial has ended</t>
  </si>
  <si>
    <t>43a23b1a42706b7d3b69b3d47a73e35bca1601b78ffcb618e0776efa374bd473</t>
  </si>
  <si>
    <t>EXHIBIT_EMAIL_20241208_1501_29ef3f9a</t>
  </si>
  <si>
    <t>2024-12-08T08:20:21+00:00</t>
  </si>
  <si>
    <t>Email: Pantone’s 2025 Color of the Year | 4 Blue-and-Wood Bathrooms With a Curbless Shower</t>
  </si>
  <si>
    <t>29ef3f9a976b075bb8bf0085a9f8b7f495bcf119311c62aaaef09cf2c9eb9d39</t>
  </si>
  <si>
    <t>EXHIBIT_EMAIL_20250122_1502_b1040c06</t>
  </si>
  <si>
    <t>2025-01-22T14:45:08-04:00</t>
  </si>
  <si>
    <t>Email: Guardianship</t>
  </si>
  <si>
    <t>b1040c0630eef8556c79ec425fa54507ea94dee257ce0de9cf43432375ebd059</t>
  </si>
  <si>
    <t>EXHIBIT_EMAIL_20250203_1503_00cc4c9a</t>
  </si>
  <si>
    <t>2025-02-03T09:36:51-06:00</t>
  </si>
  <si>
    <t>Email: Cute plushies from $3.98 &amp; more 🧸</t>
  </si>
  <si>
    <t>00cc4c9acb21759f551270a453aa31f54b677a29ff80396c4d518f7668c329ca</t>
  </si>
  <si>
    <t>EXHIBIT_EMAIL_20241228_1504_ed532fc6</t>
  </si>
  <si>
    <t>2024-12-28T10:50:01-06:00</t>
  </si>
  <si>
    <t>Email: UP TO 45% OFF! BOXING WEEK DEALS CONTINUE 🙌</t>
  </si>
  <si>
    <t>ed532fc64a25a14fd448b718d08aed680c062a4242649997628b0d11644f7c10</t>
  </si>
  <si>
    <t>EXHIBIT_EMAIL_20241202_1505_329d6e16</t>
  </si>
  <si>
    <t>2024-12-02T07:09:18-05:00</t>
  </si>
  <si>
    <t>Email: Up to 30% OFF – Cyber Monday Is Booked! 📚</t>
  </si>
  <si>
    <t>329d6e160ebf3f35358b2d1c7fc13672a0cbd7ddcde3d041f1d41896db6654e3</t>
  </si>
  <si>
    <t>EXHIBIT_EMAIL_20241217_1506_dc913e0d</t>
  </si>
  <si>
    <t>2024-12-17T16:07:29+00:00</t>
  </si>
  <si>
    <t>Email: 40 Weeks Pregnant: Natural Induction Methods that *Work*</t>
  </si>
  <si>
    <t>dc913e0d5c3d51e6662efa2a3d7b0f563d5cd0dc1e31bdf9789c6a55059deb07</t>
  </si>
  <si>
    <t>EXHIBIT_EMAIL_20241111_1507_c86ec6ef</t>
  </si>
  <si>
    <t>2024-11-11T12:10:55+00:00</t>
  </si>
  <si>
    <t>c86ec6efc03a2217f8351c6ae535c379bf62c0084cbad653acc5a73a555b6b29</t>
  </si>
  <si>
    <t>EXHIBIT_EMAIL_20250131_1508_d0b453e6</t>
  </si>
  <si>
    <t>2025-01-31T23:31:45+01:00</t>
  </si>
  <si>
    <t>d0b453e68bf1452e72a44c4585bdd406b5469560ca96ae8673dfb2bbbb55428b</t>
  </si>
  <si>
    <t>EXHIBIT_EMAIL_20241225_1509_40ab9319</t>
  </si>
  <si>
    <t>2024-12-25T03:08:24+00:00</t>
  </si>
  <si>
    <t>Email: Lactation care (that’s insurance-covered) 👉</t>
  </si>
  <si>
    <t>40ab9319afe492210f2af292cbd27305a15e644f4a09f08b8674a49a9a0de106</t>
  </si>
  <si>
    <t>EXHIBIT_EMAIL_20241224_1510_bf144df2</t>
  </si>
  <si>
    <t>2024-12-24T01:00:21+00:00</t>
  </si>
  <si>
    <t>Email: Wishing You a Mighty Festive Season!</t>
  </si>
  <si>
    <t>bf144df2202e43b241281195714010c598690cdc2b64faca4427452b4825f480</t>
  </si>
  <si>
    <t>EXHIBIT_EMAIL_20241126_1511_ff4711a6</t>
  </si>
  <si>
    <t>2024-11-26T09:34:11-06:00</t>
  </si>
  <si>
    <t>Email: MEGA SAVINGS 📢 Up to 50% off appliances!</t>
  </si>
  <si>
    <t>ff4711a6634f06ae750d4dad6146764d276f5bd6de4831ebc4c67b35b5579f11</t>
  </si>
  <si>
    <t>EXHIBIT_EMAIL_20241113_1512_8a6cf396</t>
  </si>
  <si>
    <t>2024-11-13T11:14:36-06:00</t>
  </si>
  <si>
    <t>Email: Get ready! Black Friday Deals start at 9 pm EST 🖤</t>
  </si>
  <si>
    <t>8a6cf39662f6c6c594970397c8943c12880eb02f045e54b74288267d919e1838</t>
  </si>
  <si>
    <t>EXHIBIT_EMAIL_20240329_1513_7dca3167</t>
  </si>
  <si>
    <t>2024-03-29T16:05:34+00:00</t>
  </si>
  <si>
    <t>Email: Your February Coinbase statement is ready to download</t>
  </si>
  <si>
    <t>7dca3167b3ff7713a77a963c6dda547f789743acd9d4375840330e0c9997e1ca</t>
  </si>
  <si>
    <t>EXHIBIT_EMAIL_20241219_1514_041ebd97</t>
  </si>
  <si>
    <t>2024-12-19T18:23:37-08:00</t>
  </si>
  <si>
    <t>Email: charliewharlie369, see simar_.26, jvl2311 and more in your feed</t>
  </si>
  <si>
    <t>041ebd978d781d0715015a2c98d42f65eb88db785b8c733d445585ae1cb4912b</t>
  </si>
  <si>
    <t>EXHIBIT_EMAIL_20241129_1515_8bdf5a41</t>
  </si>
  <si>
    <t>2024-11-29T05:35:51-08:00</t>
  </si>
  <si>
    <t>Email: Special Black Friday Offer: Save 35% Off WeVideo Annual Plans!</t>
  </si>
  <si>
    <t>8bdf5a41ef71a4f559e61365fe258a23a19850e9437ee8f22a011c344b890b61</t>
  </si>
  <si>
    <t>EXHIBIT_EMAIL_20250123_1516_e26fdc37</t>
  </si>
  <si>
    <t>2025-01-23T12:42:09+00:00</t>
  </si>
  <si>
    <t>e26fdc37e0e5758ba188c0281ace4ef86b4c7c5ad19aefd2a2042f42265204f4</t>
  </si>
  <si>
    <t>EXHIBIT_EMAIL_20250223_1517_1e5fb94a</t>
  </si>
  <si>
    <t>2025-02-23T07:29:12+00:00</t>
  </si>
  <si>
    <t>Email: You’ve downloaded Brand Kit from Notion</t>
  </si>
  <si>
    <t>1e5fb94a4bd2d8abc45d57d84d973befe00eb21b42431010e6f0a848fe6d14a1</t>
  </si>
  <si>
    <t>EXHIBIT_EMAIL_20241216_1518_d4e2ffe3</t>
  </si>
  <si>
    <t>2024-12-16T07:56:08-08:00</t>
  </si>
  <si>
    <t>Email: From idea to design in no time</t>
  </si>
  <si>
    <t>d4e2ffe3440d27e6b1cc0e7a466a8a34f74417c0503b74c2fe0eaf608bea91f0</t>
  </si>
  <si>
    <t>EXHIBIT_EMAIL_20250226_1519_5f3697ee</t>
  </si>
  <si>
    <t>2025-02-26T03:44:00+00:00</t>
  </si>
  <si>
    <t>Email: Your Intuit Account</t>
  </si>
  <si>
    <t>5f3697eea595b2e095e6903dea2585b83f98f8185b22bbb201e3c1bb77d7eabb</t>
  </si>
  <si>
    <t>EXHIBIT_EMAIL_20241112_1520_492fa3c8</t>
  </si>
  <si>
    <t>2024-11-12T07:01:13-06:00</t>
  </si>
  <si>
    <t>Email: See Inside for a Member Exclusive Rental Offer</t>
  </si>
  <si>
    <t>492fa3c88e80a7b52a77533ad8c41614d5bd7b0fc88c7d0d502f99cf37797bd6</t>
  </si>
  <si>
    <t>EXHIBIT_EMAIL_20250108_1521_9fc15076</t>
  </si>
  <si>
    <t>2025-01-08T12:45:02+00:00</t>
  </si>
  <si>
    <t>Email: Your cart item: now 79% OFF!</t>
  </si>
  <si>
    <t>9fc15076be2fca74ae1d2a01ae222c4290ed06e4c7e65252ddb894302005bfe7</t>
  </si>
  <si>
    <t>EXHIBIT_EMAIL_20250107_1522_b6e4f46a</t>
  </si>
  <si>
    <t>2025-01-07T19:02:46-08:00</t>
  </si>
  <si>
    <t>b6e4f46a4af655b74649b9d0c6f447f7ba4aeffa5a27851c87dca583aa330e0a</t>
  </si>
  <si>
    <t>EXHIBIT_EMAIL_20241108_1523_1b419d0c</t>
  </si>
  <si>
    <t>2024-11-08T20:22:27+00:00</t>
  </si>
  <si>
    <t>Email: Kindly accept: CA$100 off, no min. spend.</t>
  </si>
  <si>
    <t>1b419d0c39636d416729109d3edd6d5cb66ce1cfc8364ee666e1a207ee088aab</t>
  </si>
  <si>
    <t>EXHIBIT_EMAIL_20250123_1524_edc71e51</t>
  </si>
  <si>
    <t>2025-01-23T06:21:10+00:00</t>
  </si>
  <si>
    <t>edc71e5149dff330a74bfd7882e0e6b4a56e13516a104a6cee40decc98d2dfc3</t>
  </si>
  <si>
    <t>EXHIBIT_EMAIL_20250102_1525_88f0d818</t>
  </si>
  <si>
    <t>2025-01-02T18:10:58-06:00</t>
  </si>
  <si>
    <t>Email: How to vacation like a boss</t>
  </si>
  <si>
    <t>88f0d8181dfbd1a4be723d793acbb00b410d33e50777756bf948692f02db63ee</t>
  </si>
  <si>
    <t>EXHIBIT_EMAIL_20241122_1526_0f989328</t>
  </si>
  <si>
    <t>2024-11-22T09:29:21-06:00</t>
  </si>
  <si>
    <t>Email: SAVE NOW: Up to 50% off Black Friday Deals 🛍️</t>
  </si>
  <si>
    <t>0f9893283234d2be82b3767e890f2ef588d8bc5d2cd9d466bc84b35feb4a717d</t>
  </si>
  <si>
    <t>EXHIBIT_EMAIL_20250109_1527_b1b27438</t>
  </si>
  <si>
    <t>2025-01-09T03:00:27+00:00</t>
  </si>
  <si>
    <t>Email: Okay, here’s the deal</t>
  </si>
  <si>
    <t>b1b27438a4a7d0731fffb22fc0eaa986d3a05f2ada2252593f359ffa954185a9</t>
  </si>
  <si>
    <t>EXHIBIT_EMAIL_20241217_1528_27877f23</t>
  </si>
  <si>
    <t>2024-12-17T00:50:41+00:00</t>
  </si>
  <si>
    <t>Email: GST/HST Holiday Break on Uber Eats!</t>
  </si>
  <si>
    <t>27877f2327304ef0a799175e8ce1b0496e4f41b4dfb1b2b5ace6c0ef5aafc333</t>
  </si>
  <si>
    <t>EXHIBIT_EMAIL_20250225_1529_d7de2dbf</t>
  </si>
  <si>
    <t>2025-02-25T13:15:22+00:00</t>
  </si>
  <si>
    <t>Email: Last Chance - Save 50% with Webador!</t>
  </si>
  <si>
    <t>d7de2dbff5030883d80d55f31f314ba66fb267975289a8986325aaec48eeba8c</t>
  </si>
  <si>
    <t>EXHIBIT_EMAIL_20241125_1530_a59dd0a9</t>
  </si>
  <si>
    <t>2024-11-25T09:30:43-06:00</t>
  </si>
  <si>
    <t>Email: Black Friday Deals: Up to 50% off toys 🧸</t>
  </si>
  <si>
    <t>a59dd0a9c8556bafc266ebe907e9ff57115fb19afed0afd9f074d794b306456a</t>
  </si>
  <si>
    <t>EXHIBIT_EMAIL_20241118_1531_54981d11</t>
  </si>
  <si>
    <t>2024-11-18T07:37:53-08:00</t>
  </si>
  <si>
    <t>Email: Save 50% on Creative Cloud All Apps now</t>
  </si>
  <si>
    <t>54981d1146e7d130a8a2d06c91d63947a2a752377de866bac4655d0d44b0fcb7</t>
  </si>
  <si>
    <t>EXHIBIT_EMAIL_20250214_1532_00a502db</t>
  </si>
  <si>
    <t>2025-02-14T14:00:33-04:00</t>
  </si>
  <si>
    <t>00a502dbdd14431ba157e6667357104540c13493ec278e438b3a3da2b8d0786c</t>
  </si>
  <si>
    <t>EXHIBIT_EMAIL_20250204_1533_412789e6</t>
  </si>
  <si>
    <t>2025-02-04T07:50:33+00:00</t>
  </si>
  <si>
    <t>Email: Welcome to Vercel</t>
  </si>
  <si>
    <t>412789e6cbddcb3fac8cef4ab0075872483fe2ad9f39eb0770aa327750ebbd18</t>
  </si>
  <si>
    <t>EXHIBIT_EMAIL_20250107_1534_9bd808d6</t>
  </si>
  <si>
    <t>2025-01-07T12:01:42+00:00</t>
  </si>
  <si>
    <t>Email: Cozy comforts for only $5? YESWAY.</t>
  </si>
  <si>
    <t>9bd808d6c45551e6dfde7c158c93c072a785784b661ac9b3c99b48bf6884ee1c</t>
  </si>
  <si>
    <t>EXHIBIT_EMAIL_20250117_1535_420670ea</t>
  </si>
  <si>
    <t>2025-01-17T14:22:09+00:00</t>
  </si>
  <si>
    <t>420670ea3c444402b74ceec4b4865a0ea374c27e9df3c2bb81eed44f44f15f70</t>
  </si>
  <si>
    <t>EXHIBIT_EMAIL_20250122_1536_3e1f742e</t>
  </si>
  <si>
    <t>2025-01-22T13:02:30+00:00</t>
  </si>
  <si>
    <t>Email: Check out what you get with your plan</t>
  </si>
  <si>
    <t>3e1f742eddbf6ed63a0f192bb3fe5d9bd390559d3bdc73f88abc38d8e41efc90</t>
  </si>
  <si>
    <t>EXHIBIT_EMAIL_20250219_1537_52d1493f</t>
  </si>
  <si>
    <t>2025-02-19T11:30:14+00:00</t>
  </si>
  <si>
    <t>Email: Save it for later, automatically 🔖</t>
  </si>
  <si>
    <t>52d1493f1b31579844d6ecf6e16d3f5d23cec885153f74191e2a2faea64497e0</t>
  </si>
  <si>
    <t>EXHIBIT_EMAIL_20250122_1538_8a995644</t>
  </si>
  <si>
    <t>2025-01-22T12:00:07+00:00</t>
  </si>
  <si>
    <t>Email: 20 seconds of your time, please? 💝</t>
  </si>
  <si>
    <t>8a995644ab8592733d43ef12ef23318ab65d38151f2a171bf51cbfbe21d3654e</t>
  </si>
  <si>
    <t>EXHIBIT_EMAIL_20241202_1539_5b6a1755</t>
  </si>
  <si>
    <t>2024-12-02T08:02:58-06:00</t>
  </si>
  <si>
    <t>Email: Sale still on: Join to save 30%+</t>
  </si>
  <si>
    <t>5b6a17554c404b21f7ef26b7f3e4924a2400faa19f56b160c2118054f73673de</t>
  </si>
  <si>
    <t>EXHIBIT_EMAIL_20241106_1540_a2029962</t>
  </si>
  <si>
    <t>2024-11-06T14:44:20+00:00</t>
  </si>
  <si>
    <t>a20299626bab3ffefcc9e956ee20fce9b0fd5f369a53cabe217b14b5fddd0a3a</t>
  </si>
  <si>
    <t>EXHIBIT_EMAIL_20250225_1541_c7378778</t>
  </si>
  <si>
    <t>2025-02-25T00:37:06+00:00</t>
  </si>
  <si>
    <t>Email: Welcome to Durable</t>
  </si>
  <si>
    <t>c737877886d36c9f30c71b83c9738555a913fce3470e735f97fc202b85c0afc3</t>
  </si>
  <si>
    <t>EXHIBIT_EMAIL_20250127_1542_5065b353</t>
  </si>
  <si>
    <t>2025-01-27T19:47:36+00:00</t>
  </si>
  <si>
    <t>5065b3536bf9a4c65facc5e50889da2017120aee6aa7eef9d528bb23e8fc19a2</t>
  </si>
  <si>
    <t>EXHIBIT_EMAIL_20241211_1543_c02d46c9</t>
  </si>
  <si>
    <t>2024-12-11T09:22:32-06:00</t>
  </si>
  <si>
    <t>Email: Promo alert! 15% off clothing &amp; more 👚</t>
  </si>
  <si>
    <t>c02d46c9d869de9b627c24c2a7dbc80c990e5f38db6673004e08550d5e86acc9</t>
  </si>
  <si>
    <t>EXHIBIT_EMAIL_20250111_1544_11c7e3d1</t>
  </si>
  <si>
    <t>2025-01-11T22:54:28+00:00</t>
  </si>
  <si>
    <t>11c7e3d147d96c878f331672a9b8218f157704e05f100b04f39f96fd094ac7ca</t>
  </si>
  <si>
    <t>EXHIBIT_EMAIL_20241102_1545_b85631cd</t>
  </si>
  <si>
    <t>2024-11-02T08:43:37-06:00</t>
  </si>
  <si>
    <t>Email: Our holiday lookbook is here 🎁</t>
  </si>
  <si>
    <t>b85631cd302bc4173774d5fb977888bd845b44619e14683737bdf211ba17a50c</t>
  </si>
  <si>
    <t>EXHIBIT_EMAIL_20241218_1546_74a49d08</t>
  </si>
  <si>
    <t>2024-12-18T04:30:15+00:00</t>
  </si>
  <si>
    <t>Email: vroofn, play with a 150% Bonus + 25 Free Spins! 🪙</t>
  </si>
  <si>
    <t>74a49d08880dc78cd48bb8288605353649d468c4bd32e272a48fb9bf2b119c67</t>
  </si>
  <si>
    <t>EXHIBIT_EMAIL_20241212_1547_05ee0fa4</t>
  </si>
  <si>
    <t>2024-12-12T06:48:46-08:00</t>
  </si>
  <si>
    <t>Email: Make a splash on social with unique editing effects</t>
  </si>
  <si>
    <t>05ee0fa42e01409eb1bf578e869c5fd940a94d38a70ef1fe6e5a6a841cb808ba</t>
  </si>
  <si>
    <t>EXHIBIT_EMAIL_20250220_1548_8e5ccc25</t>
  </si>
  <si>
    <t>2025-02-20T14:11:13+00:00</t>
  </si>
  <si>
    <t>Email: Introducing AdCreative.ai V10 – Our Biggest Update with 10 New Features!</t>
  </si>
  <si>
    <t>8e5ccc2593a18b279593ecd44c1c11f1497a6914eed1e764639dd0ac63a32f16</t>
  </si>
  <si>
    <t>EXHIBIT_EMAIL_20250109_1549_9b4ba35c</t>
  </si>
  <si>
    <t>2025-01-09T12:04:48+00:00</t>
  </si>
  <si>
    <t>Email: Get 25% off any Footlong sub TODAY!</t>
  </si>
  <si>
    <t>9b4ba35cfcdb0467562e9d6c9f83685c89dcb36017c3785a8425c89c265c6f8d</t>
  </si>
  <si>
    <t>EXHIBIT_EMAIL_20241207_1550_0ffbd2cb</t>
  </si>
  <si>
    <t>2024-12-07T10:14:52-06:00</t>
  </si>
  <si>
    <t>Email: COUPON ALERT! Savings you'll really love 😍🎫</t>
  </si>
  <si>
    <t>0ffbd2cb92d2bb8a7c0aca26db2791673919471b72fa6ecadeb251f01fc8b80b</t>
  </si>
  <si>
    <t>EXHIBIT_EMAIL_20250228_1551_5bffe70d</t>
  </si>
  <si>
    <t>2025-02-28T15:35:05+00:00</t>
  </si>
  <si>
    <t>Email: 🚀 Work Smarter: New Features + Why You Should Delegate</t>
  </si>
  <si>
    <t>5bffe70dfddf057e31b967ef33a249c823d05aeeb4a621a9aee8247c626399a9</t>
  </si>
  <si>
    <t>EXHIBIT_EMAIL_20241130_1552_68114537</t>
  </si>
  <si>
    <t>2024-11-30T05:12:46+00:00</t>
  </si>
  <si>
    <t>68114537d00708484508ce781bfc03500605f603953601907ad8173a6d46172d</t>
  </si>
  <si>
    <t>EXHIBIT_EMAIL_20241130_1553_d01c3416</t>
  </si>
  <si>
    <t>2024-11-30T05:09:43+00:00</t>
  </si>
  <si>
    <t>d01c3416843b4ab236f9ebd369358f03690d96ad3b425d19512fb4aaa5a30a16</t>
  </si>
  <si>
    <t>EXHIBIT_EMAIL_20250130_1554_1d633028</t>
  </si>
  <si>
    <t>2025-01-30T18:57:49+00:00</t>
  </si>
  <si>
    <t>1d6330285cffa79759070a898132aa55312a09d2ae1b960fdba9dbd2ae1522a8</t>
  </si>
  <si>
    <t>EXHIBIT_EMAIL_20241227_1555_750786e6</t>
  </si>
  <si>
    <t>2024-12-27T11:01:51-06:00</t>
  </si>
  <si>
    <t>Email: Can't-miss Boxing Week Deals — Up to 45% off 🤩</t>
  </si>
  <si>
    <t>750786e6611dc48c140e16e502b928774e436893d746425ddb1d91487b77b34f</t>
  </si>
  <si>
    <t>EXHIBIT_EMAIL_20250205_1556_8792ac50</t>
  </si>
  <si>
    <t>2025-02-05T11:33:00-05:00</t>
  </si>
  <si>
    <t>Email: $10 Romance Books – This Weekend Only! 🌶️</t>
  </si>
  <si>
    <t>8792ac50269ea81adb4ca6bce034f29d74a8d09b74d82ca6bd3b8410c40f76b2</t>
  </si>
  <si>
    <t>EXHIBIT_EMAIL_20240226_1557_2e0fdfb2</t>
  </si>
  <si>
    <t>2024-02-26T17:05:52+00:00</t>
  </si>
  <si>
    <t>Email: Your January Coinbase statement is ready to download</t>
  </si>
  <si>
    <t>2e0fdfb26a558fa8e8fa16e0a3079da9a0b2778968fe9b6aafc40fd2595ab110</t>
  </si>
  <si>
    <t>EXHIBIT_EMAIL_20241118_1558_cc99bfb5</t>
  </si>
  <si>
    <t>2024-11-18T14:06:29+00:00</t>
  </si>
  <si>
    <t>Email: 🔥 Just spotted: more early Black Friday deals</t>
  </si>
  <si>
    <t>cc99bfb5684ffad057782e133d7a9e37273acaa1bf2e08fec4663d7712ca68d6</t>
  </si>
  <si>
    <t>EXHIBIT_EMAIL_20250219_1559_dcbc5574</t>
  </si>
  <si>
    <t>2025-02-19T13:30:04+00:00</t>
  </si>
  <si>
    <t>Email: The best AI app builders</t>
  </si>
  <si>
    <t>dcbc5574b697401275ed268fa265ebc2535b0de12147584ce558307e18ef94dd</t>
  </si>
  <si>
    <t>EXHIBIT_EMAIL_20250101_1560_3ad08db3</t>
  </si>
  <si>
    <t>2025-01-01T10:09:22+00:00</t>
  </si>
  <si>
    <t>Email: 7 Reasons to Create an Email Marketing Strategy | 5 Inviting Porches With Fireplaces</t>
  </si>
  <si>
    <t>3ad08db333b83d912bf8e14ab011b94797edcd80e5064ded32af44a42ea0c36a</t>
  </si>
  <si>
    <t>EXHIBIT_EMAIL_20250119_1561_7c399223</t>
  </si>
  <si>
    <t>2025-01-19T17:23:06+00:00</t>
  </si>
  <si>
    <t>7c39922393d806e0a34c3eafc1c60b6becaa6702c579bfe456b23273a7822b01</t>
  </si>
  <si>
    <t>EXHIBIT_EMAIL_20250125_1562_8dc397cd</t>
  </si>
  <si>
    <t>2025-01-25T14:07:13+00:00</t>
  </si>
  <si>
    <t>Email: Meet Amazon Essentials. Quality clothes for everyone.</t>
  </si>
  <si>
    <t>8dc397cd99defcad45ba0329324808bbe471a655688ad96a9def3455477095cc</t>
  </si>
  <si>
    <t>EXHIBIT_EMAIL_20241202_1563_359c8b76</t>
  </si>
  <si>
    <t>2024-12-02T14:16:26+00:00</t>
  </si>
  <si>
    <t>Email: Alert: Claim your free Business Prime plan</t>
  </si>
  <si>
    <t>359c8b761cb0817597c6e1eeeb4d3a0f73833a644ab5a8b1aac7f71d3bf2089e</t>
  </si>
  <si>
    <t>EXHIBIT_EMAIL_20250212_1564_7d7ef783</t>
  </si>
  <si>
    <t>2025-02-12T14:25:59+00:00</t>
  </si>
  <si>
    <t>7d7ef783b325b6daefff450e2061e1d8846cfb842321b38d834d5403de26368c</t>
  </si>
  <si>
    <t>EXHIBIT_EMAIL_20250109_1565_09e5a23f</t>
  </si>
  <si>
    <t>2025-01-09T06:26:26+01:00</t>
  </si>
  <si>
    <t>09e5a23f7e792bfff6ca00d3e4c432ce87855cc2a0f71a499d291115aaac78b7</t>
  </si>
  <si>
    <t>EXHIBIT_EMAIL_20250219_1566_e003012a</t>
  </si>
  <si>
    <t>2025-02-19T01:38:28+01:00</t>
  </si>
  <si>
    <t>e003012a7b20ef7a7d6343801f27648f818e5b6b201eccfa5b84f378da23e36b</t>
  </si>
  <si>
    <t>EXHIBIT_EMAIL_20241129_1567_ac381bff</t>
  </si>
  <si>
    <t>2024-11-29T07:04:49-08:00</t>
  </si>
  <si>
    <t>Email: Save 50% now before the deal is gone</t>
  </si>
  <si>
    <t>ac381bff6f18a0103a3ba9a17aab796adb5229be434937b6e6cd9a854fb190e2</t>
  </si>
  <si>
    <t>EXHIBIT_EMAIL_20241105_1568_653b3d5a</t>
  </si>
  <si>
    <t>2024-11-05T14:37:18+00:00</t>
  </si>
  <si>
    <t>653b3d5a39762b4ed49f450c1eb4314def1d8adfaead6215b5e82202a027b7cb</t>
  </si>
  <si>
    <t>EXHIBIT_EMAIL_20250203_1569_28526d66</t>
  </si>
  <si>
    <t>2025-02-03T19:16:20+00:00</t>
  </si>
  <si>
    <t>28526d663dd9eb4cb271b7deeb89c39a8243e3994e056388b12c55227a111e71</t>
  </si>
  <si>
    <t>EXHIBIT_EMAIL_20241128_1570_3152ed7e</t>
  </si>
  <si>
    <t>2024-11-28T12:29:28+00:00</t>
  </si>
  <si>
    <t>3152ed7eb5433545e042fb1bcae4c885a672db5e9de208a2fdc35ca411da4c91</t>
  </si>
  <si>
    <t>EXHIBIT_EMAIL_20250121_1571_166a3ec0</t>
  </si>
  <si>
    <t>2025-01-21T14:14:48+00:00</t>
  </si>
  <si>
    <t>166a3ec0c56d32fe2574cfba818fdaa67bc33901cc71f684674feb502827948a</t>
  </si>
  <si>
    <t>EXHIBIT_EMAIL_20241202_1572_851366a8</t>
  </si>
  <si>
    <t>2024-12-02T05:28:34-08:00</t>
  </si>
  <si>
    <t>Email: Surprise Extension! Save 35% Off Through December 4</t>
  </si>
  <si>
    <t>851366a8ef9b37489b31ae8629c41cc8d8b243b82d1ce627220e5a3eaf06888d</t>
  </si>
  <si>
    <t>EXHIBIT_EMAIL_20250217_1573_a3658f3f</t>
  </si>
  <si>
    <t>2025-02-17T19:10:39+00:00</t>
  </si>
  <si>
    <t>Email: Hey, Canada, Roll Up to Win is almost back! 👀🤭</t>
  </si>
  <si>
    <t>a3658f3fd547b5bba332cc62cb7d0b76e53f9d32b792c36ecfa8a2ed9f0f08b1</t>
  </si>
  <si>
    <t>EXHIBIT_EMAIL_20250215_1574_dd5e0386</t>
  </si>
  <si>
    <t>2025-02-15T02:02:19+00:00</t>
  </si>
  <si>
    <t>dd5e03861307ee8e676c36b3844721f4c66be1ad1693c7427af0e2a1adc0c9d6</t>
  </si>
  <si>
    <t>EXHIBIT_EMAIL_20250215_1575_e6c7a450</t>
  </si>
  <si>
    <t>2025-02-15T00:47:54+00:00</t>
  </si>
  <si>
    <t>e6c7a45084f7770b8a6cf419ea3a5c57589681108c6f04c12c0227261dabd89d</t>
  </si>
  <si>
    <t>EXHIBIT_EMAIL_20250226_1576_860998ff</t>
  </si>
  <si>
    <t>2025-02-26T23:27:00+00:00</t>
  </si>
  <si>
    <t>Email: Need help with your website?</t>
  </si>
  <si>
    <t>860998fff9f7fed3f3c640c3bfe491bc0305d1df7464781eccd5628b9f179a48</t>
  </si>
  <si>
    <t>EXHIBIT_EMAIL_20241222_1577_4e218cef</t>
  </si>
  <si>
    <t>2024-12-22T21:21:27-06:00</t>
  </si>
  <si>
    <t>Email: NOW LIVE: Up to 45% off Boxing Week Deals 🎁</t>
  </si>
  <si>
    <t>4e218cefd544e894abc3ccbae127ce3911102a2686f0b261ad2ff2cedd31c53b</t>
  </si>
  <si>
    <t>EXHIBIT_EMAIL_20241204_1578_d7c402a5</t>
  </si>
  <si>
    <t>2024-12-04T07:29:47-08:00</t>
  </si>
  <si>
    <t>Email: Don’t miss 50% off for Cyber Monday</t>
  </si>
  <si>
    <t>d7c402a529f30803f3420f3b2086c74f71ce8fc87606ef4f53ffdde78607151e</t>
  </si>
  <si>
    <t>EXHIBIT_EMAIL_20241202_1579_29b8b706</t>
  </si>
  <si>
    <t>2024-12-02T17:03:41-05:00</t>
  </si>
  <si>
    <t>Email: Up to 30% Off Ends TONIGHT! Don't Sleep on These Deals! 💤</t>
  </si>
  <si>
    <t>29b8b706c3ce54a75e0e16fc64a020741a1ca82159ba56b49d373ab6446f8f95</t>
  </si>
  <si>
    <t>EXHIBIT_EMAIL_20250126_1580_0c7745ca</t>
  </si>
  <si>
    <t>2025-01-26T02:00:53+00:00</t>
  </si>
  <si>
    <t>0c7745ca51649254088cde659fe7ae32c661f750e25319a7b71ba1555c53013a</t>
  </si>
  <si>
    <t>EXHIBIT_EMAIL_20241127_1581_31fdef4a</t>
  </si>
  <si>
    <t>2024-11-27T13:45:05-06:00</t>
  </si>
  <si>
    <t>Email: 🔥 Black Friday Deals You Can’t Miss!</t>
  </si>
  <si>
    <t>31fdef4a52fd26c99eca9a84b8a01a2da44b1b19809025ec62733c05e8f2d16d</t>
  </si>
  <si>
    <t>EXHIBIT_EMAIL_20241128_1582_729786ad</t>
  </si>
  <si>
    <t>2024-11-28T06:55:23+00:00</t>
  </si>
  <si>
    <t>729786ad77a59a3499b15146c028dc923db1e5c6c9ff6f25c47d28c14ffa3b61</t>
  </si>
  <si>
    <t>EXHIBIT_EMAIL_20241128_1583_29e46d1c</t>
  </si>
  <si>
    <t>29e46d1c6250f919373e804b66856aa28fef77b3e78a10a13ec6f773eff661c1</t>
  </si>
  <si>
    <t>EXHIBIT_EMAIL_20241128_1584_f72e769a</t>
  </si>
  <si>
    <t>2024-11-28T04:15:55+00:00</t>
  </si>
  <si>
    <t>f72e769a1b9a44be29e11097c0b50ecf8565eee4d6bd1feabcd03d2545a29653</t>
  </si>
  <si>
    <t>EXHIBIT_EMAIL_20241128_1585_8f24ea0b</t>
  </si>
  <si>
    <t>2024-11-28T04:15:47+00:00</t>
  </si>
  <si>
    <t>8f24ea0bb1e9a3c55c0731a9fd9a60481214d46f9367e63219b640d8f1d4a391</t>
  </si>
  <si>
    <t>EXHIBIT_EMAIL_20250224_1586_8cf81076</t>
  </si>
  <si>
    <t>2025-02-24T13:43:11-05:00</t>
  </si>
  <si>
    <t>Email: Need a hand today? We’ve got you</t>
  </si>
  <si>
    <t>8cf81076b945957f6c4e3c837571a513d9b8dae6e18873a9046534fb99f47638</t>
  </si>
  <si>
    <t>EXHIBIT_EMAIL_20241117_1587_f6de8390</t>
  </si>
  <si>
    <t>2024-11-17T07:22:04-06:00</t>
  </si>
  <si>
    <t>Email: Stock up on self care &amp; Black Friday Deals 🛒</t>
  </si>
  <si>
    <t>f6de83906afbe7c3e289900da6df0abba32aed136bfbe456093aa762294f74e7</t>
  </si>
  <si>
    <t>EXHIBIT_EMAIL_20241224_1588_6ee5aab9</t>
  </si>
  <si>
    <t>2024-12-24T09:04:20-08:00</t>
  </si>
  <si>
    <t>Email: Unwrap joy &amp; innovation with Microsoft</t>
  </si>
  <si>
    <t>6ee5aab9eb361816de086f49a325d5991745921761fe0f2befdce064634de983</t>
  </si>
  <si>
    <t>EXHIBIT_EMAIL_20241229_1589_50aab2e2</t>
  </si>
  <si>
    <t>2024-12-29T09:22:46-06:00</t>
  </si>
  <si>
    <t>Email: Low prices on Tylenol relief 💊</t>
  </si>
  <si>
    <t>50aab2e25e869551d415f29ce7aa61f213960dd48db62cd91cd69013ddd1f7fa</t>
  </si>
  <si>
    <t>EXHIBIT_EMAIL_20250207_1590_2ceffae9</t>
  </si>
  <si>
    <t>2025-02-07T23:12:41-08:00</t>
  </si>
  <si>
    <t>Email: You have codespaces that are about to be deleted</t>
  </si>
  <si>
    <t>2ceffae96af2c8b9fec49bdf3da92aa1608d660ebbdb6e3f460eb446948e9cd7</t>
  </si>
  <si>
    <t>EXHIBIT_EMAIL_20250104_1591_1d6a2554</t>
  </si>
  <si>
    <t>2025-01-04T19:56:33-08:00</t>
  </si>
  <si>
    <t>1d6a25548a94ef361643be9d083cbffbbed74971537c826b3c403adf1622c44a</t>
  </si>
  <si>
    <t>EXHIBIT_EMAIL_20250103_1592_35f141ae</t>
  </si>
  <si>
    <t>2025-01-03T08:02:47-06:00</t>
  </si>
  <si>
    <t>Email: Deals just in: Join now to save 25%+</t>
  </si>
  <si>
    <t>35f141aea10685349c1d64469d8fa892e4443dfcf5946f76cfc925bf582369ed</t>
  </si>
  <si>
    <t>EXHIBIT_EMAIL_20241126_1593_ae54b4dc</t>
  </si>
  <si>
    <t>2024-11-26T13:53:41-05:00</t>
  </si>
  <si>
    <t>Email: Create your company's financial plan in 6 steps</t>
  </si>
  <si>
    <t>ae54b4dc3be49757ac68f7e60f6c748cc896fc310dbdbf332e6fd826cb3bf2c6</t>
  </si>
  <si>
    <t>EXHIBIT_EMAIL_20250112_1594_0f607653</t>
  </si>
  <si>
    <t>2025-01-12T14:35:36-06:00</t>
  </si>
  <si>
    <t>Email: Want to get the most out of Avion Rewards?</t>
  </si>
  <si>
    <t>0f607653aebff0cbc43142634fb4c8b3dfe61936d055be4485e925fd1c549d69</t>
  </si>
  <si>
    <t>EXHIBIT_EMAIL_20250210_1595_f14cab92</t>
  </si>
  <si>
    <t>2025-02-10T06:48:30-08:00</t>
  </si>
  <si>
    <t>Email: Set the mood with these misty photo overlays</t>
  </si>
  <si>
    <t>f14cab927fa8267721cd136d3575ffdab3cf9ab14dba0a4c5cafc2c77bc55ecc</t>
  </si>
  <si>
    <t>EXHIBIT_EMAIL_20241209_1596_93bd1cd0</t>
  </si>
  <si>
    <t>2024-12-09T16:08:37+00:00</t>
  </si>
  <si>
    <t>Email: Get in on 3 months of Spotify Premium for $12.69 now. $12.69/mo.</t>
  </si>
  <si>
    <t>93bd1cd048e928ad75b55ba7722cfdd39fc6d7877c0455bc530253c0c4d5320d</t>
  </si>
  <si>
    <t>EXHIBIT_EMAIL_20241220_1597_edbd4dbd</t>
  </si>
  <si>
    <t>2024-12-20T19:59:50+01:00</t>
  </si>
  <si>
    <t>Email: Jusqu’à 60 % de rabais + 30 % de rabais supplémentaire sur les meilleurs articles de l’année</t>
  </si>
  <si>
    <t>edbd4dbde34b51946871d788ba0471e9ba228bd8a42d0b69a42f91615612605e</t>
  </si>
  <si>
    <t>EXHIBIT_EMAIL_20241212_1598_586f9518</t>
  </si>
  <si>
    <t>2024-12-12T12:17:55-06:00</t>
  </si>
  <si>
    <t>Email: Planning your next trip just got easier</t>
  </si>
  <si>
    <t>586f95182441c5438bdbf86063e74bc4a21363c23e1de5b61aac38764c3cd4ab</t>
  </si>
  <si>
    <t>EXHIBIT_EMAIL_20250213_1599_9f235f3d</t>
  </si>
  <si>
    <t>2025-02-13T17:24:22+00:00</t>
  </si>
  <si>
    <t>Email: Supercharge meeting transcripts with automation, 14 updates, and 17 new apps</t>
  </si>
  <si>
    <t>9f235f3d7305c8ef0946176ab8d1a97324f0e1e2e6e41962c29d8f72c6ebccae</t>
  </si>
  <si>
    <t>EXHIBIT_EMAIL_20251003_1600_a3ac050d</t>
  </si>
  <si>
    <t>2025-10-03T10:22:31-03:00</t>
  </si>
  <si>
    <t>Email: FDSJ 739-24- UPDATE</t>
  </si>
  <si>
    <t>a3ac050d7e77d4cc2f298a6226803f45f9da11ca9b6b8fda1dd5d075f76c238f</t>
  </si>
  <si>
    <t>EXHIBIT_EMAIL_20250206_1601_a34d9709</t>
  </si>
  <si>
    <t>2025-02-06T11:02:52+00:00</t>
  </si>
  <si>
    <t>Email: We know you’re a big Footlong sub fan…</t>
  </si>
  <si>
    <t>a34d97096995dc1ae9e649a35939d43647389bfa61ab060cba95f1f40ab0ef1c</t>
  </si>
  <si>
    <t>EXHIBIT_EMAIL_20241105_1602_e3094057</t>
  </si>
  <si>
    <t>2024-11-05T00:00:45+00:00</t>
  </si>
  <si>
    <t>e3094057b014613439cd3c0cfd0772d66ce03aeaae9688dd90dcbd94dbccf724</t>
  </si>
  <si>
    <t>EXHIBIT_EMAIL_20250101_1603_222de1f2</t>
  </si>
  <si>
    <t>2025-01-01T05:30:04+00:00</t>
  </si>
  <si>
    <t>Email: vroofn, get a 200% Bonus! ✨</t>
  </si>
  <si>
    <t>222de1f232ffd7956d86c31d1137c1d63d617da4d4d09284b1db0e78d1b13090</t>
  </si>
  <si>
    <t>EXHIBIT_EMAIL_20250226_1604_aad673e9</t>
  </si>
  <si>
    <t>2025-02-26T18:35:38+00:00</t>
  </si>
  <si>
    <t>Email: Season 8: Design your video in an instant</t>
  </si>
  <si>
    <t>aad673e94b50d539ad2041978d45475bcab5621b0b2e2f5709507b93c218fe88</t>
  </si>
  <si>
    <t>EXHIBIT_EMAIL_20241107_1605_f13d10ce</t>
  </si>
  <si>
    <t>2024-11-07T16:46:25-08:00</t>
  </si>
  <si>
    <t>f13d10ce3509ba75648e86d2247310a9fa48d57b72354795df76c2460af8bb3c</t>
  </si>
  <si>
    <t>EXHIBIT_EMAIL_20241126_1606_431b605b</t>
  </si>
  <si>
    <t>2024-11-26T16:55:56+00:00</t>
  </si>
  <si>
    <t>431b605b30f6a09862a88df340a150bb055cf93a49bb4b9ccc158f267ac726a7</t>
  </si>
  <si>
    <t>EXHIBIT_EMAIL_20241218_1607_5e1c6e44</t>
  </si>
  <si>
    <t>2024-12-18T15:30:33-05:00</t>
  </si>
  <si>
    <t>Email: Re: Paul</t>
  </si>
  <si>
    <t>5e1c6e44c9228cbe78c37c2259b7776b64964f436318b2cacd03f61ed12c7c93</t>
  </si>
  <si>
    <t>EXHIBIT_EMAIL_20241209_1608_27dedf10</t>
  </si>
  <si>
    <t>2024-12-09T10:21:03-05:00</t>
  </si>
  <si>
    <t>Email: Paul</t>
  </si>
  <si>
    <t>27dedf101b5ed7440ea8bc1dcaa2a50534a5bff097593f86d59329f87d0c9668</t>
  </si>
  <si>
    <t>EXHIBIT_EMAIL_20250108_1609_6251def3</t>
  </si>
  <si>
    <t>2025-01-08T12:05:09-08:00</t>
  </si>
  <si>
    <t>Email: New app(s) connected to your Microsoft account</t>
  </si>
  <si>
    <t>6251def361aa1b472220676417f27aeb6eb15b38bf01b1021574b9a67b0774c7</t>
  </si>
  <si>
    <t>EXHIBIT_EMAIL_20241116_1610_77190ee0</t>
  </si>
  <si>
    <t>2024-11-16T15:46:23+00:00</t>
  </si>
  <si>
    <t>Email: Ready to host? Transform your living room for the holidays!</t>
  </si>
  <si>
    <t>77190ee09790812c2840fb0047fc9b35004c935a28f2a9543adb726f71999a8e</t>
  </si>
  <si>
    <t>EXHIBIT_EMAIL_20250127_1611_3ee4560d</t>
  </si>
  <si>
    <t>2025-01-27T01:31:11+01:00</t>
  </si>
  <si>
    <t>3ee4560d19d3876d07db1c8c45f3c7bde41970f702deb5274362be3bd38b3c79</t>
  </si>
  <si>
    <t>EXHIBIT_EMAIL_20241107_1612_84960f4f</t>
  </si>
  <si>
    <t>2024-11-07T23:02:00+01:00</t>
  </si>
  <si>
    <t>Email: C’est maintenant le moment de faire des réserves et d’économiser sur les cadeaux</t>
  </si>
  <si>
    <t>84960f4fb2f5e2ccec1f0be183c5490f68bab407d76a863eb1f702f4a6eb3724</t>
  </si>
  <si>
    <t>EXHIBIT_EMAIL_20241109_1613_52528f50</t>
  </si>
  <si>
    <t>2024-11-09T04:17:59+00:00</t>
  </si>
  <si>
    <t>Email: Why is the neutral wire at 0V?</t>
  </si>
  <si>
    <t>52528f5022422d8f43dc10d008b954492d4dd99d3da030f0ba447ac4f6a1ba91</t>
  </si>
  <si>
    <t>EXHIBIT_EMAIL_20241127_1614_82d29e87</t>
  </si>
  <si>
    <t>2024-11-27T14:00:51+00:00</t>
  </si>
  <si>
    <t>Email: New day, new deals: Black Friday Week</t>
  </si>
  <si>
    <t>82d29e8725b921cb4f18b4cbbd09e8edaa717b0bb10d5a685cb82d403f54632d</t>
  </si>
  <si>
    <t>EXHIBIT_EMAIL_20241107_1615_5be7eae0</t>
  </si>
  <si>
    <t>2024-11-07T16:46:26-08:00</t>
  </si>
  <si>
    <t>5be7eae06b03be6276b91a241c714c6f88420f6f45ddcc7403a084141b65d2be</t>
  </si>
  <si>
    <t>EXHIBIT_EMAIL_20250206_1616_73005b30</t>
  </si>
  <si>
    <t>2025-02-06T19:00:53+00:00</t>
  </si>
  <si>
    <t>Email: The Right Way to Ask for Google Reviews: A Guide for Local BusinessesThe Right Way to Ask for Google</t>
  </si>
  <si>
    <t>73005b30b16a4cbca6a42b71bc80b8213bd836a364d9af5eae5355774196551f</t>
  </si>
  <si>
    <t>EXHIBIT_EMAIL_20241129_1617_5196e359</t>
  </si>
  <si>
    <t>5196e359dbe41f25f418236f22e11193f8487d50399760a87e982e51ec418c49</t>
  </si>
  <si>
    <t>EXHIBIT_EMAIL_20241214_1618_21439172</t>
  </si>
  <si>
    <t>2024-12-14T04:30:18+00:00</t>
  </si>
  <si>
    <t>2143917243764b42f6ba55ba0ed6425d0f1de1df74c26caad5b7ab1c2cc08daf</t>
  </si>
  <si>
    <t>EXHIBIT_EMAIL_20250116_1619_687d0e5a</t>
  </si>
  <si>
    <t>2025-01-16T16:58:30-08:00</t>
  </si>
  <si>
    <t>687d0e5ac5768e815b9051e9ce009e57cd4217da6000652248d6fad2d971bdf9</t>
  </si>
  <si>
    <t>EXHIBIT_EMAIL_20250204_1620_61a6fa06</t>
  </si>
  <si>
    <t>2025-02-04T11:17:43+00:00</t>
  </si>
  <si>
    <t>Email: Try the best converting checkout</t>
  </si>
  <si>
    <t>61a6fa06cb9276ab12cba2d9670a855647bc9340e8095509d204bff2b5c08705</t>
  </si>
  <si>
    <t>EXHIBIT_EMAIL_20251004_1621_4f3bb9c1</t>
  </si>
  <si>
    <t>2025-10-04T03:10:24+00:00</t>
  </si>
  <si>
    <t>Email: Share request for "emmaspaperaffidavit"</t>
  </si>
  <si>
    <t>4f3bb9c1785e2a939ea47414868d9f4bcb988bf46d6ed66d5f336f0d5080b126</t>
  </si>
  <si>
    <t>EXHIBIT_EMAIL_20241117_1622_c12bbabe</t>
  </si>
  <si>
    <t>2024-11-17T11:49:45-06:00</t>
  </si>
  <si>
    <t>Email: Hot savings 🔥 Up to 50% off Black Friday Deals 😍</t>
  </si>
  <si>
    <t>c12bbabeb423e6ad5f966279e6f38f40990722dd48842abcbea77e7a3507d461</t>
  </si>
  <si>
    <t>EXHIBIT_EMAIL_20241201_1623_b619b162</t>
  </si>
  <si>
    <t>2024-12-01T06:00:11-06:00</t>
  </si>
  <si>
    <t>Email: Time to play December to Remember!</t>
  </si>
  <si>
    <t>b619b162aac22b6cd7c3e0dddbbe40532a483b01237fa47d34af172c70e23250</t>
  </si>
  <si>
    <t>EXHIBIT_EMAIL_20250126_1624_73120f97</t>
  </si>
  <si>
    <t>73120f972ca236bdbc516fddc3cd771414e03f157f8dccc9a9a8fcc7872e1d19</t>
  </si>
  <si>
    <t>EXHIBIT_EMAIL_20160802_1625_0219dffd</t>
  </si>
  <si>
    <t>2016-08-02T15:32:42-06:00</t>
  </si>
  <si>
    <t>Email: Updates to our terms of use and privacy statement</t>
  </si>
  <si>
    <t>0219dffdb78b78e188c0bda48834831b5832b278451829ec21b4debe303468b1</t>
  </si>
  <si>
    <t>EXHIBIT_EMAIL_20160723_1626_02cd49be</t>
  </si>
  <si>
    <t>2016-07-23T16:15:47-07:00</t>
  </si>
  <si>
    <t>02cd49be89d90be245bdce77489cebc663b6c5dbb58462d7a7df30af18788449</t>
  </si>
  <si>
    <t>EXHIBIT_EMAIL_20241118_1627_7cbdd3da</t>
  </si>
  <si>
    <t>2024-11-18T12:19:52+00:00</t>
  </si>
  <si>
    <t>7cbdd3da9535c3a99e0ed7376d65dde13bc52495edf7d082214fb195870ec81d</t>
  </si>
  <si>
    <t>EXHIBIT_EMAIL_20241227_1628_0ad29dc0</t>
  </si>
  <si>
    <t>2024-12-27T18:11:12-06:00</t>
  </si>
  <si>
    <t>Email: Five national parks you need to see</t>
  </si>
  <si>
    <t>0ad29dc0cdf7a3f79c001665bd6eb91c1d152f07006d7490efe3f3d5601b6acc</t>
  </si>
  <si>
    <t>EXHIBIT_EMAIL_20151216_1629_de4f9ac1</t>
  </si>
  <si>
    <t>2015-12-16T06:57:07-08:00</t>
  </si>
  <si>
    <t>Email: Your VIP Club Statement</t>
  </si>
  <si>
    <t>de4f9ac182f941134da9493ac2adf9a4349c37251502213e99df0ecc2e907ce0</t>
  </si>
  <si>
    <t>EXHIBIT_EMAIL_20241203_1630_2b51a0fd</t>
  </si>
  <si>
    <t>2b51a0fd79b2e233c4052abd89cd2e97a11a2111161919b629cd5d85cc2d8193</t>
  </si>
  <si>
    <t>EXHIBIT_EMAIL_20241203_1631_d845dd91</t>
  </si>
  <si>
    <t>d845dd91b2536e13ee8ce04465b332c2e5c696c1d2f2f6f979e70b66f7648008</t>
  </si>
  <si>
    <t>EXHIBIT_EMAIL_20151206_1632_00ac4d2d</t>
  </si>
  <si>
    <t>2015-12-06T18:11:45+00:00</t>
  </si>
  <si>
    <t>Email: Reminder: Your free month ends Wednesday, December 9, 2015</t>
  </si>
  <si>
    <t>00ac4d2dc49bd03662caf89b5c9e63c919137f03daea077c528ec680b0963875</t>
  </si>
  <si>
    <t>EXHIBIT_EMAIL_20151113_1633_967c5a87</t>
  </si>
  <si>
    <t>2015-11-13T10:07:40-08:00</t>
  </si>
  <si>
    <t>967c5a8711fcc6638166ef622b1a64aebc7d0de6507a01c67fe1dfba363bb832</t>
  </si>
  <si>
    <t>EXHIBIT_EMAIL_20151113_1634_d18fb970</t>
  </si>
  <si>
    <t>2015-11-13T10:06:39-08:00</t>
  </si>
  <si>
    <t>d18fb970f8ce8dbaf7a29369d20d6726fbe0759daef678545f81a09ba4f813b0</t>
  </si>
  <si>
    <t>EXHIBIT_EMAIL_20250217_1635_ac15d389</t>
  </si>
  <si>
    <t>2025-02-17T14:52:07+00:00</t>
  </si>
  <si>
    <t>Email: Psst...get $40—good for delivery or pickup</t>
  </si>
  <si>
    <t>ac15d389e5492b5d8ed55fe7898f68959d52644d5c51a2fcb1893cf4a75ee2b8</t>
  </si>
  <si>
    <t>EXHIBIT_EMAIL_20250809_1636_159b5c3e</t>
  </si>
  <si>
    <t>2025-08-09T21:24:44-03:00</t>
  </si>
  <si>
    <t>Email: court ordered time</t>
  </si>
  <si>
    <t>159b5c3e9efca336b67511e0d2198a9fc0a2a36d2d7202b69a161fef3671f998</t>
  </si>
  <si>
    <t>EXHIBIT_EMAIL_20250124_1637_512e9b9a</t>
  </si>
  <si>
    <t>512e9b9ada1abee7f04cde16c60dbb3b1494b4e95b824d7fbdd49d0df92982ff</t>
  </si>
  <si>
    <t>EXHIBIT_EMAIL_20250119_1638_22a5e42f</t>
  </si>
  <si>
    <t>2025-01-19T02:10:39+00:00</t>
  </si>
  <si>
    <t>Email: Norovirus poll results &amp; 🚫 the red dye ban</t>
  </si>
  <si>
    <t>22a5e42fcf0fab472bf1a3d6a10b83b132a2e1fdefd41acbfc39042e6d94ec95</t>
  </si>
  <si>
    <t>EXHIBIT_EMAIL_20250109_1639_03571018</t>
  </si>
  <si>
    <t>2025-01-09T12:27:42-06:00</t>
  </si>
  <si>
    <t>03571018eff142ea553f46e5f2e2ca90bede82c8bd481ff100aa5c43ef9a9917</t>
  </si>
  <si>
    <t>EXHIBIT_EMAIL_20241204_1640_98c3041d</t>
  </si>
  <si>
    <t>2024-12-04T15:10:28-06:00</t>
  </si>
  <si>
    <t>Email: Craig, get ready for the season of sharing!</t>
  </si>
  <si>
    <t>98c3041d0a67ac106ca72fec8fb260866130e6f3d82402fff2465d52386101c0</t>
  </si>
  <si>
    <t>EXHIBIT_EMAIL_20250123_1641_e3d196f5</t>
  </si>
  <si>
    <t>2025-01-23T10:32:42-05:00</t>
  </si>
  <si>
    <t>Email: Valentine's Gifts for Every Kind of Love ❤️</t>
  </si>
  <si>
    <t>e3d196f58e03ff5540fde50785d6bf99efc07ac15ba8fe2faf13daa3a94b064c</t>
  </si>
  <si>
    <t>EXHIBIT_EMAIL_20241223_1642_88009cb0</t>
  </si>
  <si>
    <t>2024-12-23T14:01:22+00:00</t>
  </si>
  <si>
    <t>Email: Merry Christmas from the Shed Suite Team 🎄</t>
  </si>
  <si>
    <t>88009cb0c2e8f4c7ebb7978071c19bd72b178d38ca272c0c645f1b1197ded73d</t>
  </si>
  <si>
    <t>EXHIBIT_EMAIL_20250119_1643_786450b4</t>
  </si>
  <si>
    <t>2025-01-19T10:58:49+00:00</t>
  </si>
  <si>
    <t>786450b4263a5bd3c0d6826ecd0a73edaa4eb0693b34128dae6ab08e032e9dd7</t>
  </si>
  <si>
    <t>EXHIBIT_EMAIL_20241202_1644_5025f8ba</t>
  </si>
  <si>
    <t>2024-12-02T12:05:33-08:00</t>
  </si>
  <si>
    <t>5025f8ba101100b4752cfd4d6dc490d740296c060271f32cd79bd1103bd119c0</t>
  </si>
  <si>
    <t>EXHIBIT_EMAIL_20241210_1645_588e765b</t>
  </si>
  <si>
    <t>2024-12-10T16:30:27+00:00</t>
  </si>
  <si>
    <t>588e765b5355dd75760f941218a718992f022bb300690618d3ee2d56ba493dc1</t>
  </si>
  <si>
    <t>EXHIBIT_EMAIL_20241216_1646_d4ed574e</t>
  </si>
  <si>
    <t>2024-12-16T12:44:21+00:00</t>
  </si>
  <si>
    <t>d4ed574e0afe0c6a19c1c1fc02388159531b322f719917d1977eeb763bdb37c9</t>
  </si>
  <si>
    <t>EXHIBIT_EMAIL_20250113_1647_e0b885cf</t>
  </si>
  <si>
    <t>2025-01-13T16:05:01+00:00</t>
  </si>
  <si>
    <t>Email: Space is limited. Join the Customer Insights Community.</t>
  </si>
  <si>
    <t>e0b885cf18d65ad18889b71478dcc20d45a48e443144fcdcf83f2c0b58c73a04</t>
  </si>
  <si>
    <t>EXHIBIT_EMAIL_20241208_1648_09dca84d</t>
  </si>
  <si>
    <t>2024-12-08T07:13:35+01:00</t>
  </si>
  <si>
    <t>09dca84d02c94ee633190edfec4018e2aca783f48220d810d9cf98f531cd0644</t>
  </si>
  <si>
    <t>EXHIBIT_EMAIL_20250213_1649_ed5fbce6</t>
  </si>
  <si>
    <t>2025-02-13T08:45:33-04:00</t>
  </si>
  <si>
    <t>ed5fbce64ae8d13358a950c6b09ec2f205b5d4aeab6e185843c0953702fbcaff</t>
  </si>
  <si>
    <t>EXHIBIT_EMAIL_20250203_1650_44470865</t>
  </si>
  <si>
    <t>2025-02-03T13:30:49+00:00</t>
  </si>
  <si>
    <t>Email: Automate your to-do list</t>
  </si>
  <si>
    <t>44470865f66e477a51502d17c057de89e655ba80ed80fe869dd36d60e873eff2</t>
  </si>
  <si>
    <t>EXHIBIT_EMAIL_20241112_1651_42584da5</t>
  </si>
  <si>
    <t>2024-11-12T14:10:09+00:00</t>
  </si>
  <si>
    <t>Email: Get the Turkey you’ve been eyeing 👀</t>
  </si>
  <si>
    <t>42584da54dd098f53ea32482cf5ad5cbf058009fd73b3215f59a3a481a513a45</t>
  </si>
  <si>
    <t>EXHIBIT_EMAIL_20250812_1652_645fa0c4</t>
  </si>
  <si>
    <t>2025-08-12T15:19:07+00:00</t>
  </si>
  <si>
    <t>Email: Web accessibility made simple: detect &amp; fix violations</t>
  </si>
  <si>
    <t>645fa0c4cb5126f5125d851ed373d69893d694935a98c4e982537e4628a719cf</t>
  </si>
  <si>
    <t>EXHIBIT_EMAIL_20241104_1653_490a98f1</t>
  </si>
  <si>
    <t>2024-11-04T10:19:18-06:00</t>
  </si>
  <si>
    <t>Email: Up to 30% off holiday Rollbacks 🎁</t>
  </si>
  <si>
    <t>490a98f11d831d6316d1208e1a32d32f23921fdb5f1153a62b06c207c9df56b9</t>
  </si>
  <si>
    <t>EXHIBIT_EMAIL_20250128_1654_37525a6f</t>
  </si>
  <si>
    <t>2025-01-28T16:06:13+00:00</t>
  </si>
  <si>
    <t>Email: No top prize? Score a ticket instead! 🎫</t>
  </si>
  <si>
    <t>37525a6fd3843a161dd6a80b47498d451e4c1182d7c585326c10284684ed0d12</t>
  </si>
  <si>
    <t>EXHIBIT_EMAIL_20250203_1655_8c041216</t>
  </si>
  <si>
    <t>2025-02-03T17:00:28+00:00</t>
  </si>
  <si>
    <t>8c041216eb29e837eec52637006e6ba2d64583d00cbb726d9f376f2448c35685</t>
  </si>
  <si>
    <t>EXHIBIT_EMAIL_20241212_1656_e427c030</t>
  </si>
  <si>
    <t>2024-12-12T07:27:36+00:00</t>
  </si>
  <si>
    <t>e427c0300c7b7d8ea85019b6a8e4de7fd2e33e04549c16a3f6e94af9cd0abafc</t>
  </si>
  <si>
    <t>EXHIBIT_EMAIL_20250226_1657_b7180c79</t>
  </si>
  <si>
    <t>2025-02-26T15:36:21-06:00</t>
  </si>
  <si>
    <t>Email: LAST CHANCE: $50 says this demo’s worth it</t>
  </si>
  <si>
    <t>b7180c79010936a830ba476cfd247a9cb127a6b16348495675636a318858bfdb</t>
  </si>
  <si>
    <t>EXHIBIT_EMAIL_20241203_1658_c012233b</t>
  </si>
  <si>
    <t>c012233bbaa1f769bd5331eebdce0cad87a66f60260c0e39c53a4f9b3e8717f5</t>
  </si>
  <si>
    <t>EXHIBIT_EMAIL_20241203_1659_c012233b</t>
  </si>
  <si>
    <t>EXHIBIT_EMAIL_20241208_1660_53ee76ce</t>
  </si>
  <si>
    <t>2024-12-08T02:02:36+00:00</t>
  </si>
  <si>
    <t>Email: Your pregnancy announcements &amp; more 🥒 recalls</t>
  </si>
  <si>
    <t>53ee76ce410c80db49d0855006cca6c5db0de927b94b56be953c186731ba1b42</t>
  </si>
  <si>
    <t>EXHIBIT_EMAIL_20250213_1661_39ef116a</t>
  </si>
  <si>
    <t>2025-02-13T08:45:05-04:00</t>
  </si>
  <si>
    <t>39ef116a803e05bbf7425268afe7e2a6c63f8c573d12c08148e0ca361acb9421</t>
  </si>
  <si>
    <t>EXHIBIT_EMAIL_20250129_1662_24c2e659</t>
  </si>
  <si>
    <t>2025-01-29T11:03:14+00:00</t>
  </si>
  <si>
    <t>Email: Join BetFury Staking: unlock regular rewards with the highest</t>
  </si>
  <si>
    <t>APYs!"</t>
  </si>
  <si>
    <t>24c2e65952bb6d1ff74e747461598c7f8df898d0aea0f853d25ed7343f0a2a58</t>
  </si>
  <si>
    <t>EXHIBIT_EMAIL_20250110_1663_076337bf</t>
  </si>
  <si>
    <t>2025-01-10T06:39:36+00:00</t>
  </si>
  <si>
    <t>Email: Your generation is ready, step right back in 🔥</t>
  </si>
  <si>
    <t>076337bf1126a968088a2435642cf5dfc690b0a454b8eb6aabb371d11688d8d8</t>
  </si>
  <si>
    <t>EXHIBIT_EMAIL_20250116_1664_4e21e0bc</t>
  </si>
  <si>
    <t>2025-01-16T02:24:48-06:00</t>
  </si>
  <si>
    <t>Email: Verification Method Added</t>
  </si>
  <si>
    <t>4e21e0bcf7c843bba272ad661e1c6d6d97c4c7e7690add6188dbdf4ac611ca1c</t>
  </si>
  <si>
    <t>EXHIBIT_EMAIL_20250110_1665_159703ed</t>
  </si>
  <si>
    <t>2025-01-10T09:47:08-05:00</t>
  </si>
  <si>
    <t>Email: Up to 70% OFF! Don't Miss Out 🏃🏽</t>
  </si>
  <si>
    <t>159703ed8706080517fe2db08edd8671d37875287884fc07a6691c9c3cd5c880</t>
  </si>
  <si>
    <t>EXHIBIT_EMAIL_20241213_1666_c9b5d031</t>
  </si>
  <si>
    <t>2024-12-13T19:19:30+00:00</t>
  </si>
  <si>
    <t>c9b5d031e1075a906873e5982046e36ca911ad5fc138f8ea1bef130aedf153da</t>
  </si>
  <si>
    <t>EXHIBIT_EMAIL_20241127_1667_1fe88d82</t>
  </si>
  <si>
    <t>2024-11-27T07:03:37-08:00</t>
  </si>
  <si>
    <t>Email: 50% off for Black Friday ends soon</t>
  </si>
  <si>
    <t>1fe88d8271aa1429eb950ddb2f8d2222d935bdf58739ea6dfa5cb0b1f8a97849</t>
  </si>
  <si>
    <t>EXHIBIT_EMAIL_20250205_1668_37ffa013</t>
  </si>
  <si>
    <t>2025-02-05T08:01:11-06:00</t>
  </si>
  <si>
    <t>Email: Show your pet some love</t>
  </si>
  <si>
    <t>37ffa01358eb0c0eefb1802c82c6f36f4738a6df067feebbfc512d1252b05581</t>
  </si>
  <si>
    <t>EXHIBIT_EMAIL_20241203_1669_e4c20c8d</t>
  </si>
  <si>
    <t>2024-12-03T14:57:46+01:00</t>
  </si>
  <si>
    <t>Email: SURPRISE : encore deux jours de cyber-rabais</t>
  </si>
  <si>
    <t>e4c20c8de0bf0fb9fd8d0bf07ffb5eadb7f22b517c8cd449e370bee596638ed3</t>
  </si>
  <si>
    <t>EXHIBIT_EMAIL_20250228_1670_3ff5ab89</t>
  </si>
  <si>
    <t>2025-02-28T22:51:07+00:00</t>
  </si>
  <si>
    <t>Email: Launch Week in 4 days, Volumes on Railway Metal Beta, SE Asia Metal Region</t>
  </si>
  <si>
    <t>3ff5ab8918af288641d21d808d38e572c201d63bb0bc46c6a2b15c7455b2249f</t>
  </si>
  <si>
    <t>EXHIBIT_EMAIL_20241202_1671_f27d264d</t>
  </si>
  <si>
    <t>2024-12-02T07:17:46-08:00</t>
  </si>
  <si>
    <t>Email: Save 50% for Cyber Monday</t>
  </si>
  <si>
    <t>f27d264d51882cf25cdb6748d3d5c19c9090a27a80c84cca25ee2d1a9950239b</t>
  </si>
  <si>
    <t>EXHIBIT_EMAIL_20250205_1672_5e58bbc1</t>
  </si>
  <si>
    <t>2025-02-05T10:39:56+00:00</t>
  </si>
  <si>
    <t>Email: 4 White, Wood and Blue Kitchen Makeovers | Lighting Trends From Maison &amp; Objet</t>
  </si>
  <si>
    <t>5e58bbc1ad391fa52db0edae2948dac33719eaa9742249b53b988a54c38dfb95</t>
  </si>
  <si>
    <t>EXHIBIT_EMAIL_20241205_1673_82c565d5</t>
  </si>
  <si>
    <t>2024-12-05T11:57:53-06:00</t>
  </si>
  <si>
    <t>Email: PRICE DROP ALERT 🚨❗</t>
  </si>
  <si>
    <t>82c565d5d8861a51276b5f1a9582f213bf254344df6a4ebe5d8ed118594e27fd</t>
  </si>
  <si>
    <t>EXHIBIT_EMAIL_20250108_1674_958ac993</t>
  </si>
  <si>
    <t>2025-01-08T09:09:25-06:00</t>
  </si>
  <si>
    <t>Email: Low prices on storage solutions for your home ✨🧺</t>
  </si>
  <si>
    <t>958ac9932524003752fc502ba8d7fef6a056190f051adcf97b3aa11666c191ef</t>
  </si>
  <si>
    <t>EXHIBIT_EMAIL_20250207_1675_23b6f851</t>
  </si>
  <si>
    <t>2025-02-07T15:00:32+00:00</t>
  </si>
  <si>
    <t>Email: We’d love to hear from you!</t>
  </si>
  <si>
    <t>23b6f85133ef2a0739e663e1591665f714cf40c7b28c83712a11b413f6563fe7</t>
  </si>
  <si>
    <t>EXHIBIT_EMAIL_20250220_1676_52b824ce</t>
  </si>
  <si>
    <t>2025-02-20T14:07:10+00:00</t>
  </si>
  <si>
    <t>Email: Verify your email address</t>
  </si>
  <si>
    <t>52b824cedff141013468b340f61c960b5ea459376ada81a6358f854f09c55691</t>
  </si>
  <si>
    <t>EXHIBIT_EMAIL_20250226_1677_d01435ab</t>
  </si>
  <si>
    <t>2025-02-26T18:05:26+00:00</t>
  </si>
  <si>
    <t>Email: New: Find &amp; replace for faster updates</t>
  </si>
  <si>
    <t>d01435ab26c7e08acd206a8478ffeff210504b6fa2d1537286d5eef8becfbb97</t>
  </si>
  <si>
    <t>C W &lt;CharlieWharlie369@outlook.com&gt;</t>
  </si>
  <si>
    <t>"campbellstacey98@gmail.com" &lt;campbellstacey98@gmail.com&gt;</t>
  </si>
  <si>
    <t>Fw: FDSJ-739-2024</t>
  </si>
  <si>
    <t>From:
Doiron, Monia (JPS/JSP) &lt;Monia.Doiron@gnb.ca&gt;
Sent:
January 31, 2025 5:25 PM
To:
charliewharlie369@outlook.com &lt;charliewharlie369@outlook.com&gt;
Subject:
FDSJ-739-2024
Good afternoon,
Attached is</t>
  </si>
  <si>
    <t>CRAIG S &lt;placed.sj@gmail.com&gt;</t>
  </si>
  <si>
    <t>"Cannon, Benjamin" &lt;Benjamin.Cannon@saintjohn.ca&gt;</t>
  </si>
  <si>
    <t>Re: Follow-up on File 25-2390069 Domestic Incident -</t>
  </si>
  <si>
    <t>Constable Cannon,
Thank you for your follow-up confirming the charges against Emma Ryan and
the service of paperwork on September 23rd. The relief in seeing the facts
of the December 9th incident for</t>
  </si>
  <si>
    <t>"Doiron, Monia (JPS/JSP)" &lt;Monia.Doiron@gnb.ca&gt;</t>
  </si>
  <si>
    <t>"charliewharlie369@outlook.com" &lt;charliewharlie369@outlook.com&gt;</t>
  </si>
  <si>
    <t>FDSJ-739-2024</t>
  </si>
  <si>
    <t>Good afternoon,
Attached is a copy of your order and a Case Conference Notice for March 24th, 2025 at 9:00 am.
Regards
Monia Doiron
ASL 4
Court of King's Bench of New Brunswick/Cour du banc du Roi</t>
  </si>
  <si>
    <t>"Babylist" &lt;hello@registry.babylist.com&gt;</t>
  </si>
  <si>
    <t>"Craig Schulz" &lt;charliewharlie369@outlook.com&gt;</t>
  </si>
  <si>
    <t>Your 9-Week-Old Baby: Senses Working Overtime</t>
  </si>
  <si>
    <t>Your 9-Week-Old Baby: Senses Working Overtime Plus what to know about bedtime routines, breast pumps and birth control Unsubscribe &lt;https://links.babylist.com/s/eh/T3vLTBjJbfUufC0tXOmI7jl0wbe</t>
  </si>
  <si>
    <t>Your 13-Week-Old Baby: Best High Chairs for Messy Eaters</t>
  </si>
  <si>
    <t>Your 13-Week-Old Baby: Best High Chairs for Messy Eaters The 411 on croup and finding hands and feet Unsubscribe &lt;https://links.babylist.com/s/eh/JmWUkVEeZR3EKVqFb0edTqe0B0pYdWb7hUCYAiDkBETlO</t>
  </si>
  <si>
    <t>Your 14-Week-Old Baby</t>
  </si>
  <si>
    <t>Your 14-Week-Old Baby Belly laughs, bottle racks and why your hair isn’t in shampoo-commercial shape anymore Unsubscribe &lt;https://links.babylist.com/s/eh/Wdt9Hs5GflyXrHYnrWxnvEl3aCzILzZzqkr1Q</t>
  </si>
  <si>
    <t>"Babylist Partner" &lt;hello@newsletter.babylist.com&gt;</t>
  </si>
  <si>
    <t>Take the guesswork out of playtime. ‌  ‌  ‌  ‌  ‌  ‌  ‌  ‌  ‌  ‌  ‌  ‌  ‌  ‌  ‌  ‌  ‌  ‌  ‌  ‌  ‌  ‌  ‌  ‌  ‌  ‌  ‌  ‌  ‌  ‌  ‌  ‌  ‌  ‌  ‌  ‌  ‌  ‌  ‌  ‌  ‌  ‌  ‌  ‌  ‌  ‌  ‌  ‌  ‌  ‌  ‌  ‌  ‌  ‌ </t>
  </si>
  <si>
    <t>"dale.campbell@kw.com" &lt;dale.campbell@kw.com&gt;</t>
  </si>
  <si>
    <t>story</t>
  </si>
  <si>
    <t>THE COMPLETE STORY: FROM DAILY TRIPS TO SYSTEMATIC DENIAL
*The real timeline of what happened to Harper's father*
------------------------------
Before June 4th: The Daily Journey
Fifty kilometers.</t>
  </si>
  <si>
    <t>Fwd: Follow-up on File 25-2390069 Domestic Incident -</t>
  </si>
  <si>
    <t>---------- Forwarded message ---------
From: CRAIG S &lt;placed.sj@gmail.com&gt;
Date: Sun, Aug 31, 2025 at 7:33 PM
Subject: Follow-up on File 25-2390069 Domestic Incident -
To: &lt;benjamin.cannon@saintjohn.c</t>
  </si>
  <si>
    <t>"Disclosure SJ (JAG/JPG)" &lt;DisclosureSJ@gnb.ca&gt;</t>
  </si>
  <si>
    <t>Re: Criag Schulz - Disclosure</t>
  </si>
  <si>
    <t>Thank you for your prompt response, I'll see you guys in the morning.
Cheers
Craig
On Mon, Jul 14, 2025 at 3:44 PM Disclosure SJ (JAG/JPG) &lt;DisclosureSJ@gnb.ca&gt;
wrote:
&gt; Good Afternoon,
&gt;
&gt;
&gt;
&gt; Wit</t>
  </si>
  <si>
    <t>Re: FDSJ 739-24</t>
  </si>
  <si>
    <t>I don't need to see a lawyer, all forms will be filled out as NB family law
requires. I am just printing the exhibits for my affidavit and then I will
be in to file.
Thank You
On Wed, Jun 18, 2025 a</t>
  </si>
  <si>
    <t>Hi Monia,
This is all becoming unbelievably impossible to manage, but I am nearing
completion. I really want to file something with you today, but my reply
won't be ready as I am printing off the tex</t>
  </si>
  <si>
    <t>"Doiron, Monia (JPS/JSP)" &lt;Monia.Doiron@gnb.ca&gt;, 
	janet ellis stockford &lt;janet.ellisstockford@gnb.ca&gt;</t>
  </si>
  <si>
    <t>FDSJ 739-24</t>
  </si>
  <si>
    <t>*Hey*I am fully prepared, this is just the copy and paste version, the
affidavits are seperate, I just dont have the time to cross my ts anymore i
am genuinely worried for the safety of her at this po</t>
  </si>
  <si>
    <t>URGENT: Craig Schulz - File FDSJ 739-24 - COMPLETE BLOCKED ACCESS TO
 HARPER &amp; Refusal of Court-Ordered Access</t>
  </si>
  <si>
    <t>Dear Janet and Monica,
This is an urgent update regarding my file FDSJ 739-24, concerning Harper.
Since our last appearance before the Court Master on March 22nd, 2025, Emma
has completely blocked a</t>
  </si>
  <si>
    <t>*Subject:* URGENT ACTION REQUIRED: Immediate Child Safety Risk and
Procedural Guidance for FDSJ-739-24
*To:* monia.doiron@gnb.ca, janet.ellisstockford@gnb.ca
*Date:* August 22, 2025
Dear Ms. Doiron</t>
  </si>
  <si>
    <t>FDSJ 739-24- UPDATE</t>
  </si>
  <si>
    <t>Hey Monia and Janet
Well, we are still in same position unfortunately. On the eve of the
conference without a reply submitted.
Emma was charged last Tuesday, arrested by RCMP and formally charged wi</t>
  </si>
  <si>
    <t>"Ellis Stockford, Janet (JPS/JSP)" &lt;Janet.EllisStockford@gnb.ca&gt;</t>
  </si>
  <si>
    <t>Thank You for your reply, what about commissioner of oathes can that be
done there?
Thanks so much
On Fri, Jun 20, 2025 at 1:04 PM Ellis Stockford, Janet (JPS/JSP) &lt;
Janet.EllisStockford@gnb.ca&gt; wro</t>
  </si>
  <si>
    <t>"FLIC-SaintJohn-CIDF (JPS/JSP)" &lt;FLIC-SaintJohn-CIDF@gnb.ca&gt;</t>
  </si>
  <si>
    <t>"em.ry@icloud.com" &lt;em.ry@icloud.com&gt;, "vroofnn@icloud.com"
	&lt;vroofnn@icloud.com&gt;, "lunacraigcep@gmail.com" &lt;lunacraigcep@gmail.com&gt;</t>
  </si>
  <si>
    <t>FDSJ-739-2024 - Ryan v Schulz</t>
  </si>
  <si>
    <t>Good Morning,
Please see attached for the above noted file.
Kindly confirm reciept due to ongoing Postal strike.
Thank you,
Shianne French
Court Services -Service aux tribunaux
Family Division -</t>
  </si>
  <si>
    <t>"Gallant, Jacqueline (SD-DS)" &lt;Jacqueline.Gallant@gnb.ca&gt;</t>
  </si>
  <si>
    <t>HARPER RYAN</t>
  </si>
  <si>
    <t>Look, I am tired of it being the Ryan's stonewalling me at every turn. Your
job is to protect my daughter and not the Ryan's. She is still smoking meth
in that house that my daughter lives in, it's ti</t>
  </si>
  <si>
    <t>Follow up from my previous email- HARPER RYAN</t>
  </si>
  <si>
    <t>I wanted to follow up on the email I sent yesterday. I know my words were
strong, and they came from a place of deep concern for Harper. My priority
is always her wellbeing, safety, and best interests</t>
  </si>
  <si>
    <t>Formal Notification: Failure to Act in Protection File Re: Harper
 Ryan (File No. FDSJ-739-24)</t>
  </si>
  <si>
    <t>*To:* jacqueline.gallant@gnb.ca
*Date:* August 22, 2025
Dear Ms. Gallant,
I am writing to you again, with great disappointment. I am sorry to have to
include you in this, but you are not the only p</t>
  </si>
  <si>
    <t>Re: Formal Notification: Failure to Act in Protection File Re: Harper
 Ryan (File No. FDSJ-739-24)</t>
  </si>
  <si>
    <t>Hi Jacqueline and Kate
Thank you for your email.
I understand that the initial investigation has been closed. Please be
advised that I have already contacted the Child Protection Intake line to
repo</t>
  </si>
  <si>
    <t>Harper Ryan</t>
  </si>
  <si>
    <t>Hello
I know the case is closed and all that fun stuff from my complaint probably
means you are not the person to contact about this, but Emma was arrested
and charged with assault on Tuesday regardi</t>
  </si>
  <si>
    <t>This message, including any attachments, is intended for the sole use of the designated recipient(s) and may contain confidential and privileged information. Any unauthorized review, use, disclosu</t>
  </si>
  <si>
    <t>"Gallant, Jacqueline (SD-DS)" &lt;Jacqueline.Gallant@gnb.ca&gt;, Brenda Kotsabasakis &lt;blk@bellaliant.net&gt;, 
	amymcampbell@hotmail.com, "dale.campbell@kw.com" &lt;dale.campbell@kw.com&gt;, 
	benjamin.cannon@saintjohn.ca, christoper.mcleod@nbpolice.ca, 
	ladaphillips@rogers.com, Christashannon@hotmail.com</t>
  </si>
  <si>
    <t>truth</t>
  </si>
  <si>
    <t>Emma's lies are putting a target on my back/ head. I have been extremely
careful not to share anything relating to Harper and our custody stuff but
enough is enough. These 10 photos of 10,000 refute e</t>
  </si>
  <si>
    <t>"Gulliver, Justin (NBLASC/CSAJNB)" &lt;Justin.Gulliver@gnb.ca&gt;</t>
  </si>
  <si>
    <t>Re: Checking in</t>
  </si>
  <si>
    <t>Im focused on custody on the 5th please adjourn this if you cant find a
stay for both charges its been 111 days n shes not even 11 months old yet
this is all irrelevant to me without my daughter in my</t>
  </si>
  <si>
    <t>Phones good 5066502122. Im working but give me a time and I'll have the
guys take a break then or just call me I'll try to keep a hand free all day
Thank You sir
*Craig Schulz*
*My fight is for her</t>
  </si>
  <si>
    <t>Hi Justin,
Had an MRI yesterday, feeling very foggy this morning and my body and mind
are starting to tell me to shut it the fuck down. Well time says too bad-
received an email from SJPF they have o</t>
  </si>
  <si>
    <t>K O &lt;placed.sj@gmail.com&gt;</t>
  </si>
  <si>
    <t>"halsu@reg2.health.nb.ca" &lt;halsu@reg2.health.nb.ca&gt;</t>
  </si>
  <si>
    <t>URGENT REQUEST FOR HARPER RYANS RECORDS</t>
  </si>
  <si>
    <t>*Dear Ms. Haley-Lajoie,*
I hope this message finds you well. I am writing to inform you that I will
be personally handing in a formal request for all records pertaining to my
daughter,* (Harper Ryan:</t>
  </si>
  <si>
    <t>"Johnson, Lori (NBLASC/CSAJNB)" &lt;Lori.Johnson@gnb.ca&gt;</t>
  </si>
  <si>
    <t>Re: Legal Aid Information Package</t>
  </si>
  <si>
    <t>Hi Lori
Pick up is preferred, let me know when it is ready and I will pop in before
the long weekend.
Thanks so much
This message, including any attachments, is intended for the sole use of
the desi</t>
  </si>
  <si>
    <t>"mary.henderson@nbpolice.ca" &lt;mary.henderson@nbpolice.ca&gt;</t>
  </si>
  <si>
    <t>Fwd: truth</t>
  </si>
  <si>
    <t>Mary,
I understand this is certainly not the proper way to contact you, or anyone
for that matter. But I lived next door to one of your friends last summer
and I know that, in my dealings with you o</t>
  </si>
  <si>
    <t>"Mcleod, Christopher J. (KRPF/SPRK)" &lt;christopher.mcleod@nbpolice.ca&gt;</t>
  </si>
  <si>
    <t>Re: An Update and A Heartfelt Thank You to the KVRPF Team</t>
  </si>
  <si>
    <t>Filing day, weird one, never been one to defend myself. But had to share
the aha moment here at the end. The start hopefully though, it is a
different one holding the truth and not wanting to hurt tha</t>
  </si>
  <si>
    <t>Dawn Dixon &lt;dawncali@hotmail.com&gt;</t>
  </si>
  <si>
    <t>"placed.sj@gmail.com" &lt;placed.sj@gmail.com&gt;</t>
  </si>
  <si>
    <t>Re: Holiday and second proposal</t>
  </si>
  <si>
    <t>If you handing info over it’s time for me to block. I was only there to assist you not interested in dramatics or anyone else being involved.
Best of luck.
Sent from my iPad
On Jan 13, 2025, a</t>
  </si>
  <si>
    <t>DALE CAMPBELL &lt;dale.campbell@rogers.com&gt;</t>
  </si>
  <si>
    <t>Emma's affidavit</t>
  </si>
  <si>
    <t>did you not think that an explanation between the different writing styles in the affidavit may have been because she was high during this part? </t>
  </si>
  <si>
    <t>harpers mom and dad &lt;harpershomebase@gmail.com&gt;</t>
  </si>
  <si>
    <t>test</t>
  </si>
  <si>
    <t>test\</t>
  </si>
  <si>
    <t>Simon from Digital E &lt;digital-entrepreneur@mail.beehiiv.com&gt;</t>
  </si>
  <si>
    <t>View image: (https://media.beehiiv.com/cdn-cgi/image/fit=scale-down,format=auto,onerror=redirect,quality=80/uploads/asset/file/61fac822-237f-41a4-822c-6adff7d03815/Option_2.jpg?t=1747355608) [Featured</t>
  </si>
  <si>
    <t>"Disclosure SJ (JAG/JPG)" &lt;DisclosureSJ@GNB.CA&gt;</t>
  </si>
  <si>
    <t>Criag Schulz - Disclosure</t>
  </si>
  <si>
    <t>Good Afternoon,
With respect to the above matter, please be advised that your disclosure is ready for pick up at the Crown Prosecutor's Office.
Thank you,
Legal Administrative Assistant
Public Pros</t>
  </si>
  <si>
    <t>"Saint John Documents (NBLASC/CSAJNB)" &lt;SaintJohnDocuments@GNB.CA&gt;</t>
  </si>
  <si>
    <t>Craig Schulz - Variation</t>
  </si>
  <si>
    <t>[header]
15 Market Square, 8th Floor/tage,
Saint John, New Brunswick/Nouveau-Brunswick E2L 1E8
Tel : (506) 633-6030 / Fax : (506) 633-8994
Aggressive or violent behaviour towards our staff will not</t>
  </si>
  <si>
    <t>Criminal Application - Craig Schulz</t>
  </si>
  <si>
    <t>{Schulz, Craig}{Matter No.[J-2025-02884]}</t>
  </si>
  <si>
    <t>Good morning Craig,
We have processed your application for Legal Aid for the Criminal Matter.
This has been approved. Please find your letter of disposition attached.
You will also find a client ag</t>
  </si>
  <si>
    <t>Fw: Emma's affidavit</t>
  </si>
  <si>
    <t>Is this what you were looking for?
----- Forwarded Message ----- From: K O &lt;placed.sj@gmail.com&gt;To: DALE CAMPBELL &lt;dale.campbell@rogers.com&gt;Sent: Monday, February 17, 2025 at 08:31:18 p.m. ASTSubj</t>
  </si>
  <si>
    <t>Legal Aid Information Package</t>
  </si>
  <si>
    <t>Good Afternoon Craig,
I have a Legal Aid Information Package for you that needs to be filled out and given back to us so that your lawyer can review it and then after that step, we will make an appoi</t>
  </si>
  <si>
    <t>"Saint John Documents (NBLASC/CSAJNB)" &lt;SaintJohnDocuments@gnb.ca&gt;</t>
  </si>
  <si>
    <t>Re: Craig Schulz - Variation</t>
  </si>
  <si>
    <t>Dear Intake Officer,
Thank you for your email. This matter is urgent due to ongoing denial of
court‑ordered parenting time for approximately 13 consecutive weeks and
documented safety concerns. I am</t>
  </si>
  <si>
    <t>Re: Criminal Application - Craig Schulz</t>
  </si>
  <si>
    <t>Dear Intake Officer,
&lt;https://www.legalaid-aidejuridique-nb.ca/criminal-law-services/criminal-trial-services/&gt;
Please find enclosed my criminal legal aid intake documents for the pending
fraud matte</t>
  </si>
  <si>
    <t>Re: {Schulz, Craig}{Matter No.[J-2025-02884]}</t>
  </si>
  <si>
    <t>Thanks so much! I'll get those signed and off to you right away.
This message, including any attachments, is intended for the sole use of
the designated recipient(s) and may contain confidential and</t>
  </si>
  <si>
    <t>Hi Amanda
I don't have a bank account currently I am in the proccess of renewing
everything.I haven't worked since last week of May though, I am going to
stop in with forms from criminal family aid I</t>
  </si>
  <si>
    <t>Good morning
I am just following up to see if there was anything else needed from me. I
was in on Friday with the court order from the most recent Case Conference
on March 24th, 2025. I was denied my</t>
  </si>
  <si>
    <t>Craig Schulz re: HARPER RYAN FDSJ 739-24</t>
  </si>
  <si>
    <t>Subject: FDSJ‑739‑24 — Applicant’s filing attached; denial of abuse
allegations and urgent enforcement steps
Hello Legal Aid team,
Thank you for the steady, respectful support to date — it has been</t>
  </si>
  <si>
    <t>Good morning Amanda
They charged Emma on Tuesday of this week officially for her assault on me
with Harper in my arms from the December 9th incident. It doesn't feel very
good, there are no winners i</t>
  </si>
  <si>
    <t>Hi Amanda,
Thank you for sending these documents. I will drop them off at the
courthouse within the next couple of days. Please note that I will not
require legal representation until after the heari</t>
  </si>
  <si>
    <t>Correction- while I am visiting my friends at the Courthouse I will drop
them off at your office haha.
Cheers
This message, including any attachments, is intended for the sole use of
the designated</t>
  </si>
  <si>
    <t>"SUBWAY Restaurants" &lt;news@subs.subway.com&gt;</t>
  </si>
  <si>
    <t>&lt;charliewharlie369@outlook.com&gt;</t>
  </si>
  <si>
    <t>&lt;style type="text/css"&gt;
/*Loyalty header css*/
@media only screen and (max-width: 596px) {
.f22 {
font-size: 22px !important;
line-height: 1.2 !important;
} .h7{height: 7px!important;}
.hAuto</t>
  </si>
  <si>
    <t>Cozy comforts for only $5? YESWAY.</t>
  </si>
  <si>
    <t>"Avion Rewards" &lt;avionrewards@offers.rbc.com&gt;</t>
  </si>
  <si>
    <t>Craig, welcome to Avion Rewards</t>
  </si>
  <si>
    <t>&lt;!-- --&gt;&lt;!DOCTYPE html PUBLIC "-//W3C//DTD XHTML 1.0 Transitional//EN" "http://www.w3.org/TR/xhtml1/DTD/xhtml1-transitional.dtd"&gt;&lt;html XMLNS="http://www.w3.org/1999/xhtml"&gt;&lt;head&gt;
&lt;meta http-equiv="</t>
  </si>
  <si>
    <t>Get 25% off any Footlong sub TODAY!</t>
  </si>
  <si>
    <t>&lt;CHARLIEWHARLIE369@OUTLOOK.COM&gt;</t>
  </si>
  <si>
    <t>Want to get the most out of Avion Rewards?</t>
  </si>
  <si>
    <t>RBC Royal Bank
https://click.website.rbc.com/?qs=e8b7671f6419af73493da82ee6c987f3b3d6c2200e5479c8e77fa98dd35abe9c7fd6706d473ff3eba58a98f8700f38510f91c8311ce65413 View Online https://click</t>
  </si>
  <si>
    <t>Start the day with double the points.</t>
  </si>
  <si>
    <t>RBC Royal Bank
https://click.website.rbc.com/?qs=1183d0b97a5055ff9496b5de1ce016650b7515da02a9226f8cba2416a76f5b40e5310cb368adec73d8fd46445ac23eecc5bae9274dda76e4 View Online https://click</t>
  </si>
  <si>
    <t>FOMO on free drink and chips?</t>
  </si>
  <si>
    <t>As an MVP, we want you to feel like a VIP.</t>
  </si>
  <si>
    <t>Craig, cash back deals are waiting for you</t>
  </si>
  <si>
    <t>RBC Royal Bank
https://view.website.rbc.com/?qs=e03758bdbe4a1b44d0e3538299e306f65132068514f53966f23e0b7a9e38a386aa69723bcf037531ff80aacdf2cc44cb0dc8aaa12373bcdfefb0c29159640d68f5b6cc64a4d7249d4bd20</t>
  </si>
  <si>
    <t>RBC Royal Bank
https://click.website.rbc.com/?qs=7d6849b81d492cbe2bc7ef0123f78630c9fc65f53910338aa26617874e91ba2a156bcf0afbc722dc87fd0617fb19633558914c55e85e645b View Online https://click</t>
  </si>
  <si>
    <t>How about a $5 Snackwich Bundle!</t>
  </si>
  <si>
    <t>" Microsoft" &lt;Microsoft@engage.microsoft.com&gt;</t>
  </si>
  <si>
    <t>Unlock Microsoft offers and updates!</t>
  </si>
  <si>
    <t>&lt;!DOCTYPE HTML&gt;&lt;html xmlns="http://www.w3.org/1999/xhtml" xmlns:o="urn:schemas-microsoft-com:office:office" xmlns:v="urn:schemas-microsoft-com:vml" dir="ltr" lang="en-ca"&gt;&lt;head&gt;&lt;!--[if gte mso 9]&gt;</t>
  </si>
  <si>
    <t>Last chance to get 25% off any Footlong!</t>
  </si>
  <si>
    <t>Love is in the air.</t>
  </si>
  <si>
    <t>RBC Royal Bank
https://view.website.rbc.com/?qs=55e86031431fa8c7f503c0bdd809da2addc77a6b835911f66f294796c18a56aa8ebf94e9a36bdb2bce971fb252ae9f01d7c72c5bc0fb6dd5d84bcd216e01bec18f37e9bcc39e9f4514703</t>
  </si>
  <si>
    <t>Update for Avion Select members</t>
  </si>
  <si>
    <t>RBC Royal Bank 
https://view.website.rbc.com/?qs=3f5e4bdaaeb30593902345b6fd31acad1aa04dca665d2bb7b8defa6e2c229a3dc0f03433f2289f6525bbbdd3c221cd3345d294f4ce44e0651e726f8144afd9982b9ce474d7ebbb</t>
  </si>
  <si>
    <t>Chicken or Steak?</t>
  </si>
  <si>
    <t>Go Mojo Mode.</t>
  </si>
  <si>
    <t>Craig, 3X cash back is back!</t>
  </si>
  <si>
    <t>RBC Royal Bank
https://view.website.rbc.com/?qs=e903af20fba40f8eab856d2215f4d29875fd6162db2b29251081d1734567a166ab9697da8d953f58ce7884a89f80ab6d1e4deb9dc63a1b1fd43ac0f4e3865758b71d5f85d509c6c</t>
  </si>
  <si>
    <t>At $9.99, this Footlong deal is looking FINE.</t>
  </si>
  <si>
    <t>Buy any 2 Footlongs, get another for free.</t>
  </si>
  <si>
    <t>Put a ring (and a drink) on your sub for free</t>
  </si>
  <si>
    <t>Craig, spring into savings with Avion Rewards</t>
  </si>
  <si>
    <t>RBC Royal Bank
https://view.website.rbc.com/?qs=f8a11cee28a52189c96d47ea74a248cd6f186a7bb1cf4e91424fa4b853911ca8604140ff116eb5f98f0d37379800b459a084b5a8459adc3f98feb35b7f22c64ce9d7f5da86b7b</t>
  </si>
  <si>
    <t>Wakey wakey, breakfast savings</t>
  </si>
  <si>
    <t>Take your Footlong even further for $1.99</t>
  </si>
  <si>
    <t>Craig, cash back deals are blooming</t>
  </si>
  <si>
    <t>RBC Royal Bank
https://view.website.rbc.com/?qs=aff627fb5c27b6a8152a3c2605e794f1d6ac22ef92c29fa174e76db9157ea103f10bedd64d0daf15e8009dc15c4f38ce2c70866322e3831cd5008ebf63c122b9793f3d823da9d</t>
  </si>
  <si>
    <t>"Enfamil A+ My Family Beginnings" &lt;email@e.enewsletter.enfamil.ca&gt;</t>
  </si>
  <si>
    <t>&lt;lunacraigcep@gmail.com&gt;</t>
  </si>
  <si>
    <t>Craig, A $100 gift card could be yours to win* with your best baby meme!</t>
  </si>
  <si>
    <t>https://click.e.enewsletter.enfamil.ca/?qs=6d91c49e5840d444ddb9668ce6e74cd4d91e0927fb2bdc50e581fea811820e0d6a1ee2b5c04d8e694f31b5f6ea425870738242bb3baedea3 https://click.e.enewsletter.enfamil.c</t>
  </si>
  <si>
    <t>"AIR MILES Reward Program" &lt;no-reply@programnews.airmiles.ca&gt;</t>
  </si>
  <si>
    <t>&lt;!------------- AM HTML EMAIL BOILERPLATE v5.0 // RDELACRUZ -------------&gt;
&lt;!DOCTYPE HTML&gt;
&lt;html xmlns="http://www.w3.org/1999/xhtml"
xmlns:v="urn:schemas-microsoft-com:vml"
xmlns:o="urn:schemas-micr</t>
  </si>
  <si>
    <t>&lt;!------------- AM HTML EMAIL BOILERPLATE v5.0 // RDELACRUZ -------------&gt;
&lt;!DOCTYPE HTML&gt;
&lt;html xmlns="http://www.w3.org/1999/xhtml"
xmlns:v="urn:schemas-microsoft-com:vml"
xmlns:o="urn:schemas-micro</t>
  </si>
  <si>
    <t>"AIR MILES Reward Program" &lt;no-reply@partnernews.airmiles.ca&gt;</t>
  </si>
  <si>
    <t>Up to 7,000 Bonus Miles ENDS SOON</t>
  </si>
  <si>
    <t>Get 100 Bonus Miles with KENT Bonus Builder!</t>
  </si>
  <si>
    <t>&lt;!------------- AM HTML EMAIL BOILERPLATE v5.0 // RDELACRUZ -------------&gt;
&lt;!DOCTYPE HTML&gt;
&lt;html xmlns="http://www.w3.org/1999/xhtml"
xmlns:v="urn:schemas-microsoft-com:vml"
xmlns:o="urn:schemas-mic</t>
  </si>
  <si>
    <t>https://click.e.enewsletter.enfamil.ca/?qs=650944c933a0331365cb16131dab37c0258cc881ded3cfa678407fddd7030cfafe9286c2f48442c762c93c8f59e38dad45b36fd954a383d6 https://click.e.enewsletter.enfamil.c</t>
  </si>
  <si>
    <t>Get 1,000 Bonus Miles with Factor Meals</t>
  </si>
  <si>
    <t>Last Chance! Get 100 Bonus Miles on your summer projects at KENT</t>
  </si>
  <si>
    <t>https://click.e.enewsletter.enfamil.ca/?qs=5bbf2528564593409c6b32e9e00eae7a194fd75b1f2a6f37d144d2ebdbe7b634be607e3cda682c931c5b45918ec043f37456b66753c40baf https://click.e.enewsletter.enfamil.c</t>
  </si>
  <si>
    <t>https://click.e.enewsletter.enfamil.ca/?qs=875d3953dd01a052196ea00edad8a3e5f511921ed90d9e22285e59c9f2da45e8f126c71e38ccb5500b561d6a4451d3e3f8d3f9860845a9e3 https://click.e.enewsletter.enfamil.c</t>
  </si>
  <si>
    <t>"SAMSUNG ELECTRONICS CANADA INC" &lt;no-reply@email1.samsung.ca&gt;</t>
  </si>
  <si>
    <t>Unlock AI and lock in savings of up to $354</t>
  </si>
  <si>
    <t>&lt;!DOCTYPE html&gt;
&lt;html lang="en-CA"&gt;
&lt;!-- ^ Sets the document language to Canadian English for accessibility tools and language-specific rendering. --&gt;
&lt;!-- =========== START HEAD ============ --&gt;</t>
  </si>
  <si>
    <t>Luna, upgrade and save $1,199 with the Galaxy Tab S11</t>
  </si>
  <si>
    <t>&lt;!DOCTYPE html&gt;
&lt;html lang="en"&gt;
&lt;!-- =========== START HEAD ============ --&gt;
&lt;head&gt;
&lt;meta name="viewport" content="width=device-width, initial-scale=1.0" /&gt;
&lt;meta http-equiv="Content-</t>
  </si>
  <si>
    <t>Spend $10, get $10 back in value at Pharmasave!</t>
  </si>
  <si>
    <t>Trade-in and bundle for up to $354 off</t>
  </si>
  <si>
    <t>&lt;!DOCTYPE html&gt;
&lt;html lang="en-CA"&gt;
&lt;head&gt;
&lt;meta name="viewport" content="width=device-width, initial-scale=1.0"&gt;
&lt;!-- ^ Ensures email scales correctly on mobile devices --&gt;
&lt;meta chars</t>
  </si>
  <si>
    <t>https://click.e.enewsletter.enfamil.ca/?qs=aa1c5faa17e7b2f76f77026becd54b35f4620e8e5a138ece64bef74cbae406189648c857bfa47bf860f42c6333bdb750dc56f543d4326544 https://click.e.enewsletter.enfamil.c</t>
  </si>
  <si>
    <t>Earn up to $1000 in value with a BMO credit card</t>
  </si>
  <si>
    <t>Get 100 Bonus Miles with this SPECIAL Flash Offer</t>
  </si>
  <si>
    <t>Get up to 200 Bonus Miles at Global Pet Foods!</t>
  </si>
  <si>
    <t>Luna, save up to $1,199 on your new creative partner.</t>
  </si>
  <si>
    <t>Explore Louisiana and get 800 Bonus Miles</t>
  </si>
  <si>
    <t>Luna, ready for an exceptional upgrade?</t>
  </si>
  <si>
    <t>https://click.e.enewsletter.enfamil.ca/?qs=8f4b273521d8e6776525274a544cc986c7a5cace4501a383a59e3316d513043f5456a3fdca98f2697baa23388d0c6f570c72ffb7d1c0737d https://click.e.enewsletter.enfamil.c</t>
  </si>
  <si>
    <t>https://click.e.enewsletter.enfamil.ca/?qs=6c1d8c3c90dfc4c9b63f5052e9e14d293732c73870ad21674994bfc9ed0dc013264db7cca1d1effd5fc9969e4777d9cea8b62b795ab53647 https://click.e.enewsletter.enfamil.c</t>
  </si>
  <si>
    <t>https://click.e.enewsletter.enfamil.ca/?qs=99d423bddf1d77b3bb629bc59172c93a67deda8b2dfac6224ae63ed30735af792009905d92c124f96b0965dbf4105c70c7003c26f1e56379 https://click.e.enewsletter.enfamil.c</t>
  </si>
  <si>
    <t>"Uber Eats" &lt;ubereats@uber.com&gt;</t>
  </si>
  <si>
    <t>&lt;paul@paulsroofing.pro&gt;</t>
  </si>
  <si>
    <t>30% off is waiting for you at checkout</t>
  </si>
  <si>
    <t>&lt;!doctype html&gt;
&lt;html xmlns="http://www.w3.org/1999/xhtml" xmlns:v="urn:schemas-microsoft-com:vml" xmlns:o="urn:schemas-microsoft-com:office:office"&gt;
&lt;head&gt;
&lt;meta http-equiv="Content-Type" content=</t>
  </si>
  <si>
    <t>"Uber One" &lt;uberone@uber.com&gt;</t>
  </si>
  <si>
    <t>"Uber Eats" &lt;uber@uber.com&gt;</t>
  </si>
  <si>
    <t>Paul, your 30% off expires soon!</t>
  </si>
  <si>
    <t>Take up to 50% off your first 3 orders.</t>
  </si>
  <si>
    <t>Remember to claim your up to 75% off on your first 3 orders.</t>
  </si>
  <si>
    <t>Flavour savings with up to 75% off on your first 3 orders.</t>
  </si>
  <si>
    <t>Hungry for tasty savings? Here's 75% off.</t>
  </si>
  <si>
    <t>"GoDaddy" &lt;offers@e.godaddy.com&gt;</t>
  </si>
  <si>
    <t>&lt;placed.sj@gmail.com&gt;</t>
  </si>
  <si>
    <t>Complete your order today: Plus a 25% coupon code.</t>
  </si>
  <si>
    <t>Your cart is ready to roll. It just needs a final push. Open this email to complete your order today. &amp;zwnj; &amp;zwnj; &amp;zwnj; &amp;zwnj; &amp;zwnj; &amp;zwnj; &amp;zwnj; &amp;zwnj; &amp;zwnj</t>
  </si>
  <si>
    <t>Get your $100 e-voucher</t>
  </si>
  <si>
    <t>&lt;!DOCTYPE html&gt;
&lt;html lang="en"&gt;
&lt;head&gt;
&lt;meta http-equiv="Content-Type" content="text/html charset=UTF-8" /&gt;
&lt;meta name="viewport" content="width=device-width, initial-scale=1.0"&gt;
&lt;meta http-</t>
  </si>
  <si>
    <t>Sign up for an exclusive $100 e-voucher</t>
  </si>
  <si>
    <t>Save on the tastes you crave</t>
  </si>
  <si>
    <t>See inside to grab your savings</t>
  </si>
  <si>
    <t>"Uber Eats" &lt;noreply@uber.com&gt;</t>
  </si>
  <si>
    <t>Restaurants everyone is loving</t>
  </si>
  <si>
    <t>"Gaming Club" &lt;gamingclub@email.gamingclub.com&gt;</t>
  </si>
  <si>
    <t>Meet your Mega match!</t>
  </si>
  <si>
    <t>https://click.brtpemails.com/?qs=ed238ff02889b2448ca225455513d4390550e250c82986166e95d18a3b7bb3931f442c236b472dd0ce522d8dfed7d3c2e710a663ea945b13bdb807ec69d94b5d https://click.brtpemai</t>
  </si>
  <si>
    <t>"Platinum Play" &lt;platinumplay@email.platinumplaycasino.com&gt;</t>
  </si>
  <si>
    <t>A bonus that's all yours!</t>
  </si>
  <si>
    <t>https://click.flgemails.com/?qs=ed238ff02889b24472df6bb791cc4e69c348a130ca581ed3d8cf722d4236904058f2da5f6e146205c4533ad0940119496be4f968d63c4858a6c49d2e7903785f https://click.flgemails.com/?</t>
  </si>
  <si>
    <t>Where have you gone, Tony?</t>
  </si>
  <si>
    <t>https://click.brtpemails.com/?qs=ed238ff02889b2448ca225455513d4390550e250c8298616efa9173dec27cc3d6ab15ae02386fcd9f904f4069cfc75bcdda6ba179f25e69674c46040b2ed40bf https://click.brtpemai</t>
  </si>
  <si>
    <t>You're in for some Mega fun, Tony</t>
  </si>
  <si>
    <t>https://click.brtpemails.com/?qs=46439008efc344219d22a8bedb746131cf1043d4cbfb4d744e02b28acb8c7bb2a2c6e5e84e0ab1355a82a6dfea0810e58665f02cbe923d295de7a8aee53e126d https://click.brtpemai</t>
  </si>
  <si>
    <t>Seal your deal, Alison!</t>
  </si>
  <si>
    <t>https://click.flgemails.com/?qs=1eb91e53c139b9aa4e3bf1579fd097b5c235abde664474d11d622aa98ef00ecc2aed082235c106ffaf1a50c419c41533a821b422560e3e66a9c357a650413435 https://click.flgemails.com/?</t>
  </si>
  <si>
    <t>Get your day off to a Mega start!</t>
  </si>
  <si>
    <t>https://click.brtpemails.com/?qs=46439008efc344219d22a8bedb746131cf1043d4cbfb4d7485530c98566f85e6a8adfef17ef92e6c9712c1749ffa11483a9df5e2f7fd86f489a7014f4bafc6fb https://click.brtpemai</t>
  </si>
  <si>
    <t>One bonus, so many possibilities!</t>
  </si>
  <si>
    <t>https://click.brtpemails.com/?qs=e19e704b036026b139d6917526ade7c04fb69fdf29e36a8bf09e00006ee7558aeaf79f5267c27ee5269566aee979bbf67f80d5f985c4809850b952e35fa059d3 https://click.brtpemai</t>
  </si>
  <si>
    <t>"Heroku" &lt;no-reply@heroku.com&gt;</t>
  </si>
  <si>
    <t>Your Insights Needed: Help Improve Heroku's UX!</t>
  </si>
  <si>
    <t>Your Insights Needed: Help Improve Heroku's UX!
View in Browser https://hello.heroku.com/webmail/36622/1285797037/011dcd3c219818adac4698c9c4de89e9bf7ea17658c742c47f5ebc4b684e4d46
Dear Heroku Custome</t>
  </si>
  <si>
    <t>The mail you've waited for!</t>
  </si>
  <si>
    <t>https://click.brtpemails.com/?qs=46439008efc344219d22a8bedb746131cf1043d4cbfb4d74274f6976a4f96303b1281334e4b6889441c82a02dcdfc78d43d396f24b7a7a553bb576454548ffde https://click.brtpemai</t>
  </si>
  <si>
    <t>Presenting your latest bonus!</t>
  </si>
  <si>
    <t>https://click.flgemails.com/?qs=e19e704b036026b1c631f8a4cb7798fb9b787d49bc2061b348b9e564bc96f1863cd4dd7c9bcf27af04a9b2df4b99842d17c530f3df384b5499d49dc05beaf8ed https://click.flgemails.com/?</t>
  </si>
  <si>
    <t>Everyone's talking about it, Tony</t>
  </si>
  <si>
    <t>https://click.brtpemails.com/?qs=46439008efc344219d22a8bedb746131cf1043d4cbfb4d74225488e2e852463e3bc6b684849ba38cfe1a1c51e1acbec09d0be3c90da87b488c19e29126a30db5 https://click.brtpemai</t>
  </si>
  <si>
    <t>https://click.brtpemails.com/?qs=5aa443799d0d79271995679306556b45215378dcd33219624666122052ecbe3d8ed844851458605cafed31c523ae72b8c877534e0863a1c6e12d319f2b00e801 25% Match Bonus
PLUS</t>
  </si>
  <si>
    <t>Something extra! You in?</t>
  </si>
  <si>
    <t>https://click.flgemails.com/?qs=e19e704b036026b1c631f8a4cb7798fb9b787d49bc2061b34740d130c1c3a1fb835adb860924dd91ae6996e2b2d79cf2a7bffb9813d7ff41f62991e380b78392 https://click.flgemails.com/?</t>
  </si>
  <si>
    <t>https://click.flgemails.com/?qs=1eb91e53c139b9aa4e3bf1579fd097b5c235abde664474d1237384e74181fbbbe13cecc76016b4ff7ae34ce9f738f2519df1d0b4fe4867fc442ee913f67c6ed2 https://click.flgemails.com/?</t>
  </si>
  <si>
    <t>It's been a while, Tony!</t>
  </si>
  <si>
    <t>https://click.brtpemails.com/?qs=46439008efc344219d22a8bedb746131cf1043d4cbfb4d74a21917f91cdb5bfb1e8c5ee97cd9b315ad17c88bbc92799b857a0eb96a995d1ade6348267cd9e3b3 https://click.brtpemai</t>
  </si>
  <si>
    <t>Come and experience the fun, Tony</t>
  </si>
  <si>
    <t>https://click.brtpemails.com/?qs=ed238ff02889b2448ca225455513d4390550e250c8298616e241a5fe20690a54856dfa821e83211accae0e88061c848f95050b1530214a37ed497233b7a066ac https://click.brtpemai</t>
  </si>
  <si>
    <t>Your new Daily Deal alert!</t>
  </si>
  <si>
    <t>https://click.flgemails.com/?qs=ed238ff02889b24472df6bb791cc4e69c348a130ca581ed335d74d3280622d2cbb4fe02f4cce62409ebbbe37e17483f830b3df58230cf50a7a8a00845d337edb https://click.flgemails.com/?</t>
  </si>
  <si>
    <t>https://click.brtpemails.com/?qs=d9c741edea5e1e1e8c9a8f7cbb83a43700b4686d80428e75ab11e0b54be12653cdb410dbe4dd0af12ab30258d22397f52adb9254336f68dbdba3791055e34f09 https://click.brtpemails.co</t>
  </si>
  <si>
    <t>https://click.flgemails.com/?qs=e88567014be0db92a90bf5749df96ee29a448362a0672d9f183467b36f6ded9639dea6283b52a5344d3eaa4cdbe017eccab43853e1911b58a70458fd77bcc7ad https://click.flgemails.co</t>
  </si>
  <si>
    <t>Your next step? Bonus!</t>
  </si>
  <si>
    <t>https://click.brtpemails.com/?qs=d0fad23f3b23577c4d56a8341abc317c12a6d6685511222f5f71354fa0f72ca0b89ea32ec3c5426b3ee9d0963b303a65023cdf7fcec155caa61ae423325a5e1a https://click.brtpemails.co</t>
  </si>
  <si>
    <t>https://click.flgemails.com/?qs=ccd8a4f72dd324b8f8a29b265816b4ec5d99394e19f111efd8b0e2ee825f8de2cc292c31fb0aee7e62946110d3b7b164baa5e597560e0b8ecafb52bd9f945d03 https://click.flgemails.co</t>
  </si>
  <si>
    <t>https://click.brtpemails.com/?qs=d9c741edea5e1e1e8c9a8f7cbb83a43700b4686d80428e75e933b427c19f4b5e92480bd0e89db244cc023360ce63a8b3a38f2f76c350f01016be2c34aa888ed4 https://click.brtpemails.co</t>
  </si>
  <si>
    <t>&lt;!DOCTYPE html&gt;
&lt;html&gt;
&lt;head&gt;
&lt;meta name="viewport" content="width=device-width, initial-scale=1.0" /&gt;
&lt;meta http-equiv="Content-Type" content="text/html; charset=utf-8" /&gt;
&lt;!--[if gte mso 9]&gt;</t>
  </si>
  <si>
    <t>https://click.flgemails.com/?qs=ccd8a4f72dd324b8f8a29b265816b4ec5d99394e19f111efaa48862c979fc15f5d9b16c02b3725f057c54d34cd025310c94b63a7d379eb6b466b2215196ff93e https://click.flgemails.co</t>
  </si>
  <si>
    <t>https://click.brtpemails.com/?qs=d9c741edea5e1e1e8c9a8f7cbb83a43700b4686d80428e7538c6cfae411f3dff6422fbc0494ef30e21c4968cad94c8039930656d4a859beadc1dc5f76b7a719a https://click.brtpemails.co</t>
  </si>
  <si>
    <t>https://click.flgemails.com/?qs=e88567014be0db92a90bf5749df96ee29a448362a0672d9f903b754f1c6c8cdc14cc5b33e09bacee16503cc096d326fafad2c7243007196d7a603dc9e7d7bf34 https://click.flgemails.co</t>
  </si>
  <si>
    <t>This way for your bonus!</t>
  </si>
  <si>
    <t>https://click.brtpemails.com/?qs=c9e151ab5a96eb2cb6e06e4d38db03d7a8515f03cd1ec171d6a082a5988ccf910f61d431ddb04372ace1dc456cd10e424ed4807cdcadb79e255b37e863654aac https://click.brtpemails.co</t>
  </si>
  <si>
    <t>https://click.flgemails.com/?qs=ccd8a4f72dd324b8f8a29b265816b4ec5d99394e19f111ef7b39031587f2cdb792ced6abb0cf9d73933f5e440cf0474c168427d8d8c0339d79fdca02854a91ce https://click.flgemails.co</t>
  </si>
  <si>
    <t>https://click.brtpemails.com/?qs=d9c741edea5e1e1e8c9a8f7cbb83a43700b4686d80428e75f9fa9e796ac0f7e862bebd5cf619555e9db411d80da375e09297a074e2f07c2affece91d30b6269a https://click.brtpemails.co</t>
  </si>
  <si>
    <t>Your bonus to remember!</t>
  </si>
  <si>
    <t>https://click.brtpemails.com/?qs=d9c741edea5e1e1e8c9a8f7cbb83a43700b4686d80428e7578446774fdf565ff240e60c79ca14a3872535e4e8cbb27432b8a4505b9fe38279c10557ca6818c3b https://click.brtpemails.co</t>
  </si>
  <si>
    <t>https://click.flgemails.com/?qs=c10f8f6d536251ce988304928f303091b8edbac2d0e28d44587d9d2658c55dce140d37a2c1ad446098036c39cc1756245143b3bc30921452988958d937232882 https://click.flgemails.co</t>
  </si>
  <si>
    <t>Your game session booster!</t>
  </si>
  <si>
    <t>https://click.brtpemails.com/?qs=d0fad23f3b23577c4d56a8341abc317c12a6d6685511222fde95a8603f05c09f485051314638ce7091ecdb921431dd605286e24a6982718f17b44ccaa1d385fe https://click.brtpemails.co</t>
  </si>
  <si>
    <t>https://click.flgemails.com/?qs=c10f8f6d536251ce988304928f303091b8edbac2d0e28d44c178e59dcfb9261063a69c97e94c9abfbbaa78ce04a1a25657506a1897241d7d9e98465157b5f56d https://click.flgemails.co</t>
  </si>
  <si>
    <t>Your deal awaits, Tony!</t>
  </si>
  <si>
    <t>https://click.brtpemails.com/?qs=6c4f493f2f367456422bb1fa81f595216709ded574e6f1088121239a0a85653f51213c7b79b74b3b2daf4eccbe64b13ddf89efd3818d616aeefdce8c8e59b120 https://click.brtpemails.co</t>
  </si>
  <si>
    <t>https://click.flgemails.com/?qs=e88567014be0db92a90bf5749df96ee29a448362a0672d9f665ba543c7161702982915136549b558f9af57fe3c752a3aadfb3b999bba3a594041c8d9329bbd7b https://click.flgemails.co</t>
  </si>
  <si>
    <t>https://click.flgemails.com/?qs=a89e777902b845db650ed961e1ef59cf52bbfaf7a07c5069b0abde5d32ac951349d63b0ff392bc75c389c3148371d119857217ad23fbff955f9994824a69d9f9 https://click.flgemails.co</t>
  </si>
  <si>
    <t>What's next? Your bonus!</t>
  </si>
  <si>
    <t>https://click.brtpemails.com/?qs=c57a7b8f927b0261eb443cf449d349f7aea1893b3b16f4f4a5bac0e8f93cbda2f4a5b29474bce38e03965acede37603af95cddbbdf8b507723e077ddf4d8974e https://click.brtpemails.co</t>
  </si>
  <si>
    <t>Super-size your bonus?</t>
  </si>
  <si>
    <t>https://click.flgemails.com/?qs=c10f8f6d536251ce988304928f303091b8edbac2d0e28d449095658f4b8364cbf490720a368ecb572b979066ebd3d5c2949034fc157731db0654468d744ffa19 https://click.flgemails.co</t>
  </si>
  <si>
    <t>A bonus to perk you up!</t>
  </si>
  <si>
    <t>https://click.brtpemails.com/?qs=9e49207c6a08b3506cca0aff9dbd4cc6e9e3b876eeda70c6a4c305ef5e8ca5dacc1dd5a36fb254c8306426a27d0dce1795598672fd4c3be7e7c6e91c6bc94edd https://click.brtpemails.co</t>
  </si>
  <si>
    <t>https://click.flgemails.com/?qs=36252585c34afb9d618fadc5d355ffc39ab8c1bae36e1ac82430d941aac9896115feb651112618e0114f70932b29078ad166657ef5ac23f61a6d17dc6a63be92 https://click.flgemails.com/</t>
  </si>
  <si>
    <t>https://click.brtpemails.com/?qs=36252585c34afb9d919f323058d62cc7590cbb0b13d2fe6bfbf3626d65a6ea55cded035dbc4ee01df00253819bc86078d9d52f96aba21c61f01430da6613ad28 https://click.brtpemails.co</t>
  </si>
  <si>
    <t>Your mega-tastic deal, Alison!</t>
  </si>
  <si>
    <t>https://click.flgemails.com/?qs=c10f8f6d536251ce988304928f303091b8edbac2d0e28d4467fa3b0006ab4c11dc9b13d8c9c3f09554f30a9aa5aad6990b3b8255c36a667e4b0d2ad7bf894e0b https://click.flgemails.co</t>
  </si>
  <si>
    <t>https://click.brtpemails.com/?qs=6865f54d78cb67954891e7342f95f167144a5fb6eef70b861e59795a5f77824109431eeb47304c5ab550879effb052deb4ada47386c902339a676cc4d55f88ec https://click.brtpemails.co</t>
  </si>
  <si>
    <t>K, sign up for a $100 e-voucher and enter for a chance to win!</t>
  </si>
  <si>
    <t>https://click.brtpemails.com/?qs=15e9877b39c1afbf0d1532d9ed411f6eb36d1dda871ed11ec9c3cae1ecc5047e3af463a18a7713cbf0e158fd1fa046c39c6634fecb14a6ba38d5686c0716a116 https://click.brtpemai</t>
  </si>
  <si>
    <t>50% off is waiting for you at checkout</t>
  </si>
  <si>
    <t>https://click.brtpemails.com/?qs=a42ab870886c256b65124fa9ecec6a02048461a2e0d312024a09e2b8aad2533dc5c114e07fd0e827f0175a5a96417855f0e6997bd17804bf1315ecc3239cb67d https://click.brtpemai</t>
  </si>
  <si>
    <t>The stage is set for your comeback, Tony!</t>
  </si>
  <si>
    <t>https://click.brtpemails.com/?qs=df692d901978fbdee39317552f73878fa9914038559231b6ebfd007cb910cb36f9bceae3145b8f5791468aa9cc98ac17be68bbe1b77161868d1056ce6d05ac9c https://click.brtpemai</t>
  </si>
  <si>
    <t>K, your exclusive $100 e-voucher is waiting!</t>
  </si>
  <si>
    <t>https://click.brtpemails.com/?qs=15e9877b39c1afbf0d1532d9ed411f6eb36d1dda871ed11e4ea64e1f0513d0cc6826ca7cc984cac77eaceaf10f28936711b80b7685eabf44a2b856f39b57a285 https://click.brtpemai</t>
  </si>
  <si>
    <t>&lt;!DOCTYPE html PUBLIC "-//W3C//DTD XHTML 1.0 Transitional//EN" "http://www.w3.org/TR/xhtml1/DTD/xhtml1-transitional.dtd"&gt;
&lt;html&gt;
&lt;head&gt;
&lt;meta name="viewport" content="width=device-width, initial-sc</t>
  </si>
  <si>
    <t>https://click.brtpemails.com/?qs=df692d901978fbdee39317552f73878fa9914038559231b6498f1f0f3cad9ea806cf02f97ed0178d5355645c3cef229df60dcbaf177c84e545f38ab9e77ffd7c https://click.brtpemai</t>
  </si>
  <si>
    <t>"Indeed" &lt;no-reply@indeed.com&gt;</t>
  </si>
  <si>
    <t>We've updated our Terms of Service and Privacy Policy</t>
  </si>
  <si>
    <t>&lt;!DOCTYPE html PUBLIC "-//W3C//DTD XHTML 1.0 Transitional//EN" "http://www.w3.org/TR/xhtml1/DTD/xhtml1-transitional.dtd"&gt;
&lt;html
xmlns="http://www.w3.org/1999/xhtml"
xmlns:v="urn:schemas-micros</t>
  </si>
  <si>
    <t>https://click.brtpemails.com/?qs=a42ab870886c256b65124fa9ecec6a02048461a2e0d31202d25ae3555148d055462723506f6b8224bb942af7f43d6d889171846dc84e55718203386c71ce5f79 https://click.brtpemai</t>
  </si>
  <si>
    <t>https://click.brtpemails.com/?qs=a42ab870886c256b65124fa9ecec6a02048461a2e0d31202cb77aa8c5872c29da97e32cbb3ff826a599f4a313a004a1d0a9928d3f00735b7d4ad794352225091 https://click.brtpemai</t>
  </si>
  <si>
    <t>Great games and even better rewards, Tony</t>
  </si>
  <si>
    <t>https://click.brtpemails.com/?qs=c2d8c8f13ddc24470be8b874af599f9454290ff3536366e7f1bb44fd4b3a80b062ad36e2c6ee5339ba38b4ab201d65574ae68e1683d56eb5ae91e3c0e1e447e2 https://click.brtpemai</t>
  </si>
  <si>
    <t>https://click.brtpemails.com/?qs=c2d8c8f13ddc24470be8b874af599f9454290ff3536366e77bc09740b473050045e9b995e4e801cd596f8f9311bff296604bbfa1fcd164815c6b3350001ec9fa https://click.brtpemai</t>
  </si>
  <si>
    <t>https://click.brtpemails.com/?qs=df692d901978fbdee39317552f73878fa9914038559231b65ce42df940d9cbb3a3ad3ccd747ddc9057b4c6e81cfe9f05f131d35579158b5aedfc5005b5a1601c https://click.brtpemai</t>
  </si>
  <si>
    <t>Get in on world-class action, Tony</t>
  </si>
  <si>
    <t>https://click.brtpemails.com/?qs=a42ab870886c256b65124fa9ecec6a02048461a2e0d3120269a7e1ce0d2035fcfcfa78f8a20c1db96dcc24e0ab59f3ce23278277389585294fd65f2eafa9c521 https://click.brtpemai</t>
  </si>
  <si>
    <t>Ripe and ready to reward you!</t>
  </si>
  <si>
    <t>https://click.brtpemails.com/?qs=15e9877b39c1afbf0d1532d9ed411f6eb36d1dda871ed11e3ced0bdaed9dc2ac2497c9ae659de06f7c7ee1e854b63fad0816092a0735086b63d4f135b826450b https://click.brtpemai</t>
  </si>
  <si>
    <t>https://click.brtpemails.com/?qs=c2d8c8f13ddc24470be8b874af599f9454290ff3536366e7d371297e7ba36858f2ab200be757587a1fe4b5fa5df7b4de8eff46e297f282d0e3ffc346ffcbb42f https://click.brtpemai</t>
  </si>
  <si>
    <t>Make your day a little brighter, Tony</t>
  </si>
  <si>
    <t>https://click.brtpemails.com/?qs=c2d8c8f13ddc24470be8b874af599f9454290ff3536366e788eda106db6e11351465203e24f9f41f7c59b71e7e074e1fe1637fbcbc011b1db53e88227a799599 https://click.brtpemai</t>
  </si>
  <si>
    <t>https://click.brtpemails.com/?qs=87efae6476a1960bd0107776772ea1b7ff217fc44680a5e52698d5999321230afcf89d499c497311b2ce78603b26d3ae9fe1017b55e9ebfd4efa4c707e1e44b0 https://click.brtpemails.co</t>
  </si>
  <si>
    <t>https://click.brtpemails.com/?qs=a42ab870886c256b65124fa9ecec6a02048461a2e0d312026785e8d118a851c214475a5ace7f303b54593c54f807baafa9b52e4f8e5ea73dddc0a6b014e590be https://click.brtpemai</t>
  </si>
  <si>
    <t>Your welcome back deal awaits, Tony</t>
  </si>
  <si>
    <t>https://click.brtpemails.com/?qs=15e9877b39c1afbf0d1532d9ed411f6eb36d1dda871ed11e8b3346d6eb27c11da7a7d5340f80d5edd99ef2d3cecbaf64d7ab2f6162d1b057c8c449d27b2f6d54 https://click.brtpemai</t>
  </si>
  <si>
    <t>https://click.brtpemails.com/?qs=c2d8c8f13ddc24470be8b874af599f9454290ff3536366e70a4a2bdd3df7ae6dd2c45940b5cecf5216a0c12a963e6ebbd67bf5dbe234d6c50c3762edb3b396fe https://click.brtpemai</t>
  </si>
  <si>
    <t>https://click.brtpemails.com/?qs=a42ab870886c256b65124fa9ecec6a02048461a2e0d31202cd0872dc4631f384428658de9e50253898e1f06eb35b5fd2ea2015c54721210429e259294579832d https://click.brtpemai</t>
  </si>
  <si>
    <t>https://click.brtpemails.com/?qs=c2d8c8f13ddc24470be8b874af599f9454290ff3536366e735edb0a64b7e46319e25a7d99935787daf1e4f6289069141b6f826354a4ac3cda1480546aaeb591a https://click.brtpemai</t>
  </si>
  <si>
    <t>https://click.brtpemails.com/?qs=df692d901978fbdee39317552f73878fa9914038559231b6309019efb5ff29d58efd7838249c6a0cfaa6af7c2a9dfc6e7ffae248260649ae41ebab75654aab01 https://click.brtpemai</t>
  </si>
  <si>
    <t>https://click.brtpemails.com/?qs=df692d901978fbdee39317552f73878fa9914038559231b63070aacee21649532f0f01611abe422fe729bed2a622b734dec2bdb34dee6d1d9efa56c7f56ca70b https://click.brtpemai</t>
  </si>
  <si>
    <t>Delicious meal on your mind? Let us help.</t>
  </si>
  <si>
    <t>https://click.brtpemails.com/?qs=3563de0034d1f2573e558b4b7705a1bab58e3c487f3ab67e3ec05d31f57342e21bc7e5ad3790666b3b46b47906d120104d137569b7c8f9b23e48e2b9c6385eee https://click.brtpemails.co</t>
  </si>
  <si>
    <t>https://click.brtpemails.com/?qs=c2d8c8f13ddc24470be8b874af599f9454290ff3536366e770c3f32200e57af6fe0aa9632fd9eb463eb20796a9e2ecf4ee716b51092687847c5fdbb7527fbced https://click.brtpemai</t>
  </si>
  <si>
    <t>K, last chance to upgrade your TV and save</t>
  </si>
  <si>
    <t>https://click.brtpemails.com/?qs=15e9877b39c1afbf0d1532d9ed411f6eb36d1dda871ed11efc1a8700adc76c95d8617285f399d013caba368a1d5678c6dcd4c6878348302ff24ccc13cadfcdc1 https://click.brtpemai</t>
  </si>
  <si>
    <t>https://click.brtpemails.com/?qs=15e9877b39c1afbf0d1532d9ed411f6eb36d1dda871ed11ea0bb0ed312f0baabec0c571c2909ecba22226b13cec277f17a42c6ab3949fe8a8bd3991de93eb4a9 https://click.brtpemai</t>
  </si>
  <si>
    <t>https://click.brtpemails.com/?qs=c2d8c8f13ddc24470be8b874af599f9454290ff3536366e71284602bd93bf27552663bca4f2a1e8ad6adfacfd9ad701deb0376ebbc8d0c6e08bfae86efdbb904 https://click.brtpemai</t>
  </si>
  <si>
    <t>https://click.brtpemails.com/?qs=df692d901978fbdee39317552f73878fa9914038559231b67265be4f75773ddb383513e689a0c3b55676b0b301f219e4e6392124355a99a972a2d7a4c5286267 https://click.brtpemai</t>
  </si>
  <si>
    <t>Coming soon: Something eggciting!</t>
  </si>
  <si>
    <t>https://click.brtpemails.com/?qs=fdd9fcbbc4e46c82ca6f1aea818a46f587e1fdb0327b276ce758de7e93c7bd4b71fe1ae3b1f6631e4e52053affa92b88c1c5712383382aed081a7ed5d95e1da8 https://click.brtpemails.co</t>
  </si>
  <si>
    <t>Your Daily Deal just got boosted!</t>
  </si>
  <si>
    <t>https://click.brtpemails.com/?qs=a42ab870886c256b65124fa9ecec6a02048461a2e0d31202cad8d63fff2b5288bfa21daea89f6438452a1e35409a421cb228f09d2c377dbe09f1cc9fe9c2fb59 https://click.brtpemai</t>
  </si>
  <si>
    <t>https://click.brtpemails.com/?qs=a42ab870886c256b65124fa9ecec6a02048461a2e0d31202a2946e26b14ff29d47fb11c5d6955924ee0a3d5ed58d2a3397202476bcc10365a4772bf7f1c39f83 https://click.brtpemai</t>
  </si>
  <si>
    <t>Starting: Your Ultimate Easter Hunt!</t>
  </si>
  <si>
    <t>https://click.brtpemails.com/?qs=fefc0e076b592222cb57fda5630fa5fd041522988866017a93c8ec8658619eaf167a9976a517b865911d3a50c02dc5d361aa42eac017eba5a9eb45b860ecbf16 https://click.brtpemails.co</t>
  </si>
  <si>
    <t>https://click.brtpemails.com/?qs=a42ab870886c256b65124fa9ecec6a02048461a2e0d3120243eba50389a212b9e3c2b7561f186591faf93e13e8289506e306add0cf8c54a5cb0b01137c003b7b https://click.brtpemai</t>
  </si>
  <si>
    <t>https://click.brtpemails.com/?qs=c2d8c8f13ddc24470be8b874af599f9454290ff3536366e75f1aeb2735ff27960b5da4ed89474277798dc26804afefc9af042cead49973fc07fcb2355cd4a61b https://click.brtpemai</t>
  </si>
  <si>
    <t>https://click.brtpemails.com/?qs=25d22d85f3a71005f0b5150c332a046b3f70aeccf244c9613397a9952d1bd1862f1dcfe5dba3b57c5219d70420e7e1f07c5b10d6f01b49767da9522d59671f47 https://click.brtpemails.co</t>
  </si>
  <si>
    <t>https://click.brtpemails.com/?qs=e51b7156d87fa19e7ba6308fd9de0042aee9cd222cd0c8d6184ab172b953dd5459728221a0507a5a7b4e75de8737c94beedc61ec7a44a82bb0135225cff09216 https://click.brtpemails.co</t>
  </si>
  <si>
    <t>https://click.brtpemails.com/?qs=e51b7156d87fa19e7ba6308fd9de0042aee9cd222cd0c8d614f88420fef656d6afc63b122d70530cd8df44b1bd43fb4a466451300d2faa6937ddbe221a66aec1 https://click.brtpemails.co</t>
  </si>
  <si>
    <t>The perfect excuse to make a comeback!</t>
  </si>
  <si>
    <t>https://click.brtpemails.com/?qs=036a8d39652841daf3e727e8160212e555b99580c0bac9ff36d9136ccc333bd3496822a1495f0dd27c4a8fb6c4ad45a40af192732acc096c745e7fdd81fb22a1 https://click.brtpemails.co</t>
  </si>
  <si>
    <t>Why not order in today?</t>
  </si>
  <si>
    <t>https://click.brtpemails.com/?qs=036a8d39652841daf3e727e8160212e555b99580c0bac9ffec6a858a40bd1e76d535b3e42d019662321a494540723ca3f1b0801977815256351b03ce08a4877c https://click.brtpemails.co</t>
  </si>
  <si>
    <t>https://click.brtpemails.com/?qs=4a68b9568488fb41e168cfc977877b584937c61491825c076a84376c6488a99f7420a59a808a29f9916499d2c120f31e6b600dac73ca5d8255e04746f1be5ba4 https://click.brtpemails.co</t>
  </si>
  <si>
    <t>K, trade in to save $400 on Vision AI TVs</t>
  </si>
  <si>
    <t>https://click.brtpemails.com/?qs=036a8d39652841daf3e727e8160212e555b99580c0bac9ff763b804cc46e75f6b609557839f8d2c322a3395a0538d7742ffb194da623cc4281fb33bd5f8a4af1 https://click.brtpemails.co</t>
  </si>
  <si>
    <t>https://click.brtpemails.com/?qs=e51b7156d87fa19e7ba6308fd9de0042aee9cd222cd0c8d6cb6ed9699da94d7145582cd36c9282b4e2dd6c467a48311e659450009bc845572aa6b0a08efea90b https://click.brtpemails.co</t>
  </si>
  <si>
    <t>https://click.brtpemails.com/?qs=4a68b9568488fb41e168cfc977877b584937c61491825c07cfaad796c81f46a98705e68ebe8a4d858a2a63bb33ba750639be506e6d352f248c76aadd6e8a42d5 https://click.brtpemails.co</t>
  </si>
  <si>
    <t>https://click.brtpemails.com/?qs=4a68b9568488fb41e168cfc977877b584937c61491825c0702e921630057046679d8af29fadc6f6bb3a6478f3c64ec42b8574f9af22b53ef731fde4fce0a77a9 https://click.brtpemails.co</t>
  </si>
  <si>
    <t>Look sharp: New games ahead!</t>
  </si>
  <si>
    <t>https://click.brtpemails.com/?qs=e88522eb73ef3c909f587409b67a358360bc3b8803739d548dce1bbdfe822ecb1e1fadb82609bdcd5ce1630dc4e6b7b5db8144ca71981e9c46c56c9bd530f480 https://click.brtpemails.co</t>
  </si>
  <si>
    <t>Get ready: Hourly Wins incoming!</t>
  </si>
  <si>
    <t>https://click.brtpemails.com/?qs=5d77f5ca185324a35896a06344dbd1b37231ef353af0186b2fcb8e8a3c05522a9511c8b47debb03183b3d87450b20f60ed7890076c6e3644c0ad8b99689e7495 https://click.brtpemails.co</t>
  </si>
  <si>
    <t>K, save up to $300 on Samsung appliances</t>
  </si>
  <si>
    <t>&lt;!DOCTYPE html&gt;
&lt;html lang="en"&gt;&lt;head&gt;
&lt;meta http-equiv="Content-Type" content="text/html charset=UTF-8" /&gt;
&lt;meta name="viewport" content="width=device-width, initial-scale=1.0"&gt;
&lt;meta http-e</t>
  </si>
  <si>
    <t>https://click.brtpemails.com/?qs=8277ce3a7ebba6700eb7f090da0a5d86017a2e4ca18cc1b0522296102ef861c0501004a43a709996c5a15fbeadb59ed984637ab2c77853b9831ff3abf48629cc https://click.brtpemails.co</t>
  </si>
  <si>
    <t>K, save up to $1,500 on 2025 OLED TVs</t>
  </si>
  <si>
    <t>Have you seen our latest promotions?</t>
  </si>
  <si>
    <t>https://click.brtpemails.com/?qs=e51b7156d87fa19e7ba6308fd9de0042aee9cd222cd0c8d6b9843b76daca994471ff022dd8435d67c75ff71bd87cc0f0f87fd2c0c88dc62a278661079abdc1de https://click.brtpemails.co</t>
  </si>
  <si>
    <t>The latest and greatest in casino entertainment</t>
  </si>
  <si>
    <t>https://click.brtpemails.com/?qs=4a68b9568488fb41e168cfc977877b584937c61491825c07dbb6f5922e8f163fef2c65804839ceb4f2416fcddc3ea2f91e76170c78ad73272846ca4b9a11b444 https://click.brtpemails.co</t>
  </si>
  <si>
    <t>Casino mysteries unveiled: come discover!</t>
  </si>
  <si>
    <t>https://click.brtpemails.com/?qs=47b37f0e81835e3d27692288130b8c86aaa6450a2675e7bbd24160720f113524f898de22a2a8e38176779547e372e4f3caefcce7dcff3473a3dfc8a32962f394 https://click.brtpemails.co</t>
  </si>
  <si>
    <t>https://click.brtpemails.com/?qs=c067d7ce3833d5aeb5563eabb3027b35b26d97461e8a0f8a6eec384ceabb0234c3008bf3659f67dd98ebc59cd40a8bcbfefbc455e83149ddcd7570d7c8721402 https://click.brtpemails.co</t>
  </si>
  <si>
    <t>Get up to 60% off at thousands of new restaurants</t>
  </si>
  <si>
    <t>Let the games begin!</t>
  </si>
  <si>
    <t>https://click.brtpemails.com/?qs=4a68b9568488fb41e168cfc977877b584937c61491825c072ddebcbfbe1b9882e09bc67bf112a89b615dd888c09ee6f6fa63c843cc6470c885236a46a066d2d3 https://click.brtpemails.co</t>
  </si>
  <si>
    <t>K, get the slimmest Galaxy S Series yet. Save up to $1,320.</t>
  </si>
  <si>
    <t>We've been busy! Come see what's up!</t>
  </si>
  <si>
    <t>https://click.brtpemails.com/?qs=036a8d39652841daf3e727e8160212e555b99580c0bac9ffd021a73eff0e66b3be30e4c824ed85e9ff1ca635cb2de04afd809172ae5573a113ecc15513287857 https://click.brtpemails.co</t>
  </si>
  <si>
    <t>K, the Premiere 5 Touch Interaction Projector is here</t>
  </si>
  <si>
    <t>https://click.brtpemails.com/?qs=983379d7b6fdfd9531571c2b6d1776351d1a55710e73e71af311134ae180def04607c187718538b14f1993b61c9c87be8612a2d6442758419e1bfaa4899a67d7 https://click.brtpemails.co</t>
  </si>
  <si>
    <t>Surprise! Save $300 more on the Galaxy S25 Edge.</t>
  </si>
  <si>
    <t>https://click.brtpemails.com/?qs=47b37f0e81835e3d27692288130b8c86aaa6450a2675e7bb1f47df2ec6c794fe1c8798a8583a4b448e82c73113d742e8e3ab20d0cb59573185a8bb5dc2320029 https://click.brtpemails.co</t>
  </si>
  <si>
    <t>https://click.brtpemails.com/?qs=8255168d87a4774630bc019da15534004b470367cff5e309330ac8887ab0bc2467fd5dd5f7f5c95fdc4a5e7a07c6e29c71b32989b1436c6381222a7ac154d1ae https://click.brtpemails.co</t>
  </si>
  <si>
    <t>Discover our latest hits</t>
  </si>
  <si>
    <t>https://click.brtpemails.com/?qs=47b37f0e81835e3d27692288130b8c86aaa6450a2675e7bb66d83c05cb7eb3b8355b2992e09b0869b3f461486405e4b7c54d1ee20fbc14cf5f56d06136497dcb https://click.brtpemails.co</t>
  </si>
  <si>
    <t>https://click.brtpemails.com/?qs=036a8d39652841daf3e727e8160212e555b99580c0bac9ff3f7f623850721f0f6319c69f6f472cecbd05a62ea6a320f7546578034ed5fc10087db960cd21b2d2 https://click.brtpemails.co</t>
  </si>
  <si>
    <t>https://click.brtpemails.com/?qs=f3a7261b351ecdd719df01f2437716ec6bda84b586abce844bcf764fa0d399d49faab50366edc966a398fad1b57d14bd5797b8c4b4cd91b9e45efe718915f94f https://click.brtpemails.co</t>
  </si>
  <si>
    <t>K, last chance to save up to $300 on Samsung appliances</t>
  </si>
  <si>
    <t>Time to reunite with your favourite games!</t>
  </si>
  <si>
    <t>https://click.brtpemails.com/?qs=e51b7156d87fa19e7ba6308fd9de0042aee9cd222cd0c8d66b17728a4402344a22b9ee1317dcbffe65d8760a1745c95468f1d99e4d6185c123bf7d64e3ea9291 https://click.brtpemails.co</t>
  </si>
  <si>
    <t>https://click.brtpemails.com/?qs=637c0c9c520c8a16d246a64cfe0f50dd35bf522b8ec42dffe06a23d06b22f0a390b66a0bb2f91783b89c56cb416ab3db183a48f0bf7bf85c9124d5cfef5ba1d3 https://click.brtpemails.co</t>
  </si>
  <si>
    <t>It's your bonus turn!</t>
  </si>
  <si>
    <t>https://click.brtpemails.com/?qs=62b3cef8cca03261dec46c30ed3eb0d1904d70d819cde79ce5041ecb34f0d9eb98949d97d2a4995dacda3ef0150eb301ee5a34f752e1816e71f52bad32adffe3 https://click.brtpemails.co</t>
  </si>
  <si>
    <t>https://click.brtpemails.com/?qs=e51b7156d87fa19e7ba6308fd9de0042aee9cd222cd0c8d64ff60c40c2ccd0a2cd37d25e52346da2f02d5aa150375e7280e620158615dde53b5c5de64d7ea224 https://click.brtpemails.co</t>
  </si>
  <si>
    <t>https://click.brtpemails.com/?qs=4a68b9568488fb41e168cfc977877b584937c61491825c073a070d9a8c30b8c85f83a30686101c03235d1eaad591b9b6d8a051128084b4b694f8c33ebe51d34a https://click.brtpemails.co</t>
  </si>
  <si>
    <t>Stephen from Fing &lt;newsletter@fing.com&gt;</t>
  </si>
  <si>
    <t>Data-Stealing Browser Extensions, Million Credentials Stolen, Best Digital Wallets</t>
  </si>
  <si>
    <t>2025-05-28
[View in Browser](https://r.news.fing.com/mk/mr/sh/28xHBT2OOm5aQptdXSKhEiyfFIMXCKGYwW/fhqCHHXspgI0)
Hey there, I'm Stephen, and welcome back to the Fing Home Tech Distillery!
This Week'</t>
  </si>
  <si>
    <t>https://click.brtpemails.com/?qs=47b37f0e81835e3d27692288130b8c86aaa6450a2675e7bba38e196c012ff93d99cb0bdbbc5fe2c399fd5fbb8c05511760dd89aaf42c0663f1a0156a54481533 https://click.brtpemails.co</t>
  </si>
  <si>
    <t>Power Hour Is Wild. Mega Drop Is WILDER.</t>
  </si>
  <si>
    <t>https://click.brtpemails.com/?qs=fe6099be2f187141be8c9a82a454ae00604c38744522a104a803c1e7f692a382baafc1e13f7e1bb02932193c4b8b00b71df441affee61b98ddaf18ebcb2de3f1 https://click.brtpemails.co</t>
  </si>
  <si>
    <t>https://click.brtpemails.com/?qs=e51b7156d87fa19e7ba6308fd9de0042aee9cd222cd0c8d69d7fb4e9aaa0b22bc28dd104b39137618446ec78acb13e87dde50049dae86704ac6cbcf7c2e1fcbe https://click.brtpemails.co</t>
  </si>
  <si>
    <t>Orders open! Upgrade to the new Galaxy S25 Edge.</t>
  </si>
  <si>
    <t>https://click.brtpemails.com/?qs=e51b7156d87fa19e7ba6308fd9de0042aee9cd222cd0c8d6ad176d6bf2be21c85e5e6e46ade7ad0b66ac05aad53515f0c869cb018f69061b70613213be5786df https://click.brtpemails.co</t>
  </si>
  <si>
    <t>Your jackpots just got an upgrade!</t>
  </si>
  <si>
    <t>https://click.brtpemails.com/?qs=3fa23203e1d4dd1006f3c08ffdd784ffd06db9dbb82467f194f378e845f3e67937f575bf627fb007595c8eaf1e87a4878a3506f64bfcfd8bff4d05d79e5a8c36 https://click.brtpemails.co</t>
  </si>
  <si>
    <t>Get up to 50% off at thousands of new restaurants</t>
  </si>
  <si>
    <t>https://click.brtpemails.com/?qs=e51b7156d87fa19e7ba6308fd9de0042aee9cd222cd0c8d67633a0694916aa8001ba2682adb77f2c9b8aed023d9c958610d25e42c87677e54ba9af885248df10 https://click.brtpemails.co</t>
  </si>
  <si>
    <t>https://click.brtpemails.com/?qs=036a8d39652841daf3e727e8160212e555b99580c0bac9ffd71b2361b9308d824dfadb52aaf7cc5da9731b6ab8f7120c7e379b348e380adec661ea98297aa094 https://click.brtpemails.co</t>
  </si>
  <si>
    <t>Your bonus is waiting</t>
  </si>
  <si>
    <t>https://click.brtpemails.com/?qs=62b3cef8cca03261dec46c30ed3eb0d1904d70d819cde79cf9942bfbf53b9da6f48222e6762e7bbdd71875503e9892f2b90c909527acabbfebd6934a4ee52ccf https://click.brtpemails.co</t>
  </si>
  <si>
    <t>https://click.brtpemails.com/?qs=aa397656b548cd2ebe5b29b280bb1965a8f1b2bef7d955aabb04e8ef4ec26535904e9843dc4d307d9592ea10094192595981a3068e4df2170eb73fd4c1e19aaf Let’s Play Again! https://</t>
  </si>
  <si>
    <t>Last call for 50% off your next 2 orders !</t>
  </si>
  <si>
    <t>K, get dad the gift of ultimate entertainment</t>
  </si>
  <si>
    <t>Don't miss out! See what your neighbors love.</t>
  </si>
  <si>
    <t>https://click.brtpemails.com/?qs=cb374850dba02d3e1aefd1e6a552229ef2e4b3922c7d62c9d3371641fff288befaf086d33e26004edc737e7bb24e000bca5d4a86e7f556f9498e68df7f430ec4 Spin Back into Action
https</t>
  </si>
  <si>
    <t>&lt;!DOCTYPE html&gt;
&lt;html&gt;
&lt;head&gt;
&lt;title&gt;🔥 Deal alert! Huge savings on Samsung.&lt;/title&gt;
&lt;meta name="robots" content="noindex, nofollow"&gt;
&lt;meta http-equiv="Content-Type" content</t>
  </si>
  <si>
    <t>Fire Risk for 1M Power Banks, ChatGPT Now Saves Deleted Chats, Best TV Audio Setup</t>
  </si>
  <si>
    <t>2025-06-18
[View in Browser](https://r.news.fing.com/mk/mr/sh/28xHBT2OOm5aQptdXSKhEiyfFIMXCKGYwW/5Zq7T5F7BZjj)
Hey there, I'm Stephen, and welcome back to the Fing Home Tech Distillery!
This Week'</t>
  </si>
  <si>
    <t>A little something just for you, Tony</t>
  </si>
  <si>
    <t>https://click.brtpemails.com/?qs=5857572e888c55dc266ea7205e068899fc31d9b740bc1169cab16464505912744edee3d19f4c3ad3b37dfa8e79424280c70f3f5458b2c0690dbcfd4384fd25fb Your Bonus is Standing By
h</t>
  </si>
  <si>
    <t>Get ready for a sleek peek! See what Galaxy Unpacked will unfold.</t>
  </si>
  <si>
    <t>https://click.brtpemails.com/?qs=9f957e6a4f8c71e25563d1d2fa8f122a1ed05a84ad14286f97c0ff6a43f4d3cf801676c1bb072eb25659544ab8b00ce12de9e4fa2834966ad7567132389c97f7 A Super Deal Just for You
h</t>
  </si>
  <si>
    <t>Place an order with the Uber Eats app again</t>
  </si>
  <si>
    <t>K, make the switch and save up to $1,280.</t>
  </si>
  <si>
    <t>Your Super Deal is standing by!</t>
  </si>
  <si>
    <t>https://click.brtpemails.com/?qs=f4ee93d388dac16b1056db6693551a128af024f8d148f6861103935f28bd54f27c52b8399a84a476405afc4779c0c09fd2448eea2141c97b04d797357a217e5c Your Bonus is here. Game On!</t>
  </si>
  <si>
    <t>Order in-demand items on demand, Craig n Emma</t>
  </si>
  <si>
    <t>Bundle up and save up to $2,686.49.</t>
  </si>
  <si>
    <t>Back in the game? Your deal is ready!</t>
  </si>
  <si>
    <t>https://click.brtpemails.com/?qs=7a5900cbcddb64294349383f35841319a8190a32d03d73b29779e397d580f61f8324f0824612715fdf50659db02240029bd3eab4e079582a2ac774c287ca2b39 Your Bonus is Waiting
https</t>
  </si>
  <si>
    <t>Fill your cart with these popular picks</t>
  </si>
  <si>
    <t>&lt;!DOCTYPE html&gt;
&lt;html lang="en"&gt;
&lt;!-- ======== START HEAD ======== --&gt;
&lt;head&gt;
&lt;meta name="viewport" content="width=device-width, initial-scale=1.0" /&gt;
&lt;meta http-equiv="Content-Type" c</t>
  </si>
  <si>
    <t>K, save up to $1,200 on select QLED and Neo QLED TVs</t>
  </si>
  <si>
    <t>&lt;!DOCTYPE html&gt;
&lt;html lang="en"&gt;
&lt;!-- ======== START HEAD ======== --&gt;
&lt;head&gt;
&lt;meta name="viewport" content="width=device-width, initial-scale=1.0" /&gt;
&lt;meta http-equiv="Content-Type" content="</t>
  </si>
  <si>
    <t>https://click.brtpemails.com/?qs=a020d82bb30621d73c19288a0f8c2905cd431ae96a4d70e88102abddce8bd4a369f91bf59c40c19019a51bb818d91e233cad5d1e57dd83ad05acd87f85277c06 You’ve Been Spotted &amp; We’re</t>
  </si>
  <si>
    <t>https://click.brtpemails.com/?qs=7434f0ca6b298aebf64df356031e1dcec7f7204db2437c706196d3f076e797d034e7e975cf697d0299a51f72ddfda2ff261a4364702a563866e1244f5d51f386 …and Gets a Super Deal Bonu</t>
  </si>
  <si>
    <t>https://click.brtpemails.com/?qs=6d66bb4e0275eb31275425fed3a2b5b36921ba542abae13bffeb4640bc3ffa188087eb8960c3dc788d8f3d4245f9daddaf52527898f89e5d7e1b467908130bf7 https://click.brtpemails.co</t>
  </si>
  <si>
    <t>https://click.brtpemails.com/?qs=dd41630ad5fcc48710a0ff947072d3938f71ccee1c4c0c2e4c051db65adfb0108d6b33d1faf6d7518a8bc5793176de5c1c24cdb753b663f806f15f31f9445702 It’s Ok, We’re Here 24/7!</t>
  </si>
  <si>
    <t>"Uber One" &lt;noreply@uber.com&gt;</t>
  </si>
  <si>
    <t>Save with Uber One</t>
  </si>
  <si>
    <t>&lt;!doctype html&gt;
&lt;html xmlns="http://www.w3.org/1999/xhtml" xmlns:v="urn:schemas-microsoft-com:vml" xmlns:o="urn:schemas-microsoft-com:office:office"&gt;
&lt;head&gt;
&lt;meta http-equiv="Content-Type" conten</t>
  </si>
  <si>
    <t>Your Spin-atas are waiting, Tony!</t>
  </si>
  <si>
    <t>https://click.brtpemails.com/?qs=411b03622f30628311953b4efcbf1a226fbbf3c97029a20fed8aef55840acb49c7b9fb26608796fe1c6ec87f05d7ac70303b9e8832c14dbf91e82aa07be7ad2f https://click.brtpemails.co</t>
  </si>
  <si>
    <t>Think inside the box, Tony</t>
  </si>
  <si>
    <t>https://click.brtpemails.com/?qs=ec3ec405048792a059948dae0b3b3116115c43916593e790eb41acc5d735027a0c0d67575abe54a0739b996343b93ff3ab7ad0dbda40fa86f1c9a6127862a7f4 Because it’s Fun in Here!</t>
  </si>
  <si>
    <t>We are just throwing it out there</t>
  </si>
  <si>
    <t>https://click.brtpemails.com/?qs=1a82e0129c0e93931808ed9749622280af2f0c0490a5bbd14bd065b15f9fcebed953fdce82d727fc5098cdfbc19917e54b8c98f1ef5901149ea4d26c7757271b In Case You Want to Play Cat</t>
  </si>
  <si>
    <t>Unlock AI and lock in savings of up to $619</t>
  </si>
  <si>
    <t>You've been waiting for this one!</t>
  </si>
  <si>
    <t>https://click.brtpemails.com/?qs=0da1c727f6cb742181207af6b4d2153196568a681b82fd6e3e1d50d9cdfd211b584d34038b9f58a571096b2b8d98d5e266991479fdaf4badb43a5dc000afe57d Designed with You in Mind…</t>
  </si>
  <si>
    <t>K, upgrade and save $1,199 with the Galaxy Tab S11</t>
  </si>
  <si>
    <t>Continue the celebrations</t>
  </si>
  <si>
    <t>It's what everyone wants, Tony</t>
  </si>
  <si>
    <t>https://click.brtpemails.com/?qs=5527ff6bcd04944028f8ae6befa063f8a87c064b168a58442ac4479ffdbb3cdc6edd035affd03683b502baa863610b00a08c64f5f0a49a79e8468465d07d129f Tailor-Made Just for You
ht</t>
  </si>
  <si>
    <t>Catch it, grab it, win it!</t>
  </si>
  <si>
    <t>https://click.brtpemails.com/?qs=363fbfe121e2c574c5c5c3b60c88a81eac8b64b0b4fbd71efd1174b4e55299a8896f9559980d97887f9a4c3bbaf21bec3f3b23a318ab583ee18629a9a504f4e8 https://click.brtpemails.co</t>
  </si>
  <si>
    <t>https://click.brtpemails.com/?qs=8c09bb3e5a4366f568cd3b862432880c8a7dbbdcb6530f6632038e5889c4fd2d9feec23b1f263895c21211b286c05241b4b3f705317be72d2a419ee780124aa1 You’ve Been Spotted &amp; We’re</t>
  </si>
  <si>
    <t>K, save up to $1,199 on your new creative partner.</t>
  </si>
  <si>
    <t>https://click.brtpemails.com/?qs=44f59a43ee35796f5254f4f1a507bdcca8642ee4284aad80e58abad8d17b185a4d0bcd35deb64a8d5ea7094560b6a272c341dca94fd3c38fc4452a797b867d29 …and Gets a Super Deal Bonus</t>
  </si>
  <si>
    <t>Wing it with 50 lives, Tony</t>
  </si>
  <si>
    <t>https://click.brtpemails.com/?qs=0e9f6944ebaa1e777fcd20d1a3b824c3bb60c95b821499e6d507e3934fbc29d3dcaf4eadc1eddad32a0373734feb9ad1cf44472c93edde8d1b9443ce1d2e6484 https://click.brtpemails.co</t>
  </si>
  <si>
    <t>Savvy shoppers welcome</t>
  </si>
  <si>
    <t>Catch it if you can!</t>
  </si>
  <si>
    <t>https://click.brtpemails.com/?qs=6daa2498b877fcbd3135516677ee3055f3101e2e61db7c59f35d765f3cbc07228c9ab4081491ae37238ae8b1136da52bbdfe29f770d58d2c92cb8391816ba390 https://click.brtpemails.co</t>
  </si>
  <si>
    <t>https://click.brtpemails.com/?qs=1c4e5ae0e3e3d87f117c5a3ee0e80f7c573b49685056ef3610351430ca6ce624303ad75fd3f348100765bbb7abe4f1c4d5fc54bc3545f83d4a96956d5040a3a0 It’s Ok, We’re Here 24/7!
h</t>
  </si>
  <si>
    <t>Your next takeout experience is a tap away</t>
  </si>
  <si>
    <t>https://click.brtpemails.com/?qs=1c019324b5f4def24814899b9104a0086f66920c95a56d01a53a8829af74d1b473bde13c3b74c6ff1f61042cfad851529831edb348f796c7839ba2861ca9d7a9 https://click.brtpemails.co</t>
  </si>
  <si>
    <t>Do you have any plans for tomorrow?</t>
  </si>
  <si>
    <t>https://click.brtpemails.com/?qs=8b85c92f5194b90a671026a620259caddb787eae9aca7478a3486302bfd943a0f7846634887f094d32cae6f7d2335618bd6dc6bfa93440f9772e254d38c80a6c We Have a Suggestion!
https</t>
  </si>
  <si>
    <t>https://click.brtpemails.com/?qs=b9debf6f2008b3a68c0aad3da1ed93ce3fcab8aa78d0787b96f3ca4a2e6b375a1772b4ed9b4fca3af570ec4607599598bebf2d7980af98955d53c044a210f56f Because it’s Fun in Here!
h</t>
  </si>
  <si>
    <t>Acampbell2994@gmail.com</t>
  </si>
  <si>
    <t>do not share, for my trusted custody circle and government employees</t>
  </si>
  <si>
    <t>This message, including any attachments, is intended for the sole use of
the designated recipient(s) and may contain confidential and privileged
information. Any unauthorized review, use, disclosure,</t>
  </si>
  <si>
    <t>amymcampbell@hotmail.com, Brenda Kotsabasakis &lt;blk@bellaliant.net&gt;</t>
  </si>
  <si>
    <t>protecting myself</t>
  </si>
  <si>
    <t>just for in case. there is one move left by harper's mother, and it's going
to be the biggest horse shit of all i am guessing. saint john police are
pursuing charges for assault, but emma is doubling</t>
  </si>
  <si>
    <t>amymcampbell@hotmail.com, Brenda Kotsabasakis &lt;blk@bellaliant.net&gt;, 
	Stacey C &lt;campbellstacey98@gmail.com&gt;, DALE CAMPBELL &lt;dale.campbell@rogers.com&gt;</t>
  </si>
  <si>
    <t>Fwd: harper</t>
  </si>
  <si>
    <t>This was the least pull my fucking hair out exchange the last 13 weeks
denied parenting time. Please share with anyone else who thinks that I
don't want to see my daughter or that there is any reason</t>
  </si>
  <si>
    <t>Fwd: god is great</t>
  </si>
  <si>
    <t>her dad said on the 28th for reference; "you are welcome here anytime just
not in the house, but you should see your daughter i think this is
bullshit. " if you'd like to unsubscribe from my emails ju</t>
  </si>
  <si>
    <t>amymcampbell@hotmail.com, Christashannon@hotmail.com, 
	Brenda Kotsabasakis &lt;blk@bellaliant.net&gt;, Stacey C &lt;campbellstacey98@gmail.com&gt;, 
	"dale.campbell@kw.com" &lt;dale.campbell@kw.com&gt;, Acampbell2994@gmail.com</t>
  </si>
  <si>
    <t>cont'd</t>
  </si>
  <si>
    <t>i am emailing my family and police, but it feels like she is receiving them
based on her escalation. i emailed deputy chief henderson at rothesay
police should be a busy day tomorrow. scroll to the bo</t>
  </si>
  <si>
    <t>Re: cont'd</t>
  </si>
  <si>
    <t>Ben@brunswicksprayfoam.com</t>
  </si>
  <si>
    <t>August 24, 2025
To: Julien Welsh &amp; Ben Miller – Brunswick Insulation &amp; RoofingDear Mr.
Welsh and Mr. Miller,
This email serves as my formal demand regarding several unresolved matters:
1.
Ou</t>
  </si>
  <si>
    <t>benjamin.cannon@saintjohn.ca</t>
  </si>
  <si>
    <t>Follow-up on File 25-2390069 Domestic Incident -</t>
  </si>
  <si>
    <t>*Dear Constable Cannon,*
My name is Craig Schulz. I am writing to follow up on a sworn statement and
evidence I provided to you on August 27th, regarding an assault that
occurred on December 9th. The</t>
  </si>
  <si>
    <t>blk@bellaliant.net</t>
  </si>
  <si>
    <t>hey cuzzz</t>
  </si>
  <si>
    <t>So my phone walked away a few days ago, so i can't get onto facebook
because it has 2factor thingy blah blah.
I need your help, I am struggling with my head during sobriety, mostly
because of TBI fro</t>
  </si>
  <si>
    <t>Brenda Kotsabasakis &lt;blk@bellaliant.net&gt;</t>
  </si>
  <si>
    <t>harper's prayer</t>
  </si>
  <si>
    <t>Cpl Moore from Rothesay said today, it's going to get a lot worse before it
gets better but keep doing what you're doing you're doing it for her best
interest stay strong (paraphrasing) I fucking hop</t>
  </si>
  <si>
    <t>Fwd: real life complex decision making like cards lol</t>
  </si>
  <si>
    <t>then there's this.
---------- Forwarded message ---------
From: CRAIG S &lt;placed.sj@gmail.com&gt;
Date: Sun, Aug 31, 2025 at 12:19 AM
Subject: real life complex decision making like cards lol
To: DALE CA</t>
  </si>
  <si>
    <t>DraftKings &lt;draftkings@account.draftkings.com&gt;</t>
  </si>
  <si>
    <t>charliewharlie369@outlook.com</t>
  </si>
  <si>
    <t>Update to our Pick6 Terms of Use</t>
  </si>
  <si>
    <t>‌ ‌ ‌ ‌ ‌ ‌ ‌ ‌ ‌ ‌ ‌ ‌ ‌ ‌
‌ ‌ ‌ ‌ ‌ ‌ ‌ ‌ ‌ ‌ ‌ ‌ ‌ ‌ ‌ ‌ ‌
‌ ‌ ‌ ‌ ‌ ‌ ‌ ‌ ‌ ‌ ‌ ‌ ‌ ‌ ‌ ‌
‌ ‌ ‌ ‌ ‌ ‌ ‌ ‌ ‌ ‌ ‌ ‌ ‌ ‌ ‌ ‌ ‌
‌ ‌ ‌ ‌ ‌ ‌ ‌ ‌ ‌ ‌ ‌ ‌ ‌ ‌ ‌ ‌
‌ ‌ ‌ ‌ ‌ ‌ ‌ ‌ ‌ ‌ ‌ ‌ ‌ ‌ ‌ ‌ ‌
‌ ‌ ‌</t>
  </si>
  <si>
    <t>Dropbox &lt;no-reply@em-s.dropbox.com&gt;</t>
  </si>
  <si>
    <t>Dropbox Passwords is the solution ‌ ‌ ‌ ‌ ‌ ‌ ‌ ‌ ‌ ‌ ‌ ‌ ‌ ‌ ‌ ‌ ‌ ‌ ‌ ‌ ‌ ‌ ‌ ‌ ‌ ‌ ‌ ‌ ‌ ‌ ‌ ‌ ‌ ‌ ‌ ‌ ‌ ‌ ‌ ‌ ‌ ‌ ‌ ‌ ‌ ‌ ‌ ‌ ‌ ‌ ‌ ‌ ‌ ‌ ‌ ‌ ‌ ‌ ‌ ‌ ‌ ‌ ‌ ‌ ‌ ‌ ‌ ‌ ‌ ‌ ‌ ‌ ‌ ‌ ‌ ‌ ‌ ‌ ‌ ‌ ‌ ‌</t>
  </si>
  <si>
    <t>Spotify &lt;no-reply@spotify.com&gt;</t>
  </si>
  <si>
    <t>We miss you. So dive back into ad-free music listening.</t>
  </si>
  <si>
    <t>REJOIN PREMIUM https://www.spotify.com/premium?utm_source=Spotify_premiumupsell&amp;utm_medium=house_email&amp;utm_campaign=2023q2_premium_productGeneric_lifecycle_offerFullPrice&amp;utm_content=zz_global_global_</t>
  </si>
  <si>
    <t>"=?utf-8?Q?Houzz_for_Professionals?=" &lt;updates@houzz.com&gt;</t>
  </si>
  <si>
    <t>Midcentury home updated for multigenerational living. Green, white and wood bathroom with a warm organic look. 10 questions to ask potential contractors.
https://bl.houzz.com/z/071cls1e0pok04?uid=dd4</t>
  </si>
  <si>
    <t>Dropbox has features just for you ‌ ‌ ‌ ‌ ‌ ‌ ‌ ‌ ‌ ‌ ‌ ‌ ‌ ‌ ‌ ‌ ‌ ‌ ‌ ‌ ‌ ‌ ‌ ‌ ‌ ‌ ‌ ‌ ‌ ‌ ‌ ‌ ‌ ‌ ‌ ‌ ‌ ‌ ‌ ‌ ‌ ‌ ‌ ‌ ‌ ‌ ‌ ‌ ‌ ‌ ‌ ‌ ‌ ‌ ‌ ‌ ‌ ‌ ‌ ‌ ‌ ‌ ‌ ‌ ‌ ‌ ‌ ‌ ‌ ‌ ‌ ‌ ‌ ‌ ‌ ‌ ‌ ‌ ‌ ‌ ‌ ‌</t>
  </si>
  <si>
    <t>Return to Premium and get 1 month for $1. $12.69/mo. after. Cancel
anytime.</t>
  </si>
  <si>
    <t>1 month of Premium for $1. $12.69/mo after. Cancel anytime.
Your Spotify listening is about to get sweeter.
With Premium, listen to the music you love, ad-free - anywhere, anytime. Rejoin today</t>
  </si>
  <si>
    <t>"Circle K Atlantic Canada" &lt;em@newsletter.circlek.com&gt;</t>
  </si>
  <si>
    <t>Win Big with Circle K: $5,000 Cash Up for Grabs!</t>
  </si>
  <si>
    <t>Subscribe, take a survey, and join CK Coupons for your chance to win big!  ‌ ‌ ‌ ‌ ‌ ‌ ‌ ‌ ‌ ‌ ‌ ‌ ‌ ‌ ‌ ‌ ‌ ‌ ‌ ‌ ‌ ‌ ‌ ‌ ‌ ‌ ‌ ‌ ‌ ‌ ‌ ‌ ‌ ‌ ‌ ‌ ‌ ‌ ‌ ‌ ‌ ‌ ‌ ‌ ‌ ‌ ‌ ‌ ‌ ‌ ‌ ‌ ‌ ‌ ‌ ‌ ‌ ‌ ‌ ‌ ‌ ‌ ‌</t>
  </si>
  <si>
    <t>Limited time offer: $1 for 1 month of Premium. $12.69/mo. after.
 Cancel anytime.</t>
  </si>
  <si>
    <t>Don't miss out: 1 month of Premium for $1. $12.69/mo after. Cancel anytime.
It's time to reunite with ad-free music listening.
With Premium, you can listen to your favorite albums ad-free, org</t>
  </si>
  <si>
    <t>Answer for a chance at $5,000!</t>
  </si>
  <si>
    <t>Get 1 month for $1 when you rejoin Premium. $12.69/mo. after. Cancel
 anytime.</t>
  </si>
  <si>
    <t>Don't miss out: 1 month of Premium for $1. $12.69/mo. after.
Cancel anytime. We've been thinking—it's time to get back together. Rejoin Premium and enjoy all of the perks you know and love—music do</t>
  </si>
  <si>
    <t>TalkingParents &lt;noreply@talkingparents.com&gt;</t>
  </si>
  <si>
    <t>You Have a New Message</t>
  </si>
  <si>
    <t>You Have a New Message.
You can view the new message by accessing your TalkingParents Account https://app.talkingparents.com/login.
Remember, our Complete Records include not only when each new mess</t>
  </si>
  <si>
    <t>Last days: 1 month of Premium for $1. $12.69/mo. after. Cancel
 anytime.</t>
  </si>
  <si>
    <t>Last chance to secure 1 month of Premium for $1. $12.69/mo. after.
Cancel anytime. Come back to Premium and create your dream music mix with ad-free music listening—anytime, anywhere. Better hu</t>
  </si>
  <si>
    <t>Bring back uninterrupted music with 1 free month of Premium. $12.69
 CAD/mo. after. Cancel anytime.</t>
  </si>
  <si>
    <t>Pick up where you left off with 1 month of Premium for $0. $12.69 CAD/mo. after. Cancel anytime.
Rejoin Premium and enjoy ad-free music listening—so your soundtrack plays without interruptions.</t>
  </si>
  <si>
    <t>1 month of Premium for =?UTF-8?B?ZnJlZeKAlHJlYWR5?= to press play
 again? $12.69 CAD/mo. after. Cancel anytime.</t>
  </si>
  <si>
    <t>Organize your queue your way with 1 month of Premium for free. $12.69 CAD/mo. after. Cancel anytime.
Step back into Premium and enjoy 1 free month of offline and ad-free music listening. $12.69 CAD</t>
  </si>
  <si>
    <t>Get 1 month of Spotify Premium for $0 now, $12.69 CAD/mo. after.
 Cancel anytime.</t>
  </si>
  <si>
    <t>Tunes, vibes, repeat. Get 1 month of Premium for $0 now, $12.69 CAD/mo. after. Cancel anytime. Set the tone with uninterrupted music listening. Listen to your faves and explore new libraries in t</t>
  </si>
  <si>
    <t>christa shannon &lt;Christashannon@hotmail.com&gt;, Brenda Kotsabasakis &lt;blk@bellaliant.net&gt;</t>
  </si>
  <si>
    <t>I walked through the hardest door yet</t>
  </si>
  <si>
    <t>I've been typing for 24 hours about this to update you guys so just gonna
copy paste the blunt version. cut my hand at work foreman said go to emerge
i said fuck it, once in the room i said im really</t>
  </si>
  <si>
    <t>Christashannon@hotmail.com, Stacey C &lt;campbellstacey98@gmail.com&gt;</t>
  </si>
  <si>
    <t>christopher.mcleod@nbpolice.ca</t>
  </si>
  <si>
    <t>An Update and A Heartfelt Thank You to the KVRPF Team</t>
  </si>
  <si>
    <t>Constable McLeod,
I hope you can share this update and my sincere gratitude with your
teammates, including Murray, Walker, Moore, Palmer, and the many others who
supported my family and I during that</t>
  </si>
  <si>
    <t>Covering my ass - Harper Ryan - FDSJ 739-2024</t>
  </si>
  <si>
    <t>Hello sir
I called because I was asked if I wanted to see my daughter today, so of
course I said yes and went right away. I left there at 2:40pm. I was on my
way there when I called, because of the</t>
  </si>
  <si>
    <t>Karissa Monachese &lt;karissa.monachese@clio.com&gt;</t>
  </si>
  <si>
    <t>Craig Ap Schulz &lt;placed.sj@gmail.com&gt;</t>
  </si>
  <si>
    <t>Re: Your Availability</t>
  </si>
  <si>
    <t>Hi Craig,
Have you had a chance to explore some of Clio’s functionalities since
signing up for your free trial?
Let me save you some time and answer any questions you may have.
Schedule a quick cal</t>
  </si>
  <si>
    <t>Get more work done in less time with Clio</t>
  </si>
  <si>
    <t>Hi Craig,
Most of our trial users are busy, and in need of a better way to manage
their workload– that's why they're looking at Clio!
If you find yourself in the same boat, I think you should check</t>
  </si>
  <si>
    <t>Your Trial is Expiring</t>
  </si>
  <si>
    <t>Hi Craig,
Unfortunately, you’re on the last day of Clio’s 7-day free trial. Did you
get a chance to understand how you can use our legal software at your firm?
If you still aren't sure whether or no</t>
  </si>
  <si>
    <t>Emma Ryan &lt;em.ry@icloud.com&gt;</t>
  </si>
  <si>
    <t>Re:</t>
  </si>
  <si>
    <t>Sad you choose to do that instead. Diaper I told you it doesn’t matter what kind. She’s in size 3.
I do not feel comfortable with Dale picking Harper up alone especially with no mirror.
Bottles and fo</t>
  </si>
  <si>
    <t>Dale can’t even look after himself, Craig. And you were the one that left it till now and I’m sorry I’m not being called names or being treated poorly. There’s no reason for it.
Emma Ryan
On May 24, 2</t>
  </si>
  <si>
    <t>I’m not withholding her from you, Craig. I even offered to pack a diaper bag so stop with your bullshit. I’m done you obviously don’t want to see her tomorrow so that’s fine. Have a good night.
Emma R</t>
  </si>
  <si>
    <t>That’s fine like I’ve said before. Do whatever you have to do, but I’ll be making sure that we have another court date before October so you have supervised visits as well or I can just call Jacquelin</t>
  </si>
  <si>
    <t>And what are you doing right now? You’re literally verbally abusing me so have a good night for the 5th hundredth time.
Emma Ryan
On May 24, 2025, at 8:56 PM, Emma Ryan &lt;em.ry@icloud.com&gt; wrote:
﻿
I’m</t>
  </si>
  <si>
    <t>No more emails means you don’t have a way to communicate other than calling me so that’s fine. Sounds good. I would prefer that like I’ve tried to do multiple times.
Emma Ryan
On May 24, 2025, at 8:56</t>
  </si>
  <si>
    <t>Your delusional. I offered to pack her a diaper bag… you can’t even come get your kid with Dale? Stop Craig. I don’t care do what you g
Have too. I’m done this childish bullshit. You refecting isn’t h</t>
  </si>
  <si>
    <t>Neither has my phone eh. Talk about control here. I’m not doing it. GOODBYE. These are stupid games childish it’s our fucking daughter we’re talking about and remember I’m the one that did EVERYTHING</t>
  </si>
  <si>
    <t>Yes, it’s so weird that you don’t get anything that I said how ironic and I’m not going on Google meet I asked you to download Skype or Zoom
Emma Ryan
On Jun 6, 2025, at 2:42 PM, CRAIG S &lt;placed.sj@gm</t>
  </si>
  <si>
    <t>That’s fine if you don’t get them I have all the proof that they’re sent so yet again more of your bullshit. I’ve unblocked you to send me the things that you need for her tomorrow if I don’t receive</t>
  </si>
  <si>
    <t>That’s fine. An adult is taking over. I don’t care about your bullshit. Send it to the courts . You’re right enough is enough. Send the pictures or don’t. &amp; because  that’s what I asked. Craig you can</t>
  </si>
  <si>
    <t>And again those are lies because I didn’t start until I met you and I didn’t wreck the place you did and you beat me with my nightstand and whipped it at me. I was the one that got sober. Not you grow</t>
  </si>
  <si>
    <t>Google Calendar &lt;calendar-notification@google.com&gt;</t>
  </si>
  <si>
    <t>Notification: Harp and her whatever I am to her mother daily check-in
 t... @ Mon Jun 9, 2025 8:30am - 9am (ADT) (CRAIG S)</t>
  </si>
  <si>
    <t>You have an upcoming event
Harp and her whatever I am to her mother daily check-in that wont happen
Monday Jun 9, 2025 ⋅ 8:30am – 9am
Atlantic Time - Halifax
Join with Google Meet
https://mee</t>
  </si>
  <si>
    <t>Re: Updated invitation: Harp and her whatever I am to her mother daily check-in t... @ Daily from 8:30am to 9am (ADT) (em.ry@icloud.com)</t>
  </si>
  <si>
    <t>No idk how to use that nor will I. I asked you to download Skype or zoom. Like you still don’t get it everything has to be your way or the highway you can’t even download an app I’ve asked for almost</t>
  </si>
  <si>
    <t>Notification: Harp and her whatever I am to her mother daily check-in
 t... @ Tue Jun 10, 2025 8:30am - 9am (ADT) (CRAIG S)</t>
  </si>
  <si>
    <t>You have an upcoming event
Harp and her whatever I am to her mother daily check-in that wont happen
Tuesday Jun 10, 2025 ⋅ 8:30am – 9am
Atlantic Time - Halifax
Join with Google Meet
https://m</t>
  </si>
  <si>
    <t>I downloaded the app for you cause idk how to zoom or Skype anymore I guess so feel free to call whenever
Emma Ryan
On Jun 9, 2025, at 7:39 PM, Emma Ryan &lt;em.ry@icloud.com&gt; wrote:
No idk how to use</t>
  </si>
  <si>
    <t>I’m waiting for you to let me join
Emma Ryan
On Jun 9, 2025, at 7:39 PM, Emma Ryan &lt;em.ry@icloud.com&gt; wrote:
No idk how to use that nor will I. I asked you to download Skype or zoom. Like you still</t>
  </si>
  <si>
    <t>Notification: harper n dad @ Wed Jun 11, 2025 8:30am - 9am (ADT)
 (CRAIG S)</t>
  </si>
  <si>
    <t>You have an upcoming event
harper n dad
Wednesday Jun 11, 2025 ⋅ 8:30am – 9am
Atlantic Time - Halifax
Join with Google Meet
https://meet.google.com/cpn-qipu-bjn?hs=224
i know 75 ways</t>
  </si>
  <si>
    <t>LOL lie some more Craig. Whatever helps you sleep at night.
Emma Ryan
On Jun 7, 2025, at 12:32 PM, CRAIG S &lt;placed.sj@gmail.com&gt; wrote:
﻿
Didnt start til you met me huh? Bahaha you change phone number</t>
  </si>
  <si>
    <t>And it would be great if you could stop sending a naked video of me around people. It’s my naked body and you have no right to videotape it let alone just send it to people. Why don’t you send it to t</t>
  </si>
  <si>
    <t>Stop contacting me unless it’s about your kid since you can’t follow through with anything still even for her.
I sent you a list to your number as you requested.
Emma Ryan
On Jun 11, 2025, at 9:19 AM,</t>
  </si>
  <si>
    <t>Emma Ryan &lt;emma.ryan1995@outlook.com&gt;</t>
  </si>
  <si>
    <t>Declined: harper n dad</t>
  </si>
  <si>
    <t>I can imagine and I’m not keeping her from you, Craig
Emma Ryan
On Jun 10, 2025, at 2:43 PM, CRAIG S &lt;placed.sj@gmail.com&gt; wrote:
sorry for the hostility i miss her so god damn much
On Tue, Jun 10,</t>
  </si>
  <si>
    <t>There is no game Craig you should know what your seven month old daughter needs to take care of her but I sent you the list and I think that it’s pretty straightforward of what is the main necessities</t>
  </si>
  <si>
    <t>Notification: harper n dad @ Thu Jun 12, 2025 8:30am - 9am (ADT)
 (CRAIG S)</t>
  </si>
  <si>
    <t>You have an upcoming event
harper n dad
Thursday Jun 12, 2025 ⋅ 8:30am – 9am
Atlantic Time - Halifax
Join with Google Meet
https://meet.google.com/cpn-qipu-bjn?hs=224
i know 75 ways</t>
  </si>
  <si>
    <t>Re: Call.</t>
  </si>
  <si>
    <t>Okay then. Yes because you can’t be respectful or kind at all lol. &amp; doesn’t mean you can’t call Harper. But sounds good.
Emma Ryan
On Jun 12, 2025, at 8:36 AM, CRAIG S &lt;placed.sj@gmail.com&gt; wrote:</t>
  </si>
  <si>
    <t>They actually don’t have you blocked so
Emma Ryan
On Jun 12, 2025, at 8:50 AM, Emma Ryan &lt;em.ry@icloud.com&gt; wrote:
﻿
Okay then. Yes because you can’t be respectful or kind at all lol. &amp; doesn’t mean y</t>
  </si>
  <si>
    <t>Notification: harper n dad @ Sat Jun 14, 2025 8:30am - 9am (ADT)
 (CRAIG S)</t>
  </si>
  <si>
    <t>You have an upcoming event
harper n dad
Saturday Jun 14, 2025 ⋅ 8:30am – 9am
Atlantic Time - Halifax
Join with Google Meet
https://meet.google.com/cpn-qipu-bjn?hs=224
Organizer
CRAI</t>
  </si>
  <si>
    <t>The rules haven’t changed. Always been the same and been telling you for two and a half weeks. Sounds good Craig do whatever ya gotta truth will come out. I don’t do drugs craig you were the only pers</t>
  </si>
  <si>
    <t>You literally have done this all to yourself.
IM DONE because you continued to treat me the way you have and to do so INFRONT of our daughter when she’s sleeping. Because why? I’m tierd of hearing you</t>
  </si>
  <si>
    <t>Accepted: harper n dad</t>
  </si>
  <si>
    <t>Notification: harper n dad @ Sun Jun 15, 2025 8:30am - 9am (ADT)
 (CRAIG S)</t>
  </si>
  <si>
    <t>You have an upcoming event
harper n dad
Sunday Jun 15, 2025 ⋅ 8:30am – 9am
Atlantic Time - Halifax
Join with Google Meet
https://meet.google.com/cpn-qipu-bjn?hs=224
Organizer
CRAIG</t>
  </si>
  <si>
    <t>It’s not a fucking game. Still going I see Craig. I’ve literally told you over and over if you honestly don’t get then your a loss cause. Get the stuff to care for her when she’s there the car seat ba</t>
  </si>
  <si>
    <t>Go ahead man don’t care only hurting yourself and her.
Then do the fucking Barr minimum lol like fuck pretty sad you can’t do that at 7 months. I sent you a list 10 times like your the one fucked in t</t>
  </si>
  <si>
    <t>You’d rather send hateful nasty messages to me every day multiple times a day and try and blackmail me to be in your kids. Life then do the bare minimum.
Emma Ryan
On Jun 15, 2025, at 9:03 AM, Emma Ry</t>
  </si>
  <si>
    <t>That doesn’t mean the other one doesn’t matter you still have to have the things to care for her Craig lol and I didn’t take shit from your house so your sister can stop running her mouth since you’re</t>
  </si>
  <si>
    <t>I brought stuff there that you’ve kept and even giving you stuff like you’re hilarious. This is the saddest thing ever.
Emma Ryan
On Jun 15, 2025, at 9:03 AM, Emma Ryan &lt;em.ry@icloud.com&gt; wrote:
﻿
It’</t>
  </si>
  <si>
    <t>You’d have to be a parent to coparent and you’ve been a useless fuck since I met you. STOP MESSAGING ME STOP CONTACTING ME IM SICK OF YOUR FUCKING SHIT MAN. Go ahead do whatever hurt yourself more and</t>
  </si>
  <si>
    <t>So much for misplacing a laptop or having a flip phone lmfao. More lies on lies.
Emma Ryan
On Jun 15, 2025, at 9:03 AM, Emma Ryan &lt;em.ry@icloud.com&gt; wrote:
﻿
It’s not a fucking game. Still going I see</t>
  </si>
  <si>
    <t>Pretty sad you already sent them last night lol you’re literally the biggest pathetic thing ever you stay out of my life stay out of my life not that hard since you couldn’t get off them for our daugh</t>
  </si>
  <si>
    <t>Really that’s funny cause I was supporting your ass and your dog while keeping the roof over. I had to be a family you dumb fuck leave me alone stop messaging me you’re gross.
Emma Ryan
On Jun 15, 202</t>
  </si>
  <si>
    <t>Perfect cause I do refuse and I will call the cops to come remove you and maybe they’ll get my wallet too. You’re fucking sick in the head Man.
Emma Ryan
On Jun 15, 2025, at 9:50 AM, Emma Ryan &lt;em.ry@</t>
  </si>
  <si>
    <t>You come here and I’m calling the cops. You’re not welcome here and you can’t even do the bare minimum to get your kid.
Emma Ryan
On Jun 15, 2025, at 9:50 AM, Emma Ryan &lt;em.ry@icloud.com&gt; wrote:
﻿
Pre</t>
  </si>
  <si>
    <t>I’m not keeping her from you. That’s the funniest part Craig and yet here you are continuing to go on and on and on and on and on instead of doing what 510 things get fucked go fuck go away you’re bei</t>
  </si>
  <si>
    <t>What four things are you accusing me of smoking something else like you did when I was 5 1/2 months pregnant like cooking and smoking crack you’re fucked. I had to buy everything for you not to mentio</t>
  </si>
  <si>
    <t>Or you’ll have another charge and a no contact order this is so fucked up. You kept her from me for five days without telling me anything and I’m literally trying to help you still giving you the bene</t>
  </si>
  <si>
    <t>I bought everything for our baby Craig everything you did fuck all
Emma Ryan
On Jun 15, 2025, at 9:50 AM, Emma Ryan &lt;em.ry@icloud.com&gt; wrote:
﻿
Pretty sad you already sent them last night lol you’re l</t>
  </si>
  <si>
    <t>Trust me, buddy you just wait. I have lots of you.
Emma Ryan
On Jun 15, 2025, at 9:50 AM, Emma Ryan &lt;em.ry@icloud.com&gt; wrote:
﻿
Pretty sad you already sent them last night lol you’re literally the big</t>
  </si>
  <si>
    <t>Lol OK I wish you would’ve said that a year ago and I’ve been begging you to get the fuck out of my life you lying fuck
Emma Ryan
On Jun 15, 2025, at 9:50 AM, Emma Ryan &lt;em.ry@icloud.com&gt; wrote:
﻿
Pre</t>
  </si>
  <si>
    <t>Not sure why it would be in the morning but it’s definitely sooner than October.
Emma Ryan
On Jun 15, 2025, at 9:50 AM, Emma Ryan &lt;em.ry@icloud.com&gt; wrote:
﻿
Pretty sad you already sent them last nigh</t>
  </si>
  <si>
    <t>Can’t even leave my wallet eh lol. I’ll let the rcmp know that too
Emma Ryan
On Jun 15, 2025, at 9:50 AM, Emma Ryan &lt;em.ry@icloud.com&gt; wrote:
﻿
Pretty sad you already sent them last night lol you’re l</t>
  </si>
  <si>
    <t>Notification: harper n dad @ Mon Jun 16, 2025 8:30am - 9am (ADT)
 (CRAIG S)</t>
  </si>
  <si>
    <t>You have an upcoming event
harper n dad
Monday Jun 16, 2025 ⋅ 8:30am – 9am
Atlantic Time - Halifax
Join with Google Meet
https://meet.google.com/cpn-qipu-bjn?hs=224
Organizer
CRAIG</t>
  </si>
  <si>
    <t>Notification: harper n dad @ Tue Jun 17, 2025 8:30am - 9am (ADT)
 (CRAIG S)</t>
  </si>
  <si>
    <t>You have an upcoming event
harper n dad
Tuesday Jun 17, 2025 ⋅ 8:30am – 9am
Atlantic Time - Halifax
Join with Google Meet
https://meet.google.com/cpn-qipu-bjn?hs=224
Organizer
CRAIG</t>
  </si>
  <si>
    <t>Notification: harper n dad @ Wed Jun 18, 2025 8:30am - 9am (ADT)
 (CRAIG S)</t>
  </si>
  <si>
    <t>You have an upcoming event
harper n dad
Wednesday Jun 18, 2025 ⋅ 8:30am – 9am
Atlantic Time - Halifax
Join with Google Meet
https://meet.google.com/cpn-qipu-bjn?hs=224
Organizer
CRA</t>
  </si>
  <si>
    <t>Re: Harper's well being</t>
  </si>
  <si>
    <t>Lol that’s good when you have no idea how to even take care of her or haven’t for more than a few hours. I called RCMP yesterday and I called them again today so one should be there to see you soon. Y</t>
  </si>
  <si>
    <t>I told you I’ll piss every day if I have to lol do you not remember that CPS didn’t investigation on me not you anyway read my last message over and over again if you have to, but that’s what this has</t>
  </si>
  <si>
    <t>And again, thank you for another charge for using my personal information but you don’t have my wallet right Craig lol you are actually hilarious. Why don’t you send that to Craig or something? I’m tr</t>
  </si>
  <si>
    <t>I really love the negative commentary because the only person that’s been negative has been you the only person that brought drugs into our life. Was you the only person that brought abuse into our li</t>
  </si>
  <si>
    <t>You’ve already committed fraud and used my information for your gambling sites so it’s not that hard to show evidence and it just also proves that you lie through your teeth so thank you again
Emma Ry</t>
  </si>
  <si>
    <t>Don’t worry, the courts will deal in which household is best for her and which is the safest because none of you should be even living in that house please do not message me. Do not contact me. I will</t>
  </si>
  <si>
    <t>That you’ve been sent five different times on three different things and I thought you got them Craig I thought you sent me the pictures supposedly two weeks ago thank you for proving again that you l</t>
  </si>
  <si>
    <t>You did this not me I’m the one that’s clean. I’m the one that’s better in my life. Where are you? 10 steps back I’m sick of it.
Emma Ryan
On Jun 18, 2025, at 11:33 AM, CRAIG S &lt;placed.sj@gmail.com&gt; w</t>
  </si>
  <si>
    <t>Lol imagine I made sure that you had a chance to be her dad and you still couldn’t step up give it up. I don’t give a fuck about anything Craig send it to court. They’ll decide enough is enough.
Emma</t>
  </si>
  <si>
    <t>Not to mention your drug dealer messaging me saying that you’re getting drugs and I’m paying for them OK and you’re withholding my wallet so I can’t buy our daughter things when you contribute. Nothin</t>
  </si>
  <si>
    <t>Re: list of demands</t>
  </si>
  <si>
    <t>I sent you a list Craig multiple times on multiple different places but let me guess you didn’t get them. You had 2 1/2 weeks let alone a year and you sure as fuck should’ve got them when you took her</t>
  </si>
  <si>
    <t>I’m not the one that’s played games. I not once had played games because this is our daughter’s life and you’d rather fuck around and fuck the dog then do the bare minimum that they even gave you good</t>
  </si>
  <si>
    <t>Not to mention again, I thought you sent them two weeks ago, which was yet another lie. I’m done with your bullshit. I’m done with your childish games and I’m done dealing with your everything. This i</t>
  </si>
  <si>
    <t>Notification: harper n dad @ Thu Jun 19, 2025 8:30am - 9am (ADT)
 (CRAIG S)</t>
  </si>
  <si>
    <t>You have an upcoming event
harper n dad
Thursday Jun 19, 2025 ⋅ 8:30am – 9am
Atlantic Time - Halifax
Join with Google Meet
https://meet.google.com/cpn-qipu-bjn?hs=224
Organizer
CRAI</t>
  </si>
  <si>
    <t>Re: attempt to reach Harper</t>
  </si>
  <si>
    <t>She’s doing great. 
Emma Ryan
&gt; On Jun 19, 2025, at 5:14 PM, CRAIG S &lt;placed.sj@gmail.com&gt; wrote:
&gt; 
&gt; ﻿
&gt; checking in on her well being, we have joint custody in case you didn't know. it is se</t>
  </si>
  <si>
    <t>Funny when you steal from your kid eh STOP CONTACTING ME
On Jun 19, 2025, at 6:26 PM, CRAIG S &lt;placed.sj@gmail.com&gt; wrote:
﻿
thats not an update emma. thats YOUVE DONE A FINE JOB GETTING the re</t>
  </si>
  <si>
    <t>I don’t know a drug dealer anything again more bullshit and lies. He’s telling you meanwhile don’t know why he’s even fucking talking about me and I don’t know why you’re fucking messaging me. Leave m</t>
  </si>
  <si>
    <t>GET OFF MY SHIT ATOP CHANGING PASSWORDS JUST STOP YOUR ONLY HURTING YOURSELF AND HARPER . You sneaking fuck leave me alone stay out of my life. Not joking. I’ve already called my bank and rcmp about t</t>
  </si>
  <si>
    <t>Notification: harper n dad @ Fri Jun 20, 2025 8:30am - 9am (ADT)
 (CRAIG S)</t>
  </si>
  <si>
    <t>You have an upcoming event
harper n dad
Friday Jun 20, 2025 ⋅ 8:30am – 9am
Atlantic Time - Halifax
Join with Google Meet
https://meet.google.com/cpn-qipu-bjn?hs=224
Organizer
CRAIG</t>
  </si>
  <si>
    <t>Craig you took our baby away from its mother when she should have been in my belly you did this. You continue to harass me then get the bare minimum day in and day out the stuff you’ve done to my and</t>
  </si>
  <si>
    <t>No one’s standing in your way but you. I promise you will have consequences for your actions as well since you can’t comprehend anything. PLEASE LEAVE ME ALONE
Emma Ryan
On Jun 19, 2025, at 10:35 </t>
  </si>
  <si>
    <t>You have done all of this, including trying to steal money out of your daughter’s mouth. The courts will decide and that’s what we live with. Have a good day.
Emma Ryan
On Jun 19, 2025, at 10:35 P</t>
  </si>
  <si>
    <t>RE: FDSJ 739-24</t>
  </si>
  <si>
    <t>Good afternoon Craig
Unfortunately, you are not able to file documents with the court electronically nor are we permitted to print documents from an outside source due to the risk of viruses, etc.</t>
  </si>
  <si>
    <t>Yes but you need to bring photo ID with you
Janet M. Ellis Stockford
Department of Justice and Public Safety / Ministère de la Justice et Sécurité publique
Court of King’s Bench/Cour du Banc du</t>
  </si>
  <si>
    <t>Notification: harper n dad @ Sat Jun 21, 2025 8:30am - 9am (ADT)
 (CRAIG S)</t>
  </si>
  <si>
    <t>You have an upcoming event
harper n dad
Saturday Jun 21, 2025 ⋅ 8:30am – 9am
Atlantic Time - Halifax
Join with Google Meet
https://meet.google.com/cpn-qipu-bjn?hs=224
Organizer
CRAI</t>
  </si>
  <si>
    <t>medical records emails june 15th week</t>
  </si>
  <si>
    <t>June 17, 2025
Medical Records Department Saint John Regional Hospital 400 University
Avenue Saint John, NB E2L 4L2 Canada
Dear Medical Records Department,
I am writing as the father of Harper Ryan,</t>
  </si>
  <si>
    <t>Notification: harper n dad @ Mon Jun 23, 2025 8:30am - 9am (ADT)
 (CRAIG S)</t>
  </si>
  <si>
    <t>You have an upcoming event
harper n dad
Monday Jun 23, 2025 ⋅ 8:30am – 9am
Atlantic Time - Halifax
Join with Google Meet
https://meet.google.com/cpn-qipu-bjn?hs=224
Organizer
CRAIG</t>
  </si>
  <si>
    <t>Notification: harper n dad @ Tue Jun 24, 2025 8:30am - 9am (ADT)
 (CRAIG S)</t>
  </si>
  <si>
    <t>You have an upcoming event
harper n dad
Tuesday Jun 24, 2025 ⋅ 8:30am – 9am
Atlantic Time - Halifax
Join with Google Meet
https://meet.google.com/cpn-qipu-bjn?hs=224
Organizer
CRAIG</t>
  </si>
  <si>
    <t>Re: heya</t>
  </si>
  <si>
    <t>I’ll take a look at this later. When she goes down! I would like my wallet back please. ASAP however that may be..
Emma Ryan
On Jun 24, 2025, at 9:29 AM, CRAIG S &lt;placed.sj@gmail.com&gt; wrote:
﻿
about w</t>
  </si>
  <si>
    <t>She’s not a pawn Craig. 
You stole my wallet, I have an email saying you have it. You’ve gone through it using my personal information. Accessed my bank. Just stop. 
I’ll replace it all. Sad you’re th</t>
  </si>
  <si>
    <t>I’ve never sent you that info and yep you did. Please stop lying I just asked for it back and you’d rather use it as leverage. I’m sure once the useless fucks actually call me back the police can come</t>
  </si>
  <si>
    <t>Yes I’m sure we can arrange a time if you’re going to be respectful. She’s not gonna your using your daughter as a pawn n my things you stole as leverage it’s so wrong. I’ve sent the list idk how many</t>
  </si>
  <si>
    <t>File the truth it will come out. You’re literally only throwing everything I hated in my face but that’s fine. I know I can’t continue this. Sounds good Craig. Police will be there and you will be cha</t>
  </si>
  <si>
    <t>I’ve held myself accountable and I’ve been transparent and I’m sober. I’m working to a better life. So idk what you’re getting at. Do what you have to or should have I’ve told you idk how many times.</t>
  </si>
  <si>
    <t>Notification: harper n dad @ Wed Jun 25, 2025 8:30am - 9am (ADT)
 (CRAIG S)</t>
  </si>
  <si>
    <t>You have an upcoming event
harper n dad
Wednesday Jun 25, 2025 ⋅ 8:30am – 9am
Atlantic Time - Halifax
Join with Google Meet
https://meet.google.com/cpn-qipu-bjn?hs=224
Organizer
CRA</t>
  </si>
  <si>
    <t>Re: Good morning</t>
  </si>
  <si>
    <t>lol. Okay. Stop. You’re right it’s hard to believe anyone could take a child away from a parent. Which I’m not but. Yah you have a great day too. Loved how you just have to throw in nasty comments. Ag</t>
  </si>
  <si>
    <t>Notification: harper n dad @ Thu Jun 26, 2025 8:30am - 9am (ADT)
 (CRAIG S)</t>
  </si>
  <si>
    <t>You have an upcoming event
harper n dad
Thursday Jun 26, 2025 ⋅ 8:30am – 9am
Atlantic Time - Halifax
Join with Google Meet
https://meet.google.com/cpn-qipu-bjn?hs=224
Organizer
CRAI</t>
  </si>
  <si>
    <t>LOL shows what your priorities are. Please stop messaging me.
Emma Ryan
On Jun 26, 2025, at 8:49 AM, CRAIG S &lt;placed.sj@gmail.com&gt; wrote:
if you think that's nasty you better buckle up.
On Thu, Jun</t>
  </si>
  <si>
    <t>Man, right it’s not about me and it hasn’t been and yet again I have no idea what you’re going on about goodbye Craig again any message I received from you you don’t mean and it’s just your way of get</t>
  </si>
  <si>
    <t>All right that was part of your plan in the beginning that’s why you didn’t like me breast-feeding that’s why you couldn’t do it because she was getting the attention. You blow my mind but nothing sur</t>
  </si>
  <si>
    <t>✌️
Emma Ryan
On Jun 26, 2025, at 9:04 AM, Emma Ryan &lt;em.ry@icloud.com&gt; wrote:
﻿
Man, right it’s not about me and it hasn’t been and yet again I have no idea what you’re going on about goodbye Craig ag</t>
  </si>
  <si>
    <t>I have every day unlike you thanks. Do you even listen to yourself sometimes? lol. Enjoy the police showing up for my wallet. Again we can see where your priorities are.
Thank you.
I’m the only parent</t>
  </si>
  <si>
    <t>Notification: harper n dad @ Fri Jun 27, 2025 8:30am - 9am (ADT)
 (CRAIG S)</t>
  </si>
  <si>
    <t>You have an upcoming event
harper n dad
Friday Jun 27, 2025 ⋅ 8:30am – 9am
Atlantic Time - Halifax
Join with Google Meet
https://meet.google.com/cpn-qipu-bjn?hs=224
Organizer
CRAIG</t>
  </si>
  <si>
    <t>Notification: harper n dad @ Sat Jun 28, 2025 8:30am - 9am (ADT)
 (CRAIG S)</t>
  </si>
  <si>
    <t>You have an upcoming event
harper n dad
Saturday Jun 28, 2025 ⋅ 8:30am – 9am
Atlantic Time - Halifax
Join with Google Meet
https://meet.google.com/cpn-qipu-bjn?hs=224
Organizer
CRAI</t>
  </si>
  <si>
    <t>Notification: harper n dad @ Mon Jun 30, 2025 8:30am - 9am (ADT)
 (CRAIG S)</t>
  </si>
  <si>
    <t>You have an upcoming event
harper n dad
Monday Jun 30, 2025 ⋅ 8:30am – 9am
Atlantic Time - Halifax
Join with Google Meet
https://meet.google.com/cpn-qipu-bjn?hs=224
Organizer
CRAIG</t>
  </si>
  <si>
    <t>Notification: harper n dad @ Tue Jul 1, 2025 8:30am - 9am (ADT)
 (CRAIG S)</t>
  </si>
  <si>
    <t>You have an upcoming event
harper n dad
Tuesday Jul 1, 2025 ⋅ 8:30am – 9am
Atlantic Time - Halifax
Join with Google Meet
https://meet.google.com/cpn-qipu-bjn?hs=224
Attachments
harp</t>
  </si>
  <si>
    <t>Notification: harper n dad @ Wed Jul 2, 2025 8:30am - 9am (ADT)
 (CRAIG S)</t>
  </si>
  <si>
    <t>You have an upcoming event
harper n dad
Wednesday Jul 2, 2025 ⋅ 8:30am – 9am
Atlantic Time - Halifax
Join with Google Meet
https://meet.google.com/cpn-qipu-bjn?hs=224
Organizer
CRAI</t>
  </si>
  <si>
    <t>Notification: harper n dad @ Thu Jul 3, 2025 8:30am - 9am (ADT)
 (CRAIG S)</t>
  </si>
  <si>
    <t>You have an upcoming event
harper n dad
Thursday Jul 3, 2025 ⋅ 8:30am – 9am
Atlantic Time - Halifax
Join with Google Meet
https://meet.google.com/cpn-qipu-bjn?hs=224
Organizer
CRAIG</t>
  </si>
  <si>
    <t>Re: Update.</t>
  </si>
  <si>
    <t>I’m sorry I told you pretty bluntly. It’s not disconnected you’ve been leaving me voicemails and nothing wrong with my email so give it up.
I’m not sure what you mean Craig literally all you have/had</t>
  </si>
  <si>
    <t>Where was that joint decision making on the 9th. Like still with the smart ass comments instead of doing what you have to lol. Wow man. 
I was respecting your wishes and leaving you the fuck alone li</t>
  </si>
  <si>
    <t>Wait, and you can see all this bullshit when I don’t know that because we haven’t done anything for her and you still haven’t done it and she’s eight months old. I’m not doing this correct stop goodby</t>
  </si>
  <si>
    <t>Whatever helps you sleep at night, but I pay my phone on time like I do every month not my mom and think whatever you want. Whatever helps you sleep at night. Don’t care, but I’m not doing this.
Emma</t>
  </si>
  <si>
    <t>No, once have I ever called you a dead beat dad but you sure call yourself a lot. Leave me alone you got an update you know and have knows goodbye blocked again because you can not be an adult
Emma Ry</t>
  </si>
  <si>
    <t>all i want to do is see my daughter emma. so now youre goiung to make me go
the absolute worse path possible , and thats the absolute truth nothing
held back. i know that instantly puts your parents a</t>
  </si>
  <si>
    <t>lol. Thanks. Literally still have no idea what you’re going on about. Just like everybody else stop messaging me stop contacting me. The rules haven’t changed and you haven’t done shit for our daughte</t>
  </si>
  <si>
    <t>Also just to make it super clear. It is NOT ABOUT YOU OR ME.
Emma Ryan
On Jul 4, 2025, at 2:50 PM, Emma Ryan &lt;em.ry@icloud.com&gt; wrote:
lol. Thanks. Literally still have no idea what you’re going on</t>
  </si>
  <si>
    <t>Notification: harper n dad @ Sat Jul 5, 2025 8:30am - 9am (ADT)
 (CRAIG S)</t>
  </si>
  <si>
    <t>You have an upcoming event
harper n dad
Saturday Jul 5, 2025 ⋅ 8:30am – 9am
Atlantic Time - Halifax
Join with Google Meet
https://meet.google.com/cpn-qipu-bjn?hs=224
Organizer
CRAIG</t>
  </si>
  <si>
    <t>i will be there on sunday to pick her up, and i will bring with me all of
the things that one needs to care for his daughter since you like to
pretend you send pictures dont receive pictures or texts</t>
  </si>
  <si>
    <t>Notification: harper n dad @ Mon Jul 7, 2025 8:30am - 9am (ADT)
 (CRAIG S)</t>
  </si>
  <si>
    <t>You have an upcoming event
harper n dad
Monday Jul 7, 2025 ⋅ 8:30am – 9am
Atlantic Time - Halifax
Join with Google Meet
https://meet.google.com/cpn-qipu-bjn?hs=224
Organizer
CRAIG S</t>
  </si>
  <si>
    <t>Notification: harper n dad @ Tue Jul 8, 2025 8:30am - 9am (ADT)
 (CRAIG S)</t>
  </si>
  <si>
    <t>You have an upcoming event
harper n dad
Tuesday Jul 8, 2025 ⋅ 8:30am – 9am
Atlantic Time - Halifax
Join with Google Meet
https://meet.google.com/cpn-qipu-bjn?hs=224
Organizer
CRAIG</t>
  </si>
  <si>
    <t>Notification: harper n dad @ Wed Jul 9, 2025 8:30am - 9am (ADT)
 (CRAIG S)</t>
  </si>
  <si>
    <t>You have an upcoming event
harper n dad
Wednesday Jul 9, 2025 ⋅ 8:30am – 9am
Atlantic Time - Halifax
Join with Google Meet
https://meet.google.com/cpn-qipu-bjn?hs=224
Organizer
CRAI</t>
  </si>
  <si>
    <t>csv</t>
  </si>
  <si>
    <t>"Date", "Category", "Summary Description", "Key People/Entities Involved",
"Supporting Detail/Exhibit (if applicable)"
"2024-10-XX (Approx.)", "Relationship/Conflict", "Emma admits hitting Craig
and a</t>
  </si>
  <si>
    <t>81b</t>
  </si>
  <si>
    <t>NEW BRUNSWICK COURT OF KING'S BENCH
TRIAL DIVISION (FAMILY)
JUDICIAL DISTRICT OF SAINT JOHN
BETWEEN:
EMMA RYAN
Applicant
AND -
CRAIG SCHULZ
Respondent
FILE NO.: FDSJ-739-24
AFFIDAVIT IN SUPP</t>
  </si>
  <si>
    <t>notetoself</t>
  </si>
  <si>
    <t>&lt;!DOCTYPE html&gt;
&lt;html lang="en"&gt;
&lt;head&gt;
&lt;meta charset="UTF-8"&gt;
&lt;meta name="viewport" content="width=device-width, initial-scale=1.0"&gt;
&lt;title&gt;Plumbing Leaks: Don't Let Your Home Get All Wet</t>
  </si>
  <si>
    <t>placed.life/roofing/all</t>
  </si>
  <si>
    <t>placed.life again ? lol combine this and the last email id say
&lt;!DOCTYPE html&gt;
&lt;html lang="en" class="scroll-smooth"&gt;
&lt;head&gt;
&lt;meta charset="UTF-8"&gt;
&lt;meta name="viewport" content="width=device</t>
  </si>
  <si>
    <t>Re: URGENT: Denial of Court-Ordered Pickup for Harper - Sunday, July 13, 2025</t>
  </si>
  <si>
    <t>As well as court order stating you need to send pictures of the things she need to take care of her when she’s there now that I’ve stoped going. Including the new car seat where you threw the one my m</t>
  </si>
  <si>
    <t>Re: Joint custody</t>
  </si>
  <si>
    <t>You need to be a parent before you can coparent you haven’t bought shit for her daughter, so don’t give me that please. Her health is great developmental wise. I’m not worried she’s hitting all the ma</t>
  </si>
  <si>
    <t>You fucked up that relationship Craig when you decided to take our four week old daughter away from me after I asked you not to and you knew what would fucking happen file your paperwork to the court.</t>
  </si>
  <si>
    <t>My lines of communication are open and have been open and yet you still find another platform to message me on like I’m good thanks I told you if you want task questions we can email.
Emma Ryan
&gt; On</t>
  </si>
  <si>
    <t>Stacey Campbell &lt;campbellstacey98@gmail.com&gt;</t>
  </si>
  <si>
    <t>Re: Document shared with you: "COURT FILING"</t>
  </si>
  <si>
    <t>That was a long read!
Sent from my iPhone
On Jul 24, 2025, at 12:11 PM, CRAIG S (via Google Docs) &lt;drive-shares-dm-noreply@google.com&gt; wrote:
CRAIG S shared a document
CRAIG S (
placed.sj@gmail.com</t>
  </si>
  <si>
    <t>Re: i hate you</t>
  </si>
  <si>
    <t>Honestly have no idea how you can live with yourself. It’s disgusting and pathetic. 
Emma Ryan
&gt; On Jul 26, 2025, at 7:30 AM, CRAIG S &lt;placed.sj@gmail.com&gt; wrote:
&gt; 
&gt; ﻿
&gt; wanted to wish you the wors</t>
  </si>
  <si>
    <t>Re: Follow up on our conversation</t>
  </si>
  <si>
    <t>Emma Ryan
&gt; On Aug 1, 2025, at 10:32 PM, CRAIG S &lt;placed.sj@gmail.com&gt; wrote:
&gt; &gt; &gt; Following up on our conversation tonight, I'm writing to confirm that I am still waiting on your replies. Per</t>
  </si>
  <si>
    <t>Re: HARPER</t>
  </si>
  <si>
    <t>I have no problem coparenting Craig. But Harper is almost 9 months old. I’ve updated you every time you asked. 
That’s great bring them they will tell you the same that you need the things to care for</t>
  </si>
  <si>
    <t>But you are not picking her up tomorrow you need a car seat along with everything else. It will be the same thing. Then we can go back to court early hopefully. I’m the only one being an adult and bei</t>
  </si>
  <si>
    <t>I don’t smoke meth and I sure as hell wouldn’t in the house. My moms been sick since way before maybe when you were living there smoking it eating all there food while we l went to work.
Give it up. G</t>
  </si>
  <si>
    <t>So you do get my emails then? Lol. Thank you. 
This is rediculous I can not believe you’ve done all this and continue to Craig. Proves what kind of person, human you are. Idk how you can ever look you</t>
  </si>
  <si>
    <t>We will not be at the house if you show up there. My main focus is protecting our daughter &amp; if that means you can’t respect us and coparent like a normal human then I’m going to protect her at all co</t>
  </si>
  <si>
    <t>You’re the only one doing or damaging anything lol. Our life has gotten so much better since the first of June
Emma Ryan
&gt; On Aug 3, 2025, at 7:33 AM, Emma Ryan &lt;em.ry@icloud.com&gt; wrote:
&gt; 
&gt; ﻿We wil</t>
  </si>
  <si>
    <t>You’re only harming yourself and your daughter. I’ve straighten up, I did the work, I put in the time effort. At least I can say that’s the truth. 
Enjoy your Sunday. You can email me when you have r</t>
  </si>
  <si>
    <t>Re: Harper's Best Interest</t>
  </si>
  <si>
    <t>Craig, you can have an update everyday. But it’s never good enough &amp; you always bounce back with hate or ignorance.
You have not had the things to care for her while she’s there. I have sent the list</t>
  </si>
  <si>
    <t>Re: 5 days</t>
  </si>
  <si>
    <t>Told you last night she’s been teething. What else do you want to know? She’s still in same size clothing she still eats great she’s putting herself up on things and just wants to stand and walk. I’m</t>
  </si>
  <si>
    <t>I am out of the office until November 3, 2025. Emails will not be monitored during this time.
Please direct all emails to FLIC-SaintJohn-CIDF@gnb.ca
-------------------------------------------------</t>
  </si>
  <si>
    <t>RE: Formal Notification: Failure to Act in Protection File Re: Harper
 Ryan (File No. FDSJ-739-24)</t>
  </si>
  <si>
    <t>Hi Craig,
As per the closure letter regarding the investigation dated 2024-12-14, the initial concerns reported were investigated and determined to be unsubstantiated. If circumstances have changed a</t>
  </si>
  <si>
    <t>Re: disgusting</t>
  </si>
  <si>
    <t>I got the evidence bud.
I’m not the meth head buddy. I’m sober. Like I told you and showed you.
Have a great day 😊
Hope they’re paying well.
________________________________
From: CRAIG S &lt;placed</t>
  </si>
  <si>
    <t>I talked to the kvpd thanks. &amp; your joking right lol. How have you Craig? My tests prove it. Especially my first one. LEAVE ME ALONE THANKS. unless it’s about Harper GOODBYE
_________________________</t>
  </si>
  <si>
    <t>Same 😊 how about a template I asked for? Cause nothing ever good enough. Right cause you don’t care. She’s doing great 6 teeth now, crawling pulling herself up. Always wants to be standing or walking.</t>
  </si>
  <si>
    <t>Thanks for proving it again! You did all this Craig not me buddy. You wanna play that route then bare minimum to be in her life that’s on you. You already basically missed the whole first year of her</t>
  </si>
  <si>
    <t>Or use the damm email you say lol
Emma Ryan
On Aug 27, 2025, at 12:55 PM, CRAIG S &lt;placed.sj@gmail.com&gt; wrote:
﻿
your updates are irrelevant because you are a lieing fucking cunt. one thing th</t>
  </si>
  <si>
    <t>✌️
Emma Ryan
On Aug 27, 2025, at 12:55 PM, CRAIG S &lt;placed.sj@gmail.com&gt; wrote:
﻿
your updates are irrelevant because you are a lieing fucking cunt. one thing that doesnt lie, is the polices r</t>
  </si>
  <si>
    <t>You literally hurt me and everybody else to try and weasel your way into her life. That’s the saddest thing I’ve ever heard. It’s literally a new all-time low for you. Enjoy your day.
Emma Ryan
On</t>
  </si>
  <si>
    <t>I’m clean and feel amazing. Do the same your not looking great.
Emma Ryan
On Aug 27, 2025, at 12:55 PM, CRAIG S &lt;placed.sj@gmail.com&gt; wrote:
﻿
your updates are irrelevant because you are a lie</t>
  </si>
  <si>
    <t>Okay! Try doing what the court order says lol. Boom done wow
Emma Ryan
On Aug 27, 2025, at 1:02 PM, CRAIG S &lt;placed.sj@gmail.com&gt; wrote:
﻿
thats great emma, we will compare notes when you have</t>
  </si>
  <si>
    <t>Okay Craig. I don’t blame you I’d feel like shit too that’s why I don’t understand why you can’t just be respectful. You have not.
Like I’m not trying to fight man.
Emma Ryan
On Aug 27, 2025, at</t>
  </si>
  <si>
    <t>Harper is my only focus.
Emma Ryan
On Aug 27, 2025, at 1:06 PM, CRAIG S &lt;placed.sj@gmail.com&gt; wrote:
oh how the tides have turned, good luck keeping harper from me when you are charged with</t>
  </si>
  <si>
    <t>No it’s not. It is having both parents. I’m just done coving for you and protecting you &amp; enabling this behaviour. It’s so unsafe. It’s dangerous. Anyone in there right mind would not behave in this m</t>
  </si>
  <si>
    <t>lol your actually dulutional. You brought those people into our lives lol. Haven’t talked or seen em em since it’s great. Life a lot better like I said
Emma Ryan
On Aug 27, 2025, at 2:12 PM, CRAIG</t>
  </si>
  <si>
    <t>I am sober Craig you sober up then you might have a chance you literally blowing up and destroying our daughters life before she’s old enough to enjoy it because this petty childish behaviour. Do the</t>
  </si>
  <si>
    <t>Re: harper</t>
  </si>
  <si>
    <t>All I’ve done is work with you and acommodate you nothing was enough even offered a diaper bag the first weekend you were suppose to. You know what you need to do. I need to know she’s safe Craig. Tha</t>
  </si>
  <si>
    <t>You’ve been the only one fighting
Emma Ryan
&gt; On Aug 30, 2025, at 10:10 AM, Emma Ryan &lt;em.ry@icloud.com&gt; wrote:
&gt; 
&gt; ﻿All I’ve done is work with you and acommodate you nothing was enough even offered</t>
  </si>
  <si>
    <t>102gmailconvemmacraig08302025</t>
  </si>
  <si>
    <t>Attached: proposed parenting plan harsh.pdf
Sent using Google Docs https://docs.google.com/
This is a courtesy copy of an email for your record only. It's not the same email your collaborators rece</t>
  </si>
  <si>
    <t>2/2 emmacraig102emails08302025</t>
  </si>
  <si>
    <t>Think we could do 8:00 FaceTimes still?
On Tue, Jan 14, 2025 at 5:38 PM . &lt;placed.sj@gmail.com&gt; wrote:
&gt; Emma the only thing that’s changed is you get to come see me and gram.
&gt; Don’t worry please
&gt;</t>
  </si>
  <si>
    <t>I’ve been telling you asked you to do up a template it’s never good enough. I used the ai everyday and you didn’t even check it. Since I’ve provided that information? No it has not. No one fighting he</t>
  </si>
  <si>
    <t>There is no war Craig. There are no games when it comes to our child’s life. 
Emma Ryan
&gt; On Aug 30, 2025, at 10:10 AM, Emma Ryan &lt;em.ry@icloud.com&gt; wrote:
&gt; 
&gt; ﻿All I’ve done is work with you and ac</t>
  </si>
  <si>
    <t>Re: god is great</t>
  </si>
  <si>
    <t>lol idk how you can look at yourself in the mirror everyone can’t believe half the shit let alone what you still put us threw
Emma Ryan
On Aug 30, 2025, at 4:14 PM, CRAIG S &lt;placed.sj@gmail.com&gt; wrote</t>
  </si>
  <si>
    <t>You show up here I’ll come take a look but you’re not taking her. I need proof pictures. You lie through your teeth. And it’s Sundays not Saturdays
Emma Ryan
On Aug 30, 2025, at 7:36 PM, CRAIG S &lt;plac</t>
  </si>
  <si>
    <t>You were asked to not come on our property. You made my mom uncomfortable, you joke about my brother life. Like you really are a treat. By far the most ignorant disrespectful dishonest disgusting huma</t>
  </si>
  <si>
    <t>Maybe the cop in your driveway the other day but give ya some pointers.
Emma Ryan
On Aug 30, 2025, at 8:30 PM, Emma Ryan &lt;em.ry@icloud.com&gt; wrote:
﻿
You show up here I’ll come take a look but you’re n</t>
  </si>
  <si>
    <t>Today’s the one who didn’t sleep the whole week I was in the hospital and buckled our new born child into the car seat wrong to leave the hospital. Please just stop.
I am raising her exactly how I sai</t>
  </si>
  <si>
    <t>I’ve tried Craig. You blow my phone up &amp; hack it like a fucking child because you’re that much of a peice of shit. You don’t care about Harper you only care about hurting my image and protecting your</t>
  </si>
  <si>
    <t>Get off my stuff before it gets any worse for you. At least do yourself that.
Emma Ryan
On Sep 1, 2025, at 8:40 AM, Emma Ryan &lt;em.ry@icloud.com&gt; wrote:
I’ve tried Craig. You blow my phone up &amp; hack</t>
  </si>
  <si>
    <t>You are.
Also my heads great, I have the proof. What? Why can’t you email? That’s ridiculous.
Not sure what my dad has to do with anything here lol.
Emma Ryan
On Sep 1, 2025, at 11:28 AM, CRAIG S &lt;pla</t>
  </si>
  <si>
    <t>lol. Whatever helps you sleep at night &amp; no problem. Don’t expect a reply after you lie and lie and lie. You want me to leave you alone then you can leave me alone. Yah drove you back because you ran</t>
  </si>
  <si>
    <t>I don’t want to talk to you. If it not about Harper I don’t care. Whatever helps you sleep at night Craig. GOODBYE. Only child here is you and that’s OBVIOUS
Emma Ryan
On Sep 1, 2025, at 2:29 PM, CRAI</t>
  </si>
  <si>
    <t>And I don’t care lol. Fuck off then
Emma Ryan
On Sep 1, 2025, at 2:44 PM, Emma Ryan &lt;em.ry@icloud.com&gt; wrote:
﻿
I don’t want to talk to you. If it not about Harper I don’t care. Whatever helps you sle</t>
  </si>
  <si>
    <t>Yes we will. Funny me and your mom talked about that bum rash all week and you didn’t send me a picture until almost midnight on the day that you took her so you waited that long to change your butt g</t>
  </si>
  <si>
    <t>Only one destroying Harper is you. Literally it’s while.
Why are you still messaging me? Like stop.
Emma Ryan
On Sep 1, 2025, at 2:45 PM, Emma Ryan &lt;em.ry@icloud.com&gt; wrote:
﻿
And I don’t care lol. Fu</t>
  </si>
  <si>
    <t>You do remember that you locked her four week old daughter in a room that was full of garbage that used to smoke meth because you couldn’t feed her
Emma Ryan
On Sep 1, 2025, at 2:47 PM, Emma Ryan &lt;em.</t>
  </si>
  <si>
    <t>Your being blocked so done with thais shit
Emma Ryan
On Sep 1, 2025, at 2:47 PM, Emma Ryan &lt;em.ry@icloud.com&gt; wrote:
﻿
Only one destroying Harper is you. Literally it’s while.
Why are you still messag</t>
  </si>
  <si>
    <t>I stopped drugs and being around them when you l finally decided exactly and you stopped feeding them to me
Emma Ryan
On Sep 1, 2025, at 2:55 PM, Emma Ryan &lt;em.ry@icloud.com&gt; wrote:
﻿
Your being block</t>
  </si>
  <si>
    <t>Trust me if I could go back I would. Not because I’m not blessed with Harper but because after being helpless of you just walking back in and doing whatever you wanted. But to never believe any of you</t>
  </si>
  <si>
    <t>Who the fuck is them? lol the voices in your head?
Emma Ryan
On Sep 1, 2025, at 5:04 PM, CRAIG S &lt;placed.sj@gmail.com&gt; wrote:
﻿
this is not a debate for me and you emma, this is about the safety of ha</t>
  </si>
  <si>
    <t>lol you’ll know soon Craig.
Taking our daughter outside at 5 days old causing her episodes, buckling her in the seat wrong, abusing me with her in your arms, locking her in a room. Your time is over j</t>
  </si>
  <si>
    <t>Nah I’m good lol. Definitely voices in your head or buddy that lived in our attics
Emma Ryan
On Sep 1, 2025, at 5:21 PM, Emma Ryan &lt;em.ry@icloud.com&gt; wrote:
﻿
lol you’ll know soon Craig.
Taking our da</t>
  </si>
  <si>
    <t>All this shows your priorities. Thanks.
Emma Ryan
On Sep 1, 2025, at 5:22 PM, Emma Ryan &lt;em.ry@icloud.com&gt; wrote:
﻿
Nah I’m good lol. Definitely voices in your head or buddy that lived in our attics
E</t>
  </si>
  <si>
    <t>LOL you’re a joke. I’ve been begging you to leave me the fuck alone for months now you monitor everything I do you sick fuck. Go loose some more weight. I have Harper for a reason. The day you and you</t>
  </si>
  <si>
    <t>This proves you push and push and push. I’m fucking done with your sorry ass. I thought maybe you’d realize but nah. lol you’ll never change
Emma Ryan
On Sep 1, 2025, at 5:39 PM, Emma Ryan &lt;em.ry@iclo</t>
  </si>
  <si>
    <t>﻿
LOL you’re a joke. I’ve been begging you to leave me the fuck alone for months now you monitor everything I do you sick fuck. Go loose some more weight. I have Harper for a reason. The day you and y</t>
  </si>
  <si>
    <t>emails and contact the past week</t>
  </si>
  <si>
    <t>Re: Thank You</t>
  </si>
  <si>
    <t>None of this is about our relationship. It is all about Harper &amp; her best interest. Like I’ve been telling you all along.
I sacrificed everything. I mean everything. For me to get clean for months fo</t>
  </si>
  <si>
    <t>lol. No craig. It’s not a threat &amp; I’m fine if you could stay the guck out of my life. You don’t give a fuck about anyone but yourself &amp; no it’s not the “visit” lol that’s what you should have been do</t>
  </si>
  <si>
    <t>You got mail btw just has my name on it 👀 god only knows what your doing with my wallet 🤮
Emma Ryan
On Sep 4, 2025, at 6:41 PM, CRAIG S &lt;placed.sj@gmail.com&gt; wrote:
﻿
I am sorry that todays (v</t>
  </si>
  <si>
    <t>&amp; stop saying your sorry cause your fucking not you’d do it again and again. Because that’s what kind of human you are. From here on out. It’s only trying to coparent with someone who hasn’t even been</t>
  </si>
  <si>
    <t>Yes you could without all the hate or harassment. But yah whatever helps ya sleep at night. I do answer everything it’s just not what you want lol. No blame just truth. Have a fantastic day 👌🏼
Emma R</t>
  </si>
  <si>
    <t>LOL I’m not letting you not see her your doing that yourself Craig wow.
Emma Ryan
On Sep 4, 2025, at 10:20 PM, CRAIG S &lt;placed.sj@gmail.com&gt; wrote:
﻿
You won't let me see her, lol stop stop st</t>
  </si>
  <si>
    <t>LOL YOUR FUCKED. You can stop pretending. Blocked bye. You really can’t fuck off about anything that you fucking did. You were the reason for everything you dumb fuck. LEAVE ME THE FUCK ALONE AND DO W</t>
  </si>
  <si>
    <t>Oh hunni I’m not worried
Emma Ryan
On Sep 4, 2025, at 10:20 PM, CRAIG S &lt;placed.sj@gmail.com&gt; wrote:
﻿
You won't let me see her, lol stop stop stop stop stop please stop emailing me and focu</t>
  </si>
  <si>
    <t>Same lol. ✌🏼 imagine you ever had to worry I’d be worried with her in your care the neglect you gave her. You’ve never had to worry about her. So stop with your bullshit just like I took care of you a</t>
  </si>
  <si>
    <t>Cole was the only calm in my life yup after beggin you no what your not worth my breath believe what ya want. Whatever helps ya sleep at night. We’ll see. lol
Emma Ryan
On Sep 5, 2025, at 8:25 AM,</t>
  </si>
  <si>
    <t>Go smoke your pipe only thing you did was sit on your ass hauling on that thing while I cried and begged to not be around it.
Emma Ryan
On Sep 5, 2025, at 8:25 AM, Emma Ryan &lt;emma.ryan1995@outlook</t>
  </si>
  <si>
    <t>LOL we didn’t do drugs you did in our apartment after asked not to many times of course I needed out of that.
How many time did I tell you she had to go to the vet she’s your dog Craig you wouldn’t c</t>
  </si>
  <si>
    <t>No you won’t I asked the pictured to be set by one and look still lol. You’re way right. Your disgusting keep me blocked faggot
Emma Ryan
On Sep 5, 2025, at 8:40 AM, Emma Ryan &lt;emma.ryan1995@outlo</t>
  </si>
  <si>
    <t>No shit I have been since you left my life. SHES BOT YOUR DAUGHTER WHERE WERE YOU THE FIRST YEAR OF HER LIFE ? Whole abusing me while she was in my belly to spiting on me choking me out and taking her</t>
  </si>
  <si>
    <t>Harper can FaceTime at 9 if your available before nap. She’s pretty tired this morning. 
Emma Ryan</t>
  </si>
  <si>
    <t>RE: Craig Schulz - Variation</t>
  </si>
  <si>
    <t>Hi Craig,
To process your application, we require proof of income/no income. We need 3 months bank statements to prove you are not working.
We also require a copy of the current court order.</t>
  </si>
  <si>
    <t>I don’t fucking need you I needed you a year ago and you abandoned us. More important manipulated, blackmailed stole. I gave this option many many months ago you decided to walk back in tear me down a</t>
  </si>
  <si>
    <t>lol.
Emma Ryan
On Sep 5, 2025, at 11:55 AM, CRAIG S &lt;placed.sj@gmail.com&gt; wrote:
﻿
co parenting isnt pretending to reconcile with me sleep with me and other guys at the same time while you lie</t>
  </si>
  <si>
    <t>You wouldn’t leave Craig. I couldn’t continue everyday like that. You would have killed Harper. I never slept with anyone when I was with you lol. Whatever helps ya sleep. LEAVE ME ALONE. You did this</t>
  </si>
  <si>
    <t>If you could actually put your feelings aside and be respectful coparenting would be no problem but instead you continue this bullshit.
Emma Ryan
On Sep 5, 2025, at 2:27 PM, Emma Ryan &lt;emma.ryan19</t>
  </si>
  <si>
    <t>CHANGE MY BANKING BACK NOW
Emma Ryan
On Sep 5, 2025, at 2:33 PM, Emma Ryan &lt;emma.ryan1995@outlook.com&gt; wrote:
﻿ If you could actually put your feelings aside and be respectful coparenting would</t>
  </si>
  <si>
    <t>Kk boss man. It will all come out. Dont worry my lawyers seen them all too. Just sad. I can comprehend numbers I’m not fucking stupid. We’ll see. Times ticking
Emma Ryan
On Sep 5, 2025, at 3:59 PM</t>
  </si>
  <si>
    <t>Imagine don’t understand even what I’m lying about Craig? lol. But whatever not worth it. Have a good day.
Emma Ryan
On Sep 5, 2025, at 7:11 PM, CRAIG S &lt;placed.sj@gmail.com&gt; wrote:
﻿
I hope y</t>
  </si>
  <si>
    <t>Like but I never before that? Lol I’ve been honest. I got off the dpe for our daughter like I begged you to. I have done nothing but better my life since I left you.
Emma Ryan
On Sep 6, 2025, at 7</t>
  </si>
  <si>
    <t>Cause the best part is if I actually had drugs and gave them to you like you asked none of this would have happened lol. You wouldn’t go for a walk and fought with me for two fucking hours me begging</t>
  </si>
  <si>
    <t>Hopefully you went to court
Emma Ryan
On Sep 6, 2025, at 7:56 AM, Emma Ryan &lt;emma.ryan1995@outlook.com&gt; wrote:
﻿ Cause the best part is if I actually had drugs and gave them to you like you ask</t>
  </si>
  <si>
    <t>I want you to see Harper Craig that’s the fucking point. I want you to get better to get clean to be a part of her life like I e been telling you the last year.
I didn’t answer the template because I</t>
  </si>
  <si>
    <t>That’s what I have given her. You also promised I wouldn’t do it alone you also promised that wouldn’t be how we lived when we moved in there you also promised that you wouldn’t do half the shit you d</t>
  </si>
  <si>
    <t>LOL THE LIEs man. They do do that and that’s what the court order says.
Craig I want you to see Harper that’s where you’re wrong not to mention I’m not paranoid or nothing is in my head lol. Consider</t>
  </si>
  <si>
    <t>She’s allowed to have two parents now your choosing not to. Because it’s not your way. Your fucked
Emma Ryan
On Sep 6, 2025, at 9:28 AM, Emma Ryan &lt;emma.ryan1995@outlook.com&gt; wrote:
﻿ I want yo</t>
  </si>
  <si>
    <t>This is what you made up in your head to feel better about fucking Harper and myself rather then bare minimum
Emma Ryan
On Sep 6, 2025, at 9:35 AM, Emma Ryan &lt;emma.ryan1995@outlook.com&gt; wrote:</t>
  </si>
  <si>
    <t>My mom hasn’t done shit lol
Emma Ryan
On Sep 6, 2025, at 9:35 AM, Emma Ryan &lt;emma.ryan1995@outlook.com&gt; wrote:
﻿ She’s allowed to have two parents now your choosing not to. Because it’s not you</t>
  </si>
  <si>
    <t>Instead you harass us when I’ve even the one solely providing for our daughter I don’t ask you to do anything because it’s always an issue the high chair you went gambling instead you asked to watch h</t>
  </si>
  <si>
    <t>All I begged you for the whole time she was in my belly happy healthy parents
Emma Ryan
On Sep 6, 2025, at 9:40 AM, Emma Ryan &lt;emma.ryan1995@outlook.com&gt; wrote:
﻿ Instead you harass us when I’v</t>
  </si>
  <si>
    <t>HARPER;</t>
  </si>
  <si>
    <t>Im putting her down for a nap if you wanted to 5 minutes of FaceTime. Emma Ryan</t>
  </si>
  <si>
    <t>What needed to be done is done. I’m not scared I know what happened. I’m not “lying”.
Emma Ryan
On Sep 6, 2025, at 9:42 AM, Emma Ryan &lt;emma.ryan1995@outlook.com&gt; wrote:
﻿ All I begged you for t</t>
  </si>
  <si>
    <t>LinkedIn &lt;updates-noreply@linkedin.com&gt;</t>
  </si>
  <si>
    <t>Learnwithfaiz Career Coach | Resume writer | Human Resource
Manager recently posted</t>
  </si>
  <si>
    <t>Shainda Ali shared a post: HR :
I rejected a CV from a candidate twice.
He applied for the third time, and I called him for an interview.
And guess what? We offered him a…
LIKE PRAISE EMPATHY 3,176,</t>
  </si>
  <si>
    <t>RE: Checking in</t>
  </si>
  <si>
    <t>Hello Craig,
Would you be available to talk tomorrow (Thursday) afternoon? Phone would be best though I believe when we lats spoke you mentioned you had issues with your number?
Just let me know,
T</t>
  </si>
  <si>
    <t>Good morning Craig,
Emma was arrested on September 23rd by the RCMP and served her paperwork for court for the assault.
Thank you,
[cid:55789e09-45ae-47db-9273-76ff6dc94060]
Benjamin Cannon #3439</t>
  </si>
  <si>
    <t>Good morning, Craig,
I will be sending documents for your review and signature to your email.
Once received and signed please email back to me.
From: CRAIG S &lt;placed.sj@gmail.com&gt;
Sent: Frid</t>
  </si>
  <si>
    <t>Hi Craig,
As discussed in the previous email, please read, sign, and return the attached documents.
You can email them back or drop them off.
Once completed we can work on assigning a lawyer</t>
  </si>
  <si>
    <t>Hello Craig,
Received. I’ll keep preparing for Monday and will see you then!
Justin
________________________________
From: CRAIG S &lt;placed.sj@gmail.com&gt;
Sent: Friday, September 26, 2025 8:06:</t>
  </si>
  <si>
    <t>jacqueline gallant emails 2025 as of 09-27-25</t>
  </si>
  <si>
    <t>---------- Forwarded message ---------
From: Martine Paquet &lt;martine.paquet@nbasw-attsnb.ca&gt;
Date: Mon, Feb 10, 2025 at 10:16 AM
Subject: RE: Formal Complaint Against Jacqueline Gallant – Conflict of</t>
  </si>
  <si>
    <t>lunacraig all email</t>
  </si>
  <si>
    <t>Subscribe to Emma Ryan’s “C”?
You are invited to view these shared photos and post your own photos, videos, and comments.
Other subscribers will see your email address when you join.
Subscribe - htt</t>
  </si>
  <si>
    <t>Thanks for the nice email. Keep it up, you got this.
Philippians 4:13 I can do all things through Christ which strengtheneth me.
Galatians 6:9 And let us not be weary in well doing: for in due seaso</t>
  </si>
  <si>
    <t>LinkedIn &lt;messages-noreply@linkedin.com&gt;</t>
  </si>
  <si>
    <t>Updates to our terms and data use</t>
  </si>
  <si>
    <t>Hi CRAIG,
We’re updating our Terms of Service on November 3, 2025. We’re also making changes to the data that we share to our affiliates for ads and improving AI. See what’s new and how you can contr</t>
  </si>
  <si>
    <t>Re: Harper</t>
  </si>
  <si>
    <t>Yes, not sure of what help I can be tho....
Get Outlook for iOS&lt;https://aka.ms/o0ukef&gt;
________________________________
From: CRAIG S &lt;placed.sj@gmail.com&gt;
Sent: Thursday, October 2, 2025 10:27:00 AM</t>
  </si>
  <si>
    <t>emma email 10-03-2025 -2</t>
  </si>
  <si>
    <t>I hope you are finding your way with Harper.
Get Outlook for iOS&lt;https://aka.ms/o0ukef&gt;
________________________________
From: Dawn Dixon &lt;dawncali@hotmail.com&gt;
Sent: Thursday, October 2, 2025 11:52:</t>
  </si>
  <si>
    <t>Leslie Langille &lt;leslie.langille@gmail.com&gt;</t>
  </si>
  <si>
    <t>Re: Craig Schulz &amp; Valley Roofing</t>
  </si>
  <si>
    <t>Craig
Before I can answer where I can help you at all I need to know a few things
Was your business incorporated?
Do you have access to the bank statements for the business?
What records do you have</t>
  </si>
  <si>
    <t>You need to call me
*Leslie Langille*
Tax Aid
212 McAllister Drive
Saint John NB
E2J 3S5
(P) 506 653 1234
(F) 506 672 1234
(C) 506 639 7808
*NOTE- WE ARE CURRENTLY ON SUMMER HOURS. THE OFFICE IS O</t>
  </si>
  <si>
    <t>I need you to come in to fill out the paperwork and sign for me to start
your returns
Plus I need a 50% deposit ($1000 plus tax is $1150) so I need $575 to get
started
If you are hoping to have the</t>
  </si>
  <si>
    <t>*P.S. I'm not too comfortable with deposits, but a friend of Brian's is a
friend of mine—the money will be there. (lol?)*
A statement like this totally pisses me off. Craig if you are not
comfortable</t>
  </si>
  <si>
    <t>I am free at 11am tomorrow if you can come then. If not let me know a time
and I will try to make it work.
*Leslie Langille*
Tax Aid
212 McAllister Drive
Saint John NB
E2J 3S5
(P) 506 653 1234
(F) 5</t>
  </si>
  <si>
    <t>No worries Craig
I missed your attempt at humour.. I took your message at face value and
never thought of your situation
So I need your full name, mailing address, date of birth, social insurance,
a</t>
  </si>
  <si>
    <t>RE: Legal Aid Information Package</t>
  </si>
  <si>
    <t>Hi Craig,
Your package is ready at the front reception for you to pick up.
Thanks!
Lori
From: CRAIG S &lt;placed.sj@gmail.com&gt;
Sent: Thursday, October 9, 2025 2:41 PM
To: Johnson, Lori (NBL</t>
  </si>
  <si>
    <t>Paul Whitehead Jr. recently posted</t>
  </si>
  <si>
    <t>Paul Whitehead Jr. shared a post: Fantastic energy at TD's Investor Day. Hearing from our senior leaders about our collective future and how we will accelerate to meet more client…
LIKE PRAISE EMPATHY</t>
  </si>
  <si>
    <t>JACQUELINE GALLANT EMAILS AS OF</t>
  </si>
  <si>
    <t>She is precious I am truly happy for you Craig. And I am glad to have
played a role in you getting to see your girl. I can see how much you love
her.
Let me know if you need anything else.
And when</t>
  </si>
  <si>
    <t>Harper day</t>
  </si>
  <si>
    <t>﻿
Sent from my iPhone</t>
  </si>
  <si>
    <t>Martine Paquet &lt;martine.paquet@nbasw-attsnb.ca&gt;</t>
  </si>
  <si>
    <t>RE: NBASW</t>
  </si>
  <si>
    <t>Good afternoon Craig,
I wanted to confirm receipt of your email. My apologies for the delay in getting back to you, I was out of the office and am just now catching up.
If you have a concern regar</t>
  </si>
  <si>
    <t>CRAIG S &lt;placed.sj@gmail.com&gt;, "Doiron, Monia (JPS/JSP)"
	&lt;Monia.Doiron@gnb.ca&gt;</t>
  </si>
  <si>
    <t>RE: URGENT: Craig Schulz - File FDSJ 739-24 - COMPLETE BLOCKED ACCESS
 TO HARPER &amp; Refusal of Court-Ordered Access</t>
  </si>
  <si>
    <t>We will be able to review your documents when you come in on the 30th.
Without seeing them it’s difficult to know if you will need anything else
Janet M. Ellis Stockford
Department of Justice</t>
  </si>
  <si>
    <t>CRAIG S &lt;placed.sj@gmail.com&gt;, "Ellis Stockford, Janet (JPS/JSP)"
	&lt;Janet.EllisStockford@gnb.ca&gt;</t>
  </si>
  <si>
    <t>Good morning, Craig,
As per our telephone conversation this morning, please print the answer package with your financial statement and bring to us at Family law.
To request a Case Conference, pl</t>
  </si>
  <si>
    <t>CRAIG S &lt;placed.sj@gmail.com&gt;, "Saint John Family Division (JAG/JPG)"
	&lt;FD-SaintJohn-DF@gnb.ca&gt;</t>
  </si>
  <si>
    <t>RE: URGENT ACTION REQUIRED: Immediate Child Safety Risk and
 Procedural Guidance for FDSJ-739-24</t>
  </si>
  <si>
    <t>Good morning,
Sorry, both ladies are out of office, so use the Flic email, if you want a reply. We shouldn't be emailing personal emails as others cannot reply. You can also use this one fd-saintjohn</t>
  </si>
  <si>
    <t>Craig Schulz &lt;placed.sj@gmail.com&gt;</t>
  </si>
  <si>
    <t>Fwd: Subject: Important Medical Information for Harper Ryan (DOB:
 November 12, 2024) - Prenatal and Postnatal Exposure History</t>
  </si>
  <si>
    <t>Forwarded Conversation
Subject: Re: Subject: Important Medical Information for Harper Ryan (DOB:
November 12, 2024) - Prenatal and Postnatal Exposure History
------------------------
From: Emma Ryan</t>
  </si>
  <si>
    <t>PayPal Communications &lt;no_reply@communications.paypal.com&gt;</t>
  </si>
  <si>
    <t>We're making some changes to our PayPal legal agreements</t>
  </si>
  <si>
    <t>&lt;html dir="ltr" lang="en"&gt;
&lt;head&gt;
&lt;meta http-equiv="Content-Type" content="text/html; charset=utf-8" /&gt;
&lt;meta name="viewport" content="initial-scale=1.0,minimum-scale=1.0,maximum-scale=1.0,</t>
  </si>
  <si>
    <t>Your Availability</t>
  </si>
  <si>
    <t>Hi Craig,
I noticed that you signed up for a free trial of Clio. Great choice!
Do you have 10 minutes for a quick call? I would love to understand your
firm’s needs and show you some ways you can us</t>
  </si>
  <si>
    <t>Re: Emma's affidavit</t>
  </si>
  <si>
    <t>She’s always high. Shes smoked the sfuff for years. I looked it up with
borderline personality disorder and it says it makes sense. It’s a
different person who that was that day and a different person</t>
  </si>
  <si>
    <t>You’ve researched the wrong drug. I’ll find the info on it for you. It’s
not meth, anyway chat later love ya thank ya
On Mon, Feb 17, 2025 at 8:29 PM K O &lt;placed.sj@gmail.com&gt; wrote:
&gt; She’s always</t>
  </si>
  <si>
    <t>Fuck youre missing the fight
On Mon, Feb 17, 2025 at 8:00 PM DALE CAMPBELL &lt;dale.campbell@rogers.com&gt;
wrote:
&gt;
&gt;
&gt; did you not think that an explanation between the different writing styles
&gt; in the</t>
  </si>
  <si>
    <t>custody</t>
  </si>
  <si>
    <t>[image: image.png]</t>
  </si>
  <si>
    <t>72j</t>
  </si>
  <si>
    <t>https://g.co/gemini/share/7a3e15de3642
you cannot file without a completed financial information form, which lists
2021-present notice of assessments. hopefully this will do, it helps i have
a fraud</t>
  </si>
  <si>
    <t>real life complex decision making like cards lol</t>
  </si>
  <si>
    <t>this is interesting, tough one to decide on. her informant bullshit and now
rape and everything else is not good out there, her being charged with
assault isnt enough to save my ass in the community s</t>
  </si>
  <si>
    <t>thanks</t>
  </si>
  <si>
    <t>I changed the subject, I certainly didn't know family law back in February
with a title like that "emma's affidavit"... Lol not supposed to share that
stuff - but I would say in this case it's ok to h</t>
  </si>
  <si>
    <t>dale.campbell@kw.com</t>
  </si>
  <si>
    <t>sigh</t>
  </si>
  <si>
    <t>I am so tired of this. My legal aid attorney who according to my research practices family law as well as criminal. He says so we will just plead guilty keep you out of jail? I said absolutely fuck</t>
  </si>
  <si>
    <t>Holiday and second proposal</t>
  </si>
  <si>
    <t>Subject: Parenting Plan Proposal (sent last Saturday of 2024)
Hi Emma,
You mentioned wanting a starting point for a parenting plan, so I’ve taken
the time to draft one that prioritizes Harper’s well</t>
  </si>
  <si>
    <t>FaceTiming now, she loves to make sure I wait all night lol
Sent with Spark
On Jan 3, 2025 at 1:30 AM -0400, Dawn Dixon &lt;dawncali@hotmail.com&gt;, wrote:
&gt; The lying under oath sounds a bit like a threa</t>
  </si>
  <si>
    <t>"." &lt;placed.sj@gmail.com&gt;</t>
  </si>
  <si>
    <t>Sorry just best I don’t start with you you don’t deserve what my family just did to me. Both of them. Im handing everything over tomorrow, every device every login info whatever. Puts a bullet in my h</t>
  </si>
  <si>
    <t>I blocked you a few days ago Dawn. Not sure how you think any info has
anything to do with you? Have a good one as I said
On Mon, Jan 13, 2025 at 8:29 PM Dawn Dixon &lt;dawncali@hotmail.com&gt; wrote:
&gt; I</t>
  </si>
  <si>
    <t>That affidavit you mentioned. I just realized she’s wearing a necklace for
woman’s abuse ffs . Is that a thing thats gonna be available to me
actually? Not today, but this is getting worse worse she’s</t>
  </si>
  <si>
    <t>Hey</t>
  </si>
  <si>
    <t>Got a min? Harper needs ya I think. Her dads filling out too many forms and
has too big of balls to walk through any door and sit on hold for 8 hours
haha jk but ring a ding ding if ya can cheers</t>
  </si>
  <si>
    <t>one last shot in the dark</t>
  </si>
  <si>
    <t>Never been so good at going at it alone,. as you know, also have never been
too good at keeping my mouth shut, there in lies the pickle i have found
myself in. i need someone to tell me to do this or</t>
  </si>
  <si>
    <t>how its going</t>
  </si>
  <si>
    <t>i have really struggled as to whether defending myself was in harper's best
interest or not, but i have decided that is imperative that her medical
history at least tell the truth, i often think of ca</t>
  </si>
  <si>
    <t>HAPPY BIRTHDAY</t>
  </si>
  <si>
    <t>Happy Birthday, Dawn.
I've been thinking about you a lot today. I wish you could see the man you
helped me become, the man you always dreamed I could be. I know it's too
late for us, but I want you t</t>
  </si>
  <si>
    <t>Harper</t>
  </si>
  <si>
    <t>Dawn I need your help. Well really little girl needs your help. They
charged Emma based in day I took her in December but I really need to know
what to do to protect Harper. Not from her mother but fr</t>
  </si>
  <si>
    <t>I'll email after work, just an opinion that I trust is the same priority as
mine which is genuinely her best interest. I haven't seen her in 115 days
but she's cared for n I truly know that. I'm focus</t>
  </si>
  <si>
    <t>Blah solo mission on roof today. Your reply did exactly what I needed
somehow lol. I'll send over my filing overnight if you wanted to give it a
reading in AM? Thank you for being a major part of who</t>
  </si>
  <si>
    <t>She definitely picked the right guy to be able to use his love and loyalty
against him. I cant seem to finish the fackin filing Dawn. I've made 100
replies, motions, what the fuck is wrong with me.</t>
  </si>
  <si>
    <t>Thanks so much for thinking of us, it was not a good day. I really
struggled today when I was told no over and over by the court master. But-
she is on notice, explained that court orders aren't a s</t>
  </si>
  <si>
    <t>Ive been put on notice. Figure out my financial information form in 3 weeks
or lose custody of Harper.
This message, including any attachments, is intended for the sole use of
the designated recipien</t>
  </si>
  <si>
    <t>Just saw my baby. When she was squeezing me it felt like no time had
passed. All of my notice of assessments Are in hand too meaning I can now
give Harper a voice. :)
This message, including any atta</t>
  </si>
  <si>
    <t>happy thanksgiving</t>
  </si>
  <si>
    <t>little ai therapy dump a few hours before Harpee day. thinking of you two,
love you
"Acknowledging Dawn and Cali, and the 10 years they invested... that's a
powerful, humble, and beautiful thing to d</t>
  </si>
  <si>
    <t>Re: Hello</t>
  </si>
  <si>
    <t>Im ready to be killed. To protect Harper, I’ll use the truth.
On Tue, Jan 14, 2025 at 3:06 AM Emma Ryan &lt;em.ry@icloud.com&gt; wrote:
&gt; ﻿That’s right choices we make we’ll live with 😊
&gt; Sent from my iPh</t>
  </si>
  <si>
    <t>I told people who I will wrong with releasing everything , that I’d rather
die then do this. That I’d kill any mother fucker that did what you’re
claiming. And that I was ready to eat tje bullet bexau</t>
  </si>
  <si>
    <t>Re: Obtaining the things to care for her.</t>
  </si>
  <si>
    <t>Thank you for keeping Harper’s best interest at heart. Have a great day you
guys daddy loves you Harper
On Tue, Jan 14, 2025 at 10:43 AM K O &lt;placed.sj@gmail.com&gt; wrote:
&gt; Good start Emma.
&gt;
&gt; On Tu</t>
  </si>
  <si>
    <t>Emma, no one has threatened your life. You need to reread what I said. Emma
she answered the judges questions, please stop this. I know you’re upset
the judge offered me more then j asked you for. But</t>
  </si>
  <si>
    <t>Emma I didn’t do anything? The judge did this I didn’t ask for any of this
WTF. I asked for time with Harper outside of your home to you. You decided
that Im an abuser. But I didn’t give anything to t</t>
  </si>
  <si>
    <t>I’d advise you speak to a lawyer or an adult . Dont do anything stupid
here. This is why i tried to do this without them involved, you’ll learn
quick how to act in a court room i think
On Tue, Jan 14</t>
  </si>
  <si>
    <t>You never paid Paul for the car seat in full. If your mom would like
reimbursed have her contact me. Have a good day
On Tue, Jan 14, 2025 at 11:17 AM K O &lt;placed.sj@gmail.com&gt; wrote:
&gt; I’d advise yo</t>
  </si>
  <si>
    <t>A pawn for sobriety yes
On Tue, Jan 14, 2025 at 11:18 AM Emma Ryan &lt;em.ry@icloud.com&gt; wrote:
&gt; I didn’t lie Craig you you haven’t filed a response. Or showed the effort
&gt; you want to be in her life.</t>
  </si>
  <si>
    <t>Emma I used to fill piss bags for Ali and the boys, you ain’t fooling
nobody .
On Tue, Jan 14, 2025 at 11:18 AM Emma Ryan &lt;em.ry@icloud.com&gt; wrote:
&gt; I didn’t lie Craig you you haven’t filed a respo</t>
  </si>
  <si>
    <t>Wanna talk about manipulation? I’ll send you the response the court didn’t
want today. If you promise to share with your parents. You’ve kept them
away from this shit show.
On Tue, Jan 14, 2025 at 11</t>
  </si>
  <si>
    <t>Love ya Harper have a great day
On Tue, Jan 14, 2025 at 11:18 AM Emma Ryan &lt;em.ry@icloud.com&gt; wrote:
&gt; I didn’t lie Craig you you haven’t filed a response. Or showed the effort
&gt; you want to be in h</t>
  </si>
  <si>
    <t>Well let the system deal with me now.at least you’ll get something out of
it all, child support projections are fucking juicy for next 18 years. You
actually did something right
On Tue, Jan 14, 2025</t>
  </si>
  <si>
    <t>The time cor talking about what you want is over. Leave me be
Sent with Spark
On Jan 14, 2025 at 11:21 AM -0400, Emma Ryan &lt;em.ry@icloud.com&gt;, wrote:
&gt; Ty our the one that’s not sober lol
&gt; Sent from</t>
  </si>
  <si>
    <t>My plans haven’t changed though. Im still moving forward with my life, nothing changed today in my mind except your abuse claims made mom have to be involved. Sorry
Sent with Spark
On Jan 14, 2025 at</t>
  </si>
  <si>
    <t>Shall update you as needed. Please don’t email me anymore . Im going to block you on this as it’s not meant for this crap. Yoo can unblock me somewhere
Sent with Spark
On Jan 14, 2025 at 11:21 AM -04</t>
  </si>
  <si>
    <t>Emma I’d be with you tomorrow. Even after all your lies, I love you so much. I never once said mom, I wasn’t asked either… your time to speak was the truth on the 16th. And you should have agreed to w</t>
  </si>
  <si>
    <t>We don’t care what yoo want. The judge said that , I want Harper full time 100000% of the time. But that’s not an option bexause you fucked us all over. So blame yourself. I told you to not fuck with</t>
  </si>
  <si>
    <t>Wasn’t sobriety Emma jt was lieing abiut it.
On Tue, Jan 14, 2025 at 11:21 AM Emma Ryan &lt;em.ry@icloud.com&gt; wrote:
&gt; Sounds good, she already said so sure. But neither did you or your mother
&gt; lol. O</t>
  </si>
  <si>
    <t>Do not contact me anymore today. Or I’ll be filing this jn court. This is like living with you, dont get your way and away you ficking go with the swinging.
Sent with Spark
On Jan 14, 2025 at 11:42 A</t>
  </si>
  <si>
    <t>Hahahahahajajahahhahaahahah. Im good love , they’re Harper’s things, and,
you have held my shit in there for far too long to start making demands. Go
tend to my dauchter and stop the ficking bullshit</t>
  </si>
  <si>
    <t>She doesn’t want videos so I can post them :)
On Tue, Jan 14, 2025 at 11:52 AM K O &lt;placed.sj@gmail.com&gt; wrote:
&gt; Hahahahahajajahahhahaahahah. Im good love , they’re Harper’s things, and,
&gt; you have</t>
  </si>
  <si>
    <t>Oh good one Emma. Stop contacting me Now. Firefighter will be contacting your home when thats done and nursery be done shortly. Now stop you’re acting absolutely foolish.
Sent with Spark
On Jan 14, 2</t>
  </si>
  <si>
    <t>Emma’s I haven’t said a word to the courts. I don’t know what you’re pissed
off abiut. Your lies about abuse made her involve mom. I never wanted it.
Karma is getting you for your purple campaign and</t>
  </si>
  <si>
    <t>Call me back,when you’re ready to and I’ll tell you what I said to her, and
what my plan is.
On Tue, Jan 14, 2025 at 1:08 PM Emma Ryan &lt;em.ry@icloud.com&gt; wrote:
&gt; [image: image0.png]
&gt; Sent from my</t>
  </si>
  <si>
    <t>Dont email, just call me when you’re ready. You’re not alone here. I
promise you, I’ll carry us when I can, this isn’t a way to get you out of
Harper’s life it’s about getting us to be coexisting agai</t>
  </si>
  <si>
    <t>Block me again ajd I’ll end all conversation. Stop ffs
On Tue, Jan 14, 2025 at 1:32 PM K O &lt;placed.sj@gmail.com&gt; wrote:
&gt; Dont email, just call me when you’re ready. You’re not alone here. I
&gt; pro</t>
  </si>
  <si>
    <t>If you want mom to stay out of it for a while, absolutely no problem. But
wer gonna talk on the phone and discuss the options, as coparents
On Tue, Jan 14, 2025 at 1:44 PM K O &lt;placed.sj@gmail.com&gt;</t>
  </si>
  <si>
    <t>Seriously. I’ll stay standing, one more time. For us. But you gotta know I still have your back. I can’t be looking over my shoulder with you while focus on the road ahead with Harper.
Sent with Spar</t>
  </si>
  <si>
    <t>Hope your day is going g a little better Emma. Im gonna file this crap
quickly, get it the fuck oit of our way I think
On Tue, Jan 14, 2025 at 3:03 PM . &lt;placed.sj@gmail.com&gt; wrote:
&gt; Seriously. I’l</t>
  </si>
  <si>
    <t>Hey
Sent with Spark
On Jan 14, 2025 at 1:08 PM -0400, Emma Ryan &lt;em.ry@icloud.com&gt;, wrote:
&gt; &lt;image0.png&gt;
&gt; Sent from my iPhone
&gt;
&gt; &gt; On Jan 14, 2025, at 11:56 AM, Emma Ryan &lt;em.ry@icloud.com&gt; wrote:</t>
  </si>
  <si>
    <t>Emma the only thing that’s changed is you get to come see me and gram. Don’t worry please
Sent with Spark
On Jan 14, 2025 at 1:08 PM -0400, Emma Ryan &lt;em.ry@icloud.com&gt;, wrote:
&gt; &lt;image0.png&gt;
&gt; Sent</t>
  </si>
  <si>
    <t>Re: Harper.</t>
  </si>
  <si>
    <t>good morning
When is it?
On Wed, Jan 15, 2025 at 8:48 AM Emma Ryan &lt;em.ry@icloud.com&gt; wrote:
&gt;
&gt; Harper has her immunization coming up, I’m not sure if you would like to
&gt; come or what but just let</t>
  </si>
  <si>
    <t>Dales going to have to pick up Harper alone tomorrow…
On Sat, May 24, 2025 at 3:40 PM CRAIG S &lt;placed.sj@gmail.com&gt; wrote:
&gt; It would be great if you did. I’ll continue to give you formula it makes</t>
  </si>
  <si>
    <t>Fuck off emma it’s fuckjng 20 to 9. Of course you don’t feel comfortable
with Dale you woukd thibk of any excuse imaginable. So guess what, Im
filing tonight fuck you. Eat shit and Rot in hell, at lea</t>
  </si>
  <si>
    <t>You’ll regret yiur actions tje last couple weeks flr the rest of your life.
I am filing absolutely everything your fuckjng nasty ass has done. Giddy up
cunt
On Sat, May 24, 2025 at 8:41 PM CRAIG S &lt;p</t>
  </si>
  <si>
    <t>Youre a fuckjng piece of shit withholding mu dauchter from me bexause you
wanna label me an abuser. Piper ajd Harper are both ficking miserable wuth
you. No more fuckubg emails or anything.I never wan</t>
  </si>
  <si>
    <t>lol after this email tonight we will be in court on Monday you fuckjng
retard. Do you not know how bad you fucked yp smoking meth around my kid
On Sat, May 24, 2025 at 8:56 PM Emma Ryan &lt;em.ry@icloud</t>
  </si>
  <si>
    <t>My phone hasn’t rang once you fuckng. Idiot
On Sat, May 24, 2025 at 9:00 PM Emma Ryan &lt;em.ry@icloud.com&gt; wrote:
&gt; No more emails means you don’t have a way to communicate other than
&gt; calling me so</t>
  </si>
  <si>
    <t>Answer yiur ficking phone Emma fucking idiot j called 50 times in two days
fuck you
On Sat, May 24, 2025 at 9:00 PM CRAIG S &lt;placed.sj@gmail.com&gt; wrote:
&gt; My phone hasn’t rang once you fuckng. Idiot</t>
  </si>
  <si>
    <t>Bexause youre not letting me see my daughte fuck face. Get it through your
fuckjng head. Ohhhhhhhhhh boy I can’t wait for this to end up on Facebook
somehow too. What a great picture. Bahahahahahahaha</t>
  </si>
  <si>
    <t>Oh reallt? Mu court papers say I don’t yoj fuck face
On Sat, May 24, 2025 at 9:08 PM CRAIG S &lt;placed.sj@gmail.com&gt; wrote:
&gt; Bexause youre not letting me see my daughte fuck face. Get it through your</t>
  </si>
  <si>
    <t>This is abiut Harper’s best interest. And it’s not YOU
On Sat, May 24, 2025 at 9:09 PM CRAIG S &lt;placed.sj@gmail.com&gt; wrote:
&gt; Oh reallt? Mu court papers say I don’t yoj fuck face
&gt;
&gt; On Sat, May 24,</t>
  </si>
  <si>
    <t>Ask AI whats going to happen. Get some sleep kid your whole world is about
to fucking shake
On Sat, May 24, 2025 at 9:09 PM CRAIG S &lt;placed.sj@gmail.com&gt; wrote:
&gt; This is abiut Harper’s best interes</t>
  </si>
  <si>
    <t>You can all read the truth together cause everyone of you gets served.
Gonna be awkward when ya realize youre all lieing to each other. Anyway
fuck off fuck you, thats to all of your personalities by</t>
  </si>
  <si>
    <t>Gram cant be left alone yoh fucking stupid fuckjng prick selfish fuckjng
idiot
On Sat, May 24, 2025 at 10:49 PM Emma Ryan &lt;em.ry@icloud.com&gt; wrote:
&gt; Neither has my phone eh. Talk about control here</t>
  </si>
  <si>
    <t>Only thing you quit …was on your family cunt
On Sat, May 24, 2025 at 10:50 PM CRAIG S &lt;placed.sj@gmail.com&gt; wrote:
&gt; Gram cant be left alone yoh fucking stupid fuckjng prick selfish fuckjng
&gt; idiot</t>
  </si>
  <si>
    <t>Whats done is done. We shall live with the consequences of our actions.
Just deciding whether to take custody of her or let yoh just have strict
supervision to get you fucking sober finally. Fuck you</t>
  </si>
  <si>
    <t>Try offering up a fuckjng drive for once yoh fuckjng useless fucks.
6’montjs of this bullshit. Poor fuckjng kid born into a family like yours.
Pathetic excuse for humans
On Sat, May 24, 2025 at 10:53</t>
  </si>
  <si>
    <t>Weird thing js, why is your dad so pissed off? Is it only he who is allowed
to smack around woman jn his family?
On Sat, May 24, 2025 at 10:55 PM CRAIG S &lt;placed.sj@gmail.com&gt; wrote:
&gt; Try offering</t>
  </si>
  <si>
    <t>Im posting these right on Facebook, make sure your make belief bullshit
world disappears
On Sat, May 24, 2025 at 10:56 PM CRAIG S &lt;placed.sj@gmail.com&gt; wrote:
&gt; Weird thing js, why is your dad so pi</t>
  </si>
  <si>
    <t>Thanks Emma! Maybe I’ll just carry geam into the car at 7AM to go get her
with us huh? Hahahahahaha .. Shane’s jn the hospital, I mean but who
fucking cares it’s the emma show, let’s see how many thin</t>
  </si>
  <si>
    <t>How do you expect me to contact you exactly? Nothing that you are doing
right now is OK in any shape or form. I want to see and know how my
daughter is, this isnt about you. Call me or I call the RCMP</t>
  </si>
  <si>
    <t>You wanna give me a call before 10? Probably should…
On Sun, May 25, 2025 at 1:28 PM CRAIG S &lt;placed.sj@gmail.com&gt; wrote:
&gt; How do you expect me to contact you exactly? Nothing that you are doing
&gt;</t>
  </si>
  <si>
    <t>Why exactly?
On Sat, Jun 7, 2025 at 8:25 AM Emma Ryan &lt;em.ry@icloud.com&gt; wrote:
&gt; Yes, it’s so weird that you don’t get anything that I said how ironic and
&gt; I’m not going on Google meet I asked you</t>
  </si>
  <si>
    <t>By 1:00? Lol did your buddy tell yoh abojt tje video she watched yet
On Sat, Jun 7, 2025 at 10:36 AM CRAIG S &lt;placed.sj@gmail.com&gt; wrote:
&gt; Why exactly?
&gt;
&gt; On Sat, Jun 7, 2025 at 8:25 AM Emma Ryan &lt;</t>
  </si>
  <si>
    <t>Why Skype or zoom? Why??????????
On Sat, Jun 7, 2025 at 10:37 AM CRAIG S &lt;placed.sj@gmail.com&gt; wrote:
&gt; By 1:00? Lol did your buddy tell yoh abojt tje video she watched yet
&gt;
&gt; On Sat, Jun 7, 2025 at</t>
  </si>
  <si>
    <t>You can’t be trusted to hold onto your things. To remember where you leave
sfuff, how to log into your banking or securely store passwords. I am not
contacting you on ANOTHER platform so you can share</t>
  </si>
  <si>
    <t>See the difference between your 5 days and mine? Stop the games man I’ll
gladly be charged for sharing all the videos of you smoking meth Itll be
worth every second
On Sat, Jun 7, 2025 at 10:46 AM CR</t>
  </si>
  <si>
    <t>On Sat, Jun 7, 2025 at 10:53 AM CRAIG S &lt;placed.sj@gmail.com&gt; wrote:
&gt; See the difference between your 5 days and mine? Stop the games man I’ll
&gt; gladly be charged for sharing all the videos of you s</t>
  </si>
  <si>
    <t>Weird. Enjoy
On Sat, Jun 7, 2025 at 11:45 AM Emma Ryan &lt;em.ry@icloud.com&gt; wrote:
&gt; And again those are lies because I didn’t start until I met you and I
&gt; didn’t wreck the place you did and you beat</t>
  </si>
  <si>
    <t>No one knows the steps i need to take in order to see Harper thats the
fuckjng issue woman. Stop referring to her as “your kid” I know Shes a
burden on you but have a little decency. I secured a full</t>
  </si>
  <si>
    <t>Didnt start til you met me huh? Bahaha you change phone numbers like it’s
your meth dealer, but I still have two years worth of text lolololol in
fact it was Ali that said I was the only one who got y</t>
  </si>
  <si>
    <t>Youre on welfare dads on unemployment ffs dont worry about me I promise
I’ll be just fine when I drop your $300 a week sucking on things bill
On Sat, Jun 7, 2025 at 12:32 PM CRAIG S &lt;placed.sj@gmail.</t>
  </si>
  <si>
    <t>On Sat, Jun 7, 2025 at 12:34 PM CRAIG S &lt;placed.sj@gmail.com&gt; wrote:
&gt; Youre on welfare dads on unemployment ffs dont worry about me I promise
&gt; I’ll be just fine when I drop your $300 a week sucking</t>
  </si>
  <si>
    <t>Re: Updated invitation: Harp and her whatever I am to her mother
 daily check-in t... @ Daily from 8:30am to 9am (ADT) (em.ry@icloud.com)</t>
  </si>
  <si>
    <t>youll have to communicate with a phone call or text only. or through courts
its up to you but this way of communicating doesnt work whatsoever. please
send me exact requirements and instructions on wh</t>
  </si>
  <si>
    <t>sorry for the hostility i miss her so god damn much
On Tue, Jun 10, 2025 at 2:36 PM CRAIG S &lt;placed.sj@gmail.com&gt; wrote:
&gt; youll have to communicate with a phone call or text only. or through
&gt; cour</t>
  </si>
  <si>
    <t>what is a good time for you folks this morning?
On Wed, Jun 11, 2025 at 2:55 PM Emma Ryan &lt;em.ry@icloud.com&gt; wrote:
&gt; There is no game Craig you should know what your seven month old daughter
&gt; need</t>
  </si>
  <si>
    <t>youre not telling em what i have to do to pick up my god damn daughter, you
cant committ to one video call a day... you literally sit there and do
absolutely nothing to better your life, i cant fathom</t>
  </si>
  <si>
    <t>thanks again emma, youre ona fucking roll, christmas, new years, my
birthday, and now fathers day. its personal now you aint seen a pissed off
craig before, only in your fairytale affidavits haha gid</t>
  </si>
  <si>
    <t>worse part is you cant even tell me what else i have to do to be in her
life, its mind boggling that anyone thought you were fit to have a kid for
fuck sake. theres a train coming emma, and its not th</t>
  </si>
  <si>
    <t>guess all i can say is that ij am truly sorry that i somehow hurt you
enough that you could hurt me this god damn bad, and how much of a sick
individual you must be to have sex with me one week and th</t>
  </si>
  <si>
    <t>hey idiot, what are the rules to the fucking game!!????? why cant i pick up
my daughter, i dont care about your bullshit stories youre writing, cause
the second your finger hits the phone its a lie, i</t>
  </si>
  <si>
    <t>what the fuck are you talking about? i have a job, a car, a banka ccount, a
savings account for harper, im thriving, thanks for asking how im doing
though, you fucking moron, you have nevr asked that</t>
  </si>
  <si>
    <t>maybe our updated court orders ? idunno wtf you want man fuck off
On Sun, Jun 15, 2025 at 7:35 AM CRAIG S &lt;placed.sj@gmail.com&gt; wrote:
&gt; i have no idea what photos hyou want me to send to matt emma,</t>
  </si>
  <si>
    <t>yeah for the first tieme maybe, im on my way. go ahead and refuse, we will
see how that goes in court in the morning. tirred of your games no i dont
want a fucking video emma i am tired of you keeping</t>
  </si>
  <si>
    <t>emma i know numbers arent your thing, but your welfare doesnt even cover
the 4 things you smoke for fuck sake, let alone anything for the baby fuck
off
On Sun, Jun 15, 2025 at 9:26 AM CRAIG S &lt;placed</t>
  </si>
  <si>
    <t>harper's 6 month needles</t>
  </si>
  <si>
    <t>Hi Emma,
I am writing regarding Harper's 6-month appointment this afternoon for her
needles.
As Harper's father, I wish to be present to support her during this
important appointment, on Thursday yo</t>
  </si>
  <si>
    <t>if you want to drive together, we can figure that out i just like the time
with harper as you know..</t>
  </si>
  <si>
    <t>Harper's well being</t>
  </si>
  <si>
    <t>Hello,
It's been 5 days since I saw my daughter alive and well. 2 weeks since I
have seen her in person. i have been waiting for you to send the RCMP to
come and see me but it seems as though that is</t>
  </si>
  <si>
    <t>1.
*Sole Custody and Sole Decision-Making Responsibility:* That the
Respondent, CRAIG SCHULZ, be granted *sole custody and sole
decision-making responsibility* for HARPER RYAN. This is ne</t>
  </si>
  <si>
    <t>emma you wont let me be a dad. you are a literal retard, wont let me pick
her up or video with her and then say i dont want to be a dad lol lol lol
lol lol iq of a squirrel
On Wed, Jun 18, 2025 at 10</t>
  </si>
  <si>
    <t>and it wont be pissing in a cup my love, promise
On Wed, Jun 18, 2025 at 10:55 AM CRAIG S &lt;placed.sj@gmail.com&gt; wrote:
&gt; emma you wont let me be a dad. you are a literal retard, wont let me pick
&gt; h</t>
  </si>
  <si>
    <t>please pay your drug debt i am tired of my phone ringing over it
On Wed, Jun 18, 2025 at 10:53 AM Emma Ryan &lt;em.ry@icloud.com&gt; wrote:
&gt; I told you I’ll piss every day if I have to lol do you not rem</t>
  </si>
  <si>
    <t>stop talking to me i dont care about you. you denied facetime againt his
morning so my contact with you is done until you waste my time again
tomorrow. and speak to the rcmp again tomorrow. enjoy your</t>
  </si>
  <si>
    <t>weird cause you texted me that your dad beat the shit out of you after he
scolded harper a year ago. weird man you gotta stop texting all this stuff
its gonna hurt in court. i told you, bring me harpe</t>
  </si>
  <si>
    <t>ahaha there it is, which house hold. yeah cause you know in a you vs me
scenario the judge will laugh at you cause youre not fit to raise a house
plant let alone my daughter
&gt;</t>
  </si>
  <si>
    <t>the ryans cant spell sobriety let alone attempt it. drinking and driving?
theres a year derby for that in your backyard ffs, leave me alone emma
please i dont give a fuck about you whatsoever, try not</t>
  </si>
  <si>
    <t>i record every morning of me sitting there waiting for you to answer, then
ignoring my phone calls. we have joint custody emma, please stop using ali
as council and consult with a fucking adult. you a</t>
  </si>
  <si>
    <t>i want to know the god damn hoops i have to jump through to see my
daughter! right fucking now
On Wed, Jun 18, 2025 at 11:31 AM CRAIG S &lt;placed.sj@gmail.com&gt; wrote:
&gt; i record every morning of me si</t>
  </si>
  <si>
    <t>list of demands</t>
  </si>
  <si>
    <t>I WANT EVERY THING LISTED, AND ONLY YOUR DEMANDS LISTED, IN THIS EMAIL
CHAIN, NOTHING ELSE. TELL ME WHAT WHEN HOW WHERE WHY I HAVE TO DO TO PICK
UP HARPER ON SUNDAY MORNING. IN DETAIL BECAUSE YOUR GAM</t>
  </si>
  <si>
    <t>so no list?
On Wed, Jun 18, 2025 at 12:11 PM Emma Ryan &lt;em.ry@icloud.com&gt; wrote:
&gt; I sent you a list Craig multiple times on multiple different places but
&gt; let me guess you didn’t get them. You had</t>
  </si>
  <si>
    <t>you make the demands i need to know the demands
On Wed, Jun 18, 2025 at 12:17 PM Emma Ryan &lt;em.ry@icloud.com&gt; wrote:
&gt; Not to mention again, I thought you sent them two weeks ago, which was yet
&gt; an</t>
  </si>
  <si>
    <t>over and over and over with your same bullshit but no list of demands huh
On Wed, Jun 18, 2025 at 11:57 AM Emma Ryan &lt;em.ry@icloud.com&gt; wrote:
&gt; You did this not me I’m the one that’s clean. I’m the</t>
  </si>
  <si>
    <t>last chance, are you sending me a listr of things to take pictures of? its
not a listr of things to buy fuck face you know i alreqdy have everfything
to care for her its a matter of what the fuck you</t>
  </si>
  <si>
    <t>SEND ME A FUCKING LIST
On Wed, Jun 18, 2025 at 12:11 PM Emma Ryan &lt;em.ry@icloud.com&gt; wrote:
&gt; I’m not the one that’s played games. I not once had played games because
&gt; this is our daughter’s life a</t>
  </si>
  <si>
    <t>Hows harper?</t>
  </si>
  <si>
    <t>Hows harper? I have been waiting in the video room like always, all good
though. RCMP can be my eyes, thanks again Emma great co parenting as
always, thanks for the list too, the one youve sent 10000x</t>
  </si>
  <si>
    <t>about what the path is to being in my daughter's life, if the only way is
to get a judge to force you, then fine. But if I file against you when I am
mad and disrespected and hurt and grieving like I</t>
  </si>
  <si>
    <t>i told you, that i would have a look around and see if any of your things
were here when you let me see my daughter. not sure how that's an unfair
request, it is a very clear straight forward request</t>
  </si>
  <si>
    <t>is there a good time to see the baby and give you whatever is in the bag of
your stuff to you
On Tue, Jun 24, 2025 at 1:23 PM Emma Ryan &lt;em.ry@icloud.com&gt; wrote:
&gt; I’ll take a look at this later. Wh</t>
  </si>
  <si>
    <t>if you have sent me the list why dont you send it to me so i can see it? i
am not reading anything else, youre right she isnt a pawn, its almost been
a month emma.. ive been so sick pondering what to</t>
  </si>
  <si>
    <t>how long have you been sober? once i file theyre going to charge you. but
you decided to keep my daughter from me and not tell the truth about your
substance use so here we are. bring me my daughter,</t>
  </si>
  <si>
    <t>i dont know how i am supposed to navigate this, still the same question i
asked your brother in december. its hurt you with honesty or walk away,
thats literally my only two choices. id like to see ha</t>
  </si>
  <si>
    <t>&gt;
&gt; i am going to attach a parenting agreement, do not expect you to accept it
&gt; (i havent filed anything yet as they told me to change direction given the
&gt; current cirucmstances) i promised you you</t>
  </si>
  <si>
    <t>it truly is remarkable that you think any of this is ok..... you have me
handcuffed because of my financials going into your account, but i hope to
heck you have representation on this, because withho</t>
  </si>
  <si>
    <t>if you think that's nasty you better buckle up.
On Thu, Jun 26, 2025 at 8:13 AM Emma Ryan &lt;em.ry@icloud.com&gt; wrote:
&gt; lol. Okay. Stop. You’re right it’s hard to believe anyone could take a
&gt; child a</t>
  </si>
  <si>
    <t>i was talking to harper, mind your business would ya, this isn't about you
anymore please just stop making her suffer for your own insecurities and
image. fuck man times up emma time to be an adult i</t>
  </si>
  <si>
    <t>let me talk to my daughter emma youre delusional what do ypou thjink will
happen
On Thu, Jun 26, 2025 at 8:51 AM Emma Ryan &lt;em.ry@icloud.com&gt; wrote:
&gt; LOL shows what your priorities are. Please stop</t>
  </si>
  <si>
    <t>emma, i want to see my baby how the hell can you think its ok? i want zero
contact with you yes, but unfortunatley you have ym fucking daughter bud ,
fuck, you know youy have harper right? ahhh makes</t>
  </si>
  <si>
    <t>this is the last place i had to block you. dont bother pretending you tried
to let me see my daughter aftrer 9:41AM on Thursdayh June 26th, 2025.
Remember this day Emma, and please start putting harpe</t>
  </si>
  <si>
    <t>emma you are a fucking retard. you know that i can provide for my daughter,
your welfare doesnt even cover the things you fucking smoke everyday let
alone caring for her, fuck off somewhere you are tr</t>
  </si>
  <si>
    <t>yesterday gram said she doesn't think youre gonna let me have the
baby again before she dies. What are we doing this for? not for harper that
is for fuck sure, cause harper deserves better. if it was</t>
  </si>
  <si>
    <t>sunday court ordered parenting time</t>
  </si>
  <si>
    <t>i literally want to spend every second of everyday nwith my daughter, and
you want to go out and get the brains fucked out of you, but instead you
just punish me and harper because she was getting too</t>
  </si>
  <si>
    <t>again you are deflecting. you know i have the things to care for her, what
i dont know is her routine or what she is eating or anything this is
literally your first contact in weeks. your phone was cu</t>
  </si>
  <si>
    <t>i have sent you endless emails. i cannot wait for you to read my filing.
all i want is to see my daughter, literally once a week like a dead beat dad
[image: image.png]
just like your bullshit clai</t>
  </si>
  <si>
    <t>i hate everything about you. i shouldnt have to communicate with you to see
my daughter. and soon i wont have to, shame you chose this way. good bye
On Fri, Jul 4, 2025 at 2:40 PM Emma Ryan &lt;em.ry@ic</t>
  </si>
  <si>
    <t>ill share it with you shortly, youre gonna wanna show this one to some
friends and family i bet, monia gets it i already sent it to her. its just
been a technicaliy while i straighten out my taxes sin</t>
  </si>
  <si>
    <t>sorry for the late email, just wanted to show you what i have been working
on. i hope you'll try it out and give me some feedback one day, i don't
expect you to n im sorry if you used the other one, i</t>
  </si>
  <si>
    <t>this email is the biggeest lying crock of shitj i have ever read in my
life. i just want that to be in the record for my filing on monday, it has
as many lies as your god damn affidavit does. what the</t>
  </si>
  <si>
    <t>i am sorry that your emotional wellbeing has taken a beating from being
"harassed" while you play gatekeeper with my daughter and cut her out of my
life completely.
jesus woman must be difficult to d</t>
  </si>
  <si>
    <t>Re: URGENT: Denial of Court-Ordered Pickup for Harper - Sunday, July
 13, 2025</t>
  </si>
  <si>
    <t>the court order is attached emma, i dont want to conversate about whatever
it is you are saying in this email, i have asked numerous times for a list
even though nothing was added to your make belief</t>
  </si>
  <si>
    <t>Joint custody</t>
  </si>
  <si>
    <t>When is Harper's next scheduled doctors appointment?
Any updates at all for me regarding her, or just she's great is what I'll
mark down as per usual? Any concerns yet regarding her development based</t>
  </si>
  <si>
    <t>emma, i wish you the best.</t>
  </si>
  <si>
    <t>please try not to kill my daughter while we go through this process. ffs.
bye
&gt;</t>
  </si>
  <si>
    <t>Harper's Care</t>
  </si>
  <si>
    <t>they wondered what you held over my head.dale mentioned it a few times and
said she's got something on you why won't you file... i think you knew
that i couldn't say that harper should be in this hou</t>
  </si>
  <si>
    <t>harpers check-in. can you please start sending me updates about my daughter
man this is insane that i have to always ask for this basic shit. please
stop doing the things youre doing, idont need to h</t>
  </si>
  <si>
    <t>i hate you</t>
  </si>
  <si>
    <t>wanted to wish you the worse weekend imaginable, you have earned it.
thought i'd share what something that knows the whole entire truth thinks
of the situation upcoming. fuck you emma i truly hope you</t>
  </si>
  <si>
    <t>curious as to what youve done since december that is in harpers best
interest?
On Sat, Jul 26, 2025 at 5:53 PM CRAIG S &lt;placed.sj@gmail.com&gt; wrote:
&gt; i know its how you see sobriety, you'll mature e</t>
  </si>
  <si>
    <t>harper</t>
  </si>
  <si>
    <t>Emma,
I am writing to get an update on Harper and to arrange a FaceTime call. As
her father, I need to know she is safe and well. Please provide an update
on her well-being and let me know when you a</t>
  </si>
  <si>
    <t>Follow up on our conversation</t>
  </si>
  <si>
    <t>Following up on our conversation tonight, I'm writing to confirm that I
am still waiting on your replies. Per our discussion, I am expecting the
emails you mentioned you would be resending. Please f</t>
  </si>
  <si>
    <t>I appreciate you replying to my email at 1:56AM Emma, although I am
extremely disappointed in the execution of the plan, it's hard to do when
you're stoned out of your tree caring for two infants. Tha</t>
  </si>
  <si>
    <t>And to answer your question, no I do not want you to be anywhere near water
with my daughter unless you are sober. So no. Just smoke the stuff outside,
but leave Harper in the house at all times until</t>
  </si>
  <si>
    <t>HARPER</t>
  </si>
  <si>
    <t>It's shameful I have to ask this in the first place, worse I even have to
ask for the 198th time, what do I need to pick up for Harper. What sizes is
she in? Want me to guess? Food wise, how about how</t>
  </si>
  <si>
    <t>lol sweetheart i am sent the messages when you ask for it. i have the
things to care for her, you dont update me, and i shouldnt have to call
your house phone 100 times to get anupdate on my daughter</t>
  </si>
  <si>
    <t>stop smoking meth in the basement, your moms been sick since december
because of the ventilation ffs smoke it under the deck moron
On Sat, Aug 2, 2025 at 3:21 PM Emma Ryan &lt;em.ry@icloud.com&gt; wrote:</t>
  </si>
  <si>
    <t>the bare minimum huh? lol good one. try sending over your demands fucking
moron. you dont know what size clothes harper is in, you cant tell me what
to pick up, ill call every half hour, fuck you and</t>
  </si>
  <si>
    <t>i eamiled you friday morning fuck head. my hands are tied cunt, not getting
involved anymore. good luck
On Sat, Aug 2, 2025 at 10:44 PM CRAIG S &lt;placed.sj@gmail.com&gt; wrote:
&gt; the bare minimum huh? l</t>
  </si>
  <si>
    <t>i guess we will just call every hour until you can tell the truth
&gt;</t>
  </si>
  <si>
    <t>i was giving you until the end of the month to try one more time to get
your shit together. but im tired of it, you will suffer the pain you caused
harper, me and my family. youll feel it for years, i</t>
  </si>
  <si>
    <t>What are my priorities supposed to be Emma? What are the steps that I have
to take to see my daughter? Because you're still in the same environment,
around the same people, smoking the exact same stuf</t>
  </si>
  <si>
    <t>how does one coparent in your world? you are such an idiot Emma, I'll be
sure to add your intoxicated care of Wyatt to my filing.
On Sun, Aug 3, 2025 at 7:37 AM Emma Ryan &lt;em.ry@icloud.com&gt; wrote:
&gt;</t>
  </si>
  <si>
    <t>child services has been notified. good luck faking the hair follicle tests
incoming fuck face
On Sun, Aug 3, 2025 at 11:25 AM CRAIG S &lt;placed.sj@gmail.com&gt; wrote:
&gt; how does one coparent in your wor</t>
  </si>
  <si>
    <t>cant wait to see what safety conerns you have with me. lol lol lol lol
On Sun, Aug 3, 2025 at 2:27 PM CRAIG S &lt;placed.sj@gmail.com&gt; wrote:
&gt; child services has been notified. good luck faking the ha</t>
  </si>
  <si>
    <t>Harper's Best Interest</t>
  </si>
  <si>
    <t>Emma,
This email serves as a final notice. As per our court-ordered parenting
schedule, I will be at your home on Sunday at 8:00 AM to pick up Harper. I
expect you to be there to facilitate this exch</t>
  </si>
  <si>
    <t>harper's best interest</t>
  </si>
  <si>
    <t>so i left my dieing grandmother, and luna, to better my life for harper. i
attend recovery meetings every week, and twice this week in one day i made
more then "my meal ticket" pays you. yet i get no</t>
  </si>
  <si>
    <t>court ordered time</t>
  </si>
  <si>
    <t>you're something special, what are your list of demands? ive bought all
this stuff 50 times already, grow up man and send me a list. or reply to
the one i sent you maybe. you decide what emails you pr</t>
  </si>
  <si>
    <t>Emi, please for the love of god come up with actual list of things for me
to do to see my fucking baby. i have done absolutely everything anyone
could ever ask me to the last 6 months. literally. ple</t>
  </si>
  <si>
    <t>what time would you like me to facetime her? lol
On Tue, Aug 12, 2025 at 8:19 AM Emma Ryan &lt;em.ry@icloud.com&gt; wrote:
&gt; Craig, you can have an update everyday. But it’s never good enough &amp; you
&gt;</t>
  </si>
  <si>
    <t>you replied to my email a week later, how on earth is this updating me on
my daughter everyday? this is just like youve been telling me for months
for 6 months last year but cant tell me what youre ta</t>
  </si>
  <si>
    <t>and fyi, i ask you everytime i talk to you if you need anything, and i sent
you more then one tub of formula, but this shit is completely irrelevant,
notice the eye rolls youre getting from the people</t>
  </si>
  <si>
    <t>Re: please</t>
  </si>
  <si>
    <t>i just went to try to turn notifications on for you on the laptop and found
a few emails unread buried somewhere. some pretty important ones you sent,
im sure theres more in other emails, ah well. tha</t>
  </si>
  <si>
    <t>https://g.co/gemini/share/040623aad155
little read for harper. im sorry for emailing so much, the heat of the last
3 days, the conversation last night at church and just the stress of all of
this is</t>
  </si>
  <si>
    <t>shutting it down for a while. please just text me or call me or just
facetime austin if i can facetime her its inhumane what we are doing to my
body, mind and soul while taking every step imaginable f</t>
  </si>
  <si>
    <t>5 days</t>
  </si>
  <si>
    <t>It's been 5 days since you last told me anything about Harper other than
she is sleeping. 5 actual days of no updates. Tomorrow you get paid so you
should have 24 hours in your day again at least. The</t>
  </si>
  <si>
    <t>co parenting is letting me talk and see my daughter emma. or at least
explaining the impossible hoops involved. thanks for doing this to gram
harpers best interest
On Tue, Aug 19, 2025 at 12:36 PM E</t>
  </si>
  <si>
    <t>[image: image.png][image: image.png]
not sharing the screenshot where we talk about you faking a call log for
him. I sent them to duguay though, because that's in my court filing you
ain't reading sh</t>
  </si>
  <si>
    <t>Atta girl. keep up the great work. keep running your mouth too, like i
said, the people who matter... do not care about your bullshit, funny thing
is, austin threatened you, and my baby so i'll be dea</t>
  </si>
  <si>
    <t>Notice regarding devices, SIMs, and records</t>
  </si>
  <si>
    <t>Emma,
&gt;From the missing phones to the stolen SIM cards and the timing of the phone
shattering, I’m putting this on the record: any access to my devices, SIMs,
accounts, or backups (including iCloud/A</t>
  </si>
  <si>
    <t>Regarding your filing - FDSJ 739-24</t>
  </si>
  <si>
    <t>Hi Emma,
I made you a promise back in December that I would inform you before I
filed my reply to your affidavit. I have kept that promise.
I am writing to let you know that I will be filing my affi</t>
  </si>
  <si>
    <t>hey</t>
  </si>
  <si>
    <t>the pattern has become pretty clear, the motive, the plan i guess.. just
answer me this emma, did you pick me to do this to... or was i just the one
who was unfortunate enough to be the target of the</t>
  </si>
  <si>
    <t>why not</t>
  </si>
  <si>
    <t>why not send stuff like this as i come across it eh? lol cute, anyway,
protect that little girl Emma, protect that sweet sweet angel. the damage
you guys have done to me, that can't be undone, but I w</t>
  </si>
  <si>
    <t>AND</t>
  </si>
  <si>
    <t>And Emma, nobody has read my court filing love, my affidavit, watched
anything, as I said, these people hate your guts and are lying to you, so
just please stop the bullshit you are going to get every</t>
  </si>
  <si>
    <t>she has never been unsafe in my care before emma, ill see you in the
morning like i said, i need details, feeding details sleeping details, its
been 3 months since you provided any of this. you can ha</t>
  </si>
  <si>
    <t>&gt;
&gt;
&gt;&gt; emma can you please provide some updates on her sleeping and feeding
&gt;&gt; schedule, as well as maybe a list to make her routine seamless. lets do
&gt;&gt; this one day for old times sake. please, this</t>
  </si>
  <si>
    <t>and wait a second, i rang the doorbell, asked to see harper, was told she
wasnt home said ill wait here if thats ok and your mom said go ahead. if
you feel unsafe in your home after what i have done t</t>
  </si>
  <si>
    <t>ill see you at 8am. you do not get to play this game for a 13th saturday in
a row. harper's care was just perfect with me until june 4th, we both know
what happened june 4th Emma. I didn't ask you to</t>
  </si>
  <si>
    <t>i am so disappointed, i am speechless. you are destroying your daughters
current stability with her father, and her future with her mother. anyway i
can't do this with you anymore please stop contacti</t>
  </si>
  <si>
    <t>everyone is you emma. i am done fighting with you. how the hell do you
expect someone to have joint custody with you and not come on your property
is beyond me. but again, not doing this, i am not a d</t>
  </si>
  <si>
    <t>yeah you're welcome for having a conversation in my driveway with a cop for
our daughter Emma. you can even somehow try to spin that around eh you are
the absolute worse human being to ever walk this</t>
  </si>
  <si>
    <t>WHAT VIDEOS? I love how you sneak stupid stuff like this into an email
without any context or proof whatsoever. lol. show me one instance I
neglected our daughter please for fuck sake share ONE instan</t>
  </si>
  <si>
    <t>you told me i can't have harper at 8am for court ordered pick up last night
emma, our full email threads get shared with people who are neutral and
it'll be relayed to the proper people in the proper</t>
  </si>
  <si>
    <t>you filed the papers emma. do not contact me please
This message, including any attachments, is intended for the sole use of
the designated recipient(s) and may contain confidential and privileged
in</t>
  </si>
  <si>
    <t>emma i dont go on my own stuff let alone yours. see a doctor
This message, including any attachments, is intended for the sole use of
the designated recipient(s) and may contain confidential and priv</t>
  </si>
  <si>
    <t>can i facetime today? thats not what your dad said but again irrelevant
This message, including any attachments, is intended for the sole use of
the designated recipient(s) and may contain confidenti</t>
  </si>
  <si>
    <t>also, I have ONE question, that I would love to ask you personally instead
of asking it in court. not sure if I'll believe the answer you give me
anyway, but if you want to hear it, let me know. it wo</t>
  </si>
  <si>
    <t>nice reply to email that makes no sense whatsoever. i wish i picked an
adult to have a child with. picked the wrong last name for that though
clearly. an adult can speak on the phone, i suppose they c</t>
  </si>
  <si>
    <t>see you in court really soon.
[image: image.png]
[image: image.png]
[image: image.png]
[image: image.png]
[image: image.png]
[image: image.png]
I can't wait until you guys have to put your hand on a</t>
  </si>
  <si>
    <t>The days of you destroying Harper are over. You are the most selfish person
I have ever met. This all started on March 6th 2024 and continues today.
Lying and stealing - people hate those people the m</t>
  </si>
  <si>
    <t>this is not a debate for me and you emma, this is about the safety of
harper. leave me the fuck alone
This message, including any attachments, is intended for the sole use of
the designated recipient</t>
  </si>
  <si>
    <t>we have been waiting for you to use the monster words. but i will be very
clear, there is only one thing left on that list for a psycho to do and if
you harm my fucking daughter I swear to god that th</t>
  </si>
  <si>
    <t>you'll know very soon who them are that I am referring to. now good bye
This message, including any attachments, is intended for the sole use of
the designated recipient(s) and may contain confidenti</t>
  </si>
  <si>
    <t>emma please stop, you have harper so i used to contact you for that reason.
you contacting me is just harassment i will add more charges to the file
This message, including any attachments, is intend</t>
  </si>
  <si>
    <t>i am not sure who you are replying to emma, just please take this
conversation to that person. i dont talk to your family, but i sure would
love for them to send me an email so we could have a nice ho</t>
  </si>
  <si>
    <t>I am sorry Harper, I know I promised I would be there for you. I can't
imagine how you feel like I abandoned you. I promise it wasn't because I
don't want you in my arms 24/7 sweetie. Our relationship</t>
  </si>
  <si>
    <t>hey!</t>
  </si>
  <si>
    <t>not gonna bother asking, I am sure you have killed her by now, at least 
smoked enough drugs around her that she wont remember me and she certainly 
will need some time to get any personality back I a</t>
  </si>
  <si>
    <t>how was Harper's week?
This message, including any attachments, is intended for the sole use of
the designated recipient(s) and may contain confidential and privileged
information. Any unauthorized r</t>
  </si>
  <si>
    <t/>
  </si>
  <si>
    <t>Emma Ryan &lt;em.ry@icloud.com&gt;, 
	"Gallant, Jacqueline (SD-DS)" &lt;Jacqueline.Gallant@gnb.ca&gt;</t>
  </si>
  <si>
    <t>HARPERS BEST INTERESTE</t>
  </si>
  <si>
    <t>Emma,
I will no longer allow myself to be drawn into endless back‑and‑forths,
tactics, and allegations that only delay and distract from the real issue —
Harper’s best interests.
Your repeated denia</t>
  </si>
  <si>
    <t>Emma Ryan &lt;em.ry@icloud.com&gt;, Emma Ryan &lt;emma.ryan1995@outlook.com&gt;</t>
  </si>
  <si>
    <t>Everything will be served and shared with anyone who is in Harpers day to
day life FYI. In that house and mine.
Until recently, Emma and I were spending nearly every day together with
Harper. We wer</t>
  </si>
  <si>
    <t>---------- Forwarded message ---------
From: *craig* &lt;craiglunaharper@gmail.com&gt;
Date: Fri, Jun 6, 2025 at 2:26 PM
Subject: Chasing you around again
To: Emma Ryan &lt;em.ry@icloud.com&gt;, BLOCKED &lt;emma.rya</t>
  </si>
  <si>
    <t>CRAIG S &lt;lunacraigcep@gmail.com&gt;</t>
  </si>
  <si>
    <t>im going to just start posting stuff on my wall on facebook so that i
 know someone reads it, if it was abiout harper you wouldnt block me
 everywhere, thats about control and not about our daughter</t>
  </si>
  <si>
    <t>attempt to reach Harper</t>
  </si>
  <si>
    <t>checking in on her well being, we have joint custody in case you didn't
know. it is send an e-mail or talk to the rcmp, your call. thanks emma
appreciate your timely response as to why you are withhol</t>
  </si>
  <si>
    <t>Good morning</t>
  </si>
  <si>
    <t>Hi Emma,
Hope you're having a good morning.
Just wanted to send some love to Harper. Please tell her I said good
morning and I'm thinking of her. I'm looking forward to our next time
together.
Hope</t>
  </si>
  <si>
    <t>Subject: Confirmation of Court-Ordered Parenting Time - Harper -
 Sunday, June 29, 2025</t>
  </si>
  <si>
    <t>Emma,
This email is to confirm arrangements for my court-ordered parenting time
with Harper tomorrow, Sunday, June 29, 2025, from 8:00 AM to 4:00 PM.
As per the existing order, I will be at the usua</t>
  </si>
  <si>
    <t>harpers care</t>
  </si>
  <si>
    <t>[image: image.png]
really wish i could share with you what i built, based on your ideas and
input.
hope she is doing ok
get ahold of me before the judge gets ahold of us
please emma</t>
  </si>
  <si>
    <t>hello
can i see her?</t>
  </si>
  <si>
    <t>URGENT: Denial of Court-Ordered Pickup for Harper - Sunday, July 13, 2025</t>
  </si>
  <si>
    <t>Emma,
This email serves as formal documentation that you are denying my
court-ordered parenting time with Harper for the sixth consecutive Sunday,
scheduled for tomorrow, July 13, 2025.
To be unequi</t>
  </si>
  <si>
    <t>Fwd: URGENT: Denial of Court-Ordered Pickup for Harper - Sunday, July
 13, 2025</t>
  </si>
  <si>
    <t>just putting this email in the format it was intended for in the first
place. please reply to my original email with a yes or no, and a list of
demands to go with it if you so desire. for shits and gi</t>
  </si>
  <si>
    <t>54 days, to protect your lies.</t>
  </si>
  <si>
    <t>*Emma,*
*Let's be clear. This is to acknowledge your eighth consecutive, baseless
refusal to facilitate Harper's court-ordered pick-up. Your predictable
pattern of obstruction, devoid of any legitima</t>
  </si>
  <si>
    <t>harper's wellness</t>
  </si>
  <si>
    <t>well it's been 11 days since i forced an update out of you on harper by
getting your family involved. thanks emma i really appreciate all you do</t>
  </si>
  <si>
    <t>Fwd: Harper's Best Interest</t>
  </si>
  <si>
    <t>if you are going to make the rules and then ignore my asks over and over
and over you are really showing the courts what I need to show them as to
why you can't be the caretaker of our girl. i have se</t>
  </si>
  <si>
    <t>delaying the inevitable</t>
  </si>
  <si>
    <t>no matter how unhinged these emails make me look, imagine the pain i feel
the last 80days, somy way of communicating with you certainly is not a
worry of mine. I just came across some pictures, remini</t>
  </si>
  <si>
    <t>Communication</t>
  </si>
  <si>
    <t>Emma,
Effective immediately, all communications regarding Harper (scheduling,
health, supplies, appointments, and video calls) must be sent to a single
address: placed.sj@gmail.com as I have made cle</t>
  </si>
  <si>
    <t>SUNDAY DENIAL OF PARENTING TIME</t>
  </si>
  <si>
    <t>Emma,
This is to confirm arrangements for tomorrow’s court‑ordered Sunday
parenting time (8:00 a.m. to 4:00 p.m.) as set out in the March 22, 2025
Interim Order.
Please confirm by 7:00 p.m. today wh</t>
  </si>
  <si>
    <t>I Love You Two</t>
  </si>
  <si>
    <t>I wrote this 5 or 6 weeks ago, found it in my drafts...
To Emma and Harper, my last two best friends
Sitting here, thinking about things, and you two are always front and
cen</t>
  </si>
  <si>
    <t>ignore that first email if you want. look em, i just want to see harper,
need to see harper. doesn't have to be for 8 hours, it can be anything you
want, i just need to know what you want. if sundays</t>
  </si>
  <si>
    <t>harpers well being</t>
  </si>
  <si>
    <t>Hello
Your phone has been off for a while. Just checking to see if Harper is
alive or are we just doing whatever the hell we please these days? Ill send
someone over to check in a few hours figured I</t>
  </si>
  <si>
    <t>court ordered sunday parenting time September 13th.</t>
  </si>
  <si>
    <t>Confirming that you are denying tomorrow's parenting time for the 15th
consecutive Sunday tomorrow at 8am.
Thanks
This message, including any attachments, is intended for the sole use of
the designa</t>
  </si>
  <si>
    <t>Thanks for keeping in touch Emma. I really appreciate it. Demands a
template and then says nah I will just ignore him all together.
Sorry I didn't file back in December like you wanted me to do, I kn</t>
  </si>
  <si>
    <t>Just going to pretend that I don't exist or that we have court orders or
joint custody at this point huh?
It is incredible how brave you are, and not the brave you post about on
facebook.
Anyway, wo</t>
  </si>
  <si>
    <t>They called us crazy
I promised you I would run through every door for you. Remember Harper?
Today I'm gonna walk through instead of going head first (you'll understand
later) I love you so much Harp</t>
  </si>
  <si>
    <t>How do I get an update on Harper!!!!</t>
  </si>
  <si>
    <t>Emma
What the hell is going on where is my daughter!!!!!!!!?????????????
This message, including any attachments, is intended for the sole use of
the designated recipient(s) and may contain confiden</t>
  </si>
  <si>
    <t>loser</t>
  </si>
  <si>
    <t>And conflict of interest of the year award goes to!!!!
EMMAAAAAAAAAAAA
With an unwavering conflict of interest of her daughter's best interest and
her relationship with her daddddd!
F'n idiot. 117</t>
  </si>
  <si>
    <t>Emma Ryan &lt;em.ry@icloud.com&gt;, Emma Ryan &lt;emma.ryan1995@outlook.com&gt;, 
	Luna Piper &lt;lunacraigcep@gmail.com&gt;</t>
  </si>
  <si>
    <t>don't waste this opportunity Emma, please get sober for her... we were so
lucky she survived that absolute shitshow she was born from and into. do
not waste the luck we had and just because i get shut</t>
  </si>
  <si>
    <t>Re: Accepted: harper n dad</t>
  </si>
  <si>
    <t>just making stuff up now? lol i can't wait to see the shit you come up with
On Sun, Jun 15, 2025 at 6:00 AM Emma Ryan &lt;emma.ryan1995@outlook.com&gt; wrote:
&gt;</t>
  </si>
  <si>
    <t>thats not an update emma. thats the response i have received every time i
have asked you or your family since december though, rcmp it is. maybe you
can give him the list of hoops to jump through for</t>
  </si>
  <si>
    <t>emma, i swear i havent tried to access any of your stuff, i am only
replying so that you look elsewhere and not only at me.. you wont believe
me, i really dont care about you one bit, what you do who</t>
  </si>
  <si>
    <t>miss u harper. wonder if you will remember me, i dont think so
On Fri, Jun 20, 2025 at 8:46 AM Emma Ryan &lt;emma.ryan1995@outlook.com&gt; wrote:
&gt; You have done all of this, including trying to steal mon</t>
  </si>
  <si>
    <t>im glad harper has a friend for the first 10 years of her life before she
starts to outgrow your maturity level
On Fri, Jul 4, 2025 at 2:37 PM Emma Ryan &lt;emma.ryan1995@outlook.com&gt; wrote:
&gt; Where wa</t>
  </si>
  <si>
    <t>nobody has deleted anything off your phone emma, thats called
hallucination, when you are trying to find evidence of stuff that doesnt
exist. jacqueline almost had me thinking that people didnt care a</t>
  </si>
  <si>
    <t>how have you showed me you are sober? wasnt with your drug tests lol.
anyway you ignored the rothesay police phone calls but good luck ignoring
the other departments that are coming for you. and keep</t>
  </si>
  <si>
    <t>your first one that shows a negative dilute?
hahahahahahahahahahahahahahahahahahahaha
 the saint john police were shocked to see the videos. theres a file number
youll be served shortly, along with s</t>
  </si>
  <si>
    <t>how about the template on the STEPS TO SEE MY FUCKING GOD DAMN DAUGHTER
MORON. you know what, i am done communicating with you, you have charges
incoming, the rcmp might not care about harper but the</t>
  </si>
  <si>
    <t>you fucking idiot, the next charge will be everyone in your family for
knowingly allowing you to smoke meth around those two babies. those
charges, they fucking hurt, and nanny and grampy arent going</t>
  </si>
  <si>
    <t>your updates are irrelevant because you are a lieing fucking cunt. one
thing that doesnt lie, is the polices reaction to what they just watched.
but ill let you feel that first hand i wont ruin the su</t>
  </si>
  <si>
    <t>I WANT TO SEEE MY FUCKING DAUGHTER EMMA ON COURT ORDERED FUCKING TIME YOU
FUCKING MORON. I AM SO SICK AND TIRED OF TRYING TO COPARENT WITH A
METHHEAD WITH THE IQ OF A FUCKING COW
On Wed, Aug 27, 2025</t>
  </si>
  <si>
    <t>thats great emma, we will compare notes when you have been withoiut your
daughter for 90 days. you fucking moron
On Wed, Aug 27, 2025 at 1:01 PM Emma Ryan &lt;emma.ryan1995@outlook.com&gt; wrote:
&gt; I’m cl</t>
  </si>
  <si>
    <t>whats that exactly? ive sent you pictures of everything you fucvking
disgusting smoke shop
On Wed, Aug 27, 2025 at 1:03 PM Emma Ryan &lt;emma.ryan1995@outlook.com&gt; wrote:
&gt; Okay! Try doing what the cou</t>
  </si>
  <si>
    <t>oh how the tides have turned, good luck keeping harper from me when you are
charged with assault lol fucking idiot
On Wed, Aug 27, 2025 at 1:05 PM CRAIG S &lt;placed.sj@gmail.com&gt; wrote:
&gt; whats that e</t>
  </si>
  <si>
    <t>a childs best interest is having a relationship with both parents emma.
your best interest is your lies continuing not harper's. you stopped me
being in my daughters life for one reason, and that's be</t>
  </si>
  <si>
    <t>ive asked you 100000 times what i have to do to see my daughter. instead,
ill just keep filing charges against you and everyone else in my way.
On Wed, Aug 27, 2025 at 2:10 PM CRAIG S &lt;placed.sj@gmai</t>
  </si>
  <si>
    <t>what people are you referring to? and i only talk about harper not sure
what youre referring to or who anymore. you cant answer the question i ask
over and over and thats how do i see my daughter? ive</t>
  </si>
  <si>
    <t>we both know youre not sober, but its irrelevant because i dont give a fuck
about you, all you are to me is a person who is destroying harpers life,
just like you did when you chose to smoke it while</t>
  </si>
  <si>
    <t>the boys tell me when you meet with them, the boys who aren't in my life
anymore. because they play you like a fiddle. you pay twice as much as
anyone else does, they literally play you emma. you are</t>
  </si>
  <si>
    <t>STOP CONTACTING ME
On Mon, Sep 1, 2025 at 12:36 PM Emma Ryan &lt;emma.ryan1995@outlook.com&gt; wrote:
&gt; You did abandon us. I told you this.
&gt; I’m just receiving since you had my email all fucjed
&gt; Emma R</t>
  </si>
  <si>
    <t>Thanks for the FaceTime earlier. Agreed—updates will focus on Harper’s
feeding, sleep, diapers, and health. I’ll send a daily log by 6:00 pm on my
parenting days and after exchanges. If anything urgen</t>
  </si>
  <si>
    <t>I am sorry that todays (visit I assume?) is so upsetting and feels like a
personal attack. I am going to need a reply from you tonight, you cannot
send emails that have bullet in my head or threats o</t>
  </si>
  <si>
    <t>Every email is about her, but you dont reply to my words you just start
rambling on about nonsense as per usual. Have a good night Emma please stop
blaming me for doing whatever it is you are talking</t>
  </si>
  <si>
    <t>Oh stop trying to fabricate something that isn't there. Just stop the games
for fuck sake Emma, you did this, you did it countless times, you did it
with Cole in June 2024 until December 2024 and you</t>
  </si>
  <si>
    <t>You won't let me see her, lol stop stop stop stop stop please stop emailing
me and focus on her. I have done more in the last 90 days then anyone could
accomplish in 10 years, you'll be served what I</t>
  </si>
  <si>
    <t>Honey, I am worried. Genuinely worried about the safety of my daughter
being around someone like you. Now stop emailing me about your
hallucinations and made up bullshit with your phone. Seriously sto</t>
  </si>
  <si>
    <t>STOP CONTACTING ME, LUNA HAD TWO EAR INFECTIONS AND LHYMES DISEASE,GREAT
JOB CARING FOR HER HAHA
This message, including any attachments, is intended for the sole use of
the designated recipient(s) a</t>
  </si>
  <si>
    <t>YEAH THE PAROLEE YOU DID DRUGS WITH LOLOLOL NICE CONSTANT IN YOUR LIFE
PROUD OF YOU
This message, including any attachments, is intended for the sole use of
the designated recipient(s) and may contai</t>
  </si>
  <si>
    <t>ENJOY YOUR DAY EMMA, NOT MANY OF THESE LEFT I RECKON BAHAHAHAHA
This message, including any attachments, is intended for the sole use of
the designated recipient(s) and may contain confidential and p</t>
  </si>
  <si>
    <t>BLOCKED BY THE WAY, ILL TALK TO YOU TOMORROW AT 1PM
This message, including any attachments, is intended for the sole use of
the designated recipient(s) and may contain confidential and privileged
in</t>
  </si>
  <si>
    <t>its a shame Emma because the only time I ever saw tears come down your face
was on June 4th. I am sad for you, extremely sad for you, sucks to have to
reply to your bullshit with the truth, but stop.</t>
  </si>
  <si>
    <t>Yeah you go live your life, bud. Just either do it honestly and sober or do
it WITHOUT MY FUCKING DAUGHTER around you.
This message, including any attachments, is intended for the sole use of
the des</t>
  </si>
  <si>
    <t>its only friday darling.i know days of the week are hard when youre up for
3 sleep for 1 but soon enough Harper will be old enough to remind you .
This message, including any attachments, is intended</t>
  </si>
  <si>
    <t>If it would help you at all I will always come out and spend an hour or 5
minutes or 5 hours with her outside to give you a break or give you time
for whatever you need to do. I know it's hard but you</t>
  </si>
  <si>
    <t>lol you are absolutely pathetic. grow up Emma you did this to yourself with
your fucking drug problem and your anger issues.
message, including any attachments, is intended for the sole use of the
des</t>
  </si>
  <si>
    <t>co parenting isnt pretending to reconcile with me sleep with me and other
guys at the same time while you lie to everyone in your household. fuck off
man fuck you i am absolutely done with your shit o</t>
  </si>
  <si>
    <t>you are fucked man. you have a condition that makes it so you
can't comprehend numbers, making passwords impossible for you, it is not me
emma. Please stop emailing me, every email is shared with a la</t>
  </si>
  <si>
    <t>I hope your lawyers are quick to act, preparing a case with you would be
some infuriating when they see that you have done nothing but lie since
March 6th 2024 HAHAHAHAHAHA
This message, including an</t>
  </si>
  <si>
    <t>And that is awesome Emma. I am so excited for Harper's future with two
healthy happy parents. Once she's allowed to have two parents in her life.
Because you don't ask anything of me, you just create</t>
  </si>
  <si>
    <t>you can let your mom know, this is all her fault, and what's done is done
with you, her, and the rest of you. But Harper isn't living with the
consequences of Nanny's actions, and yes, we do all know</t>
  </si>
  <si>
    <t>Re: HARPER;</t>
  </si>
  <si>
    <t>this means a lot, thank you for reaching out again seriously. i had to take
a technology break for my well being and the well being of others. its nice
being able to close the laptop and deal with my</t>
  </si>
  <si>
    <t>Emma Ryan &lt;emma.ryan1995@outlook.com&gt;, Emma Ryan &lt;em.ry@icloud.com&gt;</t>
  </si>
  <si>
    <t>Emma,
I am writing to urgently request daily updates regarding Harper's health,
development, and daily care. As Harper's father, it is essential that I
have access to this information to ensure her we</t>
  </si>
  <si>
    <t>just checking in to see how our daughter is doing, updates on her , on her
everything. you boggle my mind, wonder what your reason is or how you think
any of this is ok. this is your final warning, yo</t>
  </si>
  <si>
    <t>Thank You</t>
  </si>
  <si>
    <t>Thanks Em, she getting so big :) .. so much has happened in my life, I
always just want to tell you every single detail, that hasn't changed
that's for sure. I get excited for Harper's future when thi</t>
  </si>
  <si>
    <t>FLIC-SaintJohn-CIDF@gnb.ca</t>
  </si>
  <si>
    <t>URGENT ACTION REQUIRED: Immediate Child Safety Risk and Procedural
 Guidance for FDSJ-739-24</t>
  </si>
  <si>
    <t>*Subject*: Urgent Request for Guidance on Family Law Case – Protecting
Harper Ryan’s Safety (Receipt Confirmation Requested)
Dear Family Law Information Centre,
I am a self-represented father seekin</t>
  </si>
  <si>
    <t>Re: test</t>
  </si>
  <si>
    <t>Welcome to Team Harper
Written by Craig. Lived by all three of us.
Hey, Em—
This Chromebook isn’t fancy.
It’s not wrapped in diamonds or flowers.
It’s just clean, simple, and ready for somethi</t>
  </si>
  <si>
    <t>harpers mom and dad &lt;harpershomebase@gmail.com&gt;, =?UTF-8?B?THVuYSDigKI=?= &lt;lunacraigcep@gmail.com&gt;</t>
  </si>
  <si>
    <t>On Sat, May 17, 2025 at 1:37 AM CRAIG S &lt;placed.sj@gmail.com&gt; wrote:
&gt; Welcome to Team Harper
&gt;
&gt;
&gt; Written by Craig. Lived by all three of us.
&gt;
&gt;
&gt; Hey, Em—
&gt;
&gt;
&gt; This Chromebook isn’t fancy.
&gt;
&gt; I</t>
  </si>
  <si>
    <t>AIR MILES Reward Program &lt;no-reply_at_programnews_airmiles_ca_k919p6ee2q4722_fbwn1098@icloud.com&gt;</t>
  </si>
  <si>
    <t>Hide My Email &lt;litters-florets0p@icloud.com&gt;</t>
  </si>
  <si>
    <t>AIR MILES Reward Program &lt;no-reply_at_partnernews_airmiles_ca_k964p68a2q0a22_6fwn1098@icloud.com&gt;</t>
  </si>
  <si>
    <t>Up to 30x Miles could be yours</t>
  </si>
  <si>
    <t>AIR MILES Reward Program &lt;no-reply_at_programnews_airmiles_ca_gbdamw6emg7avq_ec2b3137@icloud.com&gt;</t>
  </si>
  <si>
    <t>Hide My Email &lt;tombs-scud.0q@icloud.com&gt;</t>
  </si>
  <si>
    <t>AIR MILES Reward Program &lt;no-reply_at_partnernews_airmiles_ca_gb0cmwbcmg13vq_5e2b3137@icloud.com&gt;</t>
  </si>
  <si>
    <t>Ready. Set. Back to routine.</t>
  </si>
  <si>
    <t>Get set to redeem with up to 15% Miles back on rewards!</t>
  </si>
  <si>
    <t>Still time to get 100 Bonus Miles</t>
  </si>
  <si>
    <t>Faster rewards + up to 7,000 Bonus Miles are waiting</t>
  </si>
  <si>
    <t>iafflocal771@gmail.com</t>
  </si>
  <si>
    <t>janet ellis stockford &lt;janet.ellisstockford@gnb.ca&gt;, 
	"Doiron, Monia (JPS/JSP)" &lt;Monia.Doiron@gnb.ca&gt;</t>
  </si>
  <si>
    <t>HARPER JUNE
It's been 3 weeks since I last seen my daughter, and they have disconnected
their home phone.
I am just printing off everything to file it in the courts, I want to see
the court master r</t>
  </si>
  <si>
    <t>jeffgodin@hotmail.com</t>
  </si>
  <si>
    <t>Key Accomplishments for October 7th:
🏛️ Harper &amp; Legal (The Primary Mission):
Massive Breakthrough on Your Court Filing: You found a viable strategy with
your accountant, Leslie, to solve the 2021 ta</t>
  </si>
  <si>
    <t>The lying under oath sounds a bit like a threat…..other than that it sounds great..
Sent from my iPad
&gt; On Jan 2, 2025, at 3:02 PM, K O &lt;placed.sj@gmail.com&gt; wrote:
&gt; &gt; &gt; Subject: Parenting</t>
  </si>
  <si>
    <t>I am I’m the only one that is you won’t do a drug test so you’re touching our kid when you’re high and your mom took her to use her as a pond which if you watch the video that they asked us to it says</t>
  </si>
  <si>
    <t>Yet I received death threats and I’m not welcome there, but I can go there right lol well too bad cause your mom can’t ignore me now. She’s got a fucking communicate with me. Pathetic. She never even</t>
  </si>
  <si>
    <t>I want you to be a part of your life. I want you more in her life, but you’re doing everything you said that you wouldn’t so that’s funny.
Sent from my iPhone
On Jan 14, 2025, at 10:51 AM, Emma Ryan &lt;</t>
  </si>
  <si>
    <t>So much for going out west lol. Or moving closer. Lol
Sent from my iPhone
On Jan 14, 2025, at 10:51 AM, Emma Ryan &lt;em.ry@icloud.com&gt; wrote:
I am I’m the only one that is you won’t do a drug test so</t>
  </si>
  <si>
    <t>I didn’t lie Craig you you haven’t filed a response. Or showed the effort you want to be in her life. I would have gladly had you in it every day. You were the one who took her used her as a pawn and</t>
  </si>
  <si>
    <t>I did lol. &amp; funny she laughed at you. But if you could actually mean what you say we could do it lol.
Sent from my iPhone
On Jan 14, 2025, at 11:18 AM, Emma Ryan &lt;em.ry@icloud.com&gt; wrote:
I didn’t</t>
  </si>
  <si>
    <t>Sounds good, she already said so sure. But neither did you or your mother lol. Or anything else for her for that matter.
Sent from my iPhone
On Jan 14, 2025, at 11:18 AM, K O &lt;placed.sj@gmail.com&gt; wro</t>
  </si>
  <si>
    <t>Ty our the one that’s not sober lol
Sent from my iPhone
On Jan 14, 2025, at 11:19 AM, K O &lt;placed.sj@gmail.com&gt; wrote:
﻿
A pawn for sobriety yes
On Tue, Jan 14, 2025 at 11:18 AM Emma Ryan &lt;
em.ry@iclo</t>
  </si>
  <si>
    <t>I want you to actually give a fuck about our daughter Craig and be in her life because you fucking want to. What you want not your mom. Lol. You threaten me &amp; so did your mom and lied putting her in d</t>
  </si>
  <si>
    <t>I did agree to it all Craig just over overtime. That’s the funny thing.
Sent from my iPhone
On Jan 14, 2025, at 11:36 AM, K O &lt;placed.sj@gmail.com&gt; wrote:
﻿
Wasn’t sobriety Emma jt was lieing abiut it</t>
  </si>
  <si>
    <t>Even gave you more than you asked actually
Sent from my iPhone
On Jan 14, 2025, at 11:36 AM, K O &lt;placed.sj@gmail.com&gt; wrote:
﻿
Wasn’t sobriety Emma jt was lieing abiut it.
On Tue, Jan 14, 2025 at 11:</t>
  </si>
  <si>
    <t>But I know that if you had decision-making two that you would make me do whatever until you sign off on something and that’s not OK you cannot manipulate my life controlled anymore, man
Sent from my i</t>
  </si>
  <si>
    <t>You couldn’t even come see her lol   Love to know your reason to not move with me then after ask you keave Then do this
Sent from my iPhone
On Jan 14, 2025, at 11:36 AM, Emma Ryan &lt;em.ry@icloud.com&gt; w</t>
  </si>
  <si>
    <t>Yet you havnt or proved you want to be in her like and I didnt lie lol. Please then explain what happened because that’s exactly what happened your lying dumb fuck n you should have brought her home t</t>
  </si>
  <si>
    <t>anything is you’re still not doing the things that you were going to do on that agreement and that’s why I can’t agree Craig like do something you actually say you’re going to for fucking man
Sent fro</t>
  </si>
  <si>
    <t>I don’t want your child support. You’ve never supported us you wouldn’t and you can’t.
Sent from my iPhone
On Jan 14, 2025, at 11:43 AM, Emma Ryan &lt;em.ry@icloud.com&gt; wrote:
﻿
Yet you havnt or proved y</t>
  </si>
  <si>
    <t>I didn’t keep them away. I bought them and you were the one that involved them Craig and why don’t you just send it to them because you’ve sent everything else
Sent from my iPhone
On Jan 14, 2025, at</t>
  </si>
  <si>
    <t>Let me know when I can come get my shit end of store or I’ll be there tomorrow at 2 o’clock
Sent from my iPhone
On Jan 14, 2025, at 11:43 AM, Emma Ryan &lt;em.ry@icloud.com&gt; wrote:
﻿
Yet you havnt or pro</t>
  </si>
  <si>
    <t>All the bruises proved the abuse Craig
Sent from my iPhone
On Jan 14, 2025, at 11:43 AM, Emma Ryan &lt;em.ry@icloud.com&gt; wrote:
﻿
Yet you havnt or proved you want to be in her like and I didnt lie lol. P</t>
  </si>
  <si>
    <t>Then go get it but only your shit and they’re Harper shit that I bought so I’m coming to get them end of story. You don’t get to fucking use my stuff when you haven’t done anything. I’m pretty fucking</t>
  </si>
  <si>
    <t>Post away, Craig
Sent from my iPhone
On Jan 14, 2025, at 11:52 AM, K O &lt;placed.sj@gmail.com&gt; wrote:
﻿
She doesn’t want videos so I can post them :)
On Tue, Jan 14, 2025 at 11:52 AM K O &lt;
placed.sj@gma</t>
  </si>
  <si>
    <t>Still, you’re only trying to hurt me when this is about her fucking daughter you’re fucked
Sent from my iPhone
On Jan 14, 2025, at 11:53 AM, Emma Ryan &lt;em.ry@icloud.com&gt; wrote:
﻿
Then go get it but on</t>
  </si>
  <si>
    <t>And I would like them because I need them for her thanks that’s why I got them
Sent from my iPhone
On Jan 14, 2025, at 11:53 AM, Emma Ryan &lt;em.ry@icloud.com&gt; wrote:
﻿
Then go get it but only your shit</t>
  </si>
  <si>
    <t>Harper.</t>
  </si>
  <si>
    <t>Good morning Craig,
This email is to acknowledge receipt of your complaint. Your email refers to two attachments:
Attachments:
•Screenshots of text messages with Jacqueline confirming pre-determine</t>
  </si>
  <si>
    <t>Hi Craig,
Thank you for the additional information and explanation.
I will be able to send you an official acknowledgement letter and the process summary by the end of today or tomorrow morning.</t>
  </si>
  <si>
    <t>Good morning Craig,
If you wish to request a copy of Harper`s case files, you must request it directly to the Department of Social Development.
Thank you,
Martine
[cid:image001.png@01DB7D2A.E2</t>
  </si>
  <si>
    <t>NinjaTech AI &lt;communications@ninjatech.ai&gt;</t>
  </si>
  <si>
    <t>Introducing Deep Research 2.0: Your AI Research Assistant
 =?UTF-8?B?8J+Tmu+4jw==?=</t>
  </si>
  <si>
    <t>( https://engage.ninjatech.ai/r?p=abtpy4u3yxuy2ylw5ycbaz7cx3zq6izmcqtweyilaenlg2hiufoehj2xjjcblnicsy4ucqdx465xix3m7a3ghjczr6hpcstzrgkgql57ztdevptohxl3ffqzt7a5svjv )
*NOW AVAILABLE*
*****************</t>
  </si>
  <si>
    <t>Katherine.hutka@iwk.nshealth.ca</t>
  </si>
  <si>
    <t>Dear Ms. Hutka,
My name is Craig Schulz, writing from Quispamsis, New Brunswick. I’m
requesting a no‑cost access code for the “Car Seat, Booster Seat, and Seat
Belt Basics” online workshop that Child</t>
  </si>
  <si>
    <t>Re: 2020 NOA</t>
  </si>
  <si>
    <t>Hey!
Craig Schulz here, I am in the worst pickle of all time, and I waso told by
my little ai lawyer buddy to contact a tax professional and I only know
one, lol can you give me a ring at your earlie</t>
  </si>
  <si>
    <t>Craig Schulz &amp; Valley Roofing</t>
  </si>
  <si>
    <t>Hi Leslie,
I'm writing to you under urgent circumstances. I have been formally
notified in my custody case for my daughter, Harper, that my taxes must be
fully filed to avoid a negative judgment.
Th</t>
  </si>
  <si>
    <t>I spoke to ai for 20 minutes and got this summary for you, hope it helps,
its just so much. I understand why noone would want to touch this with a 10
foot pole. I was found not guilty of fraud on Sep</t>
  </si>
  <si>
    <t>Hey LeslieI have decided to not file my 2024 taxes until I have disclosure
from the bank accounts in which my pays were deposited into. Harper's
mothers. I will confirm that with my lawyer at an appoi</t>
  </si>
  <si>
    <t>Hi Leslie,
Thank you for this confirmation. That news regarding the Notice of
Assessment and online CRA access is excellent—it provides the stability the
Court requires.
I have a block of over three</t>
  </si>
  <si>
    <t>And about notice of assessment, I don't think it is as pressing if I had
something from you saying that they were filed and filed legitimately
should suffice, but we can figure that out later, I will</t>
  </si>
  <si>
    <t>Leslie,
Please accept my sincere apology. My attempt at a joke was inappropriate.
It was a poor effort to make light of my previous business's (Valley
Roofing's) financial failures that we discussed</t>
  </si>
  <si>
    <t>Shouldn't be a problem, I am waiting on a couple of deliveries for roofs
next week, I would let you know if its conflicted at all early in the AM at
the latest and I should be able to be not too far b</t>
  </si>
  <si>
    <t>What's my payment options? I'm running a little behind credit card good?
Ill pay the 1150 today
This message, including any attachments, is intended for the sole use of
the designated recipient(s) an</t>
  </si>
  <si>
    <t>Hi Leslie,
It's truly a miracle. After those 130 days, I couldn't convince myself they
actually happened; it was like Harper and I didn't miss a beat. Thank you
so much for helping me through this fi</t>
  </si>
  <si>
    <t>Luna &lt;lunacraigcep@gmail.com&gt;</t>
  </si>
  <si>
    <t>You did abandon us. I told you this. 
I’m just receiving since you had my email all fucjed
Emma Ryan
&gt; On Feb 7, 2025, at 8:06 PM, Luna • &lt;lunacraigcep@gmail.com&gt; wrote:
&gt; 
&gt; ﻿ I reallt hope yo</t>
  </si>
  <si>
    <t>Luna Piper &lt;lunacraigcep@gmail.com&gt;</t>
  </si>
  <si>
    <t>Guardianship</t>
  </si>
  <si>
    <t>Acknowledgment of Guardianship
Date: January 22, 2025
To Whom It May Concern,
I, Craig Schulz, acknowledge that Harper Ryan Schulz’s mother, Emma Ryan,
currently has physical custody of our daug</t>
  </si>
  <si>
    <t>FINANCIAL DISCLOSURE - FORM 72J INFORMATION</t>
  </si>
  <si>
    <t>February 12th, 2025
Re: Financial Disclosure - Form 72J Information
FDSJ-739-24
Craig Schulz DEFENDENT
74 Stock Farm Rd
Quispamsis NB E2G2 A4
(506) 650-2122
Emma Ryan APPLICANT
1547 NB 820</t>
  </si>
  <si>
    <t>Vet bill Luna custody</t>
  </si>
  <si>
    <t>81c</t>
  </si>
  <si>
    <t>Here is the *final text* in a normal format:
------------------------------
*COURT OF KING’S BENCH OF NEW BRUNSWICK*
*COURT FILE NUMBER: FDSJ-739-24*
*FAMILY DIVISION*
*JUDICIAL DISTRICT OF SAINT JOH</t>
  </si>
  <si>
    <t>*COURT OF KING’S BENCH OF NEW BRUNSWICK*
*COURT FILE NUMBER: FDSJ-739-24*
FAMILY DIVISION
JUDICIAL DISTRICT OF SAINT JOHN
BETWEEN:
*EMMA RYAN* (Applicant)
1547 Route 820
Barnesville NB, E5N 4B1
(50</t>
  </si>
  <si>
    <t>Luna The Realtor &lt;lunacraigcep@gmail.com&gt;</t>
  </si>
  <si>
    <t>Hi Luna,
We’re updating our Terms of Service on November 3, 2025. We’re also making changes to the data that we share to our affiliates for ads and improving AI. See what’s new and how you can contro</t>
  </si>
  <si>
    <t>"monday insights" &lt;team@learn.mail.monday.com&gt;</t>
  </si>
  <si>
    <t>lunacraigcep@gmail.com</t>
  </si>
  <si>
    <t>Building a flexible strategy</t>
  </si>
  <si>
    <t>New laws on mental health training, AI trust gaps, and how to
pivot strategy fast
August 5, 2025
monday.com 
( https://clicks.mail.monday.com/f/a/uybJ8MUDr16laOQReGu09A~~/AAQRxRA~/N9XLfo-jFwzhi1Uh7B9</t>
  </si>
  <si>
    <t>Shell &lt;Noreply-Shell-App-Communications@shell.com&gt;</t>
  </si>
  <si>
    <t>Craig S, You could win a VIP escape for 2 to =?UTF-8?B?QkPigJlz?=
 wine country with Shell Go+ =?UTF-8?B?8J+Nhw==?=</t>
  </si>
  <si>
    <t>Craig S, You could win a VIP escape for 2 to BC’s wine country with Shell Go+ 🍇
Snag 1 of 3 grand prizes valued at $12,500!
************************************************************************
En</t>
  </si>
  <si>
    <t>"Instagram" &lt;no-reply@mail.instagram.com&gt;</t>
  </si>
  <si>
    <t>lunacraigcep, see __dailymomtivity, jasminehanlon5 and more in your feed</t>
  </si>
  <si>
    <t>&lt;!DOCTYPE HTML PUBLIC "-//W3C//DTD HTML 4.01 Transitional //EN"&gt;&lt;html&gt;&lt;head&gt;&lt;title&gt;Facebook&lt;/title&gt;&lt;meta http-equiv="Content-Type" content="text/html; charset=utf-8" /&gt;&lt;style nonce="dZBJcqac"&gt;@media a</t>
  </si>
  <si>
    <t>iCloud &lt;noreply@email.apple.com&gt;</t>
  </si>
  <si>
    <t>Your iCloud storage is almost full.</t>
  </si>
  <si>
    <t>Hello L C,
Your iCloud storage is almost full. You have 429.4 MB remaining of 5 GB total storage.
Upgrade to iCloud+ with 50 GB for $1.29 per month: https://setup.icloud.com/email/prefs/stora</t>
  </si>
  <si>
    <t>For you: 2 months of Spotify Premium for $6.29, then $12.69/mo after.
 Cancel anytime.</t>
  </si>
  <si>
    <t>Spotify Premium https://www.spotify.com/purchase/offer/2025-q3-globalcampaign-winback/?marketing-campaign-id=2025-q3&amp;utm_source=spotify&amp;utm_medium=email&amp;utm_campaign=q3&amp;splot=CwUwtiOcRpqQhLTXP4EkvgSpo</t>
  </si>
  <si>
    <t>Helping your team avoid task masking</t>
  </si>
  <si>
    <t>Ghost vacations, return-to-office shifts, task masking solutions
- September 2, 2025
monday.com ( https://clicks.mail.monday.com/f/a/gVITJV6G4jh1wMOyYV3cP</t>
  </si>
  <si>
    <t>Your 2 months of Spotify Premium for $6.29 are waiting, $12.69/mo
 after. Cancel anytime.</t>
  </si>
  <si>
    <t>Spotify Premium https://www.spotify.com/purchase/offer/2025-q3-globalcampaign-winback/?marketing-campaign-id=2025-q3&amp;utm_source=spotify&amp;utm_medium=email&amp;utm_campaign=q3&amp;splot=u39nl7xITsylQEWpJGJUrwSpo</t>
  </si>
  <si>
    <t>Hello L C,
Your iCloud storage is almost full. You have 428.8 MB remaining of 5 GB total storage.
Upgrade to iCloud+ with 50 GB for $1.29 per month: https://setup.icloud.com/email/prefs/stora</t>
  </si>
  <si>
    <t>Coaching employees to be more innovative</t>
  </si>
  <si>
    <t>Betting, brainstorms, and workplace benefits. -
September 9, 2025
monday.com 
( https://clicks.mail.monday.com/f/a/uIY83uWlEaF7YZKuxANg-A~~/AAQRxRA~/H5i7TkZvOgrAFaI9h_Foi0QFdki1dlAqbg4HAoV9Crs-93lOOG</t>
  </si>
  <si>
    <t>Hello L C,
Your iCloud storage is almost full. You have 428.1 MB remaining of 5 GB total storage.
Upgrade to iCloud+ with 50 GB for $1.29 per month: https://setup.icloud.com/email/prefs/stora</t>
  </si>
  <si>
    <t>Don't miss 2 months of Spotify Premium for $6.29 now, then $12.69/mo
 after. Cancel anytime.</t>
  </si>
  <si>
    <t>Spotify Premium https://www.spotify.com/purchase/offer/2025-q3-globalcampaign-winback/?marketing-campaign-id=2025-q3&amp;utm_source=spotify&amp;utm_medium=email&amp;utm_campaign=q3&amp;splot=qLLMXhyTQEGUe04pO7iMiw
He</t>
  </si>
  <si>
    <t>Hello L C,
Your iCloud storage is almost full. You have 427.4 MB remaining of 5 GB total storage.
Upgrade to iCloud+ with 50 GB for $1.29 per month: https://setup.icloud.com/email/prefs/stora</t>
  </si>
  <si>
    <t>Ready for ad-free music listening again?</t>
  </si>
  <si>
    <t>REJOIN PREMIUM https://www.spotify.com/premium
Hear your favorite music. Ad-free.
We loved giving you the ad-free music listening experience you deserved.
Come back to Premium and enjoy nonstop m</t>
  </si>
  <si>
    <t>lunacraigcep, see __dailymomtivity, courtney5885 and more in your feed</t>
  </si>
  <si>
    <t>&lt;!DOCTYPE HTML PUBLIC "-//W3C//DTD HTML 4.01 Transitional //EN"&gt;&lt;html&gt;&lt;head&gt;&lt;title&gt;Facebook&lt;/title&gt;&lt;meta http-equiv="Content-Type" content="text/html; charset=utf-8" /&gt;&lt;style nonce="DBM79yNY"&gt;@media a</t>
  </si>
  <si>
    <t>Why most meetings drain your team</t>
  </si>
  <si>
    <t>1 in 4 leads to a “meeting hangover.” Here’s the fix. -
September 30, 2025
monday.com 
( https://clicks.mail.monday.com/f/a/OcMF1DTuhwic9tYb-7O43w~~/AAQRxRA~/Kzw0O2KAyKzbraqWsz0i4ACzCyB2LZiBai0qVcTFv</t>
  </si>
  <si>
    <t>CollX &lt;newsletter@collx.app&gt;</t>
  </si>
  <si>
    <t>Postseason Baseball! ( collx://curated/mlb-postseason25 )
The MLB Postseason is here! Who do you think will win the World Series?
Below you'll find twelve players whose cards are highly sought aft</t>
  </si>
  <si>
    <t>Hello L C,
Your iCloud storage is almost full. You have 426.2 MB remaining of 5 GB total storage.
Upgrade to iCloud+ with 50 GB for $1.29 per month: https://setup.icloud.com/email/prefs/stora</t>
  </si>
  <si>
    <t>Finder &lt;info@t.finder.com&gt;</t>
  </si>
  <si>
    <t>Last chance for Coinbase rewards: $100 Gift Card</t>
  </si>
  <si>
    <t>Ends 15 Oct 2025. T&amp;Cs and limits apply.
https://l.t.finder.com/ls/click?upn=u001.VyvhH-2Bnv0WvlqUWHJuU9IquclSCoUOlkPhmqE-2Fk-2BNIIva-2B1SRbAj4Ri1itE4bp-2BRhNgh_JWLwpvnxVMpvs5BZxeTxDYBgkqTUQqcR7n9YLaT</t>
  </si>
  <si>
    <t>Craig S, all aboard! Our latest Shell Go+ contest is here
 =?UTF-8?B?8J+ahg==?=</t>
  </si>
  <si>
    <t>Craig S, all aboard! Our latest Shell Go+ contest is here 🚆
********************************************************
You could win a VIP tour package in the Canadian Rockies
*************************</t>
  </si>
  <si>
    <t>Helping teams adapt to change</t>
  </si>
  <si>
    <t>The 996 workweek, Gen Z education, AI risks -
October 14, 2025
monday.com 
( https://clicks.mail.monday.com/f/a/-NM5UTVqesXXN20Tzf2zsQ~~/AAQRxRA~/VhIqjv06tnqvnsIImEM1Xjjbz8M1ZsYnOFfkiNo47TpWaHuE8KeUD</t>
  </si>
  <si>
    <t>Finder &lt;newsletter@m.finder.com&gt;</t>
  </si>
  <si>
    <t>Freecash Rewards Offer: Get a $40 Gift Card</t>
  </si>
  <si>
    <t>Ends 7 November 2025. T&amp;Cs and limits apply.
https://l.m.finder.com/ls/click?upn=u001.VyvhH-2Bnv0WvlqUWHJuU9IquclSCoUOlkPhmqE-2Fk-2BNIIva-2B1SRbAj4Ri1itE4bp-2BRwPyH_JWLwpvnxVMpvs5BZxeTxDYBgkqTUQqcR7n9</t>
  </si>
  <si>
    <t>lunacraigcep@gmail.com, emma.ryan1995@outlook.com, 
	Emma Ryan &lt;em.ry@icloud.com&gt;</t>
  </si>
  <si>
    <t>Subject: Submission of Relevant Documentation and Correspondence Details
Dear Martine Paquet,
I am writing to provide additional documentation and details pertaining to
my ongoing case, as reference</t>
  </si>
  <si>
    <t>Re: NBASW</t>
  </si>
  <si>
    <t>Dear Martine,
I am writing to formally request the full disclosure of Harper’s case files
to ensure I am fully informed of all aspects and developments. This will
enable me to comply with all legal</t>
  </si>
  <si>
    <t>Hi Martine
Harper's mother was charged with assault last week based on the December
9th incident, which was what the initial call to Jacqueline entailed.
Meaning the SJPF did the same investigation a</t>
  </si>
  <si>
    <t>martine.paquet@nbasw-attsnb.ca</t>
  </si>
  <si>
    <t>*To:* Martine Paquet, Registrar
*Email:* martine.paquet@nbasw-attsnb.ca
*Subject:* Formal Complaint Against Jacqueline Gallant – Conflict of
Interest &amp; Professional Misconduct
------------------------</t>
  </si>
  <si>
    <t>Michelle.angela@hotmail.com</t>
  </si>
  <si>
    <t>just sharing the real story, I am so sorry for your loss Michelle. Just
letting people know in each part of Harper's family and support whether now
or down the road, the fight I have been enduring and</t>
  </si>
  <si>
    <t>Mike Bell &lt;mbell@menandfamilies.org&gt;</t>
  </si>
  <si>
    <t>Re: CCMF Follow-up</t>
  </si>
  <si>
    <t>Hi Mike
Thanks for reaching out, I am really stuck. I don't know what to do or
where to turn or who to call. I've been lied to manipulated and just beat
down for a year, I just want my little girl to</t>
  </si>
  <si>
    <t>Hi Mike,
Thank you for reaching out again. I apologize for not returning your calls
sooner; my phone is now working. You can reach me at (506) 650-2122.
A lot has happened since we last spoke. I hav</t>
  </si>
  <si>
    <t>Paul Carey &lt;paulcarey802@gmail.com&gt;, DALE CAMPBELL &lt;dale.campbell@rogers.com&gt;, 
	Stacey C &lt;campbellstacey98@gmail.com&gt;</t>
  </si>
  <si>
    <t>eferrandnfondout</t>
  </si>
  <si>
    <t>not bad for a fookin house plant. i wanna have another custody child now
that its built and popping off forms lol - just kidding for the record your
honor
Harps Dad</t>
  </si>
  <si>
    <t>Harpers Dad vs Emma 'Lion King' Ryan</t>
  </si>
  <si>
    <t>sharing this legally for "advice, as my trusted circle i am allowed to,
until i sign it ;)
https://g.co/gemini/share/6c9f11403fcb</t>
  </si>
  <si>
    <t>Paul Carey &lt;paulcarey802@gmail.com&gt;, paul@paulsroofing.pro</t>
  </si>
  <si>
    <t>Date: August 24, 2025
To: Julien Welsh &amp; Ben Miller – Brunswick Insulation &amp; Roofing
Subject: Formal Demand – Outstanding Wages, Unauthorized Use of Materials,
and Defamatory Statements
Dear Mr. We</t>
  </si>
  <si>
    <t>fyi</t>
  </si>
  <si>
    <t>By the way, I am not one bit concerned about custody of Harper. Zero,
worries about what happens next. Actually my only worry is what she does
when she is served the papers and has my daughter in her</t>
  </si>
  <si>
    <t>Apple &lt;appleid@id.apple.com&gt;</t>
  </si>
  <si>
    <t>paul@paulsroofing.pro</t>
  </si>
  <si>
    <t>Dear paul carey,
The following changes to your Apple Account, paul@paulsroofing.pro, were made on 12 May 2025 at 23:54:10 GMT:
Billing Information
If you did not make these changes, or if you belie</t>
  </si>
  <si>
    <t>Apple &lt;noreply@email.apple.com&gt;</t>
  </si>
  <si>
    <t>Dear paul carey,
Your Apple Account (paul@paulsroofing.pro) was used to sign in to iCloud on an iPhone 8.
Date and Time: 12 May 2025, 5:05 pm PDT
If the information above looks familiar, you can i</t>
  </si>
  <si>
    <t>You have used over 50% of your iCloud storage</t>
  </si>
  <si>
    <t>Hello paul carey,
​
You are using iCloud Photos to keep your photos and videos safely stored in iCloud. To keep all the apps on your iPhone automatically backed up each night, we recommend that you</t>
  </si>
  <si>
    <t>App Store &lt;appstore@insideapple.apple.com&gt;</t>
  </si>
  <si>
    <t>Welcome to the App Store</t>
  </si>
  <si>
    <t>Congratulations on your brand-new Apple Account. Use it to get the best apps and games around. 
App Store
Find it on App Store
Welcome to the App Store https://c.apple.com/r?v=2&amp;a=o2CKfLM8dAL7lynfnyn7</t>
  </si>
  <si>
    <t>iCloud &lt;iCloud@insideapple.apple.com&gt;</t>
  </si>
  <si>
    <t>iCloud
https://apple.box.com/s/vuf2694xmoynxeep7ahtvy5cscg3cmya
-----------------------------
Welcome to iCloud.
Your Apple Account is paul@paulsroofing.pro.
iCloud securely stores your photo</t>
  </si>
  <si>
    <t>Uber One &lt;uberone@uber.com&gt;</t>
  </si>
  <si>
    <t>&lt;!doctype html&gt;
&lt;html xmlns="http://www.w3.org/1999/xhtml" xmlns:v="urn:schemas-microsoft-com:vml" xmlns:o="urn:schemas-microsoft-com:office:office"&gt;
&lt;head&gt;
&lt;meta http-equiv="Content-Type" content="te</t>
  </si>
  <si>
    <t>Uber Eats &lt;ubereats@uber.com&gt;</t>
  </si>
  <si>
    <t>Apple &lt;no_reply@email.apple.com&gt;</t>
  </si>
  <si>
    <t>Apple Recent Download
-----------------------------------------------------------
Your Apple Account, paul@paulsroofing.pro, was just used to download McDonald's Canada on a computer or device that h</t>
  </si>
  <si>
    <t>Store, share and protect your photos and videos with iCloud.</t>
  </si>
  <si>
    <t>iCloud
-----------------------------
Your memories, safe in the cloud.
Whether it’s a video of your pet taken yesterday or a photo of friends from years ago, iCloud securely stores your entire p</t>
  </si>
  <si>
    <t>50% off your next 3 orders - just for you =?UTF-8?B?8J+RgA==?=</t>
  </si>
  <si>
    <t>Uber Eats &lt;uber@uber.com&gt;</t>
  </si>
  <si>
    <t>Grab up to 50% off on your pantry staples</t>
  </si>
  <si>
    <t>Sync, back up and save space on your device with iCloud.</t>
  </si>
  <si>
    <t>iCloud
-----------------------------
All the ways iCloud keeps you covered.
Never worry about losing your favourite photos or important documents again. With iCloud, they’re always protected, up</t>
  </si>
  <si>
    <t>Don't miss out! 50% off groceries &amp; essentials</t>
  </si>
  <si>
    <t>Save up to 50% on your household essentials</t>
  </si>
  <si>
    <t>Up to 50% off on your next shop =?UTF-8?B?8J+Tsg==?=</t>
  </si>
  <si>
    <t>Save up to =?UTF-8?B?NTAl4oCUZ2V0?= your shopping delivered</t>
  </si>
  <si>
    <t>Uber &lt;noreply@uber.com&gt;</t>
  </si>
  <si>
    <t>Rent a car and reimagine weekends</t>
  </si>
  <si>
    <t>Paul, add a different payment method</t>
  </si>
  <si>
    <t>&lt;!doctype html&gt;
&lt;html xmlns="http://www.w3.org/1999/xhtml" xmlns:v="urn:schemas-microsoft-com:vml" xmlns:o="urn:schemas-microsoft-com:office:office"&gt;
&lt;head&gt;
&lt;meta http-equiv="Content-Type" content="t</t>
  </si>
  <si>
    <t>Remember to claim your up to 50% off on your first 3 orders.</t>
  </si>
  <si>
    <t>30% off your next order - just for you =?UTF-8?B?8J+RgA==?=</t>
  </si>
  <si>
    <t>Flavour savings with up to 50% off on your first 3 orders.</t>
  </si>
  <si>
    <t>Hungry for tasty savings? Here's 50% off.</t>
  </si>
  <si>
    <t>Get up to 50% off the essentials you need =?UTF-8?B?8J+bkg==?=</t>
  </si>
  <si>
    <t>You have a promo to use on your first 3 orders.</t>
  </si>
  <si>
    <t>Get up to 50% off your shop</t>
  </si>
  <si>
    <t>You only have 25% of your iCloud storage left</t>
  </si>
  <si>
    <t>Hello paul carey,
​
Thank you for using iCloud to keep the most important information on your iPhone safely stored. You have less than 25% of your free 5 GB of iCloud storage left.
For $1.29 p</t>
  </si>
  <si>
    <t>Get 60% off 1 year of Uber One =?UTF-8?B?8J+kqQ==?=</t>
  </si>
  <si>
    <t>Your deliveries just got even better</t>
  </si>
  <si>
    <t>Last call! Get 1 year of Uber One for 60% off. =?UTF-8?B?8J+aqA==?=</t>
  </si>
  <si>
    <t>Take $40 off your first order for a limited time</t>
  </si>
  <si>
    <t>Trending favourites, delivered to you</t>
  </si>
  <si>
    <t>$40 off your first order won't last</t>
  </si>
  <si>
    <t>Check out these popular picks</t>
  </si>
  <si>
    <t>Ready to order? Check out these must-haves today</t>
  </si>
  <si>
    <t>Use your 50% off promo before =?UTF-8?B?aXTigJlz?= gone!</t>
  </si>
  <si>
    <t>These top picks will catch your eye =?UTF-8?B?8J+RgA==?=</t>
  </si>
  <si>
    <t>Save 75% on local top picks</t>
  </si>
  <si>
    <t>Your iCloud storage is full</t>
  </si>
  <si>
    <t>Hello paul carey,
Your iCloud storage is full. You have exceeded your storage plan. This means that your documents, contacts and device data are no longer being backed up to iCloud and your photos an</t>
  </si>
  <si>
    <t>Get good eats with up to 75% off on your first 3 orders.</t>
  </si>
  <si>
    <t>Up to 75% off is still yours!</t>
  </si>
  <si>
    <t>75% off makes your order more affordable</t>
  </si>
  <si>
    <t>Paul, remember to spend your $10 in Uber Cash.</t>
  </si>
  <si>
    <t>75% off for your next takeout experience</t>
  </si>
  <si>
    <t>Everyone's favourites, now with 50% off</t>
  </si>
  <si>
    <t>How about up to 75% deals for dinner? Valid on your first 3 orders.</t>
  </si>
  <si>
    <t>Up to 50% off your Halloween haul</t>
  </si>
  <si>
    <t>Dear paul carey,
Your Apple Account (paul@paulsroofing.pro) was used to sign in to iCloud on an iPhone SE.
Date and Time: 7 October 2025, 6:37 pm PDT
If the information above looks familiar, you c</t>
  </si>
  <si>
    <t>Dear paul carey,
The following changes to your Apple Account, paul@paulsroofing.pro, were made on 9 October 2025 at 20:38:44 GMT:
Email address(es)
If you did not make these changes, or if you beli</t>
  </si>
  <si>
    <t>Dear paul carey,
The following changes to your Apple Account, paul@paulsroofing.pro, were made on 9 October 2025 at 20:43:39 GMT:
Apple Account
Email address(es)
Email address(es)
If you did not ma</t>
  </si>
  <si>
    <t>Get 75% off top-rated dishes</t>
  </si>
  <si>
    <t>Up to 50% off? Our treat. =?UTF-8?B?8J+NrA==?=</t>
  </si>
  <si>
    <t>Quick =?UTF-8?B?4oCT?= get up to 75% off your first order on your
 first 3 orders.</t>
  </si>
  <si>
    <t>paul@paulsroofing.pro, Paul Carey &lt;paulcarey802@gmail.com&gt;, 
	Luna Piper &lt;lunacraigcep@gmail.com&gt;</t>
  </si>
  <si>
    <t>statement re harper's well-being - obituary some might say</t>
  </si>
  <si>
    <t>love ya dad, click the link
[image: image.png]
https://g.co/gemini/share/f33b918a6947</t>
  </si>
  <si>
    <t>placed.sj@gmail.com</t>
  </si>
  <si>
    <t>Hello</t>
  </si>
  <si>
    <t>﻿
That’s right choices we make we’ll live with 😊
Sent from my iPhone
On Jan 13, 2025, at 9:31 PM, Emma Ryan &lt;em.ry@icloud.com&gt; wrote:
﻿
You gotta be a dad to be a bad dad Craig. Oh good choice for you</t>
  </si>
  <si>
    <t>Right and the drug claims made CPS so then you should’ve done a drug test too Craig and you did abuse me are you fucked. I know it doesn’t matter what I want. It never has to you and you can’t agree o</t>
  </si>
  <si>
    <t>You’re the one that fucked that up Craig you took her and blame me for not being sober when I’m the only sober one lol you fucked that up for yourself idiot I don’t care what you want either what I ca</t>
  </si>
  <si>
    <t>No, you wouldn’t and I don’t want to be with you Craig. I can’t believe a word that comes out of your mouth let alone rely on you or trust you. You took my daughter from me and said that I couldn’t ge</t>
  </si>
  <si>
    <t>I’m not swinging Greg you are that’s the thing that’s the funniest part. I’m agreeing with it and is it because I’ve done everything for you but whatever man I’ve asked you not to fight with me and I’</t>
  </si>
  <si>
    <t>This is all fair and I’m not losing my shit Craig. I want you to be a part of our daughter’s life but not the fucking coward way not the easy way out like you always choose and stop contacting other p</t>
  </si>
  <si>
    <t>Perfect that’s all I want but I will be there tomorrow to get my things. Thanks like I’ve asked many times and that you’ve literally just stole lol
Sent from my iPhone
On Jan 14, 2025, at 11:54 AM, .</t>
  </si>
  <si>
    <t>So please stop contacting me to fight all the fucking time or with your lies and bullshit. I look forward to seeing the pictures from your mom lol and good thing about getting another car seat too.
Se</t>
  </si>
  <si>
    <t>I will be attending these four hours with her
Sent from my iPhone
On Jan 14, 2025, at 11:56 AM, Emma Ryan &lt;em.ry@icloud.com&gt; wrote:
﻿
This is all fair and I’m not losing my shit Craig. I want you to b</t>
  </si>
  <si>
    <t>But thank you for putting our daughter in danger that you said
Sent from my iPhone
On Jan 14, 2025, at 11:56 AM, Emma Ryan &lt;em.ry@icloud.com&gt; wrote:
﻿
This is all fair and I’m not losing my shit Craig</t>
  </si>
  <si>
    <t>✌🏼
Sent from my iPhone
On Jan 14, 2025, at 11:56 AM, Emma Ryan &lt;em.ry@icloud.com&gt; wrote:
﻿
This is all fair and I’m not losing my shit Craig. I want you to be a part of our daughter’s life but not the</t>
  </si>
  <si>
    <t>Can’t believe what you’ve done and doing to our daughter cause you can’t be civil and co parents and actually consider what’s best for both of us lol or even man up to do the things your should have m</t>
  </si>
  <si>
    <t>I’m not mad about this I’m mad you’re blaming me and you took her saying I was unfit. lol literally no reason and you still can’t do what you were blaming me for 🤮
Sent from my iPhone
On Jan 14, 2025,</t>
  </si>
  <si>
    <t>Sent from my iPhone
On Jan 14, 2025, at 11:56 AM, Emma Ryan &lt;em.ry@icloud.com&gt; wrote:
﻿
This is all fair and I’m not losing my shit Craig. I want you to be a part of our daughter’s life but not the fu</t>
  </si>
  <si>
    <t>Hungry for a deal, Craig n Emma?</t>
  </si>
  <si>
    <t>"No Reply - Mailchimp" &lt;no-reply@mailchimp.com&gt;</t>
  </si>
  <si>
    <t>You have 7 days left to take advantage of your free trial.
Estimate for Jan 26 - Feb 25
Your free trial of a paid Marketing plan ends on Jan 25. If you're happy with the plan, you're all set. Here's</t>
  </si>
  <si>
    <t>Instacart &lt;no-reply@instacart.com&gt;</t>
  </si>
  <si>
    <t>An address was added or updated in your Instacart account</t>
  </si>
  <si>
    <t>&lt;!DOCTYPE html&gt;
&lt;html lang="en" xmlns="http://www.w3.org/1999/xhtml" xmlns:v="urn:schemas-microsoft-com:vml" xmlns:o="urn:schemas-microsoft-com:office:office"&gt;
&lt;head&gt;
&lt;meta charset="utf-8"&gt; &lt;!-- utf-</t>
  </si>
  <si>
    <t>business-to-business-address-verification &lt;business-to-business-address-verification@amazon.ca&gt;</t>
  </si>
  <si>
    <t>Your Amazon Business account cannot be verified</t>
  </si>
  <si>
    <t>Hello, We were not able to verify the information provided in your business account registration. To help us verify your business account, please upload one of the following official documents co</t>
  </si>
  <si>
    <t>Offers on the flavors you love most</t>
  </si>
  <si>
    <t>You have 3 days left to take advantage of your free trial.
Estimate for Jan 26 - Feb 25
Your free trial of a paid Marketing plan ends on Jan 25. If you're happy with the plan, you're all set. Here's</t>
  </si>
  <si>
    <t>You have 1 day left to take advantage of your free trial.
Estimate for Jan 26 - Feb 25
Your free trial of a paid Marketing plan ends on Jan 25. If you're happy with the plan, you're all set. Here's a</t>
  </si>
  <si>
    <t>Uber Eats &lt;noreply@uber.com&gt;</t>
  </si>
  <si>
    <t>Don't forget! Game Day Deals from all your favs await!</t>
  </si>
  <si>
    <t>Deals you =?UTF-8?B?ZG9u4oCZdA==?= wanna miss, Craig n Emma</t>
  </si>
  <si>
    <t>New earning opportunities available to you</t>
  </si>
  <si>
    <t>Vercel &lt;ship@info.vercel.com&gt;</t>
  </si>
  <si>
    <t>Welcome to Vercel</t>
  </si>
  <si>
    <t>&lt;span id="inflection-email-preheader" style="display:none; visibility:hidden; opacity:0; height:0; width:0;"&gt;Resources to kickstart your project‌ ‌ ‌&lt;/span&gt;&lt;!DOCTYPE html&gt;
&lt;html xmlns="http://www.w3.</t>
  </si>
  <si>
    <t>50% off your next order - just for you =?UTF-8?B?8J+RgA==?=</t>
  </si>
  <si>
    <t>Iterate with confidence</t>
  </si>
  <si>
    <t>&lt;span id="inflection-email-preheader" style="display:none; visibility:hidden; opacity:0; height:0; width:0;"&gt;Preview Deployments | Comments | Draft Mode‌ ‌ ‌&lt;/span&gt;&lt;!DOCTYPE html&gt;
&lt;html xmlns="http:/</t>
  </si>
  <si>
    <t>Shopify Research &lt;research@email.shopify.com&gt;</t>
  </si>
  <si>
    <t>&lt;!DOCTYPE html&gt;&lt;html lang="en" dir="ltr" xmlns="http://www.w3.org/1999/xhtml" xmlns:v="urn:schemas-microsoft-com:vml" xmlns:o="urn:schemas-microsoft-com:office:office"&gt;&lt;head&gt;
&lt;!-- Yahoo will strip</t>
  </si>
  <si>
    <t>Instacart &lt;no-reply@customers.instacartemail.com&gt;</t>
  </si>
  <si>
    <t>Hey Craig, =?UTF-8?B?eW914oCZdmU=?= got 2 offers to enjoy</t>
  </si>
  <si>
    <t>Instacart 96 body, center, th, td, div,
span, h1, h2, h3, h4, h5, h6, p, ul, ol, li, a {
mso-line-height-rule: exactly; -ms-text-size-adjust: 100%; }</t>
  </si>
  <si>
    <t>Put these spots on your radar</t>
  </si>
  <si>
    <t>Try Vercel Pro for free</t>
  </si>
  <si>
    <t>&lt;span id="inflection-email-preheader" style="display:none; visibility:hidden; opacity:0; height:0; width:0;"&gt;Explore additional ways to collaborate, monitor, and secure your app‌ ‌ ‌&lt;/span&gt;&lt;!DOCTYPE h</t>
  </si>
  <si>
    <t>Vercel January Product Update</t>
  </si>
  <si>
    <t>&lt;!DOCTYPE html&gt;
&lt;html xmlns="http://www.w3.org/1999/xhtml" xmlns:o="urn:schemas-microsoft-com:office:office" xmlns:v="urn:schemas-microsoft-com:vml"&gt;
&lt;head&gt;&lt;title&gt;Vercel January Product Update&lt;/title&gt;</t>
  </si>
  <si>
    <t>Take the guesswork out of ordering</t>
  </si>
  <si>
    <t>Google Gemini &lt;google-gemini-noreply@google.com&gt;</t>
  </si>
  <si>
    <t>Get the most out of Gemini on web
Welcome to Gemini, an AI assistant from Google that can help you supercharge your creativity and productivity. With Gemini web app, you can get help writ</t>
  </si>
  <si>
    <t>Enable Fluid for your projects</t>
  </si>
  <si>
    <t>&lt;!DOCTYPE html&gt;
&lt;html xmlns="http://www.w3.org/1999/xhtml" xmlns:o="urn:schemas-microsoft-com:office:office" xmlns:v="urn:schemas-microsoft-com:vml"&gt;
&lt;head&gt;&lt;title&gt;Enable Fluid for your projects&lt;/title</t>
  </si>
  <si>
    <t>Crowd-favorite restaurants around you</t>
  </si>
  <si>
    <t>Hey Craig, your $20 off expires soon</t>
  </si>
  <si>
    <t>Richard at OpenPhone &lt;richard.huffaker@openphone.com&gt;</t>
  </si>
  <si>
    <t>After Hours: How to grow your business with OpenPhone</t>
  </si>
  <si>
    <t>**********
Issue No.1
**********
**********************
Welcome to After Hours
**********************
How you (and we) can build better relationships with customers
Richard Huffaker
I’m Richard, t</t>
  </si>
  <si>
    <t>Intuit &lt;do_not_reply@intuit.com&gt;</t>
  </si>
  <si>
    <t>Your Intuit Account</t>
  </si>
  <si>
    <t>&lt;!DOCTYPE html&gt;
&lt;html&gt;
&lt;head&gt;
&lt;title&gt;&lt;/title&gt;
&lt;link rel="stylesheet" type="text/css" href="css/app.css"&gt;
&lt;meta name="viewport" content="width=device-width, initial-scale=1.0, maximum-sca</t>
  </si>
  <si>
    <t>Jimdo &lt;no-reply@jimdo.com&gt;</t>
  </si>
  <si>
    <t>[https://assets.jimstatic.com/mato-assets/images/Jimdo_2021_Navy.png]
Great news!
We've added your email address to our newsletter mailing list. From now on
you'll receive updates on deals, discount</t>
  </si>
  <si>
    <t>Restaurants loved by locals</t>
  </si>
  <si>
    <t>Link &lt;notifications@link.com&gt;</t>
  </si>
  <si>
    <t>Delete your Link account</t>
  </si>
  <si>
    <t>Delete your Link account
Click the button below to delete your personal information saved to your Link account, including:
- Card number
- Billing address
- Shipping address
- Phone number
This</t>
  </si>
  <si>
    <t>There are deals in here</t>
  </si>
  <si>
    <t>Railway &lt;hello@notify.railway.app&gt;</t>
  </si>
  <si>
    <t>Updates to our Privacy Policy and Subprocessors</t>
  </si>
  <si>
    <t>Railway Logo
Hello,
We’ve updated the Railway Privacy Policy ( https://railway.app/legal/privacy ), data processing addendum and our list of subprocessors effective February 28th, 2025.
These updat</t>
  </si>
  <si>
    <t>Mailchimp &lt;hello@e.mailchimp.com&gt;</t>
  </si>
  <si>
    <t>SMS: The missing piece of your marketing strategy</t>
  </si>
  <si>
    <t>"" &lt;https://app.e.mailchimp.com/e/er?utm_medium=email&amp;utm_source=Eloqua&amp;utm_campaign=706&amp;s=3533916&amp;lid=1318&amp;elqTrackId=eba5deac3a724c858779eda374d0d9ca&amp;elq=f999a888ffb9446794994421cdf</t>
  </si>
  <si>
    <t>Craving something new?</t>
  </si>
  <si>
    <t>Vercel Monthly Product Update</t>
  </si>
  <si>
    <t>&lt;!DOCTYPE html&gt;
&lt;html xmlns="http://www.w3.org/1999/xhtml" xmlns:o="urn:schemas-microsoft-com:office:office" xmlns:v="urn:schemas-microsoft-com:vml"&gt;
&lt;head&gt;&lt;title&gt;Vercel Monthly Product Update&lt;/title&gt;</t>
  </si>
  <si>
    <t>What are you in the mood for?</t>
  </si>
  <si>
    <t>Give your bottom line a boost with SMS Marketing</t>
  </si>
  <si>
    <t>‌ ‌ ‌ ‌ ‌ ‌ ‌ ‌ ‌ ‌ ‌ ‌ ‌ ‌ ‌ ‌ ‌ ‌ ‌ ‌ ‌ ‌ ‌ ‌ ‌ ‌ ‌ ‌ ‌ ‌ ‌ ‌ ‌ ‌ ‌ ‌ ‌ ‌ ‌ ‌ ‌ ‌ ‌ ‌ ‌ ‌ ‌ ‌ ‌ ‌ ‌ ‌ ‌ ‌ ‌ ‌ ‌ ‌ ‌ ‌ ‌ ‌ ‌ ‌ ‌ ‌ ‌ ‌ ‌ ‌ ‌ ‌ ‌ ‌ ‌ ‌ ‌ ‌ ‌ ‌ ‌ ‌ ‌ ‌ ‌ ‌ ‌ ‌ ‌ ‌ ‌ ‌ ‌ ‌ ‌ ‌ ‌ ‌</t>
  </si>
  <si>
    <t>Let's reconnect over a meal</t>
  </si>
  <si>
    <t>"Webador" &lt;support@webador.com&gt;</t>
  </si>
  <si>
    <t>Will you be our next success story?</t>
  </si>
  <si>
    <t>&lt;!DOCTYPE html&gt;
&lt;html xmlns:v="urn:schemas-microsoft-com:vml" xmlns:o="urn:schemas-microsoft-com:office:office" lang="en"&gt;
&lt;head&gt;
	&lt;title&gt;&lt;/title&gt;
	&lt;meta http-equiv="Content-Type" content="text/</t>
  </si>
  <si>
    <t>Join us March 20: Beyond the basics online event</t>
  </si>
  <si>
    <t>&lt;!DOCTYPE html&gt;
&lt;html xmlns="http://www.w3.org/1999/xhtml" xmlns:o="urn:schemas-microsoft-com:office:office" xmlns:v="urn:schemas-microsoft-com:vml"&gt;
&lt;head&gt;&lt;title&gt;Join us March 20: Beyond the basics o</t>
  </si>
  <si>
    <t>It's been a while, see what's new on Uber Eats</t>
  </si>
  <si>
    <t>Shake up your shopping game with deals</t>
  </si>
  <si>
    <t>We've been missing you around here!</t>
  </si>
  <si>
    <t>Quora Digest &lt;english-quora-digest@quora.com&gt;</t>
  </si>
  <si>
    <t>Top stories for B
-----
Question: Will a smoker’s lungs clean themselves if they quit smoking and how long does it take?
Answer from Karen Cohen
I quit smoking in 1985 and I’d smoked for 19 year</t>
  </si>
  <si>
    <t>Do you miss tasty takeout deliveries? =?UTF-8?B?8J+klA==?=</t>
  </si>
  <si>
    <t>No fees. No lines. Try Pickup on Uber Eats</t>
  </si>
  <si>
    <t>Craig n Emma, see the deals you missed</t>
  </si>
  <si>
    <t>Don't miss out on an excellent eating experience</t>
  </si>
  <si>
    <t>"Deb at Zapier" &lt;blog@send.zapier.com&gt;</t>
  </si>
  <si>
    <t>Vibe code</t>
  </si>
  <si>
    <t>Vibe coding won't yield the most sophisticated results, but it's an efficient 
way to get a working draft. Here's how it works.
 &lt;https://zapier.com/blog/?utm_content=logo-header&gt;
Log in &lt;https:</t>
  </si>
  <si>
    <t>Top stories for B
-----
Question: Can I call the police for a ride to court?
Answer from Adam Dassow
My brother once called the police because he was too drunk to drive and he didn’t know how to</t>
  </si>
  <si>
    <t>Score 25% off pain relief</t>
  </si>
  <si>
    <t>An order of Easter goodies is just a few taps away</t>
  </si>
  <si>
    <t>Vercel Product Update</t>
  </si>
  <si>
    <t>&lt;!DOCTYPE html&gt;
&lt;html xmlns="http://www.w3.org/1999/xhtml" xmlns:o="urn:schemas-microsoft-com:office:office" xmlns:v="urn:schemas-microsoft-com:vml"&gt;
&lt;head&gt;&lt;title&gt;Vercel Product Update&lt;/title&gt;&lt;!--[if</t>
  </si>
  <si>
    <t>You've been gone a while. See what's new to you!</t>
  </si>
  <si>
    <t>Your one-stop Easter shop =?UTF-8?B?8J+QsA==?=</t>
  </si>
  <si>
    <t>Keep the Easter party going with a delivery</t>
  </si>
  <si>
    <t>&lt;!DOCTYPE html&gt;
&lt;html xmlns="http://www.w3.org/1999/xhtml" xmlns:o="urn:schemas-microsoft-com:office:office" xmlns:v="urn:schemas-microsoft-com:vml"&gt;
&lt;head&gt;&lt;title&gt;You’re invited: Vercel Ship 2025&lt;/tit</t>
  </si>
  <si>
    <t>Last call for 60% off your next 2 orders !</t>
  </si>
  <si>
    <t>no-reply@qr-code-generator.com</t>
  </si>
  <si>
    <t>Activate your account to create your QR Code It’ll only take
a min = Let's get "make QR Code" off your to-do list =
It’ll only take a minute.</t>
  </si>
  <si>
    <t>Automate Excel</t>
  </si>
  <si>
    <t>Building an automated system with Excel as your central source of truth lets you streamline data transfer between your business-critical tools and keep everyone in your organization up to date.</t>
  </si>
  <si>
    <t>Being a high-impact leader</t>
  </si>
  <si>
    <t>Gig work • Gen Z attendance • OpenAI backtracks plans -
( https://clicks.mail.monday.com/f/a/IaCwIhW-Y-o3FhoSPzD8PA~~/AAQRxRA~/oNE58pU25kNRd_0vTRdmKwG0oMXIrhx1MXc1MTM8Hy-icln3mZIbVjQS-atYRBHknQYl0vxT</t>
  </si>
  <si>
    <t>It's been too long since your last order</t>
  </si>
  <si>
    <t>Uber One &lt;noreply@uber.com&gt;</t>
  </si>
  <si>
    <t>Your 3 month free Uber One trial unlocks big deals 5.16</t>
  </si>
  <si>
    <t>Todoist &lt;no-reply@todoist.com&gt;</t>
  </si>
  <si>
    <t>Updates to our Terms of Service and Privacy Policy</t>
  </si>
  <si>
    <t>Updates to our Terms of Service and Privacy Policy
Effective as of May 25, 2025
 ‌ ‍‎‏﻿ ‌ ‍‎‏﻿ ‌ ‍‎‏﻿ ‌ ‍‎‏﻿ ‌ ‍‎‏﻿ ‌ ‍‎‏﻿ ‌ ‍‎‏﻿ ‌ ‍‎‏﻿ ‌ ‍‎‏﻿ ‌ ‍‎‏﻿ ‌ ‍‎‏﻿ ‌
‍‎‏﻿ ‌ ‍‎‏﻿ ‌ ‍‎‏﻿ ‌ ‍‎‏﻿ ‌ ‍‎‏﻿ ‌ ‍‎‏﻿ </t>
  </si>
  <si>
    <t>Top stories for B
-----
WHEN A MAN GENUINELY LOVES YOU:
These are some of the strongest signs a man is in love with you. When a man begins to take serious interest in you, you’ll likely begin to</t>
  </si>
  <si>
    <t>Make your next no-cook-night easier</t>
  </si>
  <si>
    <t>Oh no! Your Dynamic QR Codes will expire in 3 days but they
don’t have to! = Where did the time go?! =
You’ve only got 3 days before your free</t>
  </si>
  <si>
    <t>Personalizing employee growth</t>
  </si>
  <si>
    <t>Spain’s reduced workweek • High school tradesmans • Digital
labor - ( https://clicks.mail.monday.com/f/a/uirVU9qUQZwJkVRXIVF99w~~/AAQRxRA~/d9-50sC1avvqcJW6UDPkH94jw2L_</t>
  </si>
  <si>
    <t>Come back for =?UTF-8?B?ZGVhbHPigJRmcm9t?= products to supplies</t>
  </si>
  <si>
    <t>Your QR Code Generator trial ended today Reactivate your
Codes now = How to Reactivate Your QR Codes =
Because your 14-day free trial of QR Code Ge</t>
  </si>
  <si>
    <t>Vercel Monthy Product Update</t>
  </si>
  <si>
    <t>&lt;!DOCTYPE html&gt;
&lt;html xmlns="http://www.w3.org/1999/xhtml" xmlns:o="urn:schemas-microsoft-com:office:office" xmlns:v="urn:schemas-microsoft-com:vml"&gt;
&lt;head&gt;&lt;title&gt;Vercel Monthy Product Update&lt;/title&gt;&lt;</t>
  </si>
  <si>
    <t>Successfully managing distributed employees</t>
  </si>
  <si>
    <t>India's comedy industry • Neurodivergent workforce • AI -
( https://clicks.mail.monday.com/f/a/_PzjuDrv6QGdlYr3kUVB6g~~/AAQRxRA~/ZQQWh-QmDaaePUOpywO6tzwZ0vEBpK90K3KZRcB7cK9z3UdTAncnEM8ylh0aJUNsLkuu2t</t>
  </si>
  <si>
    <t>Take a peek in the app to see new restaurants</t>
  </si>
  <si>
    <t>Shed Suite Team &lt;newsletter@shedsuite.com&gt;</t>
  </si>
  <si>
    <t>Better Photos. Smarter Marketing. Sharper Strategy.View in Browser https://shedsuite88468.acemlnc.com/lt.php?x=3DZy~GDJU3DM654q-NQ9VOic26FSkN~yj~tjjqbLVqSe6KJA-ky.yuZv5XIkmNA~lus3
https://shedsuite.c</t>
  </si>
  <si>
    <t>Almost sold out: Vercel Ship 2025 in NYC</t>
  </si>
  <si>
    <t>&lt;!DOCTYPE html&gt;
&lt;html xmlns="http://www.w3.org/1999/xhtml" xmlns:o="urn:schemas-microsoft-com:office:office" xmlns:v="urn:schemas-microsoft-com:vml"&gt;
&lt;head&gt;&lt;title&gt;Almost sold out: Vercel Ship 2025 in</t>
  </si>
  <si>
    <t>Google &lt;families-noreply@google.com&gt;</t>
  </si>
  <si>
    <t>Join craig's family group?</t>
  </si>
  <si>
    <t>Family group invitation
craig wants you to join his family group
placed.sj@gmail.com &lt;#&gt;
Hi CRAIG,
You can join craig's (craiglunaharper@gmail.com &lt;#&gt;) family group to connect with your f</t>
  </si>
  <si>
    <t>Welcome to your family group</t>
  </si>
  <si>
    <t>Family group welcome email
You've joined craig's family group
placed.sj@gmail.com &lt;#&gt;
Hi CRAIG,
Now that you're a member of craig's (craiglunaharper@gmail.com &lt;#&gt;) family group, you can a</t>
  </si>
  <si>
    <t>EU hedge funds • AI eavesdropping doctors • AI room readers -
( https://clicks.mail.monday.com/f/a/J9SD2h3gUIw4SCuQAVkLbA~~/AAQRxRA~/Fue7B66piN8Lj3IHuRA6Md22hQg8HnPW-ETody-QIALiH04adhLeRXBjQfpo8c6E5V</t>
  </si>
  <si>
    <t>We missed you! Enjoy an easy meal in a few taps.</t>
  </si>
  <si>
    <t>"Emma Ryan (Google Calendar)" &lt;calendar-notification@google.com&gt;</t>
  </si>
  <si>
    <t>Declined: harper n dad @ Daily from 8:30am to 9am (ADT) (placed.sj@gmail.com)</t>
  </si>
  <si>
    <t>Emma Ryan has declined this invitation.
harper n dad
Daily from 8:30am to 9am
Atlantic Time - Halifax
Join with Google Meet
https://meet.google.com/cpn-qipu-bjn?hs=224
i know 75 ways to contact</t>
  </si>
  <si>
    <t>Google Meet &lt;meetings-noreply@google.com&gt;</t>
  </si>
  <si>
    <t>Meeting records from
“harper n dad”
The meeting records from your meeting have been uploaded to Drive.
Meeting records Video Recording
Google LLC, 1600 Ampitheatre Parkway, Mountain View</t>
  </si>
  <si>
    <t>Gmail Team &lt;forwarding-noreply@google.com&gt;</t>
  </si>
  <si>
    <t>(Gmail Forwarding Confirmation - Receive Mail from craiglunaharper@gmail.com</t>
  </si>
  <si>
    <t>craiglunaharper@gmail.com has requested to automatically forward mail
to your email
address placed.sj@gmail.com.
To allow craiglunaharper@gmail.com to automatically forward mail to
your address,
plea</t>
  </si>
  <si>
    <t>New login to Spotify</t>
  </si>
  <si>
    <t>New login to Spotify
We noticed a new login to your account. Here are the details:
*Location/City/Country:* Canada
*Time:* June 15, 2025, 7:13:15 a.m. EDT
If you logged in to your account rec</t>
  </si>
  <si>
    <t>Craig n Emma, =?UTF-8?B?ZG9u4oCZdA==?= miss these popular
 =?UTF-8?B?ZmluZHPigJRzaG9wIG5vdyDwn5uS?=</t>
  </si>
  <si>
    <t>Supporting inclusion for LGBTQ+ team members</t>
  </si>
  <si>
    <t>Women's career advancement • Keeping talent • “Please” AI -
( https://clicks.mail.monday.com/f/a/FVO0elQ3SURxSihtd1neqA~~/AAQRxRA~/1xidPXL1qx8zekKzBdlx3brEy5Uc7fNxB4vMRMiPnd4s8sGCDVeDksAUbi68F8j5qYL8</t>
  </si>
  <si>
    <t>Lumin &lt;notifications@info.luminpdf.com&gt;</t>
  </si>
  <si>
    <t>Complete your purchase and start your PDF editings!</t>
  </si>
  <si>
    <t>Finish what you started – Lumin makes editing effortless!
**************************************************
🚀 Finish What You Started – Your PDFs Are Waiting!
***************************************</t>
  </si>
  <si>
    <t>Bubble &lt;newsletter@mail.bubble.io&gt;</t>
  </si>
  <si>
    <t>New challenge: Go mobile with Bubble and win $5K</t>
  </si>
  <si>
    <t>Build and deploy your app, post on social, and submit your app to our form to 
win
Hi CRAIG,
We’ve got big news for Bubble builders ready to go mobile: We’re launching the 
Bubble Summer Mob</t>
  </si>
  <si>
    <t>Access editing and signing tools now – your setup is waiting
( https://l.info.luminpdf.com/ls/click?upn=u001.4MqHGZ0E8KtLwZu0IvFvYv9pyhKdmgS85UR77nd1Oq-2FQjIMnRepsKmvg559ZRuGyQl9ZQELPPB1JN-2FlywjAwmO</t>
  </si>
  <si>
    <t>See =?UTF-8?B?d2hhdOKAmXM=?= trending today</t>
  </si>
  <si>
    <t>"CRAIG S (via Google Docs)" &lt;placed.sj@gmail.com&gt;</t>
  </si>
  <si>
    <t>proposed parenting plan harsh</t>
  </si>
  <si>
    <t>Mail Delivery Subsystem &lt;mailer-daemon@googlemail.com&gt;</t>
  </si>
  <si>
    <t>Delivery Status Notification (Failure)</t>
  </si>
  <si>
    <t>Find great deals on top products</t>
  </si>
  <si>
    <t>Building a strong team culture</t>
  </si>
  <si>
    <t>&gt;From Bhutan’s Bitcoin reserves to the happiest city in America
and scaling team culture -
( https://clicks.mail.monday.com/f/a/_TzGnNjLkE3Sfh4SrZ6WuA~~/AAQRxRA~/neMXRYx-GdaR2DgPdQRsjx_09MbcTJlYtr8zI</t>
  </si>
  <si>
    <t>Aneta at Moz &lt;help@moz.com&gt;</t>
  </si>
  <si>
    <t>Hi CRAIG,
I’m Aneta from the Customer Experience Team, and I’m thrilled to have you on board with Moz Pro!
I’ll be your go-to person during your 7-day free trial. If you have any questions—whether i</t>
  </si>
  <si>
    <t>FILINGJUSTINCASE</t>
  </si>
  <si>
    <t>Attached: FILINGJUSTINCASE.docx
Sent using Google Docs https://docs.google.com/
THIS HAS AI SUMMARY A 72J THAT SHOULD BE GARBAGE, EXHIBIT LIST IS KEY AND THE TRUTH LETER
This is a courtesy copy of</t>
  </si>
  <si>
    <t>FOR HARPER: A FOUNDATION OF HONESTY</t>
  </si>
  <si>
    <t>Attached: FOR HARPER: A FOUNDATION OF HONESTY.pdf
Sent using Google Docs https://docs.google.com/
PARENTING PLAN, AND OTHER IMMPORTANT DOCS</t>
  </si>
  <si>
    <t>Strengthening judgment when stakes are high</t>
  </si>
  <si>
    <t>The next generation of SEO • The rise of one-time CEOs • The
fall of job perks -
( https://clicks.mail.monday.com/f/a/nDyb3JVN0erzmGbkQ1dXAQ~~/AAQRxRA~/0iRGtaOI-i_Vh_kcifcDVvhG_e3y87u1wDr1-gU_nYRINAP</t>
  </si>
  <si>
    <t>New login to Spotify
We noticed a new login to your account. Here are the details:
*Location/City/Country:* Canada
*Time:* July 15, 2025, 2:01:54 PM EDT
If you logged in to your account recen</t>
  </si>
  <si>
    <t>Evernote&lt;noreply@comms.evernote.com&gt;</t>
  </si>
  <si>
    <t>2025 is far from over, but we’re excited to share what’s already changed in your
Evernote—in just six months...
Evernote Logo
[https://t2.mail-svc.evernote.com/f/a/RqI7nzeZH-NLAVYTlxOviw~~/AADd_xA~/h</t>
  </si>
  <si>
    <t>Sandra from Chatbase &lt;sandra@mail.chatbase.co&gt;</t>
  </si>
  <si>
    <t>Big updates you’ll love.
͏   ­͏   ­͏   ­͏   ­͏   ­͏   ­͏   ­͏   ­͏   ­͏   ­͏   ­͏   ­͏   ­͏   ­͏   ­͏   ­͏   ­͏   ­͏   ­͏   ­͏   ­͏   ­͏   ­͏   ­͏   ­͏
  ­͏   ­͏   ­͏   ­͏   ­͏   ­͏   ­͏   ­͏   ­͏   </t>
  </si>
  <si>
    <t>Last call for 60% off your next 3 orders !</t>
  </si>
  <si>
    <t>Last chance to get 3 months free when you return to Uber One.</t>
  </si>
  <si>
    <t>Final weeks: Submit your mobile app and win $5K</t>
  </si>
  <si>
    <t>Don't wait: Enter your app today
Hi CRAIG,
Quick reminder: There are less than four weeks left in the Bubble Summer 
Mobile App Challenge &lt;https://bubble.io/c/mobile-summer-hackathon&gt; — don'</t>
  </si>
  <si>
    <t>"Eric at Bolt.new" &lt;ericsimons@stackblitz.com&gt;</t>
  </si>
  <si>
    <t>Bolt for Teams just landed</t>
  </si>
  <si>
    <t>Get ready for a lot of exciting updates this week!
Bolt for Teams (https://d5llC804.na1.hubspotlinks.com/Ctc/DQ+113/d5llC804/VVV-0T8CZkZsW4QKsbJ17XTyTW24t7JB5zypNdM9V8k03lcq-W69sMD-6lZ3mgV_-fPj6YsQ2h</t>
  </si>
  <si>
    <t>Normalizing Vulnerable Leadership</t>
  </si>
  <si>
    <t>EU tech independence, AI layoffs, personalized airline fares -
( https://clicks.mail.monday.com/f/a/YPJYwKlsqF_rIEDahCu6iA~~/AAQRxRA~/X9FY7KLJUDdnNE6NVEsemHtgafswoDrJwlNY241Rh7LImuav2wYUcC8kOjBysZ0ym</t>
  </si>
  <si>
    <t>Katelyn from B12 &lt;hello@b12.io&gt;</t>
  </si>
  <si>
    <t>Make your site look like it was built by a pro.
Placed
Fresh features, faster updates
Hi Craig,
We just rolled out our biggest set of design upgrades ever, and they’re all about making your websit</t>
  </si>
  <si>
    <t>Plus standing out with your Google Business ProfileView in Browser https://shedsuite88468.acemlnc.com/lt.php?x=3DZy~GDJU3DM654q-NQ9VOic26FSkN~yj~tjjqbLVqSe6KJA-ky.z.Zx5XImmNA~juUvZ2
https://shedsuite</t>
  </si>
  <si>
    <t>New laws on mental health training, AI trust gaps, and how to
pivot strategy fast
August 5, 2025
monday.com 
( https://clicks.mail.monday.com/f/a/cBSPECVkGSrWy6u_YFobHw~~/AAQRxRA~/hhRX-4NJBRPG-WPfSCK</t>
  </si>
  <si>
    <t>Here's your app deploy guide.
Hi CRAIG,
Ready to get your mobile app live? With less than two weeks left in the Bubble 
Summer Mobile App Challenge &lt;https://bubble.io/c/mobile-summer-hackath</t>
  </si>
  <si>
    <t>GitHub &lt;no-reply@github.com&gt;</t>
  </si>
  <si>
    <t>More models to use, Copilot coding agent, and more.</t>
  </si>
  <si>
    <t>The latest launches from GitHub. See what’s new and how to get started.
‌ ‌ ‌ ‌ ‌ ‌ ‌ ‌ ‌ ‌ ‌ ‌ ‌ ‌ ‌ ‌ ‌ ‌
( https://github.com?utm_source=github&amp;utm_medium=email&amp;utm_campaign=mpu_august2025 )
****</t>
  </si>
  <si>
    <t>"Descript" &lt;newsletter@marketing.descript.com&gt;</t>
  </si>
  <si>
    <t>New: Generate original, bespoke video with AI</t>
  </si>
  <si>
    <t>3 free minutes of generated video for paid users 3 free minutes
of generated video for paid users
Descript 
( https://clicks.descript.com/f/a/CZaPmiSgDJkn4UXWM75CQA~~/AAQRxRA~/wxm0Kz1hqtyzq4Dj3Lf-QY9-</t>
  </si>
  <si>
    <t>Perplexity &lt;team@mail.perplexity.ai&gt;</t>
  </si>
  <si>
    <t>Use Perplexity Spaces.
͏   ­͏   ­͏   ­͏   ­͏   ­͏   ­͏   ­͏   ­͏   ­͏   ­͏   ­͏   ­͏   ­͏   ­͏   ­͏   ­͏   ­͏   ­͏   ­͏   ­͏   ­͏   ­͏   ­͏   ­͏   ­͏
  ­͏   ­͏   ­͏   ­͏   ­͏   ­͏   ­͏   ­͏   ­͏   ­͏</t>
  </si>
  <si>
    <t>"Jenny @ Perplexity" &lt;team@mail.perplexity.ai&gt;</t>
  </si>
  <si>
    <t>Comet, Gmail and GCal connectors, scheduling tasks, video generation, and more.
͏   ­͏   ­͏   ­͏   ­͏   ­͏   ­͏   ­͏   ­͏   ­͏   ­͏   ­͏   ­͏   ­͏   ­͏   ­͏   ­͏   ­͏   ­͏   ­͏   ­͏   ­͏   ­͏   ­͏   </t>
  </si>
  <si>
    <t>Delivery Status Notification (Delay)</t>
  </si>
  <si>
    <t>Next time you order in, give Uber Eats a go</t>
  </si>
  <si>
    <t>CRAIG, create illustrated stories and more</t>
  </si>
  <si>
    <t>Fresh features, endless possibilities
Gemini is constantly evolving. Check out our latest batch of updates.
Chat with Gemini&lt;https://c.gle/ANiao5rgbxkRA9YknNrGgaJLmmz8oboh4Hh-Ks_CU1tE59lQ3zBcQ5</t>
  </si>
  <si>
    <t>The Clio Team &lt;info@reply.clio.com&gt;</t>
  </si>
  <si>
    <t>Time to take Clio for a test drive</t>
  </si>
  <si>
    <t>And unlike a new car, Clio only gets more valuable over time.‌ ‌ ‌ ‌ ‌ ‌ ‌ ‌ ‌ ‌ ‌ ‌ ‌  ‌ ‌ ‌ ‌ ‌ ‌ ‌ ‌ ‌ ‌ ‌ ‌ ‌  ‌ ‌ ‌ ‌ ‌ ‌ ‌ ‌ ‌ ‌ ‌ ‌ ‌  ‌ ‌ ‌ ‌ ‌ ‌ ‌ ‌ ‌ ‌ ‌ ‌ ‌  ‌ ‌ ‌ ‌ ‌ ‌ ‌ ‌ ‌ ‌ ‌ ‌ ‌
Hi C</t>
  </si>
  <si>
    <t>Ghost vacations, return-to-office shifts, task masking solutions
- September 2, 2025
monday.com ( https://clicks.mail.monday.com/f/a/RwX5NgCATkJK_7gQNOsVZ</t>
  </si>
  <si>
    <t>Today get 30% off groceries!</t>
  </si>
  <si>
    <t>Perplexity now has personal agents. Get started by downloading Comet.
͏   ­͏   ­͏   ­͏   ­͏   ­͏   ­͏   ­͏   ­͏   ­͏   ­͏   ­͏   ­͏   ­͏   ­͏   ­͏   ­͏   ­͏   ­͏   ­͏   ­͏   ­͏   ­͏   ­͏   ­͏   ­͏
  </t>
  </si>
  <si>
    <t>Spotify &lt;no-reply@legal.spotify.com&gt;</t>
  </si>
  <si>
    <t>Important Updates to =?UTF-8?B?U3BvdGlmeeKAmXM=?= Terms</t>
  </si>
  <si>
    <t>We’re updating our Terms of Use (“*Terms*”) to clarify your rights and to provide more information to you. The updated Terms are effective as of September 26, 2025, for existing users. You can read t</t>
  </si>
  <si>
    <t>Betting, brainstorms, and workplace benefits. -
September 9, 2025
monday.com 
( https://clicks.mail.monday.com/f/a/LtC_6l1j8xaMT3ggJayzmQ~~/AAQRxRA~/GWALZ4oABPB-ivpz5XxFZECJIiJlDua0YBcr3K5LkT-PfmLzip</t>
  </si>
  <si>
    <t>Save 30% on Fresh Tuesday groceries this September</t>
  </si>
  <si>
    <t>Get meals you love, or the groceries &amp; convenience items you need</t>
  </si>
  <si>
    <t>Claim your Comet invite</t>
  </si>
  <si>
    <t>Comet can complete everyday tasks like email, scheduling, shopping, reservations, research, and more.
͏   ­͏   ­͏   ­͏   ­͏   ­͏   ­͏   ­͏   ­͏   ­͏   ­͏   ­͏   ­͏   ­͏   ­͏   ­͏   ­͏   ­͏   ­͏   ­͏</t>
  </si>
  <si>
    <t>Gemini image editing is bananas
Introducing our best image model, Nano Banana. Combine creative elements, make specific edits, and more.
Try Nano Banana&lt;https://c.gle/ANiao5pvmxavZLwFOor0mnS</t>
  </si>
  <si>
    <t>Dinner or daily essentials? Order almost anything!</t>
  </si>
  <si>
    <t>Your Comet invite will expire soon</t>
  </si>
  <si>
    <t>8am MyCase &lt;experts@mail.mycase.com&gt;</t>
  </si>
  <si>
    <t>Hi CRAIG AP,
Between focusing on clients and completing daily admin tasks, there never seems to be a moment to spare.
With a free trial of 8am™ MyCase, you'll experience how easy it is to…
- Keep c</t>
  </si>
  <si>
    <t>Could small leaks be sinking your profits?</t>
  </si>
  <si>
    <t>[8am | LawPay | MyCase | CasePeer | DocketWise](https://www.mycase.com/?utm_campaign=mc-september-webinarnewsletter&amp;utm_medium=email&amp;utm_source=direct)
[On the Docket | From client expectations to leg</t>
  </si>
  <si>
    <t>Nicole Black &lt;experts@mail.mycase.com&gt;</t>
  </si>
  <si>
    <t>Share your expertise on AI and access to justice</t>
  </si>
  <si>
    <t>Hi CRAIG AP,
We are asking legal professionals to share their insights on why and how lawyers are using technology like AI in their law firms and how changes in the industry are affecting the practic</t>
  </si>
  <si>
    <t>1 in 4 leads to a “meeting hangover.” Here’s the fix. -
September 30, 2025
monday.com 
( https://clicks.mail.monday.com/f/a/LvmHwo6BBvKY8966JYWnzw~~/AAQRxRA~/M__TQbvit4uM0SU-w06eMF2-zcdtcwujRFpiU60T6</t>
  </si>
  <si>
    <t>See what Enterprise teams are building with Perplexity Labs.
͏   ­͏   ­͏   ­͏   ­͏   ­͏   ­͏   ­͏   ­͏   ­͏   ­͏   ­͏   ­͏   ­͏   ­͏   ­͏   ­͏   ­͏   ­͏   ­͏   ­͏   ­͏   ­͏   ­͏   ­͏   ­͏
  ­͏   ­͏  </t>
  </si>
  <si>
    <t>"Webador" &lt;no-reply@webador.com&gt;</t>
  </si>
  <si>
    <t>Update mail September 2025</t>
  </si>
  <si>
    <t>A performance summary for your website(s) and a bit about the latest innovations at Webador.
We'll send you a monthly update email with a summary of how your website's performing and the latest innova</t>
  </si>
  <si>
    <t>Introducing our Fresh Guarantee.</t>
  </si>
  <si>
    <t>"craig schulz (via Google Drive)" &lt;drive-shares-dm-noreply@google.com&gt;</t>
  </si>
  <si>
    <t>Share request for "emmaspaperaffidavit"</t>
  </si>
  <si>
    <t>craig@paulroofs.com requests access to an item:
emmaspaperaffidavit
https://drive.google.com/drive/folders/1bhsc4pnCU-hsTxxkQ2Zk4wpMwQHnG4at?usp=sharing&amp;userstoinvite=craig@paulroofs.com&amp;sharingactio</t>
  </si>
  <si>
    <t>"marissa-campbell-29@ho... (via Google Docs)" &lt;drive-shares-dm-noreply@google.com&gt;</t>
  </si>
  <si>
    <t>Share request for "Harper's Best Interest"</t>
  </si>
  <si>
    <t>marissa-campbell-29@hotmail.com requests access to an item:
Harper's Best Interest
https://docs.google.com/document/d/18pxWe5Vxc-984OeUjVndeh4pr1F4-178LXTKZj6xjWY/edit?usp=sharing&amp;userstoinvite=maris</t>
  </si>
  <si>
    <t>MyCase &lt;experts@mail.mycase.com&gt;</t>
  </si>
  <si>
    <t>How are workplace shifts impacting the legal profession?</t>
  </si>
  <si>
    <t>Hi CRAIG AP,
The future of law is taking shape.
Between the adoption of AI and ongoing workplace shifts, it’s imperative to track trends to ensure your business stays ahead of the competition.
In t</t>
  </si>
  <si>
    <t>What will be revealed at Next.js Conf 2025?</t>
  </si>
  <si>
    <t>&lt;!DOCTYPE html&gt;
&lt;html xmlns="http://www.w3.org/1999/xhtml" xmlns:o="urn:schemas-microsoft-com:office:office" xmlns:v="urn:schemas-microsoft-com:vml"&gt;
&lt;head&gt;&lt;title&gt;What will be revealed at Next.js Conf</t>
  </si>
  <si>
    <t>Your Pro trial ends in 3 days</t>
  </si>
  <si>
    <t>&lt;span id="inflection-email-preheader" style="display:none; visibility:hidden; opacity:0; height:0; width:0;"&gt;Don’t lose access to Pro features‌ ‌ ‌&lt;/span&gt;&lt;!DOCTYPE html&gt;
&lt;html xmlns="http://www.w3.or</t>
  </si>
  <si>
    <t>cloudHQ &lt;support@cloudHQ.net&gt;</t>
  </si>
  <si>
    <t>Welcome to Combine Files to PDF by cloudHQ</t>
  </si>
  <si>
    <t>Getting started ✨ ‌ ‌ ‌ ‌  ‌  ‌  ‌  ‌  ‌  ‌ ‌ ‌ ‌ ‌ ‌ ‌ ‌ ‌
Hi there,
Welcome to
C
ombine Files to PDF
by cloudHQ.
This simple and powerful app makes it easy to merge any file type into a clean, profe</t>
  </si>
  <si>
    <t>The 996 workweek, Gen Z education, AI risks -
October 14, 2025
monday.com 
( https://clicks.mail.monday.com/f/a/_bb0CNyb26-pw1gohK1giQ~~/AAQRxRA~/IdE6ixFp-EShD4YXpHLBbdH1MNklNwLKINDeAIgqgxvXTIo5uilmg</t>
  </si>
  <si>
    <t>Copilot &lt;notifications@github.com&gt;</t>
  </si>
  <si>
    <t>placedsj/studio &lt;studio@noreply.github.com&gt;</t>
  </si>
  <si>
    <t>Re: [placedsj/studio] [WIP] Add service account setup for Harpers
 Place automation (PR #2)</t>
  </si>
  <si>
    <t>Assigned #2 to @placedsj.
-- 
Reply to this email directly or view it on GitHub:
https://github.com/placedsj/studio/pull/2#event-20156704804
You are receiving this because you were assigned.
Message</t>
  </si>
  <si>
    <t>[placedsj/studio] [WIP] Add service account setup for Harpers Place
 automation (PR #2)</t>
  </si>
  <si>
    <t>Thanks for assigning this issue to me. I&amp;#39;m starting to work on it and will keep this PR&amp;#39;s description up to date as I form a plan and make progress.
&amp;lt;!-- START COPILOT CODING AGENT SUFFIX</t>
  </si>
  <si>
    <t>@Copilot pushed 1 commit.
0dfd1f1fe450e1cfc0fb44d0cafb0be7abc86184 Complete Harpers Place Automation implementation with Gemini OCR
-- View it on GitHub:
https://github.com/placedsj/studio/pull/2/</t>
  </si>
  <si>
    <t>Re: [placedsj/studio] Complete Harpers Place Automation: Implement
 Google Drive OCR with Gemini API (PR #2)</t>
  </si>
  <si>
    <t>@Copilot requested your review on: placedsj/studio#2 Complete Harpers Place Automation: Implement Google Drive OCR with Gemini API.
-- 
Reply to this email directly or view it on GitHub:
https://gith</t>
  </si>
  <si>
    <t>Stacey C &lt;campbellstacey98@gmail.com&gt;</t>
  </si>
  <si>
    <t>Fwd: Re: Obtaining the things to care for her.</t>
  </si>
  <si>
    <t>Sent with Spark
---------- Forwarded message ----------
From: Emma Ryan &lt;em.ry@icloud.com&gt;
Date: Jan 14, 2025 at 10:52 AM -0400
To: K O &lt;placed.sj@gmail.com&gt;
Subject: Re: Obtaining the things to care</t>
  </si>
  <si>
    <t>082825 same ol song and dance update</t>
  </si>
  <si>
    <t>we had the ole normal saturday playbook. acted like i might get her
tomorrow then at 8pm she said do not come here you are not taking her blah
blah. i said do not ever contact me again emma. and then</t>
  </si>
  <si>
    <t>harpers prayer</t>
  </si>
  <si>
    <t>rothesay cop said today, hold on it is going to get much worse before it
gets better man. so time to start sharing lots
------------------------------
*Harper's Prayer*
*To the Courts of New Brunswi</t>
  </si>
  <si>
    <t>Fwd: Checking in</t>
  </si>
  <si>
    <t>Fwd: FDSJ-739-2024 - Ryan v Schulz</t>
  </si>
  <si>
    <t>Stacey C &lt;campbellstacey98@gmail.com&gt;, Christashannon@hotmail.com</t>
  </si>
  <si>
    <t>Fwd: Craig Schulz - Variation</t>
  </si>
  <si>
    <t>Stacey C &lt;campbellstacey98@gmail.com&gt;, DALE CAMPBELL &lt;dale.campbell@rogers.com&gt;, 
	Brenda Kotsabasakis &lt;blk@bellaliant.net&gt;, amymcampbell@hotmail.com</t>
  </si>
  <si>
    <t>sorry for the doc dump tonight clearing er all out for final countdown</t>
  </si>
  <si>
    <t>For my friends, family, and everyone in my community who has been on this
journey with me, I want to share a little bit about what the last several
months have been like. This isn't about airing griev</t>
  </si>
  <si>
    <t xml:space="preserve">"Attagirl abandon your daughter to go get high Unless it's about Harper or pip.er I don't care I'll behomesoonwlthformul.a I want my dog . -- I'm done with bullst.t yelling DoM GJ Gl 0 • o e e D 'i, @ a Yeah No • 0 z u 0 p </t>
  </si>
  <si>
    <t>7:03 PM (Cont.)</t>
  </si>
  <si>
    <t>Undated Time</t>
  </si>
  <si>
    <t>4:29 PM (Cont.)</t>
  </si>
  <si>
    <t>5:50 PM (Cont.)</t>
  </si>
  <si>
    <t>6:51 PM (Cont.)</t>
  </si>
  <si>
    <t>Later</t>
  </si>
  <si>
    <t>Undated</t>
  </si>
  <si>
    <t>File Name</t>
  </si>
  <si>
    <t>Exhibit File Name</t>
  </si>
  <si>
    <t>Date</t>
  </si>
  <si>
    <t>Time</t>
  </si>
  <si>
    <t>Duration</t>
  </si>
  <si>
    <t>Evidentiary Theme</t>
  </si>
  <si>
    <t>Key Content &amp; Specific Quotes for Affidavit</t>
  </si>
  <si>
    <t>Column 8</t>
  </si>
  <si>
    <t>Column 9</t>
  </si>
  <si>
    <t>Column 10</t>
  </si>
  <si>
    <t>Column 11</t>
  </si>
  <si>
    <t>Column 12</t>
  </si>
  <si>
    <t>Column 13</t>
  </si>
  <si>
    <t>Column 14</t>
  </si>
  <si>
    <t>Column 15</t>
  </si>
  <si>
    <t>Column 16</t>
  </si>
  <si>
    <t>IMG_0128.MOV</t>
  </si>
  <si>
    <t>[TBD]</t>
  </si>
  <si>
    <t>$00:30$</t>
  </si>
  <si>
    <t>USE OF WEAPON/BLOOD (P1): Immediate aftermath of shattered object/mirror. Emma Ryan (Applicant) is unclothed, aggressive, with visible blood on her and User's arm.</t>
  </si>
  <si>
    <t>Applicant's Quote: "Left go of me! Stop touching me again!" (Gaslighting/false claim of assault).</t>
  </si>
  <si>
    <t>IMG_0126.MOV</t>
  </si>
  <si>
    <t>$00:32$</t>
  </si>
  <si>
    <t>CONTEMPT/ABUSE (P2): Captures Applicant's erratic behavior post-attack. Dogs (Luna/Piper) visibly distressed.</t>
  </si>
  <si>
    <t>Applicant's Quote: "Fucking useless piece of shit." Dogs visibly present.</t>
  </si>
  <si>
    <t>IMG_0121.MOV</t>
  </si>
  <si>
    <t>$1:45$</t>
  </si>
  <si>
    <t>EXTREME VERBAL VIOLENCE (P3): Documents sustained rage and verbal abuse directed at the User.</t>
  </si>
  <si>
    <t>User's Quote: "You don't even know right from wrong... You can't fucking stay calm in front of the baby, you fucking whore."</t>
  </si>
  <si>
    <t>IMG_0124.MOV</t>
  </si>
  <si>
    <t>$1:05$</t>
  </si>
  <si>
    <t>CHAOS/THREAT AFTERMATH (P4): Dark/obscured video, loud, sustained screaming and banging/thudding.</t>
  </si>
  <si>
    <t>Applicant (Emma Ryan) screaming, chaotic audio.</t>
  </si>
  <si>
    <t>IMG_0667.MOV</t>
  </si>
  <si>
    <t>$01:29$</t>
  </si>
  <si>
    <t>CHAOS/ENVIRONMENT (P5): Shows the state of the living area: extreme clutter, fallen items (dresser, crib parts), and chaotic environment while Harper is present.</t>
  </si>
  <si>
    <t>Visual evidence of unstable and unsafe living conditions. Dog visible in the mess.</t>
  </si>
  <si>
    <t>IMG_0669.MOV</t>
  </si>
  <si>
    <t>IMG_0651.MOV</t>
  </si>
  <si>
    <t>$00:54$</t>
  </si>
  <si>
    <t>ENDANGERMENT/UNSTABILITY (P6): Applicant (Emma Ryan) seated on couch, holding Harper, pointing aggressively at the user while the dog is stressed.</t>
  </si>
  <si>
    <t>Applicant is holding Harper while aggressively yelling/pointing. Directly demonstrates endangerment by exposing Harper to conflict.</t>
  </si>
  <si>
    <t>IMG_0666.MOV</t>
  </si>
  <si>
    <t>IMG_0664.MOV</t>
  </si>
  <si>
    <t>$00:46$</t>
  </si>
  <si>
    <t>ENVIRONMENT (P7): Visual scan of the environment (crib, dresser, floor) showing the level of chaos and clutter in Harper's immediate vicinity.</t>
  </si>
  <si>
    <t>Visual evidence of an unsanitary/unstable living condition immediately surrounding the baby's crib area.</t>
  </si>
  <si>
    <t>IMG_0115.MOV (3 Min Segment)</t>
  </si>
  <si>
    <t>IMG_0115.MOV (Segment 1)</t>
  </si>
  <si>
    <t>$\sim 3:00$</t>
  </si>
  <si>
    <t>PERJURY REFUTAL (P8): The main conflict. Directly refutes the Affidavit lie that User refused to feed Harper.</t>
  </si>
  <si>
    <t>Applicant's Quote: "Fucking leave so I can feed our child." User states: "You have a child now."</t>
  </si>
  <si>
    <t>THIS IS ITS OWN VIDEO NOT THE</t>
  </si>
  <si>
    <t>CONTINUATION</t>
  </si>
  <si>
    <t>OF</t>
  </si>
  <si>
    <t>$00:15$</t>
  </si>
  <si>
    <t>ASSAULT ON MINOR CHILD (P9): CORE EVIDENCE. Documents Applicant throwing an object that HITS HARPER while the child is in the User's arms.</t>
  </si>
  <si>
    <t>Applicant: Emma Ryan (unclothed, throwing objects). User's Quote: "You're done."</t>
  </si>
  <si>
    <t>NEW FACETIME RECORDING</t>
  </si>
  <si>
    <t>$00:19$</t>
  </si>
  <si>
    <t>DRUG CONTEXT &amp; ENDANGERMENT (P10): Documents Applicant's severe emotional instability just after the assault on Harper.</t>
  </si>
  <si>
    <t>Applicant's Quote: "Yes you do" (in response to User's "I don't have your drugs" comment).</t>
  </si>
  <si>
    <t>IMG_0116.MOV</t>
  </si>
  <si>
    <t>$00:27$</t>
  </si>
  <si>
    <t>POST-ASSAULT RAGE (P11): Applicant seen/heard continuing to scream and bang after the core incident. Audio of her slamming the door repeatedly.</t>
  </si>
  <si>
    <t>Applicant's Action: Repeatedly slamming the door ("Hit the door again!"). Applicant's Quote: "Stop fucking talking to yourself!" (Projection).</t>
  </si>
  <si>
    <t>EXHIBIT_EMAIL_20250822_001_61794f94,EMAIL,2025-08-22T09:20:39+00:00,95.0,CRITICAL,Email: Automatic reply: Urgent Request for Assistance with Family Law Case – Harper Ryan’s Safety,61794f94beff8f36d5d2a6a54006b7cd4e1dda777cc0e8fb3458d3d442782ac8</t>
  </si>
  <si>
    <t>EXHIBIT_EMAIL_20250822_002_8832102e,EMAIL,2025-08-22T06:19:36-03:00,95.0,CRITICAL,Email: Urgent Request for Assistance with Family Law Case – Harper Ryan’s Safety,8832102e17236c8f07e119f44a5958f336a45d40dee5abca0e9eb9e80e2f60f9</t>
  </si>
  <si>
    <t>EXHIBIT_EMAIL_20250909_003_99156348,EMAIL,2025-09-09T18:51:57+00:00,96.0,CRITICAL,Email: Fw: Emma's affidavit,99156348a2402e14dd682b11fda4b1aa10ad697e2df2b0ad8a90bc4a7d8c8d28</t>
  </si>
  <si>
    <t>EXHIBIT_EMAIL_20250217_004_5fa58cb8,EMAIL,2025-02-17T20:31:05-04:00,100.0,CRITICAL,Email: Re: Emma's affidavit,5fa58cb8c6a42f11f9412554fd5ae27c733cb2504806940734c0fd2c7e74e0a6</t>
  </si>
  <si>
    <t>EXHIBIT_EMAIL_20250217_005_62cddc57,EMAIL,2025-02-17T20:30:35-04:00,100.0,CRITICAL,Email: Re: Emma's affidavit,62cddc5745d9bdfe253192c94b9766d364b85fa8955ef97b3748acf9cb3604c8</t>
  </si>
  <si>
    <t>EXHIBIT_EMAIL_20250217_006_967b09de,EMAIL,2025-02-17T20:29:50-04:00,100.0,CRITICAL,Email: Re: Emma's affidavit,967b09defbfceaadf8b83154456a84efa759921fc6e37682d25790fc21b3cf9a</t>
  </si>
  <si>
    <t>EXHIBIT_EMAIL_20250218_007_4ebdb330,EMAIL,2025-02-18T00:00:30+00:00,100.0,CRITICAL,Email: Emma's affidavit,4ebdb3302836a282dd6dd2476954592b7fe4d8cef10aa4f2ba9ca2b8d0844953</t>
  </si>
  <si>
    <t>EXHIBIT_EMAIL_20250824_008_eab02fb6,EMAIL,2025-08-24T12:48:45-03:00,96.0,CRITICAL,"Email: FWD: Formal Demand – Outstanding Wages, Unauthorized Use of Materials, and Defamatory Statements",eab02fb6b1a6b4319524ff4a01b5334d612ffd01d9c2e58508d37cf46d240576</t>
  </si>
  <si>
    <t>EXHIBIT_EMAIL_20250706_009_da3f429c,EMAIL,2025-07-06T14:03:56-03:00,96.0,CRITICAL,Email: statement re harper's well-being - obituary some might say,da3f429c7a5e28e6d178dd4cde797a6d44cf1f4bf5e5e8d7178152064dea947a</t>
  </si>
  <si>
    <t>EXHIBIT_EMAIL_20250714_010_693c5936,EMAIL,2025-07-14T07:17:51-03:00,96.0,CRITICAL,Email: 72j affidavit 0714 needs ai and combed through.,693c5936e1396e2d16f658583f69d3e272ad0ea3356ec6e7cc1d48f2fe2ac093</t>
  </si>
  <si>
    <t>EXHIBIT_EMAIL_20250210_011_7bc1992a,EMAIL,2025-02-10T11:27:29-04:00,100.0,CRITICAL,Email: Re: 2020 NOA,7bc1992a5cd9a9a7ac8b06f581afa3e26a6fc9a9c8c8980c3b9be928e5884144</t>
  </si>
  <si>
    <t>EXHIBIT_EMAIL_20250210_012_45b5897c,EMAIL,2025-02-10T10:55:47-04:00,100.0,CRITICAL,Email: Re: 2020 NOA,45b5897c3188eda75d8235b2d72a342a8d2d629129485f10d41e204e18914e7d</t>
  </si>
  <si>
    <t>EXHIBIT_EMAIL_20250210_013_a78e2c7d,EMAIL,2025-02-10T10:17:22-04:00,100.0,CRITICAL,Email: 2020 NOA,a78e2c7d9ef77df687a8554292bc586c0712bd1adf7bfbcb44f91b2c0c94dc6e</t>
  </si>
  <si>
    <t>EXHIBIT_EMAIL_20250627_014_cbda2725,EMAIL,2025-06-27T16:38:40+00:00,95.0,CRITICAL,"Email: RE: URGENT: Craig Schulz - File FDSJ 739-24 - COMPLETE BLOCKED ACCESS</t>
  </si>
  <si>
    <t>TO HARPER &amp; Refusal of Court-",cbda2725ddf3f4fddbb92d43c38aac8b3df5f19915278a6f7941090e41e221b5</t>
  </si>
  <si>
    <t>EXHIBIT_EMAIL_20250627_015_6b481672,EMAIL,2025-06-27T13:08:33-03:00,95.0,CRITICAL,"Email: URGENT: Craig Schulz - File FDSJ 739-24 - COMPLETE BLOCKED ACCESS TO</t>
  </si>
  <si>
    <t>HARPER &amp; Refusal of Court-Orde",6b481672efe463ecf8e03a74b513cab6eacc66ceb63df6d79313fe95d4d3d50b</t>
  </si>
  <si>
    <t>EXHIBIT_EMAIL_20250824_016_a99986c7,EMAIL,2025-08-24T12:47:18-03:00,96.0,CRITICAL,"Email: Formal Demand – Outstanding Wages, Unauthorized Use of Materials, and Defamatory Statements",a99986c75c3acc593967048ce102cf126b1b472eda86af4b8eb3af81063e9db9</t>
  </si>
  <si>
    <t>EXHIBIT_EMAIL_20250618_017_e68d1dff,EMAIL,2025-06-18T09:08:33-03:00,95.0,CRITICAL,Email: FDSJ 739-24,e68d1dff20255d062b682e03ab755328624f4d4b0d338f2a4f8f087617338f4b</t>
  </si>
  <si>
    <t>EXHIBIT_EMAIL_20250620_018_8afc0ff8,EMAIL,2025-06-20T16:24:09+00:00,95.0,CRITICAL,Email: RE: FDSJ 739-24,8afc0ff8c56fcb16a6ff2473053600a6eed9c66adc702a750db0401aaabcf35a</t>
  </si>
  <si>
    <t>EXHIBIT_EMAIL_20250620_019_801d1694,EMAIL,2025-06-20T13:15:33-03:00,95.0,CRITICAL,Email: Re: FDSJ 739-24,801d1694a93502d8e0ec699e3d3d62c359bf26cad92618b8ef8bffa294023acc</t>
  </si>
  <si>
    <t>EXHIBIT_EMAIL_20250620_020_99523c03,EMAIL,2025-06-20T16:04:31+00:00,95.0,CRITICAL,Email: RE: FDSJ 739-24,99523c033a4353389450aed7e4b08fe5ff18e3ec1d7ce6166644ec2581804eec</t>
  </si>
  <si>
    <t>EXHIBIT_EMAIL_20250618_021_47160644,EMAIL,2025-06-18T12:55:00+00:00,95.0,CRITICAL,Email: RE: FDSJ 739-24,471606444c023d401e94743f435409c2609ffc78daab9f5d6cba094b9239a317</t>
  </si>
  <si>
    <t>EXHIBIT_EMAIL_20250618_022_f2f7eb23,EMAIL,2025-06-18T09:31:59-03:00,95.0,CRITICAL,Email: FDSJ 739-24,f2f7eb2315a208308f4e5c2db0874833170946ac4bfb8ee99628c247454908a1</t>
  </si>
  <si>
    <t>EXHIBIT_EMAIL_20250627_023_896745b1,EMAIL,2025-06-27T06:01:31-03:00,90.0,CRITICAL,Email: sunday court ordered parenting time,896745b1a9628f8c950282e2e06e6c3bc8adbbb748644b24ac2694ad8fa97de0</t>
  </si>
  <si>
    <t>EXHIBIT_EMAIL_20251007_024_a71bd876,EMAIL,2025-10-07T13:44:06-03:00,85.0,CRITICAL,Email: CRAIG SCHULZ FDSJ  739-2024 INTERIM ORDER 10-06-2025,a71bd87699422d182343b35de519aca4d2095f8bf87ffaec1748d544422823b5</t>
  </si>
  <si>
    <t>EXHIBIT_EMAIL_20250423_025_644dd2e7,EMAIL,2025-04-23T19:26:55-07:00,96.0,CRITICAL,Email: Don’t just watch! Be among the first to witness Samsung Vision AI.,644dd2e7205126e34285bbca756bcfb2f1f0887a03b7db51d2fccf4828594e77</t>
  </si>
  <si>
    <t>EXHIBIT_EMAIL_20250913_026_fbe2f6db,EMAIL,2025-09-13T10:15:25-03:00,90.0,CRITICAL,Email: court ordered sunday parenting time September 13th.,fbe2f6dbc241aa19fe7df8c94ecd1b0e1fcc10823dfdd2831adb9ec21246bb7e</t>
  </si>
  <si>
    <t>EXHIBIT_EMAIL_20250227_027_e9418aaa,EMAIL,2025-02-27T13:02:32+00:00,100.0,CRITICAL,Email: Your cart item: now 62% OFF!,e9418aaa9f01770fe04a508d748383feb55bd0154c73486c4061a38755d5f08a</t>
  </si>
  <si>
    <t>EXHIBIT_EMAIL_20250228_028_f2663a35,EMAIL,2025-02-28T07:01:30-06:00,100.0,CRITICAL,Email: Presenting your latest bonus!,f2663a3593d18855ebae74076277b1c18ca0d91eb1ccd2ec9e01e76a2c767bf1</t>
  </si>
  <si>
    <t>EXHIBIT_EMAIL_20250228_029_f1b73d73,EMAIL,2025-02-28T17:00:29+00:00,100.0,CRITICAL,"Email: SOC 2 Compliance, GPT-4.5, and Claude 3.7: The Latest Chatbase Updates",f1b73d73b6e4fc3592f92d558409ba3aef0d29a4de196e186a882eb610138c2b</t>
  </si>
  <si>
    <t>EXHIBIT_EMAIL_20250226_030_5531a759,EMAIL,2025-02-26T19:32:20+01:00,100.0,CRITICAL,Email: Sending solutions and 2025 coin sets,5531a7591c822108924cb46d1306e457aebb29df4dd3955840ee3c3cb7f147a7</t>
  </si>
  <si>
    <t>EXHIBIT_EMAIL_20250226_031_7e0599af,EMAIL,2025-02-26T10:35:08-06:00,100.0,CRITICAL,Email: Your Insights Needed: Help Improve Heroku's UX!,7e0599af9a0b4913d159c497d34c731e80d32cf15cd02097e4d6748c8c4c616e</t>
  </si>
  <si>
    <t>EXHIBIT_EMAIL_20250228_032_f6d4eea9,EMAIL,2025-02-28T16:10:10+00:00,100.0,CRITICAL,"Email: February updates: new layout packs, automatic Smart transitions, and an AI Video Maker",f6d4eea94a70f5a0526a90b04c2d98c4e4f78e811bfd4c2b7faffd32719d857d</t>
  </si>
  <si>
    <t>EXHIBIT_EMAIL_20250227_033_2337e533,EMAIL,2025-02-27T07:01:45-06:00,100.0,CRITICAL,Email: The mail you've waited for!,2337e533db55258f4337cdb278c847a3a183e7dc5082323bd7c9b9d804065d74</t>
  </si>
  <si>
    <t>EXHIBIT_EMAIL_20250228_034_4e8b56a1,EMAIL,2025-02-28T07:02:33-06:00,100.0,CRITICAL,"Email: Everyone's talking about it, Tony",4e8b56a1e85de96ffaf1660fd7af2aa238342dba70b11055229d7a59ecd3cbf4</t>
  </si>
  <si>
    <t>EXHIBIT_EMAIL_20250227_035_4c1a140f,EMAIL,2025-02-27T12:26:57-06:00,100.0,CRITICAL,Email: Your weekly flyer is here 🙂,4c1a140f07355cd899b4807a3d46b125e08b73c14d059945df8dcf11162c4b5c</t>
  </si>
  <si>
    <t>EXHIBIT_EMAIL_20250227_036_3c5c34ae,EMAIL,2025-02-27T08:21:35-08:00,100.0,CRITICAL,Email: Photoshop on iPhone is here. It’s free.,3c5c34ae4c1c23c024b7f0f75b37f80a8b2da881b7a1292c7a47c9988f27374d</t>
  </si>
  <si>
    <t>EXHIBIT_EMAIL_20250227_037_a34e3d3e,EMAIL,2025-02-27T07:15:13+00:00,100.0,CRITICAL,Email: Manage your work and time together,a34e3d3ed07a55d23d7f90fe834f4267fd8510f43d19f215bfe21b0f7c934ff0</t>
  </si>
  <si>
    <t>EXHIBIT_EMAIL_20250228_038_6c60179e,EMAIL,2025-02-28T08:39:58-06:00,100.0,CRITICAL,Email: The new iPhone 16e is here 📱,6c60179e36179f7590b454ccefacb595c9f3789ce0bf56443403a4a1e10146a6</t>
  </si>
  <si>
    <t>EXHIBIT_EMAIL_20250228_039_df9b86eb,EMAIL,2025-02-28T03:56:13+00:00,100.0,CRITICAL,Email: Wix Groups: Ideas for Your First Post,df9b86ebb3bb0b1f8744650ec892f149c6b4c2f6e163ec19ea10527c23947215</t>
  </si>
  <si>
    <t>EXHIBIT_EMAIL_20250228_040_2c405db7,EMAIL,2025-02-28T10:03:19-06:00,100.0,CRITICAL,Email: Have you seen AccuLynx's proposal tools yet?,2c405db735ade04478f6644e4e8383b97f55b3ec8f19b3df2f255fdfaa85c51d</t>
  </si>
  <si>
    <t>EXHIBIT_EMAIL_20250228_041_2bfefd6e,EMAIL,2025-02-28T09:52:32+00:00,100.0,CRITICAL,Email: Don't forget to finish!,2bfefd6ef7e6e705e839ab9b65bddca24fc0cbe4a1ef5b8ec5c533d04bbf226d</t>
  </si>
  <si>
    <t>EXHIBIT_EMAIL_20250227_042_5a149810,EMAIL,2025-02-27T12:03:15+00:00,100.0,CRITICAL,Email: Footlong BOGO for $1? Offer wont last forever!! 🤑,5a149810dad2f8985d14da03cd13a6c637b2b4a8eacbfe9d82df22e3c3cdc283</t>
  </si>
  <si>
    <t>EXHIBIT_EMAIL_20250225_043_187b8221,EMAIL,2025-02-25T22:02:57+00:00,100.0,CRITICAL,Email: You Still Have Free AI Credits – Don’t Waste Them.,187b82214ff6c81e02a8d72b25a94ae7e6628c6cf16c592e02276c380b55919b</t>
  </si>
  <si>
    <t>EXHIBIT_EMAIL_20250226_044_c77acaa3,EMAIL,2025-02-26T16:52:48-08:00,100.0,CRITICAL,"Email: Knock, knock! It's the era of AI appliances.",c77acaa3207a599e37c05b467a460cd9703b1bdb7410d0e516d299a6b7b4cb07</t>
  </si>
  <si>
    <t>EXHIBIT_EMAIL_20250228_045_a10a534a,EMAIL,2025-02-28T14:21:50-06:00,100.0,CRITICAL,Email: Low prices on breakfast essentials &amp; more 🍞,a10a534a04dc3b8047faf2b2cc20c2ecaccce9c08fb4cf3cf7c7dda37083f3c0</t>
  </si>
  <si>
    <t>EXHIBIT_EMAIL_20250227_046_b9df7ddb,EMAIL,2025-02-27T15:41:15+00:00,100.0,CRITICAL,Email: Organize your files with Dropbox folders,b9df7ddb8415ad41ddaee509be94bf5a66d24e71a02a9a67253a0a34ee41ca45</t>
  </si>
  <si>
    <t>EXHIBIT_EMAIL_20250227_047_5e3d5996,EMAIL,2025-02-27T22:40:39+00:00,100.0,CRITICAL,Email: Download Our Android &amp; iOS Mobile Apps 📱,5e3d5996f71cdc963f861ec29cb2b5f93ffb3a6d89db3f7d67591eacb40ce446</t>
  </si>
  <si>
    <t>EXHIBIT_EMAIL_20250228_048_7f7894bd,EMAIL,2025-02-28T17:22:28+05:30,100.0,CRITICAL,Email: Re: Having Trouble with Your AI Chatbot Setup? We’re Here to Help!,7f7894bd6966fabd26a9648797ef1927022009447f5a5322a763ac5c5b47c2f2</t>
  </si>
  <si>
    <t>EXHIBIT_EMAIL_20250226_049_180d882f,EMAIL,2025-02-26T11:34:17+05:30,100.0,CRITICAL,Email: Re: Having Trouble with Your AI Chatbot Setup? We’re Here to Help!,180d882f05d2f880d7459d878c24d06a3d113efac67a562ada34cd6265144e11</t>
  </si>
  <si>
    <t>EXHIBIT_EMAIL_20250224_050_19e39ad0,EMAIL,2025-02-24T16:33:08+05:30,100.0,CRITICAL,Email: Re: Having Trouble with Your AI Chatbot Setup? We’re Here to Help!,19e39ad0933eeb89ff410f62f611bff057b22c335c77d815405ce17668a8192d</t>
  </si>
  <si>
    <t>EXHIBIT_EMAIL_20250220_051_93e9b68a,EMAIL,2025-02-20T12:18:07+05:30,100.0,CRITICAL,Email: Re: Having Trouble with Your AI Chatbot Setup? We’re Here to Help!,93e9b68a4c7acf2eec945711e562d69dfb64da84fdc020f6638148e4a3f90fcb</t>
  </si>
  <si>
    <t>EXHIBIT_EMAIL_20250226_052_1151c290,EMAIL,2025-02-26T14:54:53+00:00,100.0,CRITICAL,Email: Last Chance—Save 50% with Wix,1151c290952a5e432b2734a5ed3ab506998025f2e7cf86dca0e83afb5e059fbe</t>
  </si>
  <si>
    <t>EXHIBIT_EMAIL_20250221_053_688316af,EMAIL,2025-02-21T07:01:34-06:00,100.0,CRITICAL,Email: A bonus that's all yours!,688316afadf06bc435125e9ba5b0b9e815c876137955719c67c668e6f20931f9</t>
  </si>
  <si>
    <t>EXHIBIT_EMAIL_20250221_054_84a50375,EMAIL,2025-02-21T05:35:40-08:00,100.0,CRITICAL,Email: Quick Tip: Capture Moving Narration with Professional Voice Overs,84a50375096be455a95eb21107fce3c915d09a0bcbfff3d98e2ae595345c6008</t>
  </si>
  <si>
    <t>EXHIBIT_EMAIL_20250221_055_6d66a74f,EMAIL,2025-02-21T02:21:46+00:00,100.0,CRITICAL,Email: 2 people you've invited haven't joined yet,6d66a74fc21892937dee8039c664c88ec9c2e0912a76f426919355e68feb17ce</t>
  </si>
  <si>
    <t>EXHIBIT_EMAIL_20250225_056_fe622269,EMAIL,2025-02-25T07:01:25-06:00,100.0,CRITICAL,"Email: Seal your deal, Alison!",fe62226916096b5f32409d95ba2aa221d627b33d988b31f24f9ac1c3ff2aaa67</t>
  </si>
  <si>
    <t>EXHIBIT_EMAIL_20250222_057_10241c08,EMAIL,2025-02-22T06:00:04+00:00,100.0,CRITICAL,"Email: vroofn, Deposit CAD 5, Get 77 Free Spins! ⚡",10241c086711e3fd738d5a727be66f2828b96204f619bf82e55f6fd5187798bd</t>
  </si>
  <si>
    <t>EXHIBIT_EMAIL_20250221_058_6ba36bb1,EMAIL,2025-02-21T08:44:23-06:00,100.0,CRITICAL,Email: Pre-order the new iPhone 16e 📱,6ba36bb1902aa1c962862f12cf14fb8d3e6e9c88cf768f6665ae3f218acb8cfd</t>
  </si>
  <si>
    <t>EXHIBIT_EMAIL_20250224_059_0d866f27,EMAIL,2025-02-24T23:44:15+00:00,100.0,CRITICAL,Email: New login to Spotify,0d866f27a614afde97453f9f326bfdfaca8187f682c26ab73ebb2b0dfe8cd0a2</t>
  </si>
  <si>
    <t>EXHIBIT_EMAIL_20250222_060_313fced0,EMAIL,2025-02-22T03:12:04+00:00,100.0,CRITICAL,Email: New login to Spotify,313fced0cae5f6fde7cc9256143c69c19aa57d541ed16c521626821288262088</t>
  </si>
  <si>
    <t>EXHIBIT_EMAIL_20250226_061_aff55a4a,EMAIL,2025-02-26T07:03:00-06:00,100.0,CRITICAL,"Email: One bonus, so many possibilities!",aff55a4a2fe248606e4eb4c0b7c38a7e97b1496f8e608d737a6e311d1b7b41bc</t>
  </si>
  <si>
    <t>EXHIBIT_EMAIL_20250226_062_963d4d8b,EMAIL,2025-02-26T06:35:15+00:00,100.0,CRITICAL,Email: Discover New Games in Our Live Casino!,963d4d8b7ed53ec55b6a24ab9297278186838e58aa623e8f83e726a57c01c918</t>
  </si>
  <si>
    <t>EXHIBIT_EMAIL_20250226_063_9596360c,EMAIL,2025-02-26T15:02:19+00:00,100.0,CRITICAL,"Email: Stacey, is  your resume ready to start landing interviews?",9596360c663173b76e137658c10e37a84ac9606f57b1b74aab189327b209c26e</t>
  </si>
  <si>
    <t>EXHIBIT_EMAIL_20250221_064_917c05de,EMAIL,2025-02-21T02:14:20+00:00,100.0,CRITICAL,Email: After Hours: How to grow your business with OpenPhone,917c05dece7bd1db43ad83ee2230c54291706ebac1f10bbf14aaaec79b42aabf</t>
  </si>
  <si>
    <t>EXHIBIT_EMAIL_20250223_065_79767001,EMAIL,2025-02-23T19:49:32+00:00,100.0,CRITICAL,Email: Welcome to Bubble! Let’s get started.,797670019da429f9d0fc3d092c0f76faff0f4abb785dad2161535efc1d9903ff</t>
  </si>
  <si>
    <t>EXHIBIT_EMAIL_20250224_066_787005df,EMAIL,2025-02-24T15:15:26+00:00,100.0,CRITICAL,Email: Have you seen the latest drops? 👀,787005df52376b77cbafcf4ea87da39ebb1668462ac0ffcbbe5215109e461e48</t>
  </si>
  <si>
    <t>EXHIBIT_EMAIL_20250224_067_679be993,EMAIL,2025-02-24T05:52:04+00:00,100.0,CRITICAL,Email: Your app placed-58199 has hit 100% of its database limit,679be99363c822b6aa4fc756ca062fd47e2f6b73ef64bec643648d8c596da934</t>
  </si>
  <si>
    <t>EXHIBIT_EMAIL_20250226_068_3e2467cd,EMAIL,2025-02-26T07:07:10+00:00,100.0,CRITICAL,Email: We saved this template for you!,3e2467cda54e178b6ab12776717b04c3b7c283706c919b13e05acfb7de479a4b</t>
  </si>
  <si>
    <t>EXHIBIT_EMAIL_20250223_069_cc92f77d,EMAIL,2025-02-23T17:59:45+00:00,100.0,CRITICAL,Email: Your cart item: now 85% OFF!,cc92f77d17df11e38c1f3775c712f4e67355a64ff9507e3e718cf0d50e03df8b</t>
  </si>
  <si>
    <t>EXHIBIT_EMAIL_20250224_070_45fb1cff,EMAIL,2025-02-24T10:35:36-06:00,100.0,CRITICAL,Email: $50 says an AccuLynx demo is worth your time,45fb1cff24b5169d63f42becd93462b6d1be34328aa9001d404cdfa531373439</t>
  </si>
  <si>
    <t>EXHIBIT_EMAIL_20250223_071_20374593,EMAIL,2025-02-23T16:02:51+00:00,100.0,CRITICAL,Email: Security alert for placed.sj@gmail.com,20374593542bc8f84c23a985811fb7fa40b460c1f2a01c3dd1367db4e451d07d</t>
  </si>
  <si>
    <t>EXHIBIT_EMAIL_20250222_072_1411163b,EMAIL,2025-02-22T13:11:45+00:00,100.0,CRITICAL,Email: Security alert for lunacraigcep@gmail.com,1411163bb0fb728c9df0a0c0f4c5c128450d8a86de0774c15707291524b272b2</t>
  </si>
  <si>
    <t>EXHIBIT_EMAIL_20250222_073_d836ed5b,EMAIL,2025-02-22T07:52:28+00:00,100.0,CRITICAL,Email: Security alert for lunacraigcep@gmail.com,d836ed5b17df83af44c1517d817d5c29d7d38c57bf493323600b232cb99c0ee3</t>
  </si>
  <si>
    <t>EXHIBIT_EMAIL_20250217_074_771a26c0,EMAIL,2025-02-17T12:02:32+00:00,100.0,CRITICAL,Email: Footlong BOGO for $1? Yesway®!,771a26c016ca2a54c494b5b3855c351d7c71e732ab9efa01dd24472e049f8d5a</t>
  </si>
  <si>
    <t>EXHIBIT_EMAIL_20250216_075_74589420,EMAIL,2025-02-16T09:27:07-08:00,100.0,CRITICAL,Email: You’re now using Gemini on web,745894200db38fa8300ceea8a474adde0cebb68ae1bc7aa5b4fd13985d4fee84</t>
  </si>
  <si>
    <t>EXHIBIT_EMAIL_20250220_076_95fd8c37,EMAIL,2025-02-20T12:25:41-06:00,100.0,CRITICAL,Email: Experience our most popular hotels for less,95fd8c3753c17563cc4e7bd14bbd38d52e3da5a2fe990e32e1c77d3dd76a7a55</t>
  </si>
  <si>
    <t>EXHIBIT_EMAIL_20250219_077_c8a53d99,EMAIL,2025-02-19T19:27:16+01:00,100.0,CRITICAL,Email: Track your packages and more,c8a53d99dfad6c6edd8af5c2542f6f1fa4aeb003f6b8eb6d5eb8a798cbe08ded</t>
  </si>
  <si>
    <t>EXHIBIT_EMAIL_20250219_078_a389d492,EMAIL,2025-02-19T06:00:11+00:00,100.0,CRITICAL,"Email: vroofn, Play with a 120% Bonus + 30 Free Spins! 💘",a389d4922d8a0b62d1fcdfe3deaaa09fad6229f59fd11d2a86942205310c5130</t>
  </si>
  <si>
    <t>EXHIBIT_EMAIL_20250220_079_c22e124e,EMAIL,2025-02-20T10:02:58-06:00,100.0,CRITICAL,Email: Your weekly flyer is here 🙂,c22e124e124b9ef1ed17103427f0e6841912c95bd19e2fa13650cb5f1bf22bf9</t>
  </si>
  <si>
    <t>EXHIBIT_EMAIL_20250215_080_128ed37f,EMAIL,2025-02-15T14:59:11+00:00,100.0,CRITICAL,"Email: Last days: 1 month of Premium for $1. $12.69/mo. after. Cancel</t>
  </si>
  <si>
    <t>anytime.",128ed37ff1b158b9d70bda5a00beacb93b0aa0bfa1d48ae4911c6c46d78458d0</t>
  </si>
  <si>
    <t>EXHIBIT_EMAIL_20250220_081_c03d5a41,EMAIL,2025-02-20T17:17:25+00:00,100.0,CRITICAL,Email: 🚀 Ready to Master Descript? Join Our Live Demo on March 4th,c03d5a41f941346395c562d192aa454c03439592674eeae473a3840b23a5553e</t>
  </si>
  <si>
    <t>EXHIBIT_EMAIL_20250218_082_5b760826,EMAIL,2025-02-18T17:15:38+00:00,100.0,CRITICAL,Email: Security alert for lunacraigcep@gmail.com,5b760826a1da1f0be9fee81b78348e1db5f9c02907aef02cfd0060d09097efc3</t>
  </si>
  <si>
    <t>EXHIBIT_EMAIL_20250219_083_a276a0bf,EMAIL,2025-02-19T16:45:24+00:00,100.0,CRITICAL,Email: 🛒TEMU Cart Message,a276a0bfd547bdd53b6862313f6f62d3a5feeecd4241815535f2d7b8937352de</t>
  </si>
  <si>
    <t>EXHIBIT_EMAIL_20250220_084_ff602ee8,EMAIL,2025-02-20T14:59:57+01:00,100.0,CRITICAL,Email: Vente privée : les rabais jusqu’à 60 % se terminent demain,ff602ee8a97d8eb8617438647d146f08cb84c8127ca094e904d455282446e53c</t>
  </si>
  <si>
    <t>EXHIBIT_EMAIL_20250220_085_a13b5b79,EMAIL,2025-02-20T00:58:46+00:00,100.0,CRITICAL,Email: Revision to Your Amazon.ca Account,a13b5b79067f1bad18b62e0a27d0b4303ef02fbdadcf94c868f2aea4aeed4a5c</t>
  </si>
  <si>
    <t>EXHIBIT_EMAIL_20250220_086_ad2bceaa,EMAIL,2025-02-20T00:58:45+00:00,100.0,CRITICAL,Email: Revision to Your Amazon.ca Account,ad2bceaac8351f4b53d8f3bee048f5654287f0a936bfcc607d4f1031cee7fce9</t>
  </si>
  <si>
    <t>EXHIBIT_EMAIL_20250220_087_1faf7fc9,EMAIL,2025-02-20T12:02:20+00:00,100.0,CRITICAL,Email: Chicken or Steak?,1faf7fc91bbe63b4b3cf935773b00e26184d40b7bb0021681bd66cabb3b28212</t>
  </si>
  <si>
    <t>EXHIBIT_EMAIL_20250218_088_352fc93a,EMAIL,2025-02-18T14:33:28+00:00,100.0,CRITICAL,Email: 50% OFF sale is on,352fc93a73984277e2d9d04664d9f95c22903829d951b8fd7ca769c8324c5e98</t>
  </si>
  <si>
    <t>EXHIBIT_EMAIL_20250218_089_8cbad67e,EMAIL,2025-02-18T03:25:06+00:00,100.0,CRITICAL,Email: You've got Premium!,8cbad67ea7dca2eb4b6ae594d238079863464545d4215be766b14f381b693381</t>
  </si>
  <si>
    <t>EXHIBIT_EMAIL_20250218_090_6d45b779,EMAIL,2025-02-18T05:09:44+01:00,100.0,CRITICAL,"Email: vroofn, you have free spins on Getaway Gangsters! 🔪",6d45b7791bbc29841cdcad0f7c3ccd296495be0b58fbddcad33f09f499de199c</t>
  </si>
  <si>
    <t>EXHIBIT_EMAIL_20250217_091_90eedc53,EMAIL,2025-02-17T09:06:53-05:00,100.0,CRITICAL,Email: This Week's BEST Deals,90eedc5362464e1a84389f0b47d5bd3cd43fdb3325e3d4e063375e6bf7d2b3e4</t>
  </si>
  <si>
    <t>EXHIBIT_EMAIL_20250226_092_b51af256,EMAIL,2025-02-26T03:57:13+00:00,100.0,CRITICAL,Email: Welcome to Porch!,b51af2563c358aadc4657d2e399178140e2fd1c750599b3408173f62f6f779ff</t>
  </si>
  <si>
    <t>EXHIBIT_EMAIL_20250218_093_ac476c23,EMAIL,2025-02-18T03:31:41+00:00,100.0,CRITICAL,Email: New application authorised in your Trello account,ac476c2346a56e99497fb75d8ae2628b7f5bef1165131655474606a72d766930</t>
  </si>
  <si>
    <t>EXHIBIT_EMAIL_20250225_094_c8ed4a35,EMAIL,2025-02-25T07:15:08+00:00,100.0,CRITICAL,Email: Replace your AI chatbot with Notion AI,c8ed4a35653ff4c221ccb9310d42995b3b68dbfd04d660fbae2a6568e4ed3002</t>
  </si>
  <si>
    <t>EXHIBIT_EMAIL_20250218_095_26a29e6d,EMAIL,2025-02-18T08:24:01-08:00,100.0,CRITICAL,Email: Your new family group member,26a29e6dc341d08e41ded242eb3315fa9c95cbe8d3a66de28f0c7838261f175a</t>
  </si>
  <si>
    <t>EXHIBIT_EMAIL_20250218_096_558c1fbc,EMAIL,2025-02-18T07:20:52-08:00,100.0,CRITICAL,Email: Your new family group member,558c1fbc1d0668bde79b5f86c9d3763436b7600ab7278f53ff711d44f83876a7</t>
  </si>
  <si>
    <t>EXHIBIT_EMAIL_20250218_097_3e9220ba,EMAIL,2025-02-18T02:48:38+00:00,100.0,CRITICAL,Email: Two for the price of one!,3e9220bac9ad40e6c93675aef1cd11a0f6d061ab08d6b428f59cd9d80dcfb340</t>
  </si>
  <si>
    <t>EXHIBIT_EMAIL_20250222_098_28d29711,EMAIL,2025-02-22T03:11:42+00:00,100.0,CRITICAL,Email: Security alert for placed.sj@gmail.com,28d29711a7b04dd35ef4e78217d8a3bf5f7951a620b5f9e5c608ba9be41c7ddc</t>
  </si>
  <si>
    <t>EXHIBIT_EMAIL_20250220_099_b5f38998,EMAIL,2025-02-20T21:44:39+00:00,100.0,CRITICAL,Email: Your cart item: now 84% OFF!,b5f38998c32b207973edc935c581f952af9cc5d7d0c76eaf56dcda99953208d2</t>
  </si>
  <si>
    <t>EXHIBIT_EMAIL_20250218_100_f9b54bcc,EMAIL,2025-02-18T09:39:02-06:00,100.0,CRITICAL,Email: Rollback alert 🚨 Save on grocery &amp; more!,f9b54bcc429fc4a48053257344f4a0757f704cab5d014b1c3003ae7b03ae2536</t>
  </si>
  <si>
    <t>EXHIBIT_EMAIL_20250219_101_3c19b2ca,EMAIL,2025-02-19T14:45:28+00:00,100.0,CRITICAL,Email: Last Chance—Save 50% with Wix,3c19b2ca5f28da7dfdaea2d8c90b9d71720078e15560533434bfbc43e36dc199</t>
  </si>
  <si>
    <t>EXHIBIT_EMAIL_20250223_102_41eeab53,EMAIL,2025-02-23T16:08:39+00:00,100.0,CRITICAL,Email: New sign-in to your Alfred account,41eeab53ac4c0cb32d5d1f70bea5fbf2c7bd6020d7709ac14c5112ca1f8b7d31</t>
  </si>
  <si>
    <t>EXHIBIT_EMAIL_20250223_103_013c38af,EMAIL,2025-02-23T16:08:12+00:00,100.0,CRITICAL,Email: New sign-in to your Alfred account,013c38afbd43da7d267dee1f1a5376463b147b3d844429e24860663c1f4b5cfc</t>
  </si>
  <si>
    <t>EXHIBIT_EMAIL_20250223_104_38f3a6c1,EMAIL,2025-02-23T02:12:22+00:00,100.0,CRITICAL,Email: Sick day lessons &amp; ✈️ safety tips,38f3a6c1f097aec1cdc65173cbb928d8900792dd7af3928289857dbdf33b750f</t>
  </si>
  <si>
    <t>EXHIBIT_EMAIL_20250218_105_88819a1c,EMAIL,2025-02-18T09:35:19+00:00,100.0,CRITICAL,"Email: Folder shared with you: ""Yep""",88819a1c9a1d8fff85406c0b70ad2f44bc3a5e79a21151d5a13753e55de65c92</t>
  </si>
  <si>
    <t>EXHIBIT_EMAIL_20250219_106_25f22e7b,EMAIL,2025-02-19T20:09:21+00:00,100.0,CRITICAL,Email: Crowd-favorite restaurants around you,25f22e7becb1fe79be1b3007953960a1723d11d30fa4714d567cdfbd741f363c</t>
  </si>
  <si>
    <t>EXHIBIT_EMAIL_20250224_107_e0dc5c61,EMAIL,2025-02-24T14:45:45-04:00,100.0,CRITICAL,Email: It’s your favourite roofer!,e0dc5c61312e935c9feafa1b9af0eb2160895c198728c4d0fa13385a1490602d</t>
  </si>
  <si>
    <t>EXHIBIT_EMAIL_20250220_108_cc805453,EMAIL,2025-02-20T19:51:35+00:00,100.0,CRITICAL,"Email: Grab 20 Spins to play this player fave, no deposit required.",cc8054534d5a717e1a05712376cfeebe9f864eb00da80aa457ecc55948e01d3f</t>
  </si>
  <si>
    <t>EXHIBIT_EMAIL_20250217_109_d5d36d78,EMAIL,2025-02-17T19:38:41-08:00,100.0,CRITICAL,"Email: Welcome to Google One, CRAIG",d5d36d78ba2f11bbe064c4118a17254c91fc4a908040b3f90889fb16b8cc88eb</t>
  </si>
  <si>
    <t>EXHIBIT_EMAIL_20250215_110_8388b58e,EMAIL,2025-02-15T10:12:32-06:00,100.0,CRITICAL,Email: Up to 40% off Deals of the Week 💥,8388b58e28c624ba70a15a756ad61e656ae6b90471497e04b1dbbd67ffc03771</t>
  </si>
  <si>
    <t>EXHIBIT_EMAIL_20250218_111_f8c03807,EMAIL,2025-02-18T20:46:31+00:00,100.0,CRITICAL,Email: Your cart item: now 85% OFF!,f8c038075637ecac19bed9b6f358a1f3dd252312dc03d6a743c54dcad0f22e5d</t>
  </si>
  <si>
    <t>EXHIBIT_EMAIL_20250219_112_69e50d9d,EMAIL,2025-02-19T08:37:39+00:00,100.0,CRITICAL,Email: Reset your Stripe password,69e50d9d15f3c1843890cbd1e862882ddaca083b0bb71b62a2bde6072363a901</t>
  </si>
  <si>
    <t>EXHIBIT_EMAIL_20250220_113_e8e76f2c,EMAIL,2025-02-20T08:05:36+00:00,100.0,CRITICAL,Email: What will you build?,e8e76f2c4c59582111d2aad7778cc9db8f20857674c9d17d31605478f8ea69ce</t>
  </si>
  <si>
    <t>EXHIBIT_EMAIL_20250218_114_578dd807,EMAIL,2025-02-18T04:41:54+00:00,100.0,CRITICAL,Email: Security alert,578dd80774cd0d7c0389a85362cf1e715dc0862382c622fee4a9d3e6d5966891</t>
  </si>
  <si>
    <t>EXHIBIT_EMAIL_20250218_115_46f4d8c0,EMAIL,2025-02-18T03:35:53+00:00,100.0,CRITICAL,Email: Security alert,46f4d8c0747ec3703d081a09d65c99806c8f69d07c488a98973e16e4f205f0c8</t>
  </si>
  <si>
    <t>EXHIBIT_EMAIL_20250218_116_2f774adb,EMAIL,2025-02-18T04:41:54+00:00,100.0,CRITICAL,Email: Security alert for placed.sj@gmail.com,2f774adbb9b91a0f0e0f4476dce827785a2b7bc13de1899567d7109514336c7f</t>
  </si>
  <si>
    <t>EXHIBIT_EMAIL_20250218_117_d7dfcde2,EMAIL,2025-02-18T03:35:53+00:00,100.0,CRITICAL,Email: Security alert for placed.sj@gmail.com,d7dfcde209ae2eaa07e5fb79c8e6a1819f612518f750c8c4b023f2c328a82387</t>
  </si>
  <si>
    <t>EXHIBIT_EMAIL_20250221_118_9def34c6,EMAIL,2025-02-21T07:02:48-06:00,100.0,CRITICAL,"Email: Where have you gone, Tony?",9def34c62c927be88700ae057cd5246b693014e1cfd19ff637fefe2b620c268c</t>
  </si>
  <si>
    <t>EXHIBIT_EMAIL_20250217_119_f098e5ed,EMAIL,2025-02-17T09:35:45-06:00,100.0,CRITICAL,"Email: Swimwear, luggage &amp; more vacay finds 🧳",f098e5ed902f74bd3e1ebe3e6f025fb4f3f84cf5ef656de031916cad6658719d</t>
  </si>
  <si>
    <t>EXHIBIT_EMAIL_20250217_120_54877612,EMAIL,2025-02-17T10:00:43-08:00,100.0,CRITICAL,Email: ⚠️ Your Gmail storage is 100% full,548776125a5e689ca912a1d8f4251b3072b88212d3237ad35c04ea125437d37d</t>
  </si>
  <si>
    <t>EXHIBIT_EMAIL_20250222_121_0eff96f8,EMAIL,2025-02-22T19:51:13+00:00,100.0,CRITICAL,"Email: We are ready to upgrade your account, Dawn.",0eff96f8bffcfc456ec876b16049b2dbad8b45dc3c1ddbbf4d32ee672f9c2163</t>
  </si>
  <si>
    <t>EXHIBIT_EMAIL_20250219_122_fa1c1393,EMAIL,2025-02-19T10:19:50+00:00,100.0,CRITICAL,Email: Get started on desktop,fa1c139398d45bf3a4bf525488ec773cdb35966ea9f4e988d71a2aff67762ee0</t>
  </si>
  <si>
    <t>EXHIBIT_EMAIL_20250221_123_25593420,EMAIL,2025-02-21T22:29:22+00:00,100.0,CRITICAL,Email: Roll Up To Win is back on Feb 24!🎉😍,25593420dc79e5bad8f59321445bc124ecb51ad4d8c86929e56e04a521e4c13b</t>
  </si>
  <si>
    <t>EXHIBIT_EMAIL_20250221_124_e2ccf720,EMAIL,2025-02-21T15:08:01+00:00,100.0,CRITICAL,Email: Exclusive Offer: 50% OFF with Webador,e2ccf720ddb0cc131b9ae689d7071554b2fd740fc3b94d2c85582f909ff8425a</t>
  </si>
  <si>
    <t>EXHIBIT_EMAIL_20250216_125_6de14aaa,EMAIL,2025-02-16T02:17:31+00:00,100.0,CRITICAL,Email: A “surveillance pricing” FYI + Scotland wins at baby boxes,6de14aaaad46bec47e11086819eca83f846dbb054409fe9d8cfc4b4f3fc42121</t>
  </si>
  <si>
    <t>EXHIBIT_EMAIL_20250216_126_73ecc8e3,EMAIL,2025-02-16T16:35:12+00:00,100.0,CRITICAL,"Email: Your job search just got easier, Stacey – here’s how",73ecc8e3d5d30c8946841fe91a7a53da293659fd453439d1c307abe1b1a7a442</t>
  </si>
  <si>
    <t>EXHIBIT_EMAIL_20250222_127_d357b5bf,EMAIL,2025-02-22T10:00:27-06:00,100.0,CRITICAL,Email: Score! Up to 40% off this week’s deals 🙌,d357b5bfe4c5285ec043a1ad3eb425962d21469569b2422e1a422023b2ee810c</t>
  </si>
  <si>
    <t>EXHIBIT_EMAIL_20250218_128_c19d6bf6,EMAIL,2025-02-18T16:17:41-04:00,100.0,CRITICAL,Email: Harper day Harper day it’s dad Luna and Harper day!!!!,c19d6bf6cf4ad4738222775e3c4e0261e4ba0a2db3b53a56cb2abfdb613cbdb8</t>
  </si>
  <si>
    <t>EXHIBIT_EMAIL_20250224_129_52e0556a,EMAIL,2025-02-24T07:02:25-06:00,100.0,CRITICAL,"Email: You're in for some Mega fun, Tony",52e0556a68731b092c5d51ab160455ecbed760a6e7b27c187de18f91f9e2cf38</t>
  </si>
  <si>
    <t>EXHIBIT_EMAIL_20250225_130_7443913c,EMAIL,2025-02-25T09:37:03-06:00,100.0,CRITICAL,Email: Calling all CLEARANCE fans 📢,7443913ca7439eade43ae7a4c4915dc4c92515bad573b348132c0b28321836a5</t>
  </si>
  <si>
    <t>EXHIBIT_EMAIL_20250226_131_f818033e,EMAIL,2025-02-26T20:11:43+00:00,100.0,CRITICAL,Email: Restaurants loved by locals,f818033eb19dc95121c914168a68d1995158058175fd6dbd388391ea390dbed1</t>
  </si>
  <si>
    <t>EXHIBIT_EMAIL_20250219_132_495380eb,EMAIL,2025-02-19T12:25:30+00:00,100.0,CRITICAL,Email: 🔮 MYSTERY DEAL🔮 Just for you!,495380eb8f979c4d95ccf0ce0680df6eb5e71326fb033d533f7b1bddf4b9a1ac</t>
  </si>
  <si>
    <t>EXHIBIT_EMAIL_20250226_133_a13d3d9d,EMAIL,2025-02-26T06:00:16+00:00,100.0,CRITICAL,"Email: vroofn, Play with a 100% Bonus + 50 Free Spins! 🏜️",a13d3d9d87582df43109130ef948ba331dace12e3575eb1ab1c2e38f78609638</t>
  </si>
  <si>
    <t>EXHIBIT_EMAIL_20250220_134_eeae65c0,EMAIL,2025-02-20T04:11:52+00:00,100.0,CRITICAL,Email: Welcome to Grasshopper!,eeae65c016c43f84ba53119fe724ad0df69de48dea116fe4c2b3d9a91cfb743b</t>
  </si>
  <si>
    <t>EXHIBIT_EMAIL_20250228_135_d4512d32,EMAIL,2025-02-28T14:25:58+00:00,100.0,CRITICAL,Email: Streamline your invoicing with Wix,d4512d32e6f24b6bd630bc63946ae15f32aa244208c07ee1d0e16a389e3f96b9</t>
  </si>
  <si>
    <t>EXHIBIT_EMAIL_20250217_136_a38c72eb,EMAIL,2025-02-17T22:22:32+00:00,100.0,CRITICAL,Email: Make your app go viral on TikTok,a38c72eb0769426160152018b6dd5df1b48c7b3af11d2a5cbcd5463f0ce6d2cf</t>
  </si>
  <si>
    <t>EXHIBIT_EMAIL_20250221_137_a9aac7bd,EMAIL,2025-02-21T15:01:47+01:00,100.0,CRITICAL,Email: Dernier jour pour profiter de rabais allant jusqu’à 60 %,a9aac7bda20ba21862648837c25d21e38099636d22b78703ce83abe1a095b19c</t>
  </si>
  <si>
    <t>EXHIBIT_EMAIL_20250221_138_7c8f49da,EMAIL,2025-02-21T16:35:30+00:00,100.0,CRITICAL,"Email: Stacey, get ready for your next big thing!",7c8f49da17cd196927dd2f2ee16aa6c6f0a9b3d46a40b4056cb2a4c6df16c1e3</t>
  </si>
  <si>
    <t>EXHIBIT_EMAIL_20250225_139_8f97f258,EMAIL,2025-02-25T05:09:42+01:00,100.0,CRITICAL,"Email: vroofn, you have free spins on Amazing Catch Power Combo!🐟",8f97f258439720c2d549c6365750815b0735cd19b8f48d2e9657fca116deb407</t>
  </si>
  <si>
    <t>EXHIBIT_EMAIL_20250223_140_cc4710f3,EMAIL,2025-02-23T10:11:16+00:00,100.0,CRITICAL,Email: 5 Warm Kitchens With Wood Cabinets | 8 Proven Tips for Managing a Growing Team,cc4710f36f44d7999a5a5323ebf1c31e84d3ee512c9e6c6971637a75b013124c</t>
  </si>
  <si>
    <t>EXHIBIT_EMAIL_20250224_141_937fb058,EMAIL,2025-02-24T21:47:13+00:00,100.0,CRITICAL,Email: Your Purchases Have Returned As Credits,937fb058cce43a66a692248c4b92b6c23f3c8a4335966022beb0f3ce8ed20b5c</t>
  </si>
  <si>
    <t>EXHIBIT_EMAIL_20250225_142_9c2295e9,EMAIL,2025-02-25T04:04:21+00:00,100.0,CRITICAL,Email: New sign-in to your Alfred account,9c2295e9ae61e0a4cd7f3c9216c45e7be7b4342fc11ebfc5c71c179756695e18</t>
  </si>
  <si>
    <t>EXHIBIT_EMAIL_20250224_143_6e1bba05,EMAIL,2025-02-24T19:49:36+00:00,100.0,CRITICAL,Email: New sign-in to your Alfred account,6e1bba050d61163a36ab4900b37aca77ce990d5443127dc127e09dc42d538bcf</t>
  </si>
  <si>
    <t>EXHIBIT_EMAIL_20250224_144_48cccc07,EMAIL,2025-02-24T19:48:54+00:00,100.0,CRITICAL,Email: New sign-in to your Alfred account,48cccc070ce8e6580c12841221258d15c96f23210048b9e4f52d536532f25746</t>
  </si>
  <si>
    <t>EXHIBIT_EMAIL_20250219_145_940514e0,EMAIL,2025-02-19T08:58:49-06:00,100.0,CRITICAL,Email: Cozy home finds from Mainstays &amp; Hometrends 🛋️,940514e0b9a862cbd0ad93793414aeaf6d8b4171113b9798f831adc50267ecd3</t>
  </si>
  <si>
    <t>EXHIBIT_EMAIL_20250223_146_3be70c5d,EMAIL,2025-02-23T01:08:08-05:00,100.0,CRITICAL,Email: New website offer for you.,3be70c5d9e7e8d8a00b4fc55fcd6ee30d7530dd942c1596bc8f8ec3182fc5c6e</t>
  </si>
  <si>
    <t>EXHIBIT_EMAIL_20250219_147_a941d254,EMAIL,2025-02-19T17:39:25-08:00,100.0,CRITICAL,"Email: Shoot, sketch, and do more with the Galaxy S25 Ultra",a941d25426387b221798112ebb4db72d0e8714d9106bd936de2a9ae92e704548</t>
  </si>
  <si>
    <t>EXHIBIT_EMAIL_20250219_148_4c266270,EMAIL,2025-02-19T23:15:15+00:00,100.0,CRITICAL,"Email: Hi Craig, here’s what new parents are reading, ICYMI",4c266270d103a5da02fb0ccd25cbb5341a3dee2cef69b6be0c57dd0add980802</t>
  </si>
  <si>
    <t>EXHIBIT_EMAIL_20250220_149_68b65a3d,EMAIL,2025-02-20T22:43:01+00:00,100.0,CRITICAL,Email: Launch your website in just 4 steps!,68b65a3d926408718821d5504d817ffe80b366522cd74cd7c65a2f80d43ae264</t>
  </si>
  <si>
    <t>EXHIBIT_EMAIL_20250221_150_38d0ff22,EMAIL,2025-02-21T14:07:09+00:00,100.0,CRITICAL,Email: 3 Ways to Attract More Visitors to Your Website,38d0ff2202e96682cb64d5586fa8619f6f6c58d8645785e4981b3e9ed84fc1f4</t>
  </si>
  <si>
    <t>EXHIBIT_EMAIL_20250218_151_6205297f,EMAIL,2025-02-18T08:56:14-06:00,100.0,CRITICAL,Email: 6 brilliant family vacation ideas,6205297fcc253cc7e5913869341f4862026a052d0ddaacc8ad565d92f18f3994</t>
  </si>
  <si>
    <t>EXHIBIT_EMAIL_20250224_152_53f3d6b0,EMAIL,2025-02-24T02:07:25+00:00,100.0,CRITICAL,Email: Congratulations! You've successfully published your Bold Profile!,53f3d6b0bc5ab9a1337e047efdce1feb4fc7be9bd79327303570e23a31c7683d</t>
  </si>
  <si>
    <t>EXHIBIT_EMAIL_20250217_153_ce514f38,EMAIL,2025-02-17T16:34:36-06:00,100.0,CRITICAL,Email: Your preview of top roofing tools,ce514f38ebb6f34bd79668b8b4148fb4a026f56d5e6b7ef5b7e4453e9a7aff27</t>
  </si>
  <si>
    <t>EXHIBIT_EMAIL_20250220_154_3e1c6485,EMAIL,2025-02-20T10:32:24-05:00,100.0,CRITICAL,Email: 🏆  New video features for the win,3e1c64857e6df2904034fadfb7f622a2ceb25b22d992ecd51f22c4c60c8ecb71</t>
  </si>
  <si>
    <t>EXHIBIT_EMAIL_20250220_155_282e529d,EMAIL,2025-02-20T23:52:27+00:00,100.0,CRITICAL,"Email: Hey Craig, your $20 off expires soon",282e529d29653941780c548d28dcf957836a4783c1bb2c28024a1fcf629a1e5d</t>
  </si>
  <si>
    <t>EXHIBIT_EMAIL_20250218_156_3e916b0d,EMAIL,2025-02-18T19:00:30-08:00,100.0,CRITICAL,Email: Gemini is no longer available in the Google app,3e916b0dea7d218176bc289874a83b9a81ea814a59688d5ced7c56ad06391ead</t>
  </si>
  <si>
    <t>EXHIBIT_EMAIL_20250215_157_22a5b302,EMAIL,2025-02-15T16:07:47-05:00,100.0,CRITICAL,Email: Proudly Canadian,22a5b3020f06f198d47f4484a95146b31f79700c88e094cb5e81a64862ef8a7c</t>
  </si>
  <si>
    <t>EXHIBIT_EMAIL_20250228_158_fabe334f,EMAIL,2025-02-28T12:47:32+00:00,100.0,CRITICAL,Email: 🛒TEMU Cart Message,fabe334ff98204c18bc5f200de4336593eb23b83f6bbab97a49423220bee4ad2</t>
  </si>
  <si>
    <t>EXHIBIT_EMAIL_20250220_159_162a5a57,EMAIL,2025-02-20T00:57:48+00:00,100.0,CRITICAL,Email: amazon.ca: Password recovery,162a5a57150434957005cd68f8ba7cbb49a8a6f06ffda12469708c0563f8f3ee</t>
  </si>
  <si>
    <t>EXHIBIT_EMAIL_20250216_160_8f7e4909,EMAIL,2025-02-16T12:59:40+00:00,100.0,CRITICAL,Email: Your cart item: now 42% OFF!,8f7e490983e699337ae8790d403e1fc99b022bde5fa3bb7570842f43437e318b</t>
  </si>
  <si>
    <t>EXHIBIT_EMAIL_20250226_161_42f5caa1,EMAIL,2025-02-26T09:05:06-06:00,100.0,CRITICAL,Email: Stock up &amp; save 15% on baby essentials 🍼,42f5caa1913d7ebbeedc49765d601cb2c602778685a69d12bcd8a25a1646a29b</t>
  </si>
  <si>
    <t>EXHIBIT_EMAIL_20250225_162_eb9798c5,EMAIL,2025-02-25T12:14:48+00:00,100.0,CRITICAL,Email: Just for you: Up to 30% off top products 😍,eb9798c557d3db68da5db96e06fbfa106a9e2b96f593c74f253aecf5939cb395</t>
  </si>
  <si>
    <t>EXHIBIT_EMAIL_20250217_163_d8e54bdf,EMAIL,2025-02-17T19:56:56-08:00,100.0,CRITICAL,Email: You now have parent privileges in your family group,d8e54bdf1a156a75340f50b683b08ed1e5f7726c22a16398f48cab725c4e6032</t>
  </si>
  <si>
    <t>EXHIBIT_EMAIL_20250219_164_3860ecba,EMAIL,2025-02-19T05:09:30+01:00,100.0,CRITICAL,"Email: vroofn, you have free spins on Getaway Gangsters! 🔪",3860ecbaed35f1024da0e1875e3e4fd1f8515975360331a88b88754bddf01be5</t>
  </si>
  <si>
    <t>EXHIBIT_EMAIL_20250217_165_432d8e54,EMAIL,2025-02-17T08:20:35+00:00,100.0,CRITICAL,Email: ANNOUNCEMENT: New Pragmatic Play Games Have Just Landed,432d8e540e3c70c272caab4d76ef34529f57731b5be03be8fe0bf508f00aec75</t>
  </si>
  <si>
    <t>EXHIBIT_EMAIL_20250223_166_6f16bb59,EMAIL,2025-02-23T09:41:56-06:00,100.0,CRITICAL,Email: SAVE UP TO 33% on brands you’ll love 😍,6f16bb59da9e6afc2b9f4ebeaa04b7cde796ea434f785893ec956cc970edf910</t>
  </si>
  <si>
    <t>EXHIBIT_EMAIL_20250227_167_ebd432d1,EMAIL,2025-02-27T18:13:50+00:00,100.0,CRITICAL,Email: Spring Into March: Your Must-Post Social Calendar Inside!🌸,ebd432d1536159187e6bbc92afaab8bafda5026c230378046b0e554f74c32673</t>
  </si>
  <si>
    <t>EXHIBIT_EMAIL_20250222_168_0801bfd7,EMAIL,2025-02-22T14:52:10+00:00,100.0,CRITICAL,Email: Tick tock. Don’t let your $40 in savings get away.,0801bfd7f8ca3e53356412a315a1838da7eb00e45380d968d29a8d13e190443c</t>
  </si>
  <si>
    <t>EXHIBIT_EMAIL_20250219_169_f1b62d78,EMAIL,2025-02-19T06:00:06+00:00,100.0,CRITICAL,"Email: vroofn, you have free spins on Immortal Romance™ II! 🌹",f1b62d788d3ce2d1a506f13d3496c750ff7804e5bf8910eaa5d5abe5d96498d4</t>
  </si>
  <si>
    <t>EXHIBIT_EMAIL_20250224_170_edbf31ae,EMAIL,2025-02-24T15:02:13+00:00,100.0,CRITICAL,"Email: Hey, just checking in",edbf31ae9478c99c0286a33ba09d67e16390cabf07fe85be0789e7979bcd2930</t>
  </si>
  <si>
    <t>EXHIBIT_EMAIL_20250220_171_4c2def9a,EMAIL,2025-02-20T12:57:54+00:00,100.0,CRITICAL,Email: [Grasshopper] One Time Password,4c2def9a89686a02acc13c7986c4caf119657ba4b1b9116a5ee2f45e51ea23ca</t>
  </si>
  <si>
    <t>EXHIBIT_EMAIL_20250220_172_7e84c803,EMAIL,2025-02-20T04:12:02+00:00,100.0,CRITICAL,Email: [Grasshopper] One Time Password,7e84c803021b4c8b7818ab971a957e678aaececf34b7845aab029177a6cb8223</t>
  </si>
  <si>
    <t>EXHIBIT_EMAIL_20250224_173_aef16874,EMAIL,2025-02-24T06:47:35-08:00,100.0,CRITICAL,Email: Design whatever you dream up with All Apps,aef1687465b6f00dd3f65573fdcff29b9373fe6303d919c473bf4c264bb37df6</t>
  </si>
  <si>
    <t>EXHIBIT_EMAIL_20250228_174_2faef009,EMAIL,2025-02-28T18:48:00+00:00,100.0,CRITICAL,Email: Don't miss out on this limited time offer!,2faef00903b57c805acb390fc647ec7e40b524c18019580dfb1edc435fde4932</t>
  </si>
  <si>
    <t>EXHIBIT_EMAIL_20250228_175_fa4a7f69,EMAIL,2025-02-28T09:45:26+00:00,100.0,CRITICAL,Email: Dive into Mermaid Royale with 13 spins on us.,fa4a7f69c433a7f80a0ba3561b4810b4e6c02f1ae5dc9e3075b87baf40a534fc</t>
  </si>
  <si>
    <t>EXHIBIT_EMAIL_20250226_176_8502b249,EMAIL,2025-02-26T06:01:52+00:00,100.0,CRITICAL,Email: One more week to go! ⌛,8502b2492a8fffa7a5d3ce8eaf30a13c727da200a4fb21c176c7a10b3fc8bea4</t>
  </si>
  <si>
    <t>EXHIBIT_EMAIL_20250224_177_83b7e48f,EMAIL,2025-02-24T12:00:52+00:00,100.0,CRITICAL,Email: One more week to go! ⌛,83b7e48f087af333c907920570312e51fc9d9c24a3f18fed5cb5554a04ba3a20</t>
  </si>
  <si>
    <t>EXHIBIT_EMAIL_20250225_178_994edf06,EMAIL,2025-02-25T01:23:01+00:00,100.0,CRITICAL,Email: Security alert,994edf062a8c63bc97532394aa57f88a801f07bad947086ce9d655fddc96b327</t>
  </si>
  <si>
    <t>EXHIBIT_EMAIL_20250221_179_ae8ccf72,EMAIL,2025-02-21T13:37:17-06:00,100.0,CRITICAL,Email: Here's an extra $40 for you! 🤩,ae8ccf725ec071a9aed70a7279793b31556eb83f4992c0d5b1a017315734469d</t>
  </si>
  <si>
    <t>EXHIBIT_EMAIL_20250225_180_c83f7ac7,EMAIL,2025-02-25T01:23:01+00:00,100.0,CRITICAL,Email: Security alert for placed.sj@gmail.com,c83f7ac7321f8a49acdbf112d6856ef0ce7b5327bb6f891f43d0bf2299fdada2</t>
  </si>
  <si>
    <t>EXHIBIT_EMAIL_20250224_181_24f52d94,EMAIL,2025-02-24T18:37:21-08:00,100.0,CRITICAL,Email: It’s time to check off your tasks in just one ask,24f52d946401f16527bbca13e031717e34f76d1a17619a09b92a4362da67d861</t>
  </si>
  <si>
    <t>EXHIBIT_EMAIL_20250213_182_2b7d7e4d,EMAIL,2025-02-13T17:00:04+00:00,100.0,CRITICAL,"Email: Ticketing &amp; live chat, Contacts API, New AI Models",2b7d7e4dcdeb3b8ffdb5abdd9245bd68ab3417e902c74d1de598257468a02ded</t>
  </si>
  <si>
    <t>EXHIBIT_EMAIL_20250206_183_649b5bb7,EMAIL,2025-02-06T07:48:47+00:00,100.0,CRITICAL,Email: Start Collecting Referral Credits,649b5bb70ad007c0a9ec94593c925d02e3e554e6ce4869da79799617e515c464</t>
  </si>
  <si>
    <t>EXHIBIT_EMAIL_20250208_184_3d8f28a5,EMAIL,2025-02-08T10:00:45-06:00,100.0,CRITICAL,Email: Don’t miss this week’s DEALS 🙌,3d8f28a5d68aa784ada5066d020e096514b5f08d486aec25ddb182335d51acf3</t>
  </si>
  <si>
    <t>EXHIBIT_EMAIL_20250204_185_75d3fd3c,EMAIL,2025-02-04T10:15:19-06:00,100.0,CRITICAL,Email: Pay over 24 mos. at 0% APR for iPhone 16,75d3fd3c86cd1a76d0f6facb4c13415815faa3dcd91724efb193cb27f90d4475</t>
  </si>
  <si>
    <t>EXHIBIT_EMAIL_20250212_186_c786dc89,EMAIL,2025-02-12T16:29:52+01:00,100.0,CRITICAL,Email: Les rabais de 50 % se terminent ce soir,c786dc89b8d938b5b21628f55644119d1301d716c66ee83ea60a274e5c9ea17d</t>
  </si>
  <si>
    <t>EXHIBIT_EMAIL_20250215_187_bead11b9,EMAIL,2025-02-15T12:59:34+00:00,100.0,CRITICAL,Email: 🛒TEMU Cart Message,bead11b959f840d7721c4e2d1da10083f28d2f9f859ad50d1df3cc6fd93acc66</t>
  </si>
  <si>
    <t>EXHIBIT_EMAIL_20250210_188_5e6867bd,EMAIL,2025-02-10T13:20:11+00:00,100.0,CRITICAL,Email: ,5e6867bd75dbd91d0d9504d97c65ca68fbd1892e5aa56429919eca1ded78b089</t>
  </si>
  <si>
    <t>EXHIBIT_EMAIL_20250205_189_2814d0b4,EMAIL,2025-02-05T06:00:09+00:00,100.0,CRITICAL,"Email: vroofn, you have free spins on Gold Blitz™! ⚡",2814d0b475a61ab6f0128ff2afe3d4f64ceb6d45a0cfff94db1c6a4e9cdd6a51</t>
  </si>
  <si>
    <t>EXHIBIT_EMAIL_20250213_190_7473fee1,EMAIL,2025-02-13T05:46:00-08:00,100.0,CRITICAL,Email: Luna • shared “harpee” with you,7473fee19762371cb23c7f0c49505c3be9d6ef109d05c513c3f6be329a0b993e</t>
  </si>
  <si>
    <t>EXHIBIT_EMAIL_20250210_191_1386278e,EMAIL,2025-02-10T13:26:44+01:00,100.0,CRITICAL,Email: You have received 5 free spins,1386278eeae758419a11f7bb20e2ee73caafed4ca4db7a5dad6632f9a8baec09</t>
  </si>
  <si>
    <t>EXHIBIT_EMAIL_20250208_192_c8229d5d,EMAIL,2025-02-08T01:29:08+00:00,100.0,CRITICAL,Email: HUGE DEAL INSIDE!,c8229d5dbff5742c6494e1be5b40bb1b0ef1e32b4723513cae1eadb070720faa</t>
  </si>
  <si>
    <t>EXHIBIT_EMAIL_20250209_193_fdbf929c,EMAIL,2025-02-09T09:38:47-06:00,100.0,CRITICAL,Email: Stop scrolling &amp; save up to 33% now 👉,fdbf929c6b3ce02b73fd7d671f0315ccd2efd9fcaf1c78eca43490715e4f9c9e</t>
  </si>
  <si>
    <t>EXHIBIT_EMAIL_20250213_194_5bfcc32f,EMAIL,2025-02-13T20:43:06+00:00,100.0,CRITICAL,Email: 🛒TEMU Cart Message,5bfcc32ffda30f39ed76ba325594a42a3a66c58b918095bce04dfb21d6fa83ef</t>
  </si>
  <si>
    <t>EXHIBIT_EMAIL_20250213_195_5d240862,EMAIL,2025-02-13T09:41:22-06:00,100.0,CRITICAL,Email: Your weekly flyer is here 🙂,5d2408629ef67fc08e4e6db142872eb7da84bfa0b74470a98a7124f9c5d09f66</t>
  </si>
  <si>
    <t>EXHIBIT_EMAIL_20250210_196_2450d356,EMAIL,2025-02-10T13:26:29+00:00,100.0,CRITICAL,Email: ,2450d356586190b75039a5b59a6531ec1b06b460121abae03ac630aa430f613c</t>
  </si>
  <si>
    <t>EXHIBIT_EMAIL_20250204_197_d75e26dd,EMAIL,2025-02-04T20:49:19+00:00,100.0,CRITICAL,Email: 50% off your next  order - just for you 👀,d75e26ddcd94f71659e4dc0e3255457177ea445edad9083714ceaadf6cac5a22</t>
  </si>
  <si>
    <t>EXHIBIT_EMAIL_20250211_198_41e5b757,EMAIL,2025-02-11T09:01:09-08:00,100.0,CRITICAL,Email: ⚠️ Your Gmail storage is 100% full,41e5b7572e31295d3b1dc62887bedb1b0a3bda88527306d851e939302cae24e4</t>
  </si>
  <si>
    <t>EXHIBIT_EMAIL_20250222_199_23fe39fd,EMAIL,2025-02-22T14:07:10+00:00,100.0,CRITICAL,Email: Have you already completed these 3 steps?,23fe39fdff7c32bc89ca83300ac626140870cad9efadbc7da721518644780ad9</t>
  </si>
  <si>
    <t>EXHIBIT_EMAIL_20250206_200_1b44f8ad,EMAIL,2025-02-06T05:36:41-08:00,100.0,CRITICAL,Email: Quick Tip: Master the Art of Visual Storytelling with Creative Video Filters,1b44f8ad39c52599e9e13bf00b6bc07eb2f48adbaea14e924ad563df1ce76138</t>
  </si>
  <si>
    <t>EXHIBIT_EMAIL_20250204_201_82db2021,EMAIL,2025-02-04T19:00:36-06:00,100.0,CRITICAL,"Email: Big Deals, Huge Wins - Savings In-Store",82db202137299d89f9c7905a3ff8c8f394ab52e0b8e71ecb50c51e6da33efca4</t>
  </si>
  <si>
    <t>EXHIBIT_EMAIL_20250205_202_093648e8,EMAIL,2025-02-05T06:03:16-06:00,100.0,CRITICAL,"Email: Craig, our Valentine’s gift to you: cash back",093648e8a7ed8d767975aa1011e8d86dd3449e3bb0fcac1677548e1ee20bbb3d</t>
  </si>
  <si>
    <t>EXHIBIT_EMAIL_20250212_203_3ee342a4,EMAIL,2025-02-12T15:08:39-06:00,100.0,CRITICAL,Email: Discover deals that’ll make you fall in love with saving!,3ee342a449cb27b4614139302819f704592f789337bbd525823ade149f45334d</t>
  </si>
  <si>
    <t>EXHIBIT_EMAIL_20250206_204_36fd7fb3,EMAIL,2025-02-06T14:58:34+00:00,100.0,CRITICAL,Email: You removed a member of your family account,36fd7fb3b3710631886468adc93014111b3fc7756597a1d567beac759b62c45c</t>
  </si>
  <si>
    <t>EXHIBIT_EMAIL_20250217_205_eb987750,EMAIL,2025-02-17T19:53:53+00:00,100.0,CRITICAL,Email: Your cart item: now 81% OFF!,eb98775044355f7355b4329b69bea5c0fdee895c5399d0cb5d52fca923c91e74</t>
  </si>
  <si>
    <t>EXHIBIT_EMAIL_20250214_206_28b42af5,EMAIL,2025-02-14T15:47:01-06:00,100.0,CRITICAL,Email: Learn to Build and Deploy Apps with Trailhead,28b42af59944eaa7126b63b424a7f3a638c6c8073ad21c09b399a173f9b6397e</t>
  </si>
  <si>
    <t>EXHIBIT_EMAIL_20250212_207_4ed0d0e0,EMAIL,2025-02-12T01:38:20+01:00,100.0,CRITICAL,"Email: vroofn, you have free spins on Mining Pots of Gold! 💰",4ed0d0e08192d7d35448514eaf3f960b230d24d235ff966f5fdd81b1056ab55d</t>
  </si>
  <si>
    <t>EXHIBIT_EMAIL_20250205_208_d528f091,EMAIL,2025-02-05T10:20:11-08:00,100.0,CRITICAL,Email: ⚠️ Your Gmail storage is 100% full,d528f091b5cb4c7bbc1e3125548e5747acfabfeb06dfa7e67e503aff5f5bb65d</t>
  </si>
  <si>
    <t>EXHIBIT_EMAIL_20250206_209_cdca1728,EMAIL,2025-02-06T06:32:26+01:00,100.0,CRITICAL,"Email: vroofn, you have free spins on Collapsed Castle ! 🏰",cdca17284f63e0363fd0481e3cc0226958d1ced22ef1e66f7132cd2fc2ffe4c7</t>
  </si>
  <si>
    <t>EXHIBIT_EMAIL_20250207_210_841dd9cb,EMAIL,2025-02-07T06:26:53+00:00,100.0,CRITICAL,Email: New device signed in to your Appy Pie account,841dd9cb4e25c55aa928815fa7c0920db1626ed14446013ed613c4af742e83fd</t>
  </si>
  <si>
    <t>EXHIBIT_EMAIL_20250217_211_aea1d3e2,EMAIL,2025-02-17T12:01:02-04:00,100.0,CRITICAL,Email: Parenting plan signatures,aea1d3e2da419af54c482d1e2658aa43ca7ad745fc7192efd4b3600c96d2a763</t>
  </si>
  <si>
    <t>EXHIBIT_EMAIL_20250208_212_a7a2702e,EMAIL,2025-02-08T09:07:52-05:00,100.0,CRITICAL,Email: $10 Romances?! Bring the Heat,a7a2702ed00d3ea220e7de6b53bde68e62bf662b4e496fccdb865822a4c17634</t>
  </si>
  <si>
    <t>EXHIBIT_EMAIL_20250213_213_79798eee,EMAIL,2025-02-13T13:06:13-04:00,100.0,CRITICAL,Email: civil medical request records,79798eee8292c92c1a39fe2cb840afdd103c6b1cf2c1f27970aa11bf6550576d</t>
  </si>
  <si>
    <t>EXHIBIT_EMAIL_20250214_214_5b8385c7,EMAIL,2025-02-14T23:49:11+00:00,100.0,CRITICAL,"Email: Railway Metal EU Region, Serverless, AWS Marketplace",5b8385c7184483425a73c9952b6c9b8c7ab79468bea383fc0ab5d24c62f863e2</t>
  </si>
  <si>
    <t>EXHIBIT_EMAIL_20250212_215_42c4bc93,EMAIL,2025-02-12T09:04:04-06:00,100.0,CRITICAL,"Email: Vacation shop: Swimwear, sunglasses &amp; more 👓",42c4bc939905953d1a91f901c2b279def294eee40a1c7e5d66bebb7f6416c981</t>
  </si>
  <si>
    <t>EXHIBIT_EMAIL_20250205_216_bf99458f,EMAIL,2025-02-05T11:15:14+00:00,100.0,CRITICAL,"Email: The updates you want, how you want!",bf99458f714daf2987d893f31ec6a4dcdf592e84a72b05ecdd6e3ebc1c6e97ad</t>
  </si>
  <si>
    <t>EXHIBIT_EMAIL_20250210_217_fb1e9555,EMAIL,2025-02-10T13:42:40-05:00,100.0,CRITICAL,Email: Free Today? We'll help you set up,fb1e955593966d3ac520f926fe83fd5413ad788be455be891811ed6c56942c10</t>
  </si>
  <si>
    <t>EXHIBIT_EMAIL_20250210_218_a249dd5f,EMAIL,2025-02-10T01:59:59+01:00,100.0,CRITICAL,Email: Tu recherches des rabais de 50 %?,a249dd5f8a1a67ad1c6088e35fa83c64d2d099bdc82bf6d1bfafa864326ac447</t>
  </si>
  <si>
    <t>EXHIBIT_EMAIL_20250210_219_8ec31006,EMAIL,2025-02-10T14:52:00+00:00,100.0,CRITICAL,Email: Get $40 off on more than just groceries,8ec31006b10dfa840683dac53ebfeab327d817ff801ddcac92043fff77c6f133</t>
  </si>
  <si>
    <t>EXHIBIT_EMAIL_20250213_220_736f8ff6,EMAIL,2025-02-13T09:24:18-06:00,100.0,CRITICAL,Email: Get a top-rated stay when you access Member Prices,736f8ff65ac33dfd9443fff2a180ef70e2a62f96823bbbcc8d9bc610bd8bd652</t>
  </si>
  <si>
    <t>EXHIBIT_EMAIL_20250214_221_13ed2075,EMAIL,2025-02-14T09:33:50+00:00,100.0,CRITICAL,Email: Try Vercel Pro for free,13ed2075e5c86a9fb9ac9bda4d4d976ff85316e52668839e37330ae9590b3dd7</t>
  </si>
  <si>
    <t>EXHIBIT_EMAIL_20250206_222_782bee48,EMAIL,2025-02-06T13:05:42-08:00,100.0,CRITICAL,"Email: Are paid Gemini plans right for you, K?",782bee4838affd611f40f16dc9393f64bc3effc517a4af9634541617c7dac6a3</t>
  </si>
  <si>
    <t>EXHIBIT_EMAIL_20250207_223_97a534cc,EMAIL,2025-02-07T21:00:29+00:00,100.0,CRITICAL,"Email: Do more for your money in minutes / Quelques clics, beaucoupd’avantages",97a534cc66821640290b4ab3d585b53723de51763afd76c24193291cea5cce8a</t>
  </si>
  <si>
    <t>EXHIBIT_EMAIL_20250209_224_2bab2c42,EMAIL,2025-02-09T09:01:21-06:00,100.0,CRITICAL,Email: Your week at Walmart is here 😃,2bab2c421f4bed3ea17bd96938018d4f8fb8976d720584ef6608df2e203084b2</t>
  </si>
  <si>
    <t>EXHIBIT_EMAIL_20250210_225_5ce51422,EMAIL,2025-02-10T12:57:01-06:00,100.0,CRITICAL,Email: Pick up your domain search where you left off.,5ce5142264b639b9dc78bbd54668c4cc292b14d96eb55e7af43cfc0d6870464a</t>
  </si>
  <si>
    <t>EXHIBIT_EMAIL_20250210_226_de82c765,EMAIL,2025-02-10T01:39:42+00:00,100.0,CRITICAL,Email: Security alert for placed.sj@gmail.com,de82c7650dbda3687307fbf0313480800c20a00515e660ea3b35dc323e695f2f</t>
  </si>
  <si>
    <t>EXHIBIT_EMAIL_20250218_227_882cb758,EMAIL,2025-02-18T02:15:14+00:00,100.0,CRITICAL,Email: Messaging Record from Craig Schulz,882cb758bcbf4b9e05b0997b6220afd084f0a2f8eff6dedeff768e8151ffa041</t>
  </si>
  <si>
    <t>EXHIBIT_EMAIL_20250214_228_67c9780b,EMAIL,2025-02-14T01:00:41+00:00,100.0,CRITICAL,Email: Get More Customers: Boost Visits to Your Google Business Profile,67c9780bb8a2eb423fdf2c7f4c248292680363fcb18ab647022647b5040e18aa</t>
  </si>
  <si>
    <t>EXHIBIT_EMAIL_20250224_229_e601db83,EMAIL,2025-02-24T11:37:27-05:00,100.0,CRITICAL,Email: Top Deals to Brighten Your Day ☀️,e601db83e61ab2237e2d948f90f4b531a261403569e9a08ed2bb24edb6c9f19c</t>
  </si>
  <si>
    <t>EXHIBIT_EMAIL_20250205_230_ea7c3b50,EMAIL,2025-02-05T09:18:50-06:00,100.0,CRITICAL,Email: $7 women's tee — your new favourite 👚,ea7c3b50a3c3796ccf6e8b3f0f19802cdb20a038470b67d3d852092ef47e9e26</t>
  </si>
  <si>
    <t>EXHIBIT_EMAIL_20250211_231_4e31e75b,EMAIL,2025-02-11T11:03:43-05:00,100.0,CRITICAL,Email: Get expert advice to transform your roofing business,4e31e75bef011717e26035dbf0136a7d2da6045a0dccf2ec1d7eb89389c966f3</t>
  </si>
  <si>
    <t>EXHIBIT_EMAIL_20250205_232_9c530b8e,EMAIL,2025-02-05T07:48:46+00:00,100.0,CRITICAL,Email: Start Deploying with Railway,9c530b8ea159b16fca41f8bbfddf03d52cd4b04265e355c6903168ad2c861c2c</t>
  </si>
  <si>
    <t>EXHIBIT_EMAIL_20250221_233_da24e1a0,EMAIL,2025-02-21T14:09:59-06:00,100.0,CRITICAL,Email: LOW PRICES! Get grocery &amp; more 🥫,da24e1a0b15efc1fed6adc173782b7fb85ae92fe9f53f3a922d55bfb08c749e8</t>
  </si>
  <si>
    <t>EXHIBIT_EMAIL_20250206_234_35b9a45a,EMAIL,2025-02-06T15:43:06+00:00,100.0,CRITICAL,Email: Security alert for placed.sj@gmail.com,35b9a45afafad71a2719b215dff87b3654ba8ab1def7208fe3959a6de677d642</t>
  </si>
  <si>
    <t>EXHIBIT_EMAIL_20250205_235_7604824e,EMAIL,2025-02-05T19:51:54-03:00,100.0,CRITICAL,Email: Fw: FDSJ-739-2024,7604824e5eb698d72de6325350c59e36e91901e069c506563a95f3bf84d562f3</t>
  </si>
  <si>
    <t>EXHIBIT_EMAIL_20250131_236_0ac5e54e,EMAIL,2025-01-31T20:25:42+00:00,100.0,CRITICAL,Email: FDSJ-739-2024,0ac5e54effafdfbf9cb45bfe8b1ef7da6df875dce72d5d5be1b55b8af296d85c</t>
  </si>
  <si>
    <t>EXHIBIT_EMAIL_20250217_237_06e40d44,EMAIL,2025-02-17T15:47:44+00:00,100.0,CRITICAL,Email: You’re Invited: Shed Suite User Conference 2025 🚀,06e40d44d5875fd45bd51d003601a9f6af0f9e98dfde4bcf97e79ad550c3b1ca</t>
  </si>
  <si>
    <t>EXHIBIT_EMAIL_20250211_238_414ad9c1,EMAIL,2025-02-11T19:07:04+00:00,100.0,CRITICAL,Email: 💐 V-Day tip: Skip delivery fees on orders of $10+,414ad9c12b3aff93b2a8708158034ab9d118bf8fb4e5e55048ac66af4a10b995</t>
  </si>
  <si>
    <t>EXHIBIT_EMAIL_20250207_239_dc2662c6,EMAIL,2025-02-07T06:26:04+00:00,100.0,CRITICAL,Email: Unlock your Appy Pie Chatbot Premium Trial,dc2662c663990384d7ba7e864f14bf26e4fe923921382e5f2897f6afc97819ce</t>
  </si>
  <si>
    <t>EXHIBIT_EMAIL_20250213_240_b3ee4216,EMAIL,2025-02-13T21:13:16+00:00,100.0,CRITICAL,Email: Security alert for lunacraigcep@gmail.com,b3ee4216e8d4b42124d0e1ddd7ce46025a5f9bd45eb24c6b8b44a01817015425</t>
  </si>
  <si>
    <t>EXHIBIT_EMAIL_20250206_241_744b22bf,EMAIL,2025-02-06T08:34:44+00:00,100.0,CRITICAL,Email: Iterate with confidence,744b22bf57c97dc8dd65b17f8989ff5b256a0e06c7aff6fe934cc772d186046f</t>
  </si>
  <si>
    <t>EXHIBIT_EMAIL_20250211_242_23f716a3,EMAIL,2025-02-11T19:58:42+00:00,100.0,CRITICAL,Email: Your cart item: now 85% OFF!,23f716a3818e9a53b7745528b461bade698a3703464c16ad1075a2a2b6f738c0</t>
  </si>
  <si>
    <t>EXHIBIT_EMAIL_20250205_243_dd039fd0,EMAIL,2025-02-05T17:25:22+00:00,100.0,CRITICAL,Email: Craving delicious value? Say hello to TimSelects!,dd039fd0d35aa6ff9e5b85b9c2983f76fdf3017159954297c6f6b2814d4753d3</t>
  </si>
  <si>
    <t>EXHIBIT_EMAIL_20250206_244_8854d468,EMAIL,2025-02-06T09:26:09-06:00,100.0,CRITICAL,Email: Save on last-minute travel when you join,8854d4687510862a435271de71de77a1f3654b11a7fdb2f9dafe4fea163be3f8</t>
  </si>
  <si>
    <t>EXHIBIT_EMAIL_20250221_245_358c5e00,EMAIL,2025-02-21T23:09:22+00:00,100.0,CRITICAL,"Email: Railway Launch Week March 03-07, Sync Environment Upgrades, Workspaces",358c5e003aea788bb9babd63d036ecbc96445b631a6a382c1e1fbe8a94ec3687</t>
  </si>
  <si>
    <t>EXHIBIT_EMAIL_20250211_246_61672c0e,EMAIL,2025-02-11T09:50:47+00:00,100.0,CRITICAL,Email: Security alert for lunacraigcep@gmail.com,61672c0e3001b39ccf777fab9c7b6cfb13ab2dcd7fe36e3f2865d00ccaf8fb39</t>
  </si>
  <si>
    <t>EXHIBIT_EMAIL_20250226_247_11809b4e,EMAIL,2025-02-26T05:10:19+01:00,100.0,CRITICAL,"Email: vroofn, you have free spins on Amazing Catch Power Combo!🐟",11809b4e3778061591e7e74dbac3543e667f75123ce78173f88cfe97952b8e3a</t>
  </si>
  <si>
    <t>EXHIBIT_EMAIL_20250209_248_92e60b59,EMAIL,2025-02-09T02:14:55+00:00,100.0,CRITICAL,Email: Your nap schedules &amp; 14 fussy baby products,92e60b599d7cbd16b8a5cc96d32bb6b1fddee3ec732d06d57aa77f61a6433931</t>
  </si>
  <si>
    <t>EXHIBIT_EMAIL_20250222_249_9cd8b884,EMAIL,2025-02-22T05:09:36+01:00,100.0,CRITICAL,"Email: vroofn, you have free spins on Amazing Catch Power Combo!🐟",9cd8b884fbdcaba284df57ea664013e2c52a454d670f6c968d45141696f6b820</t>
  </si>
  <si>
    <t>EXHIBIT_EMAIL_20250207_250_eacccd34,EMAIL,2025-02-07T15:18:37-08:00,100.0,CRITICAL,Email: Galaxy S25 Series is here!,eacccd34f9cd3ff1e8832c759375d24e7532324b5562744a1f61e4229d630c19</t>
  </si>
  <si>
    <t>EXHIBIT_EMAIL_20250207_251_f1e45146,EMAIL,2025-02-07T15:00:09+01:00,100.0,CRITICAL,Email: 40 % sur les articles à prix régulier et 30 % sur les soldes,f1e4514675b0b1d70425e1e02667cb980b3e0d4bb7f2eb95e77df2088913490c</t>
  </si>
  <si>
    <t>EXHIBIT_EMAIL_20250212_252_b1ade3ba,EMAIL,2025-02-12T19:42:51-08:00,100.0,CRITICAL,Email: Learn about new Gemini features and your privacy,b1ade3ba01ead03e4d8fece9bc89e9f8016978a8ee1b1fef06d7699717c4ed0e</t>
  </si>
  <si>
    <t>EXHIBIT_EMAIL_20250205_253_3eaae5c5,EMAIL,2025-02-05T07:15:03+00:00,100.0,CRITICAL,Email: 🚀 Elevate your social media game with Descript's make clips feature,3eaae5c51d020c6b681f79c3b14592dd76c644a9e29e4ef4d4ff8e39094fb76d</t>
  </si>
  <si>
    <t>EXHIBIT_EMAIL_20250206_254_48b82037,EMAIL,2025-02-06T17:58:02-06:00,100.0,CRITICAL,"Email: Win Big with Circle K: $5,000 Cash Up for Grabs!",48b82037e2d7808015457cde1e88bce6b23a7703b8026b0d00bc503f3126445a</t>
  </si>
  <si>
    <t>EXHIBIT_EMAIL_20250207_255_117ebdb5,EMAIL,2025-02-07T14:35:29+00:00,100.0,CRITICAL,Email: 20% off ends today,117ebdb56fbda91cff419063ee7b46f13f0f6691d1898ffabea20fc299792450</t>
  </si>
  <si>
    <t>EXHIBIT_EMAIL_20250226_256_83bfa442,EMAIL,2025-02-26T05:03:29+00:00,100.0,CRITICAL,Email: Introducing Poe Apps,83bfa4428b8b55737491da52e0de80b135fc387724601ba5ff1b5e106f2add1c</t>
  </si>
  <si>
    <t>EXHIBIT_EMAIL_20250206_257_0b553fdf,EMAIL,2025-02-06T02:45:53+01:00,100.0,CRITICAL,Email: You have received 7 free spins,0b553fdf42682847c4f5beae04f1d7bc57415ceae40884c73a07e70aa9f198d5</t>
  </si>
  <si>
    <t>EXHIBIT_EMAIL_20250224_258_94b27c2d,EMAIL,2025-02-24T09:52:25+00:00,100.0,CRITICAL,Email: Get back 1 hour each day,94b27c2d7be8873e22c4902e00af09ad62eb3d17382ccba323c061f12526ed3a</t>
  </si>
  <si>
    <t>EXHIBIT_EMAIL_20250205_259_33a41fd2,EMAIL,2025-02-05T19:48:22+00:00,100.0,CRITICAL,Email: It’s here to stay: $0 delivery fees on orders of $10+,33a41fd220c538dd1d833b3e0c03d9a4f04cf92564d68c337e3c7e8941bef6ed</t>
  </si>
  <si>
    <t>EXHIBIT_EMAIL_20250219_260_bab111ff,EMAIL,2025-02-19T10:09:20+00:00,100.0,CRITICAL,Email: Finish setting up your monday.com account,bab111ff1f29147740842c46d3c963a41c10033467b4a3bedd76b954f338c02e</t>
  </si>
  <si>
    <t>EXHIBIT_EMAIL_20250214_261_74506e63,EMAIL,2025-02-14T10:14:42+00:00,100.0,CRITICAL,Email: 📣 Our Presidents’ Day sale starts now! 👶,74506e6393a0d794744a62fad19aebcec1e28644a58e6d6187a0edb7bf3259c8</t>
  </si>
  <si>
    <t>EXHIBIT_EMAIL_20250206_262_56d32784,EMAIL,2025-02-06T09:40:53-06:00,100.0,CRITICAL,Email: Your weekly flyer is here 🙂,56d32784852a48a67ad0a8e8ec771bd3324f6d7a449f7cb3e88529405336f17c</t>
  </si>
  <si>
    <t>EXHIBIT_EMAIL_20250215_263_5484dfd5,EMAIL,2025-02-15T18:55:08-08:00,100.0,CRITICAL,"Email: charliewharlie369, see aalyssamaria, brooklynn.fleming and more in your feed",5484dfd50b15ab8d4174912584014566d073fcea94e96ebfcb3d3c0f4a806dde</t>
  </si>
  <si>
    <t>EXHIBIT_EMAIL_20250224_264_1b43d54d,EMAIL,2025-02-24T17:10:08+00:00,100.0,CRITICAL,Email: Roll Up To Win is HERE! Let’s roll 🚙 🍩 💖,1b43d54d55a9b87e62903e4ce857aa542bc578ace78530827d22d870247746af</t>
  </si>
  <si>
    <t>EXHIBIT_EMAIL_20250220_265_cf35ff90,EMAIL,2025-02-20T13:08:12+00:00,100.0,CRITICAL,Email: Confirm your account,cf35ff909a4e32aea370bfff9cd9115162a85df4bb9d272d89e668dea4bcd98d</t>
  </si>
  <si>
    <t>EXHIBIT_EMAIL_20250218_266_2d19fc94,EMAIL,2025-02-18T22:00:24+00:00,100.0,CRITICAL,Email: 100% No Rule Power with Absolutely ZERO Strings Attached,2d19fc948e363bf14d0fe797cfb283a476c56806d77090c8de7dec5767012343</t>
  </si>
  <si>
    <t>EXHIBIT_EMAIL_20250213_267_d072d543,EMAIL,2025-02-13T08:46:05-04:00,100.0,CRITICAL,Email: Fwd: Interac e-Transfer: You've received $20.00 from Paul Carey and it has been automatically deposi,d072d5436c9bd288340ca09e4da49560ac1c3ecfef799a9d0a717eabf6176c7f</t>
  </si>
  <si>
    <t>EXHIBIT_EMAIL_20250204_268_7a8bafe3,EMAIL,2025-02-04T16:44:56+00:00,100.0,CRITICAL,Email: Your 7-Week-Old Baby: Baby's First Smile 😍,7a8bafe30964a92b8f9b6c8a4f55e74e01e204564410055df8fa69df3445d2b2</t>
  </si>
  <si>
    <t>EXHIBIT_EMAIL_20250206_269_1f277c0e,EMAIL,2025-02-06T13:36:29-06:00,100.0,CRITICAL,Email: Here's an extra $40 for you! 🤩,1f277c0e50af858f2866e8ef8876f7610849d6b8a970d59b0323ba8f1685f25c</t>
  </si>
  <si>
    <t>EXHIBIT_EMAIL_20250206_270_7c393392,EMAIL,2025-02-06T15:02:05+00:00,100.0,CRITICAL,Email: Stacey joined your family account,7c393392cda833633bd406104ceae59ca32878f26de36cc4f7ed9a7959303efc</t>
  </si>
  <si>
    <t>EXHIBIT_EMAIL_20250210_271_131cddda,EMAIL,2025-02-10T15:26:09-04:00,100.0,CRITICAL,Email: Vet bill Luna custody,131cddda034b2b5dab6a0fe418b5fec97d032e3a9d87b345f5ff1c6d67583340</t>
  </si>
  <si>
    <t>EXHIBIT_EMAIL_20250211_272_d83a8791,EMAIL,2025-02-11T07:56:18+00:00,100.0,CRITICAL,Email: Email Address Updated,d83a8791faf4bd95540dfdd32550c3d29cf25b27da40c7b861f7676a37647ebe</t>
  </si>
  <si>
    <t>EXHIBIT_EMAIL_20250211_273_9342d1c8,EMAIL,2025-02-11T01:17:15+00:00,100.0,CRITICAL,Email: Fortune Favours the Bold!,9342d1c8821158abdf8b2bf53067870c6716670b9b2ad5f64d26a188a96748df</t>
  </si>
  <si>
    <t>EXHIBIT_EMAIL_20250215_274_401d779f,EMAIL,2025-02-15T14:59:53+01:00,100.0,CRITICAL,Email: Jusqu’à 60 % de rabais pendant la vente privée,401d779f0310214077f5385b12e79c67069eb4f311d3e889a06e9443effbb201</t>
  </si>
  <si>
    <t>EXHIBIT_EMAIL_20250206_275_adfc4697,EMAIL,2025-02-06T12:53:56-06:00,100.0,CRITICAL,Email: Your cart misses you! Come back 🛒,adfc469707acaf455e7c6e6127805ee526494d1f887526658fafc41b40b656dd</t>
  </si>
  <si>
    <t>EXHIBIT_EMAIL_20250221_276_3f489838,EMAIL,2025-02-21T00:37:49+00:00,100.0,CRITICAL,Email: What's new in February: 17 hidden Todoist features you might not know🔍,3f48983863e307ff70cb9550442c30e019e9ec639f6bfdbd5d159f58da1f06d5</t>
  </si>
  <si>
    <t>EXHIBIT_EMAIL_20250204_277_cd75c336,EMAIL,2025-02-04T09:03:51-06:00,100.0,CRITICAL,"Email: Save up to CA$1,096 on popular packages",cd75c3360803b6954b18d9b2c8b74419a9f2bb090d3464ad96208f4e5c462318</t>
  </si>
  <si>
    <t>EXHIBIT_EMAIL_20250211_278_c0f79a22,EMAIL,2025-02-11T14:13:29+00:00,100.0,CRITICAL,Email: 50% OFF: Sale happening now,c0f79a22da5e6b171aefd9128851a6ee154967ce261b9a88eeedd38513bfd329</t>
  </si>
  <si>
    <t>EXHIBIT_EMAIL_20250210_279_5da50daf,EMAIL,2025-02-10T12:04:50-04:00,100.0,CRITICAL,Email: FINANCIAL DISCLOSURE - FORM 72J INFORMATION,5da50dafc779bf14ab888f827659c055eb3b44781a97f4b37ecc9d3940e5ddb4</t>
  </si>
  <si>
    <t>EXHIBIT_EMAIL_20250218_280_5d112df1,EMAIL,2025-02-18T16:44:36+00:00,100.0,CRITICAL,Email: Your 9-Week-Old Baby: Senses Working Overtime,5d112df1395e5635a65a884eccfe845a0bb27b2ac464406d70100d231a0e0570</t>
  </si>
  <si>
    <t>EXHIBIT_EMAIL_20250211_281_8a855a7e,EMAIL,2025-02-11T16:43:01+00:00,100.0,CRITICAL,Email: Your 8-Week-Old Baby: Take It to the Playmat,8a855a7eba31067d0e7e45eab49f0dc89bf34b4415d1bf395ef9eede436b6087</t>
  </si>
  <si>
    <t>EXHIBIT_EMAIL_20250225_282_6a19984a,EMAIL,2025-02-25T21:47:12+00:00,100.0,CRITICAL,Email: 🛒TEMU Cart Message,6a19984a04f64e853b34d5ce6b805742ba4cb61382666648afdda16f72b85a16</t>
  </si>
  <si>
    <t>EXHIBIT_EMAIL_20250206_283_483d213c,EMAIL,2025-02-06T13:11:37-05:00,100.0,CRITICAL,"Email: 💡Get noticed, win jobs, work smarter—find out how",483d213c535cb5dacace9dd08d15982ee4646806ca71e86e2df0831a3f546163</t>
  </si>
  <si>
    <t>EXHIBIT_EMAIL_20250207_284_a8297c05,EMAIL,2025-02-07T15:46:22-06:00,100.0,CRITICAL,Email: Launching Your First App? We Can Help,a8297c058c6d1108f398dd74d3a76b1a834278326f95248539fb05cd5680b3cd</t>
  </si>
  <si>
    <t>EXHIBIT_EMAIL_20250224_285_169edfb4,EMAIL,2025-02-24T09:41:59-06:00,100.0,CRITICAL,Email: Save more with Walmart brands 🛒,169edfb4c2d1a91b0ec062e6ab45a66c29ca7beee927b17c57479c614acf054b</t>
  </si>
  <si>
    <t>EXHIBIT_EMAIL_20250207_286_85bcb779,EMAIL,2025-02-07T11:53:37+00:00,100.0,CRITICAL,"Email: Hi Stacey, just checking in",85bcb779a24e276bfaad5b131cf3b9f6c693946fcd0270c8efe41e8d33f89567</t>
  </si>
  <si>
    <t>EXHIBIT_EMAIL_20250225_287_fca2ee9b,EMAIL,2025-02-25T16:42:13+00:00,100.0,CRITICAL,Email: Your 10-Week-Old Baby: When Baby Gets a Cold,fca2ee9b169f6f57d3bfe857801483516dbc94401562d733c7274cde8a4025f9</t>
  </si>
  <si>
    <t>EXHIBIT_EMAIL_20250207_288_45632bcc,EMAIL,2025-02-07T09:45:46-06:00,100.0,CRITICAL,Email: Save up to 33% 🤩 Shop Walmart brands today!,45632bccd010826a478a568f9ce0dd04735efdc917609ec33634d6c6e4f4cf1c</t>
  </si>
  <si>
    <t>EXHIBIT_EMAIL_20250215_289_17183e05,EMAIL,2025-02-15T20:05:43+00:00,100.0,CRITICAL,Email: Take the guesswork out of ordering,17183e058281df43ce621b34c9e5698d66ac4657bfdd8c3430c616d0280b6add</t>
  </si>
  <si>
    <t>EXHIBIT_EMAIL_20250213_290_f70aafa9,EMAIL,2025-02-13T13:29:48+00:00,100.0,CRITICAL,"Email: Hey Craig, you’ve got 2 offers to enjoy",f70aafa97256f7dfcac90b7d8689d07c8cd2392701140f70190d43972e2ed27d</t>
  </si>
  <si>
    <t>EXHIBIT_EMAIL_20250212_291_4774a6c7,EMAIL,2025-02-12T06:00:08+00:00,100.0,CRITICAL,"Email: vroofn, Play with a 150% Bonus + 12 Free Spins! 🛕",4774a6c75a38347b22887159063c7205c4ac27a84b86a95bcb0d05e27e3623d8</t>
  </si>
  <si>
    <t>EXHIBIT_EMAIL_20250212_292_cd61a705,EMAIL,2025-02-12T02:01:32+00:00,100.0,CRITICAL,Email: Security alert,cd61a7059d80e7b13ba31ace14e7a62b2cc10044466a395cf23e4dd8d203bf06</t>
  </si>
  <si>
    <t>EXHIBIT_EMAIL_20250211_293_a44a4b3c,EMAIL,2025-02-11T13:22:20-08:00,100.0,CRITICAL,Email: Clarity starts with Copilot,a44a4b3c89139c4a0677bcb20d628d5e827a3764622d448cec28172a21fb6033</t>
  </si>
  <si>
    <t>EXHIBIT_EMAIL_20250205_294_2071e114,EMAIL,2025-02-05T14:37:09-05:00,100.0,CRITICAL,Email: Spot financial warning signs with these 4 metrics,2071e114f5591a50ed47239a2540a4cb270170ea04d318612575ab02a7178c50</t>
  </si>
  <si>
    <t>EXHIBIT_EMAIL_20250211_295_f15867ba,EMAIL,2025-02-11T09:36:03-06:00,100.0,CRITICAL,Email: Valentine’s Day gifts + low prices = 😍,f15867bab1af6324766549a954e507a70f22c0eaad677a716f6ae56f8301017e</t>
  </si>
  <si>
    <t>EXHIBIT_EMAIL_20250205_296_4fbbf9f8,EMAIL,2025-02-05T06:00:31+00:00,100.0,CRITICAL,"Email: vroofn, Play with a 100% Bonus + 25 Free Spins! 🐉",4fbbf9f8219716ac4d90e3fd6ba3193859a5c0c2c624277397a08e9218ed8539</t>
  </si>
  <si>
    <t>EXHIBIT_EMAIL_20250215_297_f9d9dc21,EMAIL,2025-02-15T01:56:46+00:00,100.0,CRITICAL,"Email: Document shared with you: ""FORM 81C - 1 OF?""",f9d9dc21ffbde2cebce0d990adcd9ea4a9580cf424eb6f3ccf37f8940910c3cd</t>
  </si>
  <si>
    <t>EXHIBIT_EMAIL_20250214_298_97c49a3f,EMAIL,2025-02-14T13:19:31-04:00,100.0,CRITICAL,Email: 81c,97c49a3fef0f42b9ee121d3bdea62b4dfbef03a1d1043c9a1cba5399ead60873</t>
  </si>
  <si>
    <t>EXHIBIT_EMAIL_20250220_299_62ca9368,EMAIL,2025-02-20T14:38:16+00:00,100.0,CRITICAL,Email: 🕖 AI Marketing Webinar Postponed to Feb 27th,62ca93686232888a840612ddbbde58ec0a5caf3e8144953239715f8c596490bf</t>
  </si>
  <si>
    <t>EXHIBIT_EMAIL_20250212_300_28c419f6,EMAIL,2025-02-12T11:22:22-05:00,100.0,CRITICAL,Email: Last-Minute Valentine's Gifts That Aren't Flowers ❣️,28c419f6be32a1a437492a6cb118e733c4b983517e5406e99180123dfc805189</t>
  </si>
  <si>
    <t>EXHIBIT_EMAIL_20250212_301_8e390f01,EMAIL,2025-02-12T02:01:32+00:00,100.0,CRITICAL,Email: Security alert for placed.sj@gmail.com,8e390f01d1fa62e6309f93a17d8239ac45d171d4232a92b4daeb9ad05eefa7f7</t>
  </si>
  <si>
    <t>EXHIBIT_EMAIL_20250202_302_8a3328a9,EMAIL,2025-02-02T01:51:48+00:00,100.0,CRITICAL,Email: Security alert for lunacraigcep@gmail.com,8a3328a97e5fed55a14311593a751850076b8e8a4a71654acf7667ed52b2fbc6</t>
  </si>
  <si>
    <t>EXHIBIT_EMAIL_20250131_303_95ee2242,EMAIL,2025-01-31T12:15:47-06:00,100.0,CRITICAL,Email: Galaxy S25 is just around the corner,95ee224293041f24a1882fa313e8eca2ac1710cd8104a08cd4588d22cfbe6648</t>
  </si>
  <si>
    <t>EXHIBIT_EMAIL_20250130_304_9d548952,EMAIL,2025-01-30T18:13:21+00:00,100.0,CRITICAL,Email: New: AI Tools for Sales &amp; RevOps,9d5489522f4708cac15e9fcbba4ff8aef379be51b373a6a9923fb37360d4663d</t>
  </si>
  <si>
    <t>EXHIBIT_EMAIL_20250124_305_d6ee7824,EMAIL,2025-01-24T21:03:37-08:00,100.0,CRITICAL,"Email: Reminder! Switch now and save up to $1,275",d6ee78244c8b12b921d79f9d1d3f72b046bbf405ab8a673e1d28cb75e9755b42</t>
  </si>
  <si>
    <t>EXHIBIT_EMAIL_20250127_306_68a03a1b,EMAIL,2025-01-27T05:35:30-08:00,100.0,CRITICAL,Email: Quick Tip: Remove and Replace Backgrounds with Green Screen! 🟩,68a03a1bf8290000686fe5a86195203809ad6ec312c66866aba4bf7f23062fee</t>
  </si>
  <si>
    <t>EXHIBIT_EMAIL_20250213_307_c19880b6,EMAIL,2025-02-13T08:50:59-04:00,100.0,CRITICAL,Email: Fwd: Interac e-Transfer: You've received $20.00 from Paul Carey and it has been automatically deposi,c19880b6251fdaa3a871f393e06775c7ec4f74c7245d4d1b49cbeee0b336ef3e</t>
  </si>
  <si>
    <t>EXHIBIT_EMAIL_20250124_308_19887875,EMAIL,2025-01-24T14:28:08+00:00,100.0,CRITICAL,Email: SJ PLACED - 📣🎁 Claim Your Free 5 Year Website Subscription 🔥✨❤️,198878755eecf032bfcc5b69ea2a6da81b6bc56f7232ab98234a730c2a6b26ff</t>
  </si>
  <si>
    <t>EXHIBIT_EMAIL_20250123_309_9ddcc72d,EMAIL,2025-01-23T06:00:02+00:00,100.0,CRITICAL,"Email: vroofn, you have free spins on Wild Cash! 💰",9ddcc72d51393a88b124841a7f86251ae8e09a31b6fc9926e9dfc03489134f47</t>
  </si>
  <si>
    <t>EXHIBIT_EMAIL_20250202_310_c957a39b,EMAIL,2025-02-02T03:18:15-08:00,100.0,CRITICAL,Email: Stay logged in on this trusted device,c957a39b19b863e3a200e5ed502ac2f36e16bf30a1e74f7807f8f993c67d364f</t>
  </si>
  <si>
    <t>EXHIBIT_EMAIL_20250201_311_13bdfcb6,EMAIL,2025-02-01T17:40:40-08:00,100.0,CRITICAL,Email: Stay logged in on this trusted device,13bdfcb691200f1045f1e577784e56be28b751b461e1d77c9589bd637b24c0ce</t>
  </si>
  <si>
    <t>EXHIBIT_EMAIL_20250129_312_11450617,EMAIL,2025-01-29T14:35:45+00:00,100.0,CRITICAL,Email: 📷 Webinar Tomorrow - Master Photography for Shed Sales,11450617db1c3b2a857b852c221a2eeb56adf422bfbd9bb6857a44f9fea960f3</t>
  </si>
  <si>
    <t>EXHIBIT_EMAIL_20250203_313_915132ec,EMAIL,2025-02-03T13:10:11-08:00,100.0,CRITICAL,"Email: K, tune your model and tailor Gemini to your needs",915132ecc6a0ec6f00b5518012a40d38e221fc8e5da9ec28941e3e0635b3e7ef</t>
  </si>
  <si>
    <t>EXHIBIT_EMAIL_20250130_314_503784db,EMAIL,2025-01-30T09:39:15-06:00,100.0,CRITICAL,Email: Your weekly flyer is here 🙂,503784dbf5348d7bff0ae7c5bdca40ec2e0c40f64c89054215839af1e726ecf0</t>
  </si>
  <si>
    <t>EXHIBIT_EMAIL_20250131_315_64a7774b,EMAIL,2025-01-31T20:03:43+00:00,100.0,CRITICAL,Email: You still have CA$90 in Credits unclaimed,64a7774b39eef4fdbe24ab440248a936b98050467ba2fbc45a1d6f03f62df7d7</t>
  </si>
  <si>
    <t>EXHIBIT_EMAIL_20250211_316_bc04161b,EMAIL,2025-02-11T14:57:59+00:00,100.0,CRITICAL,"Email: Get 1 month for $1 when you rejoin Premium. $12.69/mo. after. Cancel</t>
  </si>
  <si>
    <t>anytime.",bc04161b9debd43d1989091861dc8f4030b079867e8ab21cfe1722edc7a96a54</t>
  </si>
  <si>
    <t>EXHIBIT_EMAIL_20250122_317_9161ee80,EMAIL,2025-01-22T14:47:02-04:00,100.0,CRITICAL,Email: Fwd: VIP,9161ee8014fe62bdf88485bf5372b7a93f1bf8507fee7604d4a3854e7901dea9</t>
  </si>
  <si>
    <t>EXHIBIT_EMAIL_20250201_318_c169fdbc,EMAIL,2025-02-01T22:22:11-08:00,100.0,CRITICAL,Email: Receipt for Your Payment to Apple Services,c169fdbc286e1dae83ab556b5650352e82671c26ea841790dd6de9a0acc4ebd8</t>
  </si>
  <si>
    <t>EXHIBIT_EMAIL_20250122_319_52bbad58,EMAIL,2025-01-22T09:19:23-06:00,100.0,CRITICAL,Email: Meet your goals with appliances &amp; fitness fits 🙌,52bbad58504c99a5add502ba2144966d3a25c8acbac4eebf19d5bd0b78a3aff4</t>
  </si>
  <si>
    <t>EXHIBIT_EMAIL_20250201_320_a40b168b,EMAIL,2025-02-01T11:17:20+00:00,100.0,CRITICAL,Email: Extend your trial,a40b168b1a8064e8551123b41ea7b9dc5f3c1af8f23d214c2fb94ae26c49df5d</t>
  </si>
  <si>
    <t>EXHIBIT_EMAIL_20250124_321_6db17665,EMAIL,2025-01-24T15:39:51-06:00,100.0,CRITICAL,Email: Level Up Your Deployment Game with Git Push,6db176651844824b65d85ad04a0b803556f603de9e50b98cbfa98be7983b7291</t>
  </si>
  <si>
    <t>EXHIBIT_EMAIL_20250127_322_363d2536,EMAIL,2025-01-27T05:09:05+01:00,100.0,CRITICAL,"Email: vroofn, you have free spins on Amazing Catch Power Combo!🐟",363d25360664a0e58accdf5c2b626a421b734047c9f9c7ae53eb3b2e4eb14d89</t>
  </si>
  <si>
    <t>EXHIBIT_EMAIL_20250122_323_4f20b377,EMAIL,2025-01-22T17:38:56+00:00,100.0,CRITICAL,Email: Don't miss 25% off your next order,4f20b377472e56e07b0f3e657635e85ec8e7225b8f37dba3a2b9ebcb6ebfff4a</t>
  </si>
  <si>
    <t>EXHIBIT_EMAIL_20250210_324_40b67feb,EMAIL,2025-02-10T01:39:42+00:00,100.0,CRITICAL,Email: Security alert,40b67feb08e9c2922be1818281d1f9a492385345db5c3326f81fcee1f2e3dbc3</t>
  </si>
  <si>
    <t>EXHIBIT_EMAIL_20250125_325_df1d687d,EMAIL,2025-01-25T20:03:18+00:00,100.0,CRITICAL,Email: Don't forget! Game Day Deals from all your favs await!,df1d687d9f76ec3e2325c773a3c5bc22e4ac25706560f153854c1fa69298cf4b</t>
  </si>
  <si>
    <t>EXHIBIT_EMAIL_20250211_326_1280804d,EMAIL,2025-02-11T08:56:09-06:00,100.0,CRITICAL,Email: Stays with sunshine and savings,1280804da63bdfb0021d7ad857554378bc80812491a2a4f5cab720dd9bd1832d</t>
  </si>
  <si>
    <t>EXHIBIT_EMAIL_20250122_327_630055a4,EMAIL,2025-01-22T19:51:02+00:00,100.0,CRITICAL,"Email: We are ready to upgrade your account, Dawn.",630055a4cc4c633527bc14454809b9da634d092e647c132455b4e7e36944e72a</t>
  </si>
  <si>
    <t>EXHIBIT_EMAIL_20250128_328_f2f2a54b,EMAIL,2025-01-28T18:11:19-06:00,100.0,CRITICAL,Email: Your guide to all inclusive vacations,f2f2a54b12a3c2a7b2c31d0fad8a422c20fd5c0ad15aec7a82493852146bf7a5</t>
  </si>
  <si>
    <t>EXHIBIT_EMAIL_20250123_329_11351c36,EMAIL,2025-01-23T09:48:47-06:00,100.0,CRITICAL,Email: Your weekly flyer is here 🙂,11351c3649dd70d1cd7985385d0fd2edc43b2d86fc339e89fd6d9493c8b49a3d</t>
  </si>
  <si>
    <t>EXHIBIT_EMAIL_20250127_330_466db104,EMAIL,2025-01-27T12:22:49+00:00,100.0,CRITICAL,Email: 🔮 MYSTERY DEAL🔮 Just for you!,466db10497b786e9dc592ab94d314b7f924067a955b00e40fb4f08c02e76a132</t>
  </si>
  <si>
    <t>EXHIBIT_EMAIL_20250127_331_6ca23e19,EMAIL,2025-01-27T07:00:40-05:00,100.0,CRITICAL,Email: Make Mailchimp scale with you,6ca23e1900d7b0322c675ff6945327245da29e61c964f5f3c5bd2f092f6a8dee</t>
  </si>
  <si>
    <t>EXHIBIT_EMAIL_20250127_332_e84f6023,EMAIL,2025-01-27T20:28:37+00:00,100.0,CRITICAL,Email: Don't forget! Game Day Deals from all your favs await!,e84f6023e4c6319bb23e712486663057c4ae713a129108a48ff7c55fac1bf472</t>
  </si>
  <si>
    <t>EXHIBIT_EMAIL_20250130_333_1d9d1ce1,EMAIL,2025-01-30T18:04:43-08:00,100.0,CRITICAL,"Email: Don’t forget to trade in and save up to $1,050.",1d9d1ce1d2338cb4f00674ebe2cd05a6f64444131f7ec79e655302b07c8f6e75</t>
  </si>
  <si>
    <t>EXHIBIT_EMAIL_20250128_334_ff240b87,EMAIL,2025-01-28T18:09:24+00:00,100.0,CRITICAL,Email: Order to unlock 30% off,ff240b87ba1f9ab0a51f036d7e1168d02abda023dd053d2911b0c815a6b02523</t>
  </si>
  <si>
    <t>EXHIBIT_EMAIL_20250202_335_4e6b3832,EMAIL,2025-02-02T00:35:26+00:00,100.0,CRITICAL,Email: Security alert for placed.sj@gmail.com,4e6b38326590c65db93d3eb7a03792190b8af6ea825b8bab766cae83b49ebe58</t>
  </si>
  <si>
    <t>EXHIBIT_EMAIL_20250127_336_fe32ea5d,EMAIL,2025-01-27T06:50:25-08:00,100.0,CRITICAL,Email: Maximize creativity and productivity with Adobe,fe32ea5d182c48c37253315411c4a7eb65459c536f6a4ae00c946cbb68e77869</t>
  </si>
  <si>
    <t>EXHIBIT_EMAIL_20250219_337_d97ef4fc,EMAIL,2025-02-19T01:16:34+00:00,100.0,CRITICAL,Email: Enable Fluid for your projects,d97ef4fcd3ffd17210c22a5804dfda047751c07b44c1d50b8da2deb8e29fe815</t>
  </si>
  <si>
    <t>EXHIBIT_EMAIL_20250204_338_b5ab2964,EMAIL,2025-02-04T06:48:41+00:00,100.0,CRITICAL,Email: All aboard! Welcome to Railway!,b5ab2964041881da495ab8ddf8b22534e7ab02e2e4e76e7ba6e5d853962311ff</t>
  </si>
  <si>
    <t>EXHIBIT_EMAIL_20250227_339_a89ccbd4,EMAIL,2025-02-27T06:00:10+00:00,100.0,CRITICAL,"Email: vroofn , you have free spins on Temple of Thunder II! 🌩️",a89ccbd4d09cd87cda40124ee2c79d235595c14f00a12023d1c4bc8a10b85067</t>
  </si>
  <si>
    <t>EXHIBIT_EMAIL_20250207_340_32ff1270,EMAIL,2025-02-07T13:03:40+00:00,100.0,CRITICAL,"Email: Limited time offer: $1 for 1 month of Premium. $12.69/mo. after.</t>
  </si>
  <si>
    <t>Cancel anytime.",32ff1270f1cb80c94c07d6d3a71f3965eca27e9ed1ba6ee2c9638659a6355636</t>
  </si>
  <si>
    <t>EXHIBIT_EMAIL_20250124_341_8e23d291,EMAIL,2025-01-24T09:50:52-06:00,100.0,CRITICAL,Email: Low prices on Valentine's Day meals &amp; more 💓,8e23d2916c2b74415be5a981fe06e590b5d81cfe733362cfff896ce3731eb5eb</t>
  </si>
  <si>
    <t>EXHIBIT_EMAIL_20250213_342_28e72a26,EMAIL,2025-02-13T08:44:55-04:00,100.0,CRITICAL,Email: Fwd: INTERAC e-Transfer: A money transfer from Paul Carey has been automatically deposited.,28e72a266f50059d656b555857cd7da7dd9fb3ffddd4b7051b3670bcc6ba9946</t>
  </si>
  <si>
    <t>EXHIBIT_EMAIL_20250203_343_4e71212a,EMAIL,2025-02-03T19:28:49-08:00,100.0,CRITICAL,"Email: [GitHub] A first-party GitHub OAuth application has been added to</t>
  </si>
  <si>
    <t>your account",4e71212a3de58a9a022a718a206b7288e36631bdcb99b8963ea52590a31c68dc</t>
  </si>
  <si>
    <t>EXHIBIT_EMAIL_20250220_344_524abe53,EMAIL,2025-02-20T04:11:56+00:00,100.0,CRITICAL,Email: *Voicemail from (800) 820-8210,524abe536983e31c6db041492389aa8f2f69de22f1a0b225ddd73b485436e866</t>
  </si>
  <si>
    <t>EXHIBIT_EMAIL_20250122_345_b60ff127,EMAIL,2025-01-22T12:56:32+00:00,100.0,CRITICAL,Email: Your Amazon Business account cannot be verified,b60ff127e6180ef5485dfb37f90e6cb34e203129cc4b78e1ad427cb17a7d5d62</t>
  </si>
  <si>
    <t>EXHIBIT_EMAIL_20250125_346_eb3fa67d,EMAIL,2025-01-25T06:20:36+00:00,100.0,CRITICAL,Email: Mailchimp trial ending,eb3fa67de01846e39871dcfd05b2e59b2bc3283e17f95bac28ddae5d1dcc42ca</t>
  </si>
  <si>
    <t>EXHIBIT_EMAIL_20250211_347_594df82e,EMAIL,2025-02-11T17:37:59+00:00,100.0,CRITICAL,"Email: $10,000 Prize Pool Announcement 🏆",594df82ea997587e552f7953227737337a9add419111508e40862f5a16423905</t>
  </si>
  <si>
    <t>EXHIBIT_EMAIL_20250204_348_5eca1f40,EMAIL,2025-02-04T07:00:50-05:00,100.0,CRITICAL,"Email: Welcome Stacey, your resume is ready",5eca1f40a24ef4ad1806401df6388556f9f17318b24e9590f9748d4dd79f021a</t>
  </si>
  <si>
    <t>EXHIBIT_EMAIL_20250226_349_68a4dc68,EMAIL,2025-02-26T18:53:08-08:00,100.0,CRITICAL,"Email: charliewharlie369, see lexi.flemingx, bamspam22 and more in your feed",68a4dc68f0ef01e7f9fd6a4e9db1c75b8183cea86458f6c830d1f0099e9bbb73</t>
  </si>
  <si>
    <t>EXHIBIT_EMAIL_20250129_350_a3a29f46,EMAIL,2025-01-29T15:08:21+00:00,100.0,CRITICAL,Email: Start your new business with VistaPrint,a3a29f46b54ec6063d878dacabc87c185a807b4691e098bdcbffcf85d38a697f</t>
  </si>
  <si>
    <t>EXHIBIT_EMAIL_20250202_351_f8012ff8,EMAIL,2025-02-02T07:19:51-08:00,100.0,CRITICAL,Email: [GitHub] Please verify your device,f8012ff8df9d8f0670f4319f76bb0433f5ecf1deeacd36001c863f795109d08a</t>
  </si>
  <si>
    <t>EXHIBIT_EMAIL_20250227_352_8644107f,EMAIL,2025-02-27T18:45:29+00:00,100.0,CRITICAL,"Email: 🚀 What’s new in OpenPhone: AI call tags, API updates, G2 awards &amp; more",8644107f3a458c20640595101c0b8af8dd25affd80b2c2910a4fac02e5ce9c24</t>
  </si>
  <si>
    <t>EXHIBIT_EMAIL_20250128_353_9dba716c,EMAIL,2025-01-28T14:45:24+00:00,100.0,CRITICAL,Email: 50% OFF sale is on,9dba716c116ad0d03379621dd24e0154396926b59fc26cf284fa1a0f85747396</t>
  </si>
  <si>
    <t>EXHIBIT_EMAIL_20250131_354_acc9131c,EMAIL,2025-01-31T14:58:10+00:00,100.0,CRITICAL,Email: You'll never forget that first sale feeling,acc9131c15a8b098f77f70e0096fe2b6387bda528713cb6043ba4ed3ea5e6106</t>
  </si>
  <si>
    <t>EXHIBIT_EMAIL_20250223_355_0fdf3f1b,EMAIL,2025-02-23T07:15:04+00:00,100.0,CRITICAL,"Email: Organize your life, one template at a time",0fdf3f1bdb1731e0af2c4743e05cbfc8450e6365ca3dd4939ca4a730ab4f9d60</t>
  </si>
  <si>
    <t>EXHIBIT_EMAIL_20250203_356_49942ab1,EMAIL,2025-02-03T07:25:42-08:00,100.0,CRITICAL,Email: Design unique patterns fast with generative AI,49942ab14046cd8cc083ca61aea4b5a603bc53a2bb5bd488038c68c099d405ab</t>
  </si>
  <si>
    <t>EXHIBIT_EMAIL_20250131_357_df9a06a3,EMAIL,2025-01-31T18:12:07+00:00,100.0,CRITICAL,Email: You’re on your way to saving 30%,df9a06a3405c7a2cf0695d787ce907c893e7323ac9ab8c871f047d8a3ad463fb</t>
  </si>
  <si>
    <t>EXHIBIT_EMAIL_20250127_358_9b92fa4c,EMAIL,2025-01-27T07:57:46+00:00,100.0,CRITICAL,Email: Mailchimp billing: payment declined,9b92fa4cbd4c190a2b99259b83ced3aff40dcbf57f0ec1a55412616e858e82ef</t>
  </si>
  <si>
    <t>EXHIBIT_EMAIL_20250206_359_f42fdf9c,EMAIL,2025-02-06T19:04:31+00:00,100.0,CRITICAL,Email: Unlock formulas in Zapier Tables,f42fdf9c3d4179b07813bfaba2781f0e86fa6111fd335c930d4a2f86ee06b29d</t>
  </si>
  <si>
    <t>EXHIBIT_EMAIL_20250128_360_878d8a5b,EMAIL,2025-01-28T17:41:11+00:00,100.0,CRITICAL,Email: Your cart item: now 85% OFF!,878d8a5b43aba3a416525cecd6fd78c2e565bb696b1fab94beb39dee4bd86340</t>
  </si>
  <si>
    <t>EXHIBIT_EMAIL_20250124_361_9265411a,EMAIL,2025-01-24T14:43:32-05:00,100.0,CRITICAL,Email: Here to help you build your vision,9265411a464d525ddfefbb4af1f26dc1636f103a992a29737021e0f1bbfea940</t>
  </si>
  <si>
    <t>EXHIBIT_EMAIL_20250204_362_298fc583,EMAIL,2025-02-04T06:33:47-08:00,100.0,CRITICAL,"Email: Last chance to save up to $1,050.",298fc58347539c1a6086d3a2a6d4470ece5f289390c15b21f8b2e5a5c9f880e8</t>
  </si>
  <si>
    <t>EXHIBIT_EMAIL_20250213_363_2e5c8203,EMAIL,2025-02-13T14:52:03+00:00,100.0,CRITICAL,Email: Put your $40 off towards more than just groceries,2e5c82031ffdec94518f3fc35d40a6835a3fde39dcc7fb5df4e25d74856aa7a0</t>
  </si>
  <si>
    <t>EXHIBIT_EMAIL_20250202_364_f9643569,EMAIL,2025-02-02T06:52:07-08:00,100.0,CRITICAL,Email: [GitHub] Your password was reset,f9643569cc49b3561c3b7258cafe7c2ff2e6495a8d7f682f3cdfd32d40d26680</t>
  </si>
  <si>
    <t>EXHIBIT_EMAIL_20250213_365_1322f16b,EMAIL,2025-02-13T05:27:45-08:00,100.0,CRITICAL,Email: 🎵 Quick Tip: Perfectly Sync Audio and Music to Boost Engagement,1322f16b77b17f381e01acb75dde0132dbe4381d2d3852ff9c56bb19561e3953</t>
  </si>
  <si>
    <t>EXHIBIT_EMAIL_20250204_366_6ade484a,EMAIL,2025-02-04T07:18:56+00:00,100.0,CRITICAL,Email: Replit: Verify Your Email,6ade484aac52fbd79faf20d5e0bd66b69b21b686d8558d8bbff6d076b2997c10</t>
  </si>
  <si>
    <t>EXHIBIT_EMAIL_20250204_367_45283be9,EMAIL,2025-02-04T12:10:15+00:00,100.0,CRITICAL,Email: ENDS TOMORROW – Pick your offer!,45283be9e987042e3b6ec5b1f86b5dc2785f8a03a4d76dcfb75b4be03b46a0ef</t>
  </si>
  <si>
    <t>EXHIBIT_EMAIL_20250204_368_e4176fd3,EMAIL,2025-02-04T23:00:17+00:00,100.0,CRITICAL,Email: Welcome to Replit: Where Ideas Come to Life 💫,e4176fd31035e435cfd8df13245e584c702f913316856764c4988ea5965bcb91</t>
  </si>
  <si>
    <t>EXHIBIT_EMAIL_20250124_369_f16bc1fb,EMAIL,2025-01-24T15:47:20+00:00,100.0,CRITICAL,Email: Security alert for placed.sj@gmail.com,f16bc1fb583770ac731385b81f5e4934f836c105e2bee7c470223fd0c3e14ba6</t>
  </si>
  <si>
    <t>EXHIBIT_EMAIL_20250211_370_405e05fe,EMAIL,2025-02-11T20:06:58+00:00,100.0,CRITICAL,Email: 50% off your next 3 orders - just for you 👀,405e05fe3637a7815f531e4a81cb64b70c0c1d49779d33cb73bfe1f8338b541d</t>
  </si>
  <si>
    <t>EXHIBIT_EMAIL_20250212_371_69a109d2,EMAIL,2025-02-12T01:11:00+00:00,100.0,CRITICAL,Email: Security alert for lunacraigcep@gmail.com,69a109d265aeaa6ffffc43ec312683150b1af28914bc54eb6748386bf2503b30</t>
  </si>
  <si>
    <t>EXHIBIT_EMAIL_20250212_372_7801b9b7,EMAIL,2025-02-12T00:01:26+00:00,100.0,CRITICAL,Email: Security alert for lunacraigcep@gmail.com,7801b9b7f8d5391ee681d475606c689875412887a2e61bb5db289a10e0288a5d</t>
  </si>
  <si>
    <t>EXHIBIT_EMAIL_20250129_373_71659efe,EMAIL,2025-01-29T19:00:40+00:00,100.0,CRITICAL,Email: Spread the love with custom gifts 💝,71659efe6790ed1a6cb6065bd8d19229b0ab918c55c272ae1823ab44d1fec31c</t>
  </si>
  <si>
    <t>EXHIBIT_EMAIL_20250129_374_c392c746,EMAIL,2025-01-29T14:49:13+00:00,100.0,CRITICAL,"Email: Stock up and save on thousands of products at the Business Savings</t>
  </si>
  <si>
    <t>Event",c392c746934c4e91135d11fbe71bcab63c09bff42a20d6398716ad2965f3e3db</t>
  </si>
  <si>
    <t>EXHIBIT_EMAIL_20250126_375_72059850,EMAIL,2025-01-26T13:04:47+01:00,100.0,CRITICAL,Email: Jette un coup d’œil sur ceci,7205985009095c27683fc15c421536ea8cd33c91c99feb43295ffdbe1d631d42</t>
  </si>
  <si>
    <t>EXHIBIT_EMAIL_20250220_376_486279f1,EMAIL,2025-02-20T15:10:24+00:00,100.0,CRITICAL,Email: Finalize your Webador Pro order,486279f1966e0afe002e9bf9b4a906f7ca5e723ba5005b4db8c56331868229d9</t>
  </si>
  <si>
    <t>EXHIBIT_EMAIL_20250129_377_e0e4a2f2,EMAIL,2025-01-29T14:54:08+00:00,100.0,CRITICAL,Email: Last Chance—Save 50% with Wix,e0e4a2f27cec74f093725edb5a39ead6078476c2bbdcade3d6929b4a5a98d9f7</t>
  </si>
  <si>
    <t>EXHIBIT_EMAIL_20250224_378_fc08a0ab,EMAIL,2025-02-24T17:00:46+00:00,100.0,CRITICAL,Email: New earning opportunities available to you,fc08a0abacd8855da6a3285e5e9c3e8aeeb5549667458133a15123a95e2623c8</t>
  </si>
  <si>
    <t>EXHIBIT_EMAIL_20250201_379_fe2be15b,EMAIL,2025-02-01T09:02:33-05:00,100.0,CRITICAL,Email: $15 Today Only! Gillian Anderson's Want 💗,fe2be15bdaf5d8737e4f8d8a7b6d218b47fa6a0dda7636176dfab5e896cd0c0d</t>
  </si>
  <si>
    <t>EXHIBIT_EMAIL_20250220_380_c8d11d6c,EMAIL,2025-02-20T07:03:49-06:00,100.0,CRITICAL,Email: Meet your Mega match!,c8d11d6c50aba5a72fc6526f3927c516ae8b32a69fc1f89b68c1b3a3348ea6d5</t>
  </si>
  <si>
    <t>EXHIBIT_EMAIL_20250126_381_6d13fa37,EMAIL,2025-01-26T02:49:16+00:00,100.0,CRITICAL,Email: Someone has switched your Alfred Camera to Viewer,6d13fa374f7942e089e87c812172c3c8f61f46c102778de02d30b1a63b2e8b8d</t>
  </si>
  <si>
    <t>EXHIBIT_EMAIL_20250126_382_a7652924,EMAIL,2025-01-26T02:01:29+00:00,100.0,CRITICAL,Email: Someone has switched your Alfred Camera to Viewer,a7652924e998160899e7b2f3aa56e0113a553215b77837d087cda449ebfcdf0e</t>
  </si>
  <si>
    <t>EXHIBIT_EMAIL_20250125_383_dffd3470,EMAIL,2025-01-25T12:16:56+00:00,100.0,CRITICAL,Email: Order Confirmation for B from Tim Hortons,dffd34702f3915fe5f2615394d720987296b5e62ed1ed6caaf33f7bb74eca8b2</t>
  </si>
  <si>
    <t>EXHIBIT_EMAIL_20250127_384_080bd505,EMAIL,2025-01-27T11:17:37+00:00,100.0,CRITICAL,Email: 💰 Your first sale is waiting,080bd5051ba0611c6c7c28bb9bf04fb51022b2d57af678b1950be3dc1c63fcc1</t>
  </si>
  <si>
    <t>EXHIBIT_EMAIL_20250203_385_2576c2ec,EMAIL,2025-02-03T19:39:56-08:00,100.0,CRITICAL,"Email: charliewharlie369, see bamspam22, _sophiejspam and more in your feed",2576c2ec7b0a6e662a3520b763c9eb6a3d2fd1c398cb243830f547540512bb57</t>
  </si>
  <si>
    <t>EXHIBIT_EMAIL_20250204_386_1d25ca00,EMAIL,2025-02-04T01:42:14+00:00,100.0,CRITICAL,"Email: @Cali Boyd, You've received CA$22.75 Treat!",1d25ca006256ff3b65cd2d95db1c5f2dfd35ea894cc099d753550cd10a91fd63</t>
  </si>
  <si>
    <t>EXHIBIT_EMAIL_20250215_387_eeabb28d,EMAIL,2025-02-15T06:00:10+00:00,100.0,CRITICAL,"Email: vroofn, Deposit CAD 5, Get 77 Free Spins! 🍇",eeabb28dabf36ec6616b0cc5b20b6ba81e3024a26825e02a69955efceb81bd5c</t>
  </si>
  <si>
    <t>EXHIBIT_EMAIL_20250202_388_dc01f4e3,EMAIL,2025-02-02T11:17:38+00:00,100.0,CRITICAL,Email: Don’t lose your progress,dc01f4e3173748c40843bb249646ad6203286e9c8f1ede88a8efe4d7d92110e0</t>
  </si>
  <si>
    <t>EXHIBIT_EMAIL_20250228_389_f6c9d72d,EMAIL,2025-02-28T20:00:30+00:00,100.0,CRITICAL,Email: 🟦Your 100% No-Rules Bonus Expires Soon!⏰,f6c9d72d64d96735df291d943d2964bb11fd812352395dd2f9d99ccc259257e7</t>
  </si>
  <si>
    <t>EXHIBIT_EMAIL_20250122_390_da7adf7c,EMAIL,2025-01-22T21:10:38-08:00,100.0,CRITICAL,"Email: Switch to the new epic. Save up to $1,275",da7adf7cf6abef7bc2efcf9c5e18d0eae5af51273ad832cf05af91d1ede7677b</t>
  </si>
  <si>
    <t>EXHIBIT_EMAIL_20250129_391_65a927ed,EMAIL,2025-01-29T20:16:00+00:00,100.0,CRITICAL,"Email: Deals you don’t wanna miss, Craig n Emma",65a927eddde10b41cf2f057f0d73183cd0dd3edd383b479bd03852fc59381287</t>
  </si>
  <si>
    <t>EXHIBIT_EMAIL_20250219_392_5e1e8c5c,EMAIL,2025-02-19T01:24:53+00:00,100.0,CRITICAL,Email: 50% off your next 3 orders - just for you 👀,5e1e8c5c0e018ce805ade2bcc085462b3673c40840eeae5ff8ee884ab3481976</t>
  </si>
  <si>
    <t>EXHIBIT_EMAIL_20250205_393_dd286965,EMAIL,2025-02-05T15:08:36-06:00,100.0,CRITICAL,Email: Deals that’ll blow your cart away! 🛒,dd286965e83825eb83000f2fd8b1b6f7bac3b813eb4c2d635af3537f23b9a851</t>
  </si>
  <si>
    <t>EXHIBIT_EMAIL_20250128_394_40ae2785,EMAIL,2025-01-28T12:30:40-06:00,100.0,CRITICAL,Email: Is it time to break up with Google? 🤔,40ae2785b6269754d3f1292a981e1219d790b6d3576caa2a4e9cc88a4fc84eac</t>
  </si>
  <si>
    <t>EXHIBIT_EMAIL_20250211_395_6b6b9ae7,EMAIL,2025-02-11T22:04:26+00:00,100.0,CRITICAL,Email: 🚨Your exclusive PGA Contest Ticket Offer is here.🚨,6b6b9ae7e3e3085b9a0d7f2dc97ebf08aeda07e42a29d62238d8a1985b342fff</t>
  </si>
  <si>
    <t>EXHIBIT_EMAIL_20250128_396_d1a4e607,EMAIL,2025-01-28T16:45:00+00:00,100.0,CRITICAL,Email: Your 6-Week-Old Baby: The Lowdown on Colic,d1a4e607d2525cdc9fcb602b8db90e4add6dab731f8b5b6fbadbb79c30d39c07</t>
  </si>
  <si>
    <t>EXHIBIT_EMAIL_20250128_397_5296130a,EMAIL,2025-01-28T19:06:56-08:00,100.0,CRITICAL,"Email: charliewharlie369, catch up on moments you've missed",5296130a69ba3b3d5fa0accb3d9ea00fd088518b4bfa6298e703fd52a0b428bb</t>
  </si>
  <si>
    <t>EXHIBIT_EMAIL_20250122_398_39849005,EMAIL,2025-01-22T13:34:54-06:00,100.0,CRITICAL,Email: Here's an extra $40 for you! 🤩,398490054c6a46b0fd2fbbb103d79bf72d7470e74e6166c0e3b28792c31eed12</t>
  </si>
  <si>
    <t>EXHIBIT_EMAIL_20250122_399_1e31a448,EMAIL,2025-01-22T13:30:22+00:00,100.0,CRITICAL,Email: Automate Google Sheets,1e31a4480a956c37b9c1e4def9712ca787a95781d12ec8027bd9cf0fa56ce4eb</t>
  </si>
  <si>
    <t>EXHIBIT_EMAIL_20250130_400_1964d4c4,EMAIL,2025-01-30T20:00:37+00:00,100.0,CRITICAL,Email: Boost Local Business Visibility: Tips for More Customers,1964d4c464ef3dfb821b41fd0e6a23f6ad01ee119c540668e45d916e045534c4</t>
  </si>
  <si>
    <t>EXHIBIT_EMAIL_20250127_401_e31ea1e8,EMAIL,2025-01-27T21:09:56+00:00,100.0,CRITICAL,Email: Share the Love: February’s Must-Post Social Calendar Inside!,e31ea1e8c19efaed9f2b4941d304dce7baad1f943ae8dec05cc7457b7ce0d21a</t>
  </si>
  <si>
    <t>EXHIBIT_EMAIL_20250210_402_e9082de0,EMAIL,2025-02-10T13:32:22+00:00,100.0,CRITICAL,Email: ,e9082de0aa66800749cfc9ac9017a9ea2f7e3f834343cb004837e488ec33060d</t>
  </si>
  <si>
    <t>EXHIBIT_EMAIL_20250122_403_844e0e17,EMAIL,2025-01-22T14:27:23+00:00,100.0,CRITICAL,Email: Get 50% OFF: Final Hours to Save,844e0e1753929bfe831740ee96fe600520f7fb5a410f7d3dcc8240c4abf3c741</t>
  </si>
  <si>
    <t>EXHIBIT_EMAIL_20250123_404_0205e4dd,EMAIL,2025-01-23T18:30:38+00:00,100.0,CRITICAL,Email: 3 (surprising) benefits of proactive customer service,0205e4dd5185ca218f285d36ae0cb0b9638625ab1600bb7a46de495728bdd991</t>
  </si>
  <si>
    <t>EXHIBIT_EMAIL_20250226_405_ec8af98c,EMAIL,2025-02-26T03:02:17-08:00,100.0,CRITICAL,Email: Finding the right PC just got a whole lot easier with Copilot+ PCs,ec8af98c72fa426fe846532497e61781cb2bee4dbb7059ed6c8514e5a72309dd</t>
  </si>
  <si>
    <t>EXHIBIT_EMAIL_20250226_406_4899865f,EMAIL,2025-02-26T02:29:47-06:00,100.0,CRITICAL,Email: Sale starts now: Save 25%+ on hotels,4899865f56d87284327164d6282248ee821b51820b57a15c11131c08f668d30d</t>
  </si>
  <si>
    <t>EXHIBIT_EMAIL_20250127_407_835eae86,EMAIL,2025-01-27T00:45:39+00:00,100.0,CRITICAL,Email: Thank you for signing up to Blissful Escapes,835eae86a56e5b2d46d3fa57d19c8a344bc3caa824150068842cf642e498169b</t>
  </si>
  <si>
    <t>EXHIBIT_EMAIL_20250208_408_c5aa51ca,EMAIL,2025-02-08T06:00:04+00:00,100.0,CRITICAL,"Email: vroofn, Deposit CAD 5, Get 77 Free Spins! 💎",c5aa51ca1c58276ba916e47ec7f21742cc3fe20f5cfa8dcb137ce7ab57659627</t>
  </si>
  <si>
    <t>EXHIBIT_EMAIL_20250127_409_ae017ae7,EMAIL,2025-01-27T12:12:49-06:00,100.0,CRITICAL,Email: The best resorts in the Dominican Republic are here,ae017ae78164db780511add45dcdfa5ba8cb36451e951b64fdd99a1fcca142e6</t>
  </si>
  <si>
    <t>EXHIBIT_EMAIL_20250201_410_0696cac8,EMAIL,2025-02-01T08:28:58+00:00,100.0,CRITICAL,Email: Mailchimp billing: payment declined,0696cac8a23e95c3cccf1e2f455e362d46dcb0aa6500997e6905dc95220e2105</t>
  </si>
  <si>
    <t>EXHIBIT_EMAIL_20250123_411_39b04d68,EMAIL,2025-01-23T10:52:35-05:00,100.0,CRITICAL,Email: 📼 Keep those video resolutions,39b04d684f4b345f41454b9892a442e3198bb129f256c504c3b96293c3eff7ff</t>
  </si>
  <si>
    <t>EXHIBIT_EMAIL_20250210_412_3f838bb1,EMAIL,2025-02-10T12:38:33-04:00,100.0,CRITICAL,Email: form 72j information,3f838bb1cba0d8d31b1bb48072f70ba66cc869c5148592545df4f7fa9402117e</t>
  </si>
  <si>
    <t>EXHIBIT_EMAIL_20250124_413_cf1802b5,EMAIL,2025-01-24T11:17:42+00:00,100.0,CRITICAL,Email: Don’t lose your progress,cf1802b5ae43b759016f353dd8048990d3349caa75b2ddeda7a40214c438eaee</t>
  </si>
  <si>
    <t>EXHIBIT_EMAIL_20250205_414_58ff7c9c,EMAIL,2025-02-05T14:48:12+00:00,100.0,CRITICAL,Email: Last Chance—Save 50% with Wix,58ff7c9cb12c6f2d746aa9d943329536b271ae0cc1d2d82738c822da0381fc50</t>
  </si>
  <si>
    <t>EXHIBIT_EMAIL_20250126_415_5758451e,EMAIL,2025-01-26T10:07:07-06:00,100.0,CRITICAL,Email: Deals 👏 Deals 👏 Deals 👏,5758451e31adf2405f412c29f891e4db87f537279db59eedda11df6ea98886ea</t>
  </si>
  <si>
    <t>EXHIBIT_EMAIL_20250124_416_5d864f27,EMAIL,2025-01-24T09:20:37-06:00,100.0,CRITICAL,Email: Save $20 now ⏰,5d864f276529f089d193a44b41b52919ea056334e1ea526709c58d98621e4576</t>
  </si>
  <si>
    <t>EXHIBIT_EMAIL_20250215_417_c4e9fedb,EMAIL,2025-02-15T01:41:55+00:00,100.0,CRITICAL,Email: More BONUS More SPINS!,c4e9fedbac5e844bab8f19ab77965e24a6140113c352d370d984fbd959ae6f32</t>
  </si>
  <si>
    <t>EXHIBIT_EMAIL_20250125_418_f8f53b1c,EMAIL,2025-01-25T16:45:21+00:00,100.0,CRITICAL,Email: Welcome Aboard BetFury – Your Adventure Awaits!,f8f53b1c371ada306873113ee002e167cced3005ce30e6874343ef6be1a949e2</t>
  </si>
  <si>
    <t>EXHIBIT_EMAIL_20250123_419_42591480,EMAIL,2025-01-23T14:01:54+01:00,100.0,CRITICAL,Email: Dernière chance de faire des économies avant qu’elles ne disparaissent,42591480aa531ca6bfa684ed1d28b8c5f2f38bfa0aa79e39e7afba7cfaf43020</t>
  </si>
  <si>
    <t>EXHIBIT_EMAIL_20250122_420_63e4b979,EMAIL,2025-01-22T14:37:26-06:00,100.0,CRITICAL,Email: Don’t forget to finish setting up your account!,63e4b9796043c1751e535a4b8d10122a0114651bc65f0e58a8bb14946fd4389f</t>
  </si>
  <si>
    <t>EXHIBIT_EMAIL_20250130_421_97532e94,EMAIL,2025-01-30T13:07:30+00:00,100.0,CRITICAL,Email: craig- don't forget to set delivery preferences,97532e94034bc8759e7498cc79298f8569e180e219b4a2fb8396829f19d0fb1a</t>
  </si>
  <si>
    <t>EXHIBIT_EMAIL_20250204_422_2c7b2ceb,EMAIL,2025-02-04T11:53:38+00:00,100.0,CRITICAL,"Email: Your resume is ready, Stacey. Let's download it!",2c7b2ceb1ad38600e010d70184d40a941b23f87f6d5a44c17b43fa1b6d793a39</t>
  </si>
  <si>
    <t>EXHIBIT_EMAIL_20250218_423_a795b383,EMAIL,2025-02-18T11:56:34+01:00,100.0,CRITICAL,Email: You have received 10 free spins,a795b383ceb94d3221c4c5bd37b67d2f2df5bb0ca6bda363d3b10a7f6624beb4</t>
  </si>
  <si>
    <t>EXHIBIT_EMAIL_20250130_424_d0c44995,EMAIL,2025-01-30T09:36:05-08:00,100.0,CRITICAL,Email: Quick Tip: Create Cinematic Content with Film Grain Overlays 🎞️,d0c44995f2f7fc914d30a55de0851a4790a2eac31104f1076e542c8e2fefc216</t>
  </si>
  <si>
    <t>EXHIBIT_EMAIL_20250204_425_82429c19,EMAIL,2025-02-04T16:10:21+00:00,100.0,CRITICAL,"Email: Return to Premium and get 1 month for $1. $12.69/mo. after.  Cancel</t>
  </si>
  <si>
    <t>anytime.",82429c1915e1f870efdfbc8e98a6e5aa373fa2340823ffd4c76c564466c6113f</t>
  </si>
  <si>
    <t>EXHIBIT_EMAIL_20250130_426_ae92a6af,EMAIL,2025-01-30T11:31:46-08:00,100.0,CRITICAL,Email: ⚠️ Your Gmail storage is 100% full,ae92a6afbe22e2836f8835f66f295b950846a22ce491b60c00fc662150457261</t>
  </si>
  <si>
    <t>EXHIBIT_EMAIL_20250124_427_ef7f8739,EMAIL,2025-01-24T15:46:16+00:00,100.0,CRITICAL,Email: Security alert for lunacraigcep@gmail.com,ef7f8739296207a6c3ad332f523a6f40c95fe252b01db6392d3b8bbb28cefddc</t>
  </si>
  <si>
    <t>EXHIBIT_EMAIL_20250129_428_11e5b2e1,EMAIL,2025-01-29T15:09:17-06:00,100.0,CRITICAL,Email: Time to save big—don’t wait! 🛒,11e5b2e1dcc8e83f9b66ad1609b9572767f375c17c02f1be71e8bf57638cfa6c</t>
  </si>
  <si>
    <t>EXHIBIT_EMAIL_20250202_429_120bde22,EMAIL,2025-02-02T00:36:06+00:00,100.0,CRITICAL,Email: Please verify your email address,120bde2287b0ac128b57a05a2cc1b0a7a6bec5943807df384eef141c6868f06a</t>
  </si>
  <si>
    <t>EXHIBIT_EMAIL_20250201_430_41e26fb3,EMAIL,2025-02-01T09:34:43-06:00,100.0,CRITICAL,Email: Clearance $10 &amp; under 🤩,41e26fb395cce02b8c43fdfe9b71043dbc25e04d23f03d7577646284bd207dd7</t>
  </si>
  <si>
    <t>EXHIBIT_EMAIL_20250225_431_667345bd,EMAIL,2025-02-25T06:00:58+00:00,100.0,CRITICAL,Email: Need a jump start? Build from a template,667345bd337a649ccedf4daed3782ddf4e8bc698683104d920d727a39569b83d</t>
  </si>
  <si>
    <t>EXHIBIT_EMAIL_20250129_432_1edce477,EMAIL,2025-01-29T19:47:56+00:00,100.0,CRITICAL,"Email: Swing in for 11 SPINS in Bonus Wheel Jungle, Dawn!",1edce477d32d53dbb4ad10504529eb3612c4457d3c3a19a3ff5428cc003a80bb</t>
  </si>
  <si>
    <t>EXHIBIT_EMAIL_20250126_433_abe83283,EMAIL,2025-01-26T08:02:51+00:00,100.0,CRITICAL,Email: Mailchimp billing: payment declined,abe832833b3313a7a81397799d229923a33320556b96ec38e43e0195dcde7ece</t>
  </si>
  <si>
    <t>EXHIBIT_EMAIL_20250204_434_00d4677d,EMAIL,2025-02-04T18:56:13+00:00,100.0,CRITICAL,Email: We're so sorry to tell you...,00d4677dd714013ff0c84d382e65534dd6247bf7d4d5817f30b474f65870d71b</t>
  </si>
  <si>
    <t>EXHIBIT_EMAIL_20250128_435_23b4cee4,EMAIL,2025-01-28T20:35:27+00:00,100.0,CRITICAL,Email: 50% off is waiting for you at checkout,23b4cee41012241b777ec7376dee241b95fe697f27bb37bcdd74874c574c081c</t>
  </si>
  <si>
    <t>EXHIBIT_EMAIL_20250204_436_a562504a,EMAIL,2025-02-04T20:27:06+00:00,100.0,CRITICAL,Email: Turn 💩 into 💰,a562504a4528a63842a46cac8238bb41d908c47ced33546268510983f905bc78</t>
  </si>
  <si>
    <t>EXHIBIT_EMAIL_20250130_437_e5cc6530,EMAIL,2025-01-30T10:18:49-06:00,100.0,CRITICAL,Email: Join to save on travel with vacation packages,e5cc6530f3149f3ed583fd2e6cbadabebda0e3d84c36931aa8c4a31d7f3142c8</t>
  </si>
  <si>
    <t>EXHIBIT_EMAIL_20250203_438_218ff69d,EMAIL,2025-02-03T23:18:44-08:00,100.0,CRITICAL,"Email: [GitHub] A third-party GitHub Application has been added to your</t>
  </si>
  <si>
    <t>account",218ff69d4aba6892892f23d45ba8f07bb1383db1284465b1d572d613d50eef15</t>
  </si>
  <si>
    <t>EXHIBIT_EMAIL_20250203_439_9c8f8e74,EMAIL,2025-02-03T22:58:13-08:00,100.0,CRITICAL,"Email: [GitHub] A third-party GitHub Application has been added to your</t>
  </si>
  <si>
    <t>account",9c8f8e74e24fa7854ae08bacaaf7430fde87185bd16a2b86289098e1d77fdc01</t>
  </si>
  <si>
    <t>EXHIBIT_EMAIL_20250203_440_2a1ceb72,EMAIL,2025-02-03T22:48:30-08:00,100.0,CRITICAL,"Email: [GitHub] A third-party GitHub Application has been added to your</t>
  </si>
  <si>
    <t>account",2a1ceb72176d1fbdba400be3f8dec2cfd34b99f70d707f5fd9f25a56735bbf22</t>
  </si>
  <si>
    <t>EXHIBIT_EMAIL_20250125_441_56da33ce,EMAIL,2025-01-25T05:09:19+01:00,100.0,CRITICAL,"Email: vroofn, you have free spins on Amazing Catch Power Combo!🐟",56da33cefccc8118a6b7b4cb19e4e902f57179af5f87bcc20998a32755731e7f</t>
  </si>
  <si>
    <t>EXHIBIT_EMAIL_20250204_442_0dfa635f,EMAIL,2025-02-04T18:11:15-06:00,100.0,CRITICAL,Email: Swoon-worthy adults only vacays,0dfa635f62d5e9a2fa9647a1702d132ea42f55de0e2cab7275d39f2313d77361</t>
  </si>
  <si>
    <t>EXHIBIT_EMAIL_20250224_443_ea5e3a7d,EMAIL,2025-02-24T19:15:57-08:00,100.0,CRITICAL,"Email: charliewharlie369, catch up on moments you've missed",ea5e3a7d8f63b64ab73f388996d35e7eeacfadc0eab2c9bfb37704780c75ff01</t>
  </si>
  <si>
    <t>EXHIBIT_EMAIL_20250209_444_8dbf8741,EMAIL,2025-02-09T11:10:03+00:00,100.0,CRITICAL,Email: Building and Design Firms Expect Growth in 2025 | 7 Bathrooms With Luxurious Showers,8dbf87413670080f2ef9d49e105a80263289479b11f6eafff37a2d2b33382d11</t>
  </si>
  <si>
    <t>EXHIBIT_EMAIL_20250201_445_5298d0a1,EMAIL,2025-02-01T17:18:37-08:00,100.0,CRITICAL,Email: You changed your password,5298d0a1bbe9d85097c65f3a97a5f04d9c039f7c7389fa0719a8e0a950700a37</t>
  </si>
  <si>
    <t>EXHIBIT_EMAIL_20250128_446_0ca91093,EMAIL,2025-01-28T09:39:49-06:00,100.0,CRITICAL,"Email: Rollbacks on grocery, home &amp; more 😊",0ca910939fe1d6e1c6bf2560e93981f6dc63b309b459d22aff733424c6d04269</t>
  </si>
  <si>
    <t>EXHIBIT_EMAIL_20250124_447_7d40febf,EMAIL,2025-01-24T05:09:15+01:00,100.0,CRITICAL,"Email: vroofn, you have free spins on Amazing Catch Power Combo!🐟",7d40febf6d6a17f845a9109c9aeb86fccdbb49e4809610e0d3a576bf991ed819</t>
  </si>
  <si>
    <t>EXHIBIT_EMAIL_20250115_448_694244d3,EMAIL,2025-01-15T02:02:23+00:00,100.0,CRITICAL,Email: Say hello to your store,694244d39a1dd279c7ddd5b756f0685202b00237f06953bf356028da189fc873</t>
  </si>
  <si>
    <t>EXHIBIT_EMAIL_20250210_449_9f390e42,EMAIL,2025-02-10T12:21:10+00:00,100.0,CRITICAL,Email: TWO DAYS ONLY! ⏳ $15 off orders $75+,9f390e42ba90e1daa83b6765d51798232968393bad5ea91062c95e4bb3c17149</t>
  </si>
  <si>
    <t>EXHIBIT_EMAIL_20250122_450_263f976a,EMAIL,2025-01-22T03:02:13-06:00,100.0,CRITICAL,"Email: Craig, cash back deals are waiting for you",263f976a4c295d1f7f505939e870186ecd8e0e931295e8fd3510aab55cbecb7f</t>
  </si>
  <si>
    <t>EXHIBIT_EMAIL_20250122_451_6be26ae3,EMAIL,2025-01-22T00:44:32+00:00,100.0,CRITICAL,Email: We’re verifying your Amazon Business account,6be26ae3c9c9294b299ac761776b25b49a01ac214401ab19346b52f19ad7b519</t>
  </si>
  <si>
    <t>EXHIBIT_EMAIL_20250113_452_d61f5e8b,EMAIL,2025-01-13T18:46:13+00:00,100.0,CRITICAL,Email: Update to our Pick6 Terms of Use,d61f5e8b48d2b3bc46b74862f853f4c8ddf67e674f3c2d8bfb5508af574e70eb</t>
  </si>
  <si>
    <t>EXHIBIT_EMAIL_20250113_453_9d5ac023,EMAIL,2025-01-13T17:37:38+00:00,100.0,CRITICAL,"Email: B, you have 25% off your next order.",9d5ac0237e11b3b2bf2f81d99ffcf571a9c9db162c31f14798e8edd00cdd2e23</t>
  </si>
  <si>
    <t>EXHIBIT_EMAIL_20250114_454_d038b431,EMAIL,2025-01-14T14:06:45+00:00,100.0,CRITICAL,Email: Discover small businesses on Amazon,d038b431d61d23d4fc228d87f9ad448b1c2f0a9503b241b918f5bdc20d246b62</t>
  </si>
  <si>
    <t>EXHIBIT_EMAIL_20250121_455_df50cb66,EMAIL,2025-01-21T18:38:52-05:00,100.0,CRITICAL,Email: Authenticate to stay out of the spam box,df50cb662b5284e3a0c69232e50d2aa1909e01c16bfa0cbd8f9ba120cfd97a35</t>
  </si>
  <si>
    <t>EXHIBIT_EMAIL_20250114_456_6e0861a9,EMAIL,2025-01-14T05:42:21-04:00,100.0,CRITICAL,Email: Re: Holiday and second proposal,6e0861a9e020793fb166b52afee6a15b9222de627852cc40ac7b07a73684d5c3</t>
  </si>
  <si>
    <t>EXHIBIT_EMAIL_20250113_457_d7bedc54,EMAIL,2025-01-13T20:30:57-04:00,100.0,CRITICAL,Email: Re: Holiday and second proposal,d7bedc541851662a58b455fb1d86a3996c8c106c169eda096bc9076577fbd481</t>
  </si>
  <si>
    <t>EXHIBIT_EMAIL_20250114_458_12a667e7,EMAIL,2025-01-14T00:29:39+00:00,100.0,CRITICAL,Email: Re: Holiday and second proposal,12a667e785d0514a621a4620bc5a359048fa686516213dcf8f2b81ca5623de1d</t>
  </si>
  <si>
    <t>EXHIBIT_EMAIL_20250113_459_8d86a61d,EMAIL,2025-01-13T17:50:58-04:00,100.0,CRITICAL,Email: Re: Holiday and second proposal,8d86a61def7802a0c6abe73745b916b40733ae462da1b79dcd5279e6e07509e1</t>
  </si>
  <si>
    <t>EXHIBIT_EMAIL_20250103_460_a6ac3877,EMAIL,2025-01-03T01:33:52-04:00,100.0,CRITICAL,Email: Re: Holiday and second proposal,a6ac3877166760b236e26350e37209688bb5da30d0a7b25d67b55fb7efcd864c</t>
  </si>
  <si>
    <t>EXHIBIT_EMAIL_20250103_461_833d7e44,EMAIL,2025-01-03T05:30:08+00:00,100.0,CRITICAL,Email: Re: Holiday and second proposal,833d7e444954fe2142ef52c4dd832e21911502c95f1ab1effd28dd39e620a17e</t>
  </si>
  <si>
    <t>EXHIBIT_EMAIL_20250102_462_a197bed4,EMAIL,2025-01-02T15:02:29-04:00,100.0,CRITICAL,Email: Holiday and second proposal,a197bed4d3ca6c2882a03cf5e8f233a9e6fcf1f5613125e68a0af39ccd89bcbc</t>
  </si>
  <si>
    <t>EXHIBIT_EMAIL_20250116_463_76b4701d,EMAIL,2025-01-16T00:03:02-08:00,100.0,CRITICAL,Email: 🚀 Your GitHub launch code,76b4701db01dad42cf6c404f53532e69c8c4cd196d0e05adb497bec10dbc030e</t>
  </si>
  <si>
    <t>EXHIBIT_EMAIL_20250119_464_0d64ff8a,EMAIL,2025-01-19T17:38:34+00:00,100.0,CRITICAL,Email: Reminder: 25% off your next order,0d64ff8aa976e7976dee402a8e18aaa7b25c7c242be3172b025bc45e0c5c45bf</t>
  </si>
  <si>
    <t>EXHIBIT_EMAIL_20250203_465_8c82ed9d,EMAIL,2025-02-03T19:34:32-08:00,100.0,CRITICAL,Email: [placedsj/Shedding] Run failed: Python package - main (909df78),8c82ed9dc5fd683fe476d8ca35f07aad0381740e6666400be2833807efeb6816</t>
  </si>
  <si>
    <t>EXHIBIT_EMAIL_20250114_466_590e9f85,EMAIL,2025-01-14T10:02:17-08:00,100.0,CRITICAL,Email: Discover additional ways to make the most of Copilot,590e9f857a54f652ac54688327e7c1c9dc9f6a3a3fc5d51774c2481853b19ef6</t>
  </si>
  <si>
    <t>EXHIBIT_EMAIL_20250127_467_615a0f45,EMAIL,2025-01-27T12:20:06-06:00,100.0,CRITICAL,Email: Gear up for game day your way,615a0f453bf38187284bbf66bba560e80d8560ee28aa5f7779eb9d1c1d3dfbb5</t>
  </si>
  <si>
    <t>EXHIBIT_EMAIL_20250116_468_9eb30b75,EMAIL,2025-01-16T02:18:16-08:00,100.0,CRITICAL,Email: K: Welcome to Google AI Studio,9eb30b75d129e1dd2a2db0ca80d426e6eb18d64aaa4d9f806bbf891ac4eaa072</t>
  </si>
  <si>
    <t>EXHIBIT_EMAIL_20250121_469_f2828d9e,EMAIL,2025-01-21T06:33:30-08:00,100.0,CRITICAL,Email: Simplify your shots instantly,f2828d9e0b49c730a84cf48605523d085d97ee70f3a5f5a8fa867aadcff5f7a0</t>
  </si>
  <si>
    <t>EXHIBIT_EMAIL_20250116_470_54c2c449,EMAIL,2025-01-16T15:09:31+00:00,100.0,CRITICAL,Email: Get started with Wix Events,54c2c449fe91f85e9ac474169ded5705f337aeac911f7584f839333fce44ada6</t>
  </si>
  <si>
    <t>EXHIBIT_EMAIL_20250114_471_89b93d11,EMAIL,2025-01-14T03:23:36-04:00,100.0,CRITICAL,Email: Re: Hello,89b93d11cd9163b09a88a3132f9e6200044c2117c25ccb5d2cb6ca6e7e97a844</t>
  </si>
  <si>
    <t>EXHIBIT_EMAIL_20250114_472_f24d329d,EMAIL,2025-01-14T03:06:52-04:00,100.0,CRITICAL,Email: Re: Hello,f24d329d0e73a9805136d97eb5ba67ba17a48ff3eba67d3784bd3de242efce91</t>
  </si>
  <si>
    <t>EXHIBIT_EMAIL_20250114_473_a2c33c95,EMAIL,2025-01-14T03:06:06-04:00,100.0,CRITICAL,Email: Hello,a2c33c9574d6d699c8eaf757e8ee833746789b6e54c97cf1bd696a611744c64a</t>
  </si>
  <si>
    <t>EXHIBIT_EMAIL_20250119_474_51e1fdca,EMAIL,2025-01-19T18:38:12-05:00,100.0,CRITICAL,Email: Need help getting started? Let’s set up a 1:1,51e1fdca11d899f52d998067e3b98eb2b1e16c9742d30b7a7e768acd749b7dcf</t>
  </si>
  <si>
    <t>EXHIBIT_EMAIL_20250204_475_07b3c49a,EMAIL,2025-02-04T00:07:05+00:00,100.0,CRITICAL,Email: Start creating today – editing doesn't have to be hard,07b3c49a48f0b7060af9898bd117e3992296eed4b2fd91de9d80f8cacaaf5ce0</t>
  </si>
  <si>
    <t>EXHIBIT_EMAIL_20250116_476_66214db9,EMAIL,2025-01-16T13:01:58-05:00,100.0,CRITICAL,Email: Up to 70% off – Don't Wait! 🏃‍♂️,66214db95808e9572051abe2f0dde0288880ba7347d6ac19894a51c5eac91ded</t>
  </si>
  <si>
    <t>EXHIBIT_EMAIL_20250116_477_76a26053,EMAIL,2025-01-16T17:38:18+00:00,100.0,CRITICAL,Email: Ding-dong! It’s 25% off delivery!,76a26053bc8ae7946e201323e002d2380ace6f87e0c887c34c2ad830b6d6111d</t>
  </si>
  <si>
    <t>EXHIBIT_EMAIL_20250120_478_548439d7,EMAIL,2025-01-20T14:00:13+00:00,100.0,CRITICAL,Email: craig- set delivery preferences now,548439d70524a13103dba061d255b12970a9b5a663fb8d718281e6538ca71978</t>
  </si>
  <si>
    <t>EXHIBIT_EMAIL_20250121_479_a64453ca,EMAIL,2025-01-21T21:09:20+00:00,100.0,CRITICAL,Email: We miss you. So dive back into ad-free music listening.,a64453ca13fe0905585f1c0fcd41c604ed7781111ec392159c16415782b1f6ca</t>
  </si>
  <si>
    <t>EXHIBIT_EMAIL_20250206_480_e799aaba,EMAIL,2025-02-06T14:58:52+00:00,100.0,CRITICAL,Email: Family account invite sent to Stacey,e799aaba3290e8ef2e7f648b4de61fb2f01d765ecf163e0b045838ab04ae061d</t>
  </si>
  <si>
    <t>EXHIBIT_EMAIL_20250119_481_24f8da85,EMAIL,2025-01-19T13:44:53-06:00,100.0,CRITICAL,Email: Upgrade to remove ads from your site.,24f8da85c3226dfa9c4ed6dd015bcefbcbc01f0e93b9a2e2fa9bf3098224515a</t>
  </si>
  <si>
    <t>EXHIBIT_EMAIL_20250115_482_d9678439,EMAIL,2025-01-15T06:00:08+00:00,100.0,CRITICAL,"Email: vroofn, you have free spins on The Belt of Champion! 👑",d96784390481aacae8bbe772c2e1c979e7db15ba406b363ecd8e0ac258610d06</t>
  </si>
  <si>
    <t>EXHIBIT_EMAIL_20250118_483_204b95a7,EMAIL,2025-01-18T20:04:41+00:00,100.0,CRITICAL,Email: Save on the tastes you crave,204b95a7bfa0c4b564da8fb9743ab4b0fc6f5cc918d959f84e49d6a904668b10</t>
  </si>
  <si>
    <t>EXHIBIT_EMAIL_20250122_484_b360e37d,EMAIL,2025-01-22T06:00:08+00:00,100.0,CRITICAL,"Email: vroofn, Play with a 120% Bonus + 30 Free Spins! 🔥",b360e37dad79fb0317b6491fc6727a3e67f4807405bc1a2cb008797d6d40bfba</t>
  </si>
  <si>
    <t>EXHIBIT_EMAIL_20250113_485_602e5bf0,EMAIL,2025-01-13T19:05:45+00:00,100.0,CRITICAL,"Email: Your appreciation chip is here, Dawn!",602e5bf07ec7ec891d40625afc823532e63d6b22371e1ed58677429f6daf271b</t>
  </si>
  <si>
    <t>EXHIBIT_EMAIL_20250115_486_91b7aa96,EMAIL,2025-01-15T09:40:00-04:00,100.0,CRITICAL,Email: Re: Harper.,91b7aa9662de4cfdc67eb989df063544d82babca20c782add8f34cd69615ebdd</t>
  </si>
  <si>
    <t>EXHIBIT_EMAIL_20250115_487_d389260f,EMAIL,2025-01-15T08:48:02-04:00,100.0,CRITICAL,Email: Harper.,d389260f43c4c87585ed07fbf4db1d35a3a9b63b4507404600505890df315555</t>
  </si>
  <si>
    <t>EXHIBIT_EMAIL_20250121_488_c0812fee,EMAIL,2025-01-21T00:58:18+00:00,100.0,CRITICAL,Email: 50% off is waiting for you at checkout,c0812fee6dcd0a4990829bb4494c43d01453f22f21e44a2532d521a094a76df4</t>
  </si>
  <si>
    <t>EXHIBIT_EMAIL_20250222_489_5db5eb26,EMAIL,2025-02-22T03:11:42+00:00,100.0,CRITICAL,Email: Security alert,5db5eb26e1a0fcd518bd8c43a3ffc7db563bd5bb196d087a7d3e44f92761fc68</t>
  </si>
  <si>
    <t>EXHIBIT_EMAIL_20250113_490_b5e5cf58,EMAIL,2025-01-13T09:20:56-06:00,100.0,CRITICAL,Email: Your free trial is ending on 2025-01-16.,b5e5cf5831c7abfae1d82749b88e8bfbe4f6f9cd97e594bb032f781da7a69609</t>
  </si>
  <si>
    <t>EXHIBIT_EMAIL_20250113_491_fa274368,EMAIL,2025-01-13T21:46:56+00:00,100.0,CRITICAL,Email: Security alert for lunacraigcep@gmail.com,fa2743689f046698dca866a1ed50196292b96ba77144a685ff70f27831a3ee1a</t>
  </si>
  <si>
    <t>EXHIBIT_EMAIL_20250129_492_b6bc2b38,EMAIL,2025-01-29T01:44:31+00:00,100.0,CRITICAL,Email: 50% off your next 3 orders - just for you 👀,b6bc2b385c7e3fb7e0fab5d8829157faf711d7b0ea73f7bd03fc0992cd370cfe</t>
  </si>
  <si>
    <t>EXHIBIT_EMAIL_20250129_493_8a3e6b65,EMAIL,2025-01-29T10:01:52-06:00,100.0,CRITICAL,Email: Hot finds! $16 &amp; under women's swimwear 🩱,8a3e6b65d9c844a7c2c3b4490240448499f8f0c0f62dc1030932e8fa1119f6ab</t>
  </si>
  <si>
    <t>EXHIBIT_EMAIL_20250127_494_be51af74,EMAIL,2025-01-27T13:30:52-05:00,100.0,CRITICAL,"Email: Buy 1, Get 1  50% off Select Titles &amp; More!",be51af7478afcf7e261c71e7d7b7c6d54bceaf3cbf23daf7c6795a9a1d66ea3c</t>
  </si>
  <si>
    <t>EXHIBIT_EMAIL_20250225_495_58a13d6a,EMAIL,2025-02-25T07:02:29-06:00,100.0,CRITICAL,Email: Get your day off to a Mega start!,58a13d6a821a97db2f6e8c61871fa46013f73ffccc525f7f4e97e8a37212d3d7</t>
  </si>
  <si>
    <t>EXHIBIT_EMAIL_20250114_496_4ec9660e,EMAIL,2025-01-14T19:49:49-08:00,100.0,CRITICAL,"Email: charliewharlie369, see cyrtara, jbu71 and more in your feed",4ec9660e95be44c2ff075f15026b542b85c377af32294471c75087edb5b1d6ef</t>
  </si>
  <si>
    <t>EXHIBIT_EMAIL_20250123_497_42eb7a24,EMAIL,2025-01-23T12:02:00+00:00,100.0,CRITICAL,Email: How about a $5 Snackwich Bundle!,42eb7a24ab27475c48c9a288c93f49900ca12f68298b0d3e8ffc9fc269f6edbb</t>
  </si>
  <si>
    <t>EXHIBIT_EMAIL_20250118_498_493ce868,EMAIL,2025-01-18T00:03:43+00:00,100.0,CRITICAL,Email: You still have CA$90 in Credits unclaimed,493ce8680a50d69b68af567b2ddfb853365347b3b8234e08ac7b2deaeee19a7b</t>
  </si>
  <si>
    <t>EXHIBIT_EMAIL_20250126_499_1d7b467a,EMAIL,2025-01-26T02:12:04+00:00,100.0,CRITICAL,Email: Rachel on Netflix 🎀 &amp; baby tax perks 💰,1d7b467a0b8c285b36968c9c3e0ab358ca1f9cd0fa573205a2df1906ffc35305</t>
  </si>
  <si>
    <t>EXHIBIT_EMAIL_20250126_500_a7f6f703,EMAIL,2025-01-26T17:39:07+00:00,100.0,CRITICAL,"Email: Last day, B! Take 25% off your next order.",a7f6f70375ce714ce4f36573579500c07c72478a5de0c4e853c9f3c5d7ffbc9a</t>
  </si>
  <si>
    <t>EXHIBIT_EMAIL_20250114_501_595e2479,EMAIL,2025-01-14T03:10:02-08:00,100.0,CRITICAL,Email: Your review reached 50 views 📝,595e24793318f489a3fcd4aef03c08db98cfec59860347a19a78b62af7c5d74e</t>
  </si>
  <si>
    <t>EXHIBIT_EMAIL_20250222_502_3bb6ac9a,EMAIL,2025-02-22T12:12:16-06:00,100.0,CRITICAL,Email: Shop at Amazon.ca with monthly payments,3bb6ac9ad1f9c8964c8a724c1778af385c4decb9bbab8602515fc69798ab45c3</t>
  </si>
  <si>
    <t>EXHIBIT_EMAIL_20250113_503_154256a9,EMAIL,2025-01-13T15:06:18+00:00,100.0,CRITICAL,Email: Your next opportunity is waiting for you 👋,154256a9f0c468d8b5eed0ac4e09788b1e372246fbbcea7b35bf1dfb49e8e3a7</t>
  </si>
  <si>
    <t>EXHIBIT_EMAIL_20250117_504_5a3f150f,EMAIL,2025-01-17T19:44:09-08:00,100.0,CRITICAL,Email: Sign up for an exclusive $100 e-voucher,5a3f150f440295dab78fe0be974c1fabe8b0bde7781548df8dde00c2c70548a3</t>
  </si>
  <si>
    <t>EXHIBIT_EMAIL_20250210_505_504e5fb3,EMAIL,2025-02-10T06:18:44+01:00,100.0,CRITICAL,"Email: vroofn, you have free spins on Collapsed Castle ! 🏰",504e5fb32f4a144062828d6a120f8197683459ef8d34fc1297187e9dc83245ae</t>
  </si>
  <si>
    <t>EXHIBIT_EMAIL_20250120_506_2ae9d199,EMAIL,2025-01-20T01:52:37+00:00,100.0,CRITICAL,Email: Get free replacement parts for your breast pump,2ae9d19900955e2cd2ba184f5190e9206adc90641274f8c2cc6e66d5bac5c066</t>
  </si>
  <si>
    <t>EXHIBIT_EMAIL_20250121_507_b778b503,EMAIL,2025-01-21T04:47:23+00:00,100.0,CRITICAL,"Email: Share request for ""012225""",b778b503c2903db4224f69ee22f519bb67105d890896e42bddc3a8313527c789</t>
  </si>
  <si>
    <t>EXHIBIT_EMAIL_20250214_508_f5887ecc,EMAIL,2025-02-14T23:03:42+00:00,100.0,CRITICAL,Email: Congrats! Chris David,f5887eccf45944d05e0f122ce78b42b257ae1b9a85f9a085009658da527ea437</t>
  </si>
  <si>
    <t>EXHIBIT_EMAIL_20250214_509_43a3b057,EMAIL,2025-02-14T11:22:24-06:00,100.0,CRITICAL,Email: Celebrate Valentine's Day with low prices ❤️,43a3b0576098460ad6b76c9ad620490d25853a66edaf7551aa2810d943860629</t>
  </si>
  <si>
    <t>EXHIBIT_EMAIL_20250115_510_84c6aeba,EMAIL,2025-01-15T08:59:32+00:00,100.0,CRITICAL,Email: Reminder: Your welcome offer expires tomorrow,84c6aebaa5f03f5e9153d54721bc8d0f52fc3c974b4ee287db64916339cd6a94</t>
  </si>
  <si>
    <t>EXHIBIT_EMAIL_20250129_511_6f588c0f,EMAIL,2025-01-29T06:00:29+00:00,100.0,CRITICAL,"Email: vroofn, Get a 200% Bonus! ✨",6f588c0fec4c6ca8fdbca7caf88c9241e857382d9591dfbabd7be5ed1c7e7b8d</t>
  </si>
  <si>
    <t>EXHIBIT_EMAIL_20250121_512_d5e17a3a,EMAIL,2025-01-21T05:15:33+00:00,100.0,CRITICAL,Email: An address was added or updated in your Instacart account,d5e17a3aa28b4fdbdbff2274afcf0a3c0d188a99fc76d802df388a3517ca55b7</t>
  </si>
  <si>
    <t>EXHIBIT_EMAIL_20250121_513_662e6ae2,EMAIL,2025-01-21T20:49:35+00:00,100.0,CRITICAL,Email: 50% off your next 3 orders - just for you 👀,662e6ae2f7952070048071fdf9cfaeb4e6d95b05fc21e9a7e62f12a2fc4095c7</t>
  </si>
  <si>
    <t>EXHIBIT_EMAIL_20250126_514_398cef45,EMAIL,2025-01-26T20:01:50+00:00,100.0,CRITICAL,Email: See inside to grab your savings,398cef45435340d324429797c9d26b522f4afccb69329368abc7ad827d7d87fa</t>
  </si>
  <si>
    <t>EXHIBIT_EMAIL_20250116_515_d04c569d,EMAIL,2025-01-16T07:57:08+00:00,100.0,CRITICAL,Email: [Netlify] Let’s verify your email,d04c569d7ddbb7040459bb985b539c99b8d56e945530d4105f49eed095780278</t>
  </si>
  <si>
    <t>EXHIBIT_EMAIL_20250115_516_649aa3b5,EMAIL,2025-01-15T06:00:17+00:00,100.0,CRITICAL,"Email: vroofn, Play with a 150% Bonus + 25 Free Spins! 👑",649aa3b5710315d65431b5e657e6955ff6dd6b266f75291d9219ca4b3fa3bda6</t>
  </si>
  <si>
    <t>EXHIBIT_EMAIL_20250214_517_305d04fc,EMAIL,2025-02-14T16:15:25+00:00,100.0,CRITICAL,Email: Vercel January Product Update,305d04fc8cce870d95559d0dec2f077ddf63d98a09683e64e6e34a003d1c4dfb</t>
  </si>
  <si>
    <t>EXHIBIT_EMAIL_20250121_518_5f71865c,EMAIL,2025-01-21T16:57:43+00:00,100.0,CRITICAL,Email: Your cart item: now 82% OFF!,5f71865c5c86807dc15b072b2975b2e846e26af86d3931ea3e719e6797495bf6</t>
  </si>
  <si>
    <t>EXHIBIT_EMAIL_20250226_519_ae1a9dbc,EMAIL,2025-02-26T06:50:08+00:00,100.0,CRITICAL,Email: [Jimdo] Your email is confirmed!,ae1a9dbc598303ff3e2c92a48d6a3a574fa7f655e17cb045cd5d4b1499c14db4</t>
  </si>
  <si>
    <t>EXHIBIT_EMAIL_20250223_520_b389b096,EMAIL,2025-02-23T16:02:51+00:00,100.0,CRITICAL,Email: Security alert,b389b0961b799acb7b80d0155dd08b52049a35c8fc1ecb8a51433a74e30bde89</t>
  </si>
  <si>
    <t>EXHIBIT_EMAIL_20250124_521_caed4d20,EMAIL,2025-01-24T17:15:02+00:00,100.0,CRITICAL,Email: Babylist Clearance Event: up to 75% off (🏃while supplies last),caed4d2023fa3c4cbf9f87a275dd3896f7d8f2930ca8ec538a2a5d8ef0398ae5</t>
  </si>
  <si>
    <t>EXHIBIT_EMAIL_20250123_522_b12c58fb,EMAIL,2025-01-23T21:00:26+00:00,100.0,CRITICAL,Email: Boost Your Local Business Visibility: Tips for More Customers!,b12c58fb07c10377832dfc4baf64d659e0497cc94ca771a501d89d1bf5b7c4c9</t>
  </si>
  <si>
    <t>EXHIBIT_EMAIL_20250117_523_f6f26a3c,EMAIL,2025-01-17T09:45:23-06:00,100.0,CRITICAL,"Email: Low prices on smoothies, salads &amp; more grocery 🥤🥗",f6f26a3cbeb5b9f8566673a26fe3b3c359be61a0496ec4d66175adb718679a79</t>
  </si>
  <si>
    <t>EXHIBIT_EMAIL_20250120_524_46d51789,EMAIL,2025-01-20T12:26:38+00:00,100.0,CRITICAL,Email: Semi-Annual Sale starts NOW 👇 Up to 30% off almost everything,46d51789454f30dc2942f6cf0841e9a796adda622b717e42806f4c7f028b9a93</t>
  </si>
  <si>
    <t>EXHIBIT_EMAIL_20250121_525_a86e891c,EMAIL,2025-01-21T12:01:01+00:00,100.0,CRITICAL,"Email: As an MVP, we want you to feel like a VIP.",a86e891c9720db5be083ee8c2c821cc67f013126b6290de2dfe38b1412ced434</t>
  </si>
  <si>
    <t>EXHIBIT_EMAIL_20250131_526_3f6f4ae1,EMAIL,2025-01-31T13:06:50+01:00,100.0,CRITICAL,Email: Encore une fois,3f6f4ae107053b3cd898b7f850329af14c6f4bce20ae9d5c485eb4a76112ab36</t>
  </si>
  <si>
    <t>EXHIBIT_EMAIL_20250130_527_538f903c,EMAIL,2025-01-30T11:17:34+00:00,100.0,CRITICAL,Email: You were on a roll. Keep it going.,538f903c3d8934cb883f3f8f330f8547b6a8990d68718aa95ce26125eb3185f9</t>
  </si>
  <si>
    <t>EXHIBIT_EMAIL_20250115_528_3bdacec9,EMAIL,2025-01-15T14:22:41+00:00,100.0,CRITICAL,Email: Put your $10 off towards more than just groceries,3bdacec93458c13cd3d3243f64ba59af024946612e8dc493f4529ed25a391529</t>
  </si>
  <si>
    <t>EXHIBIT_EMAIL_20250130_529_0db46152,EMAIL,2025-01-30T08:48:21+00:00,100.0,CRITICAL,Email: SJ PLACED - 🚀 Boost Your Business with Our Exclusive Plans!,0db46152593e2c7840a4b46623bc39917c307ee769dd21b87d168df9da7200f9</t>
  </si>
  <si>
    <t>EXHIBIT_EMAIL_20250115_530_e4b4627e,EMAIL,2025-01-15T19:15:15+01:00,100.0,CRITICAL,Email: You have received 7 free spins,e4b4627eda3fb9240dd2900157ead0d9b5cc4b6fd59168370910d8c891f73bc7</t>
  </si>
  <si>
    <t>EXHIBIT_EMAIL_20250120_531_084acbb7,EMAIL,2025-01-20T21:25:50-08:00,100.0,CRITICAL,Email: Don’t miss your $100 e-voucher,084acbb7ccbb4147399babf643341de2307fca3f32ffdb31998a9466ddd92182</t>
  </si>
  <si>
    <t>EXHIBIT_EMAIL_20250120_532_5828f882,EMAIL,2025-01-20T12:00:05+01:00,100.0,CRITICAL,"Email: Économise jusqu’à 60 %, mais pas pour longtemps",5828f88279da70b3dc93ea97f3c02b29303aa61e55f6505098f9d58130f1007f</t>
  </si>
  <si>
    <t>EXHIBIT_EMAIL_20250219_533_852b5673,EMAIL,2025-02-19T14:01:37+00:00,100.0,CRITICAL,Email: 🤖 Make AI Work for Your Shed Business - Webinar Feb 20th,852b5673988167527d87c2fc5d7044664d267d962ba7af8c07b60fd196a097b2</t>
  </si>
  <si>
    <t>EXHIBIT_EMAIL_20250120_534_7f9084ce,EMAIL,2025-01-20T19:51:15+00:00,100.0,CRITICAL,"Email: Grab 20 Spins to play this player fave, no deposit required.",7f9084ce053085b5e0dbe93f2761d9e87e2372513b88ef9e4f9d51ef2df93540</t>
  </si>
  <si>
    <t>EXHIBIT_EMAIL_20250118_535_7cdd9b10,EMAIL,2025-01-18T09:38:00-06:00,100.0,CRITICAL,"Email: Clearance appliances, electronics &amp; more 💛",7cdd9b1041c6e5472b2fc68464cb078407e6121d0a006356c4f661a997ec154f</t>
  </si>
  <si>
    <t>EXHIBIT_EMAIL_20250115_536_116900dd,EMAIL,2025-01-15T11:05:59+00:00,100.0,CRITICAL,Email: 4 Kitchen Makeovers in About 195 Square Feet | Pros Share Strategies for Leading Under Pressure,116900dd6c7dd1b3aced134f61df257cc431f4a9a99974485a36731ad04fe1cc</t>
  </si>
  <si>
    <t>EXHIBIT_EMAIL_20250224_537_8fa48375,EMAIL,2025-02-24T07:15:05+00:00,100.0,CRITICAL,Email: Your 3 keys for building in Notion,8fa48375847de13cfd68f07e11186213667388483a5a6291baa31f89112b96e7</t>
  </si>
  <si>
    <t>EXHIBIT_EMAIL_20250122_538_c1f2581b,EMAIL,2025-01-22T18:10:16-06:00,100.0,CRITICAL,Email: The Cuba you never knew existed,c1f2581b5e651eabe4dea536581103ac83d33936b8413b9c761b04b590cf749e</t>
  </si>
  <si>
    <t>EXHIBIT_EMAIL_20250204_539_7b4855b5,EMAIL,2025-02-04T10:08:58-06:00,100.0,CRITICAL,Email: Grocery 🧀 Appliances ☕ &amp; more savings 😀,7b4855b5f5f653c83c6c43f17e7526e644d20ef480ec1514cb938dbc95790673</t>
  </si>
  <si>
    <t>EXHIBIT_EMAIL_20250131_540_ccc0f508,EMAIL,2025-01-31T12:03:37+00:00,100.0,CRITICAL,Email: Get a 6” Cold Cut Combo or Ham sub for only $4.99.,ccc0f5087227be62de34029eb653bbea1f3ecbd96321c17956ffbda89f692341</t>
  </si>
  <si>
    <t>EXHIBIT_EMAIL_20250202_541_c31545d5,EMAIL,2025-02-02T00:35:26+00:00,100.0,CRITICAL,Email: Security alert,c31545d56837820c20cc936526d0b9ac4066bb8296d05cf72049e7711a214b49</t>
  </si>
  <si>
    <t>EXHIBIT_EMAIL_20250118_542_54093328,EMAIL,2025-01-18T05:08:58+01:00,100.0,CRITICAL,"Email: vroofn, you have free spins on Getaway Gangsters! 🔪",540933289494ccaf9bcf892ec75ea90bc5bdcc6d96f9f800692525cc58bd7f72</t>
  </si>
  <si>
    <t>EXHIBIT_EMAIL_20250116_543_34b142e7,EMAIL,2025-01-16T01:20:36-07:00,100.0,CRITICAL,Email: Confirm your account on Heroku,34b142e7dc6d922c416cc56fc91710e5aa4827ffd08c77a684c93b4598ac79d2</t>
  </si>
  <si>
    <t>EXHIBIT_EMAIL_20250118_544_d406da86,EMAIL,2025-01-18T14:22:27+00:00,100.0,CRITICAL,Email: Psst...get $10—good for delivery or pickup,d406da861eb707b2e7eb360a6ca52beedfd15a705ceb074feabdebfd85a8e6df</t>
  </si>
  <si>
    <t>EXHIBIT_EMAIL_20250117_545_c453dc84,EMAIL,2025-01-17T18:39:31-05:00,100.0,CRITICAL,Email: Next step: Connect your e-commerce store,c453dc848f4d03bce838f7a60ca5766f3223776a5a4aab0e6aaed2d5c3151537</t>
  </si>
  <si>
    <t>EXHIBIT_EMAIL_20250119_546_9402d859,EMAIL,2025-01-19T10:54:04+00:00,100.0,CRITICAL,"Email: Top Trends in Kitchen Cabinets, Countertops and More | 6 Home Offices With Style and Storage Ideas",9402d859ef340bd45a462d5dc84b55f183b4de7819cc495c3ecfcde319e5ba24</t>
  </si>
  <si>
    <t>EXHIBIT_EMAIL_20250115_547_2fe90dce,EMAIL,2025-01-15T18:36:33-05:00,100.0,CRITICAL,Email: Connect with your people over email,2fe90dce6ba4fc79dc8dd77046e6ed81b645ad81987b72d47cc90b79ca9f4c84</t>
  </si>
  <si>
    <t>EXHIBIT_EMAIL_20250130_548_d37a3b65,EMAIL,2025-01-30T12:04:46+00:00,100.0,CRITICAL,Email: Last chance to get 25% off any Footlong!,d37a3b65b2397184a05fb02407227dd1721b338fd20a6993b6dcc8c892ceb1f4</t>
  </si>
  <si>
    <t>EXHIBIT_EMAIL_20250105_549_6b730b28,EMAIL,2025-01-05T02:15:17+00:00,100.0,CRITICAL,Email: Your resolutions &amp; our fave 2025 baby trends,6b730b28f7f27466f80a590960e5487a866c26ab7a809f2d18853011d12aa9b7</t>
  </si>
  <si>
    <t>EXHIBIT_EMAIL_20250114_550_cb2d1045,EMAIL,2025-01-14T10:38:56-06:00,100.0,CRITICAL,Email: DEALS ALERT! Don't miss out 🤩,cb2d1045c99c9519cba1740a2a3710af37755c1ca7dc4f67958a9fe394b1e6f1</t>
  </si>
  <si>
    <t>EXHIBIT_EMAIL_20250110_551_9d4f80dc,EMAIL,2025-01-10T10:49:05-06:00,100.0,CRITICAL,Email: Complete your order today: Plus a 25% coupon code.,9d4f80dc30562c8aea8f17a3bb5a695eee93d0b74fc8a8fc48500376a4475b40</t>
  </si>
  <si>
    <t>EXHIBIT_EMAIL_20250111_552_fb4dfcae,EMAIL,2025-01-11T18:35:17-05:00,100.0,CRITICAL,Email: Welcome to Mailchimp,fb4dfcaeec3b00be95e5884d1e6b26104b299213a26b9b1df7b51a08a7060bec</t>
  </si>
  <si>
    <t>EXHIBIT_EMAIL_20250212_553_3594047d,EMAIL,2025-02-12T12:48:29+00:00,100.0,CRITICAL,Email: RE: NBASW,3594047d4e66d5082fd872c41b63437241d16098fa5f9d85410789f796f7096b</t>
  </si>
  <si>
    <t>EXHIBIT_EMAIL_20250211_554_0d4b3d26,EMAIL,2025-02-11T23:50:16-04:00,100.0,CRITICAL,Email: Re: NBASW,0d4b3d26a733050d703f5eb84f4e16cf6170a64d3be0a06af30a2e7036052f34</t>
  </si>
  <si>
    <t>EXHIBIT_EMAIL_20250210_555_ede1c897,EMAIL,2025-02-10T13:04:21-04:00,100.0,CRITICAL,Email: Fwd: NBASW,ede1c89799f086443235c931c654487ffa72b07c863deed029ad9408bc6a3d10</t>
  </si>
  <si>
    <t>EXHIBIT_EMAIL_20250210_556_4c6411e6,EMAIL,2025-02-10T13:04:04-04:00,100.0,CRITICAL,Email: Re: NBASW,4c6411e612dd5e4e1789b67abc84280c914ad423628cc3d115996fd159b464e4</t>
  </si>
  <si>
    <t>EXHIBIT_EMAIL_20250210_557_8a9a25bd,EMAIL,2025-02-10T16:51:00+00:00,100.0,CRITICAL,Email: NBASW,8a9a25bd61f006b25e127b18a992b52c736ee9b8c29087f311681cc20362d07d</t>
  </si>
  <si>
    <t>EXHIBIT_EMAIL_20250112_558_dd82bd83,EMAIL,2025-01-12T04:00:09+00:00,100.0,CRITICAL,Email: Don’t miss out on your discount! 🌟,dd82bd8349f42e3eab88e02a598228af0b20062d83abcb30592aee3c439b60b3</t>
  </si>
  <si>
    <t>EXHIBIT_EMAIL_20250117_559_cbb6f42b,EMAIL,2025-01-17T20:32:51+00:00,100.0,CRITICAL,"Email: RE: Craig - good news! (About your handyman service website +</t>
  </si>
  <si>
    <t>Bluehost)",cbb6f42b871b5fa6a753d177b80680358d626c0226aaddb67539ae22807ed709</t>
  </si>
  <si>
    <t>EXHIBIT_EMAIL_20250115_560_a1ba06b5,EMAIL,2025-01-15T17:18:46+00:00,100.0,CRITICAL,"Email: RE: Craig - good news! (About your handyman service website +</t>
  </si>
  <si>
    <t>Bluehost)",a1ba06b5e8ef0a497093472344abed909bbc70d16597a4929a3243616f23ed7d</t>
  </si>
  <si>
    <t>EXHIBIT_EMAIL_20250113_561_e6bc809a,EMAIL,2025-01-13T15:33:17+00:00,100.0,CRITICAL,Email: Craig - good news! (About your handyman service website + Bluehost),e6bc809a0acd466d7ecc50d273ea90ae856d6ca9d2c377e7902fe782aacb40a1</t>
  </si>
  <si>
    <t>EXHIBIT_EMAIL_20241225_562_75d6ca0c,EMAIL,2024-12-25T14:19:04+00:00,100.0,CRITICAL,Email: Our Christmas Sale ends soon,75d6ca0c7005d3bc3ec5055bfec9819d109d9c948eea2425a255fcfd8feb6703</t>
  </si>
  <si>
    <t>EXHIBIT_EMAIL_20241231_563_9193fb85,EMAIL,2024-12-31T21:48:42+00:00,100.0,CRITICAL,Email: 🛒TEMU Cart Message,9193fb85dc8c6129de88ee505790746e50ffce30e971108c73d0e735435c0a0b</t>
  </si>
  <si>
    <t>EXHIBIT_EMAIL_20250102_564_c8209446,EMAIL,2025-01-02T11:08:26-06:00,100.0,CRITICAL,Email: Your weekly flyer is here 🙂,c82094467dfc262a651e42638ceda4d4e58208531c6782683baa7a2272f73923</t>
  </si>
  <si>
    <t>EXHIBIT_EMAIL_20241230_565_bfb971d5,EMAIL,2024-12-30T06:54:25-08:00,100.0,CRITICAL,Email: Fast edits for brilliant photos,bfb971d59bb9966ffa4390f45abbadf1c799cdd70df4050e9934e6501b87e11a</t>
  </si>
  <si>
    <t>EXHIBIT_EMAIL_20250224_566_4c969ad4,EMAIL,2025-02-24T05:07:03+00:00,100.0,CRITICAL,Email: Your app placed-76468 has hit 100% of its database limit,4c969ad49eaf1215a1408df41325dde61ffdca6f995395ab11fbdef431623911</t>
  </si>
  <si>
    <t>EXHIBIT_EMAIL_20250104_567_88396f7c,EMAIL,2025-01-04T10:31:59-08:00,100.0,CRITICAL,Email: Copilot your AI companion is here to assist you,88396f7ce8e43c967a84e3bd3e4ff88835ea51c84ee687b065a6b6af3b2ac6a8</t>
  </si>
  <si>
    <t>EXHIBIT_EMAIL_20250108_568_b59afd6c,EMAIL,2025-01-08T02:38:21+00:00,100.0,CRITICAL,Email: Security alert for placed.sj@gmail.com,b59afd6c18aa148590ca79b8b6374d339ec3ce36d84996497ae8e6216f1ae199</t>
  </si>
  <si>
    <t>EXHIBIT_EMAIL_20250111_569_4e58c233,EMAIL,2025-01-11T03:00:09+00:00,100.0,CRITICAL,"Email: So, what happened between us?",4e58c2339690e227bbc80fe59dea0f96b406edd686edb39d43be1308b94d8391</t>
  </si>
  <si>
    <t>EXHIBIT_EMAIL_20241229_570_3b12e1c7,EMAIL,2024-12-29T07:07:36-05:00,100.0,CRITICAL,Email: 🧩 20% off Games &amp; Puzzles + More BIG Deals,3b12e1c74d37cc9c751a8e4295d56c4d47b4a73d99828aec77ed58fcbdf04f3a</t>
  </si>
  <si>
    <t>EXHIBIT_EMAIL_20250122_571_5e72c419,EMAIL,2025-01-22T12:57:21+00:00,100.0,CRITICAL,Email: 🛒A message from your cart:,5e72c419d3afa0ee470aaa26d861a9dd0e286dc29c45b642a8580a1da5be28b9</t>
  </si>
  <si>
    <t>EXHIBIT_EMAIL_20241231_572_94344011,EMAIL,2024-12-31T09:22:51-06:00,100.0,CRITICAL,Email: Hurry — get $10 off 🏃‍♂️,943440112975980ff97d1df31ac64b55ef2451d4001b6d0dea56f142c06055cc</t>
  </si>
  <si>
    <t>EXHIBIT_EMAIL_20250106_573_28e9fd21,EMAIL,2025-01-06T13:28:13+00:00,100.0,CRITICAL,Email: Don’t miss the Business Savings Event—now through February 17,28e9fd21eeb73ea395a6561f1114be27ecf3f5bb799a9f2d5ab75ec8dab0f537</t>
  </si>
  <si>
    <t>EXHIBIT_EMAIL_20250110_574_e517055a,EMAIL,2025-01-10T09:20:42-06:00,100.0,CRITICAL,Email: Gear up for your goals with groceries &amp; more 💪,e517055ad14afbbbbcc0d9b05fd6a6f1f76336478c80d56171d1b2ff10d9e082</t>
  </si>
  <si>
    <t>EXHIBIT_EMAIL_20250103_575_100dc578,EMAIL,2025-01-03T17:48:36+00:00,100.0,CRITICAL,Email: 🚗 Beep beep: Your offers are waiting,100dc578b8b56755b73af7145f8e2d2c02aa96a24a857fca46bfe36c7a1687a3</t>
  </si>
  <si>
    <t>EXHIBIT_EMAIL_20250104_576_321f9a2b,EMAIL,2025-01-04T21:50:07+00:00,100.0,CRITICAL,Email: Your cart item: now 83% OFF!,321f9a2b30466fd846fa4cc532148e915103bf4c12960d87b36aa897040b7be7</t>
  </si>
  <si>
    <t>EXHIBIT_EMAIL_20250131_577_4131d619,EMAIL,2025-01-31T15:41:18-06:00,100.0,CRITICAL,Email: Streamline Your Heroku Development with Git Push,4131d619f5b1de3973612b46f0c3f7c99d9e64c484d0282651fc5836607ad92e</t>
  </si>
  <si>
    <t>EXHIBIT_EMAIL_20250120_578_daf7ddf4,EMAIL,2025-01-20T05:09:04+01:00,100.0,CRITICAL,"Email: vroofn, you have free spins on Getaway Gangsters! 🔪",daf7ddf4061cfb3d7307e1806b3c4c7136ed851dbdbc5a0f57b84914e21939b7</t>
  </si>
  <si>
    <t>EXHIBIT_EMAIL_20250114_579_32ac2ea7,EMAIL,2025-01-14T13:29:11-06:00,100.0,CRITICAL,Email: Is your brand forgettable? 🤔,32ac2ea7938f7acdcb8478227e41ff7195d161be0ace7961d7d4fb34e7f1a33d</t>
  </si>
  <si>
    <t>EXHIBIT_EMAIL_20241230_580_0b6a9d94,EMAIL,2024-12-30T15:21:45+00:00,100.0,CRITICAL,Email: BOXING DAY SALE ends tomorrow! Up to 30% off our top products,0b6a9d94591a81be24aa8d5b17b2b2967f9484567fe59543cb2816c9d41ef748</t>
  </si>
  <si>
    <t>EXHIBIT_EMAIL_20250111_581_e2f5ac57,EMAIL,2025-01-11T06:00:06+00:00,100.0,CRITICAL,"Email: vroofn, Deposit CAD 5, Get 77 Free Spins! 🍇",e2f5ac57de3b68247b193361b789560830a727b61799dcc2207a3c52c23d8103</t>
  </si>
  <si>
    <t>EXHIBIT_EMAIL_20250115_582_b887c610,EMAIL,2025-01-15T01:12:20+00:00,100.0,CRITICAL,Email: A new device has logged in to your Shopify account,b887c6103f6f04452398736455fbc838c44a0725e22368554e2efe1d05b57811</t>
  </si>
  <si>
    <t>EXHIBIT_EMAIL_20250113_583_07a223e1,EMAIL,2025-01-13T14:00:24+00:00,100.0,CRITICAL,Email: Explore our wide product selection,07a223e19f906a3c1ad40f0d5bf9a2e368f9fff525a192b46c0ce9104efa570e</t>
  </si>
  <si>
    <t>EXHIBIT_EMAIL_20250103_584_954b0cd8,EMAIL,2025-01-03T02:37:40+00:00,100.0,CRITICAL,"Email: Stacey, we want to celebrate with you!",954b0cd841feee5ebcb612ab71cfa4c10b7c5f14f388f685ab7959b52dc7b337</t>
  </si>
  <si>
    <t>EXHIBIT_EMAIL_20241226_585_5fd005f1,EMAIL,2024-12-26T13:07:20+00:00,100.0,CRITICAL,Email: There’s no time to wait. Get your Footlong BOGO today!,5fd005f1ab48d15206a160e694b35afbb12b81057a30b00fde0c2dfe2630b656</t>
  </si>
  <si>
    <t>EXHIBIT_EMAIL_20241227_586_d9461dee,EMAIL,2024-12-27T21:59:53+01:00,100.0,CRITICAL,Email: Profite de plus gros rabais pendant la semaine d’après Noël,d9461dee5d48d47b5042895dad374f186fd9af9795d73bf32e72bef3d3b3bd8b</t>
  </si>
  <si>
    <t>EXHIBIT_EMAIL_20250103_587_a20b7301,EMAIL,2025-01-03T14:01:34+01:00,100.0,CRITICAL,Email: ÇA Y EST : la semaine des soldes d’après Noël se termine ce soir,a20b730115036f46050682d2b3e255b88087b01f69c7818489dbc26f88f94104</t>
  </si>
  <si>
    <t>EXHIBIT_EMAIL_20241228_588_678b2ab1,EMAIL,2024-12-28T00:09:41+00:00,100.0,CRITICAL,Email: SJ PLACED - 🎉 Ring in the New Year with an Exclusive 40% Discount! 🎁,678b2ab1ca4b88bb27f137ce4228b9f7d2a21ca123440ef3eb9082f88b0a047f</t>
  </si>
  <si>
    <t>EXHIBIT_EMAIL_20250102_589_bbf99e83,EMAIL,2025-01-02T14:51:09-04:00,100.0,CRITICAL,Email: Mr Nice Guy,bbf99e83ff9fc98e0ae0615975f13e04c154d3e7e61b8fa900de9ea2d8dfec50</t>
  </si>
  <si>
    <t>EXHIBIT_EMAIL_20250122_590_29f83bbe,EMAIL,2025-01-22T17:22:29+00:00,100.0,CRITICAL,Email: You can't sell if you're not open,29f83bbef1ddfcb3afd8f9bf71bd3807990e7d18186cc3c3d63373ba76442c4a</t>
  </si>
  <si>
    <t>EXHIBIT_EMAIL_20250110_591_5556ad93,EMAIL,2025-01-10T09:19:25-06:00,100.0,CRITICAL,Email: Psst! $20 off is here 👏,5556ad93d3cc85ef96e246c5981c78d6623645966c68a3c014440c28fb00f39d</t>
  </si>
  <si>
    <t>EXHIBIT_EMAIL_20250101_592_0c4906b0,EMAIL,2025-01-01T01:06:17+00:00,100.0,CRITICAL,"Email: New Year, New Chances to Win!",0c4906b07fc0ba83cc1de483f26c55058aa67fad9cba23cf425b8415da68de9e</t>
  </si>
  <si>
    <t>EXHIBIT_EMAIL_20250108_593_b0184264,EMAIL,2025-01-08T15:42:10+01:00,100.0,CRITICAL,Email: You have received 5 free spins,b018426411a472bd3cc14ca5bd88727a6bd8f3321458cd2528958cc84ba243e7</t>
  </si>
  <si>
    <t>EXHIBIT_EMAIL_20241225_594_3f2f0c82,EMAIL,2024-12-25T05:24:13+01:00,100.0,CRITICAL,"Email: vroofn, you have free spins on Amazing Catch Power Combo!🐟",3f2f0c829af22534a2c5384a4421fc9d61750c5d0e65c194c9603b9bfa854ade</t>
  </si>
  <si>
    <t>EXHIBIT_EMAIL_20250113_595_5bc3febe,EMAIL,2025-01-13T12:20:56+00:00,100.0,CRITICAL,Email: TODAY ONLY ➡️ Choose your deal,5bc3febe700235384cffa55b38762ddbaf5d3b52d40cf0a3e94b4ab1945f3a29</t>
  </si>
  <si>
    <t>EXHIBIT_EMAIL_20250111_596_4bb9be54,EMAIL,2025-01-11T09:07:56-05:00,100.0,CRITICAL,Email: My January Reading List &amp; Intentions for 2025,4bb9be54f413613ae74cbbfb4f40e75c06b90dd53058314773db78fe4adcfff9</t>
  </si>
  <si>
    <t>EXHIBIT_EMAIL_20250116_597_e1d13cfc,EMAIL,2025-01-16T12:21:47-06:00,100.0,CRITICAL,"Email: Craig, your new flight deals have landed",e1d13cfc3d0e832fa424b9c41ee29f2cbc690f7bb9288debb7eb187908db713a</t>
  </si>
  <si>
    <t>EXHIBIT_EMAIL_20241227_598_02958316,EMAIL,2024-12-27T18:23:50+00:00,100.0,CRITICAL,Email: Dive into Mermaid Royale with 13 spins on us.,0295831676775c3932217f2bd20f5079cba2aa4642ab5b03eab79a1cb9f62a4c</t>
  </si>
  <si>
    <t>EXHIBIT_EMAIL_20250107_599_1a298449,EMAIL,2025-01-07T09:15:29-06:00,100.0,CRITICAL,Email: COUPON ALERT 🎫 Your savings are waiting!,1a298449fa246d8661e631f8d2a18cf56e0647592c4694f336685df697ac1c7a</t>
  </si>
  <si>
    <t>EXHIBIT_EMAIL_20241226_600_864c41f6,EMAIL,2024-12-26T14:24:38+00:00,100.0,CRITICAL,Email: 📣 Our end-of-season sale starts now!,864c41f64e1c4dde399861591bb1d6948768e3c2d809cafd7bfade5cec5b4ecb</t>
  </si>
  <si>
    <t>EXHIBIT_EMAIL_20250102_601_a9388634,EMAIL,2025-01-02T12:04:13+00:00,100.0,CRITICAL,"Email: Subway® any way - Triple the pickles, easy on the onions.",a9388634d6812bda1c9a107e012f8bf10e95f217e179e7059d219d2d79bae4a2</t>
  </si>
  <si>
    <t>EXHIBIT_EMAIL_20250126_602_7d99d8b5,EMAIL,2025-01-26T01:51:12+00:00,100.0,CRITICAL,Email: Security alert,7d99d8b56611949316155278a8aee1578f05a81ae6e15a87e57e5757939238fd</t>
  </si>
  <si>
    <t>EXHIBIT_EMAIL_20250110_603_e744be41,EMAIL,2025-01-10T10:17:00-06:00,100.0,CRITICAL,Email: Payments over 3–48 months at Amazon.ca,e744be41e42f1b22f7ae7ea784f380ada08e545c39c6c619f435b5290394abc4</t>
  </si>
  <si>
    <t>EXHIBIT_EMAIL_20250104_604_591da2da,EMAIL,2025-01-04T00:44:44+00:00,100.0,CRITICAL,"Email: 50 Spins up for grabs, Stacey!",591da2da0d98797ff74764b1862654977c73869cae8866a99d591a31785ad3e1</t>
  </si>
  <si>
    <t>EXHIBIT_EMAIL_20250122_605_4cea2b65,EMAIL,2025-01-22T10:45:19+00:00,100.0,CRITICAL,Email: 4 Stylish Kitchens in 250 Square Feet | Designers and Builders Share Their 2025 Goals,4cea2b658ff35ded57d55fe5611ba3c7294e7c40eda3d26e83f1deba1b6340dd</t>
  </si>
  <si>
    <t>EXHIBIT_EMAIL_20250123_606_58631346,EMAIL,2025-01-23T22:51:23-08:00,100.0,CRITICAL,Email: Start the year with Microsoft Copilot: New opportunities &amp; inspiration!,58631346a5e89531a55e1488cd8b0805a34313813743b8a6ebc36c0e5d700431</t>
  </si>
  <si>
    <t>EXHIBIT_EMAIL_20241227_607_6294f874,EMAIL,2024-12-27T20:08:33+00:00,100.0,CRITICAL,Email: Awfully sorry for the delay,6294f8745254182645e1f3d4ea62afd506274a4206bd9c880a3e3de03d87bbcd</t>
  </si>
  <si>
    <t>EXHIBIT_EMAIL_20250131_608_eb66e760,EMAIL,2025-01-31T18:25:56+00:00,100.0,CRITICAL,Email: 6 Features Released in January 🌟,eb66e760923948006877111bdf1efecf6e8d49b30352afa96b7bb7d880ecab23</t>
  </si>
  <si>
    <t>EXHIBIT_EMAIL_20250205_609_f6395650,EMAIL,2025-02-05T11:53:37+00:00,100.0,CRITICAL,"Email: Stacey, great job on your resume",f639565096f6a0ef92638e3aa2fb23c663bd091fc07f00dc7d064136c89b929c</t>
  </si>
  <si>
    <t>EXHIBIT_EMAIL_20250108_610_ad0967bd,EMAIL,2025-01-08T06:01:24+00:00,100.0,CRITICAL,"Email: vroofn, play with a 100% Bonus + 25 Free Spins! ⚡",ad0967bd02874c39c741497efa626b36a96c1a48c72bba77927998ee1cbd36ba</t>
  </si>
  <si>
    <t>EXHIBIT_EMAIL_20250111_611_2a5ebfbc,EMAIL,2025-01-11T20:05:19+00:00,100.0,CRITICAL,Email: See inside to grab your savings,2a5ebfbcdf67617278c12019038e050de541c3353d9302b06b39ad547223f857</t>
  </si>
  <si>
    <t>EXHIBIT_EMAIL_20241225_612_7201622d,EMAIL,2024-12-25T08:13:39+00:00,100.0,CRITICAL,Email: You have set up a passkey for Amazon,7201622d92a379f92e14d94ce9cdb78881d87307ec267f4fe50dba486b05f103</t>
  </si>
  <si>
    <t>EXHIBIT_EMAIL_20250105_613_63d11c20,EMAIL,2025-01-05T10:15:47+00:00,100.0,CRITICAL,Email: 34 Home Design Trends That Will Define 2025 | 3 Radiant White-and-Wood Kitchens,63d11c2024d0464111dfb511dd235be2b07b67fe5258989ece0f0a6492f89a39</t>
  </si>
  <si>
    <t>EXHIBIT_EMAIL_20250111_614_cef6f2e9,EMAIL,2025-01-11T02:56:13+00:00,100.0,CRITICAL,Email: Don't miss this HOT DEAL ����!,cef6f2e9269eaeb8c8098f4783bd6cfd6c427fe49bbd2069ff90ed07975aa887</t>
  </si>
  <si>
    <t>EXHIBIT_EMAIL_20241231_615_d7834378,EMAIL,2024-12-31T10:52:09-06:00,100.0,CRITICAL,Email: 2 DAYS LEFT! Up to 45% off BOXING WEEK DEALS 🤯,d7834378378365eee5fd8f2799a9ba1492688eaab64089b6c4a24f638cd8c48e</t>
  </si>
  <si>
    <t>EXHIBIT_EMAIL_20241229_616_53b7ebab,EMAIL,2024-12-29T08:00:35-06:00,100.0,CRITICAL,Email: Happy Paw-lidays to you and your furry friends!,53b7ebab383321b29bcaaef7319e0dcb0f85544780708067853fd9858236ff7d</t>
  </si>
  <si>
    <t>EXHIBIT_EMAIL_20250213_617_bd850064,EMAIL,2025-02-13T20:38:03+00:00,100.0,CRITICAL,Email: Put these spots on your radar,bd85006433649cac1059314c67b35b372f018ad1bafa641d7b6509eb2331f7dd</t>
  </si>
  <si>
    <t>EXHIBIT_EMAIL_20250116_618_603097a1,EMAIL,2025-01-16T12:15:03-06:00,100.0,CRITICAL,Email: Best adults only resorts worth bragging about,603097a1815758ba72ff6bea9b787c79c9f63e5f275f6f5a8b26ae5f77141342</t>
  </si>
  <si>
    <t>EXHIBIT_EMAIL_20250115_619_d4b015d2,EMAIL,2025-01-15T16:50:10+00:00,100.0,CRITICAL,Email: 🛒TEMU Cart Message,d4b015d26835a9aa906d6e98ca613f08ae26e2a29ce8d48e75523467e9091b17</t>
  </si>
  <si>
    <t>EXHIBIT_EMAIL_20250116_620_6e28c544,EMAIL,2025-01-16T19:53:24-08:00,100.0,CRITICAL,"Email: charliewharlie369, catch up on moments you've missed",6e28c5444f2a6c48cf348f2353ff29efb75ed0ee5734a0e729f085d87f614af2</t>
  </si>
  <si>
    <t>EXHIBIT_EMAIL_20241226_621_2589c915,EMAIL,2024-12-26T15:00:29+00:00,100.0,CRITICAL,"Email: Don't miss 3 months of Spotify Premium for $12.69. $12.69/mo after.</t>
  </si>
  <si>
    <t>Cancel anytime.",2589c915a8f98f3d28e06838a2299f06968e5284841fba48befc7e214e16449a</t>
  </si>
  <si>
    <t>EXHIBIT_EMAIL_20250125_622_f41cfe74,EMAIL,2025-01-25T06:00:07+00:00,100.0,CRITICAL,"Email: vroofn, Deposit CAD 5, Get 77 Free Spins! 🌶️",f41cfe74092b2b73c937309e87706e4623264e2a964385ae005cad4744598155</t>
  </si>
  <si>
    <t>EXHIBIT_EMAIL_20241226_623_dc57b21a,EMAIL,2024-12-26T15:12:02+00:00,100.0,CRITICAL,Email: Happy BOXING DAY | Get up to 30% off our top products,dc57b21a47e0166512e37c336ebaee713d934a4814770c0eba00c5cf72075b6c</t>
  </si>
  <si>
    <t>EXHIBIT_EMAIL_20250110_624_2f88f6ef,EMAIL,2025-01-10T02:49:03+00:00,100.0,CRITICAL,Email: Your thoughts on Printful? 🤔,2f88f6ef3fd8977356eeec898b8405ee262ccc4d3f22636dbfe2ceb29876dbad</t>
  </si>
  <si>
    <t>EXHIBIT_EMAIL_20241231_625_d302b16e,EMAIL,2024-12-31T06:01:53+00:00,100.0,CRITICAL,Email: Security alert for lunacraigcep@gmail.com,d302b16e8c210b7c0c2e53c92891466437cc5ca0b1819ad8cf6d584bbd005102</t>
  </si>
  <si>
    <t>EXHIBIT_EMAIL_20241227_626_4f3c6654,EMAIL,2024-12-27T21:25:10+01:00,100.0,CRITICAL,Email: You have received 20 free spins,4f3c6654d3df7bc4c2d79939e97050a0dc392d24dc55e74c92ee236c429dd590</t>
  </si>
  <si>
    <t>EXHIBIT_EMAIL_20241229_627_dcb50a8b,EMAIL,2024-12-29T02:09:30+00:00,100.0,CRITICAL,Email: 🌟 Best of 2024: baby gear guides &amp; reviews,dcb50a8bbf4afd6619b9effb8e519d46223adf45f25c2e3a0cccf3aa6a8bea6b</t>
  </si>
  <si>
    <t>EXHIBIT_EMAIL_20250108_628_c3d5bdb5,EMAIL,2025-01-08T16:23:34-06:00,100.0,CRITICAL,"Email: Craig, welcome to Avion Rewards",c3d5bdb5850d27f35b8c9a7328d67babb287b9c5b6aa6ef6f55f5ee020a0b0a3</t>
  </si>
  <si>
    <t>EXHIBIT_EMAIL_20250103_629_d6ff8526,EMAIL,2025-01-03T04:15:55+00:00,100.0,CRITICAL,Email: Security alert for lunacraigcep@gmail.com,d6ff852626bebde06f85151cdd91e1a291cf01c5d3f80094bb6647b7d5bafee7</t>
  </si>
  <si>
    <t>EXHIBIT_EMAIL_20250103_630_2d7f1023,EMAIL,2025-01-03T04:10:27+00:00,100.0,CRITICAL,Email: Security alert for lunacraigcep@gmail.com,2d7f10234f867e825ab33998b4c84b2deedd668f47063c37d015d20fc9e0dbba</t>
  </si>
  <si>
    <t>EXHIBIT_EMAIL_20250103_631_45c28260,EMAIL,2025-01-03T04:06:51+00:00,100.0,CRITICAL,Email: Security alert for lunacraigcep@gmail.com,45c28260ccf1c75464845b32dd57e6cd76a3c0e14ff41a0d28ed0c5749e25475</t>
  </si>
  <si>
    <t>EXHIBIT_EMAIL_20250103_632_2130988e,EMAIL,2025-01-03T04:05:49+00:00,100.0,CRITICAL,Email: Security alert for lunacraigcep@gmail.com,2130988e40294f3e84e5e88317ed4d74710a99c54b7a4db1a72571c446d358d9</t>
  </si>
  <si>
    <t>EXHIBIT_EMAIL_20250202_633_6d9ce429,EMAIL,2025-02-02T10:35:09+00:00,100.0,CRITICAL,Email: Warm Industrial Condo in a Former Grain Silo | Highlights From the Maison &amp; Objet Design Fair,6d9ce429d2a13a72132e925e3a109f6c5a40191eb8110fd71dd33eea1326d026</t>
  </si>
  <si>
    <t>EXHIBIT_EMAIL_20250109_634_378b45e2,EMAIL,2025-01-09T18:32:27+00:00,100.0,CRITICAL,"Email: Jump-start your year with automation, 13 updates, and 12 new apps",378b45e236487f8604cc0de4cfdf0fabd670d9dcd9184e4c603eeddb2dafb09c</t>
  </si>
  <si>
    <t>EXHIBIT_EMAIL_20250109_635_17547a2c,EMAIL,2025-01-09T18:31:43+00:00,100.0,CRITICAL,"Email: Jump-start your year with automation, 13 updates, and 12 new apps",17547a2c89b9613f7ce1807fe684f50a7d426294005370877298860480d67c2d</t>
  </si>
  <si>
    <t>EXHIBIT_EMAIL_20250103_636_b62b9b4d,EMAIL,2025-01-03T03:34:10+00:00,100.0,CRITICAL,Email: Critical security alert for lunacraigcep@gmail.com,b62b9b4d2daf39c659f41a0a11f5d8522bd9e6acdb2befcda3873c51f05b35fd</t>
  </si>
  <si>
    <t>EXHIBIT_EMAIL_20241226_637_1978ae5a,EMAIL,2024-12-26T16:04:01+00:00,100.0,CRITICAL,"Email: So many choices, all on Amazon",1978ae5af81003ca03a307c4772ca5b54b66f403d4499c8782c22ee652a98fe5</t>
  </si>
  <si>
    <t>EXHIBIT_EMAIL_20250114_638_b846bbe5,EMAIL,2025-01-14T08:00:27-06:00,100.0,CRITICAL,Email: Make 2025 your pet’s best year!,b846bbe581c907ec0856795eef3c1eeb86a5b283678d2cf15370392174a11701</t>
  </si>
  <si>
    <t>EXHIBIT_EMAIL_20241228_639_6b9688fb,EMAIL,2024-12-28T20:47:15+00:00,100.0,CRITICAL,Email: Your cart item: now 83% OFF!,6b9688fb9f72710c9cfe0122a618cb94f8ef074d78dace6ed2292507fb653a29</t>
  </si>
  <si>
    <t>EXHIBIT_EMAIL_20250203_640_6071eef3,EMAIL,2025-02-03T15:36:40+00:00,100.0,CRITICAL,Email: Get 20% off your website and a free domain,6071eef373839b228e6f44033b3f7fe4a053dd789d80e7cb291191293882703c</t>
  </si>
  <si>
    <t>EXHIBIT_EMAIL_20250112_641_3bf8c425,EMAIL,2025-01-12T14:22:28+00:00,100.0,CRITICAL,Email: Get $10 off on more than just groceries,3bf8c425d1070ee718ce8291a8bc623ca454d0028f6de82d00ab9970e4bbfc6a</t>
  </si>
  <si>
    <t>EXHIBIT_EMAIL_20250109_642_d7afbdc0,EMAIL,2025-01-09T12:11:12-06:00,100.0,CRITICAL,Email: Canadians love Cuba – here’s why,d7afbdc0965989403c983e3b9c886eebefea07f54628cc55b90992d1f4735db9</t>
  </si>
  <si>
    <t>EXHIBIT_EMAIL_20250116_643_6f52d2cf,EMAIL,2025-01-16T12:02:23+00:00,100.0,CRITICAL,Email: FOMO on free drink and chips?,6f52d2cfdfb5d20e3f34ad109e45c4b3d77e122595f76d6a2efa0752145cebbc</t>
  </si>
  <si>
    <t>EXHIBIT_EMAIL_20250115_644_1334f9a8,EMAIL,2025-01-15T13:03:25+00:00,100.0,CRITICAL,Email: Keep forgetting your passwords Craig?,1334f9a8a3950189c5c5ff1be38738e5a590ee7c11bb49e24b7f95f9277c3193</t>
  </si>
  <si>
    <t>EXHIBIT_EMAIL_20250114_645_f09a533c,EMAIL,2025-01-14T21:58:59+00:00,100.0,CRITICAL,Email: Security alert for lunacraigcep@gmail.com,f09a533c5c6ab3c8dacbcdfdf3e6a44c499c2f9f7d9bd2b1409f625866fe3ca4</t>
  </si>
  <si>
    <t>EXHIBIT_EMAIL_20250114_646_18e80a3c,EMAIL,2025-01-14T10:55:44+00:00,100.0,CRITICAL,Email: Security alert for lunacraigcep@gmail.com,18e80a3c63fe655e144a09dc7fa2b5bd7314996b58f648f70f6e9f71dc066c43</t>
  </si>
  <si>
    <t>EXHIBIT_EMAIL_20250108_647_957abd16,EMAIL,2025-01-08T02:17:11+00:00,100.0,CRITICAL,Email: New! Now you can try Dropbox as a team for free 🤝,957abd16566c620f4aab97580abfaeecd85a36feaec2bd3e0c5d88ae27be216d</t>
  </si>
  <si>
    <t>EXHIBIT_EMAIL_20241229_648_38321f76,EMAIL,2024-12-29T19:49:36+00:00,100.0,CRITICAL,"Email: Swing in for 11 SPINS in Bonus Wheel Jungle, Dawn!",38321f760db8500973db632de8509d9937df66a0891501ccb3104e58c38034e4</t>
  </si>
  <si>
    <t>EXHIBIT_EMAIL_20250117_649_9d97a454,EMAIL,2025-01-17T21:42:22-06:00,100.0,CRITICAL,Email: The chill's here. You don't have to be.,9d97a45487bd8d21a8f7112fe2c6ef6520a4691214c133800e48ae1a3f58f50e</t>
  </si>
  <si>
    <t>EXHIBIT_EMAIL_20250210_650_63fdade0,EMAIL,2025-02-10T10:31:50-04:00,100.0,CRITICAL,Email: Fwd: Formal Complaint Against Jacqueline Gallant – Conflict of Interest &amp; Professional Misconduct,63fdade0619582425d1a733b78bac337462f6ae791088a47cba4cd4a5833dec0</t>
  </si>
  <si>
    <t>EXHIBIT_EMAIL_20250210_651_b52f8f94,EMAIL,2025-02-10T14:16:57+00:00,100.0,CRITICAL,Email: RE: Formal Complaint Against Jacqueline Gallant – Conflict of Interest &amp; Professional Misconduct,b52f8f94ecd7387a7a9970b40912f26236a47aea8977d55c4a8feebdf706ed66</t>
  </si>
  <si>
    <t>EXHIBIT_EMAIL_20250210_652_8f6f7114,EMAIL,2025-02-10T10:06:31-04:00,100.0,CRITICAL,Email: Re: Formal Complaint Against Jacqueline Gallant – Conflict of Interest &amp; Professional Misconduct,8f6f71146ecbab94bca180eb50fd9dff3b0390bccad9d403ca64e50a81e9921a</t>
  </si>
  <si>
    <t>EXHIBIT_EMAIL_20250210_653_733abe97,EMAIL,2025-02-10T13:04:18+00:00,100.0,CRITICAL,Email: RE: Formal Complaint Against Jacqueline Gallant – Conflict of Interest &amp; Professional Misconduct,733abe97ceb097809cdb22b7e27c2d416bfe79db7b58dbb4d72107df36e61627</t>
  </si>
  <si>
    <t>EXHIBIT_EMAIL_20250208_654_0db413b5,EMAIL,2025-02-08T18:10:58-04:00,100.0,CRITICAL,Email: Formal Complaint Against Jacqueline Gallant – Conflict of Interest &amp; Professional Misconduct,0db413b5ce2b276fa783be5f33f8b92952fcb7240e3a64064256166db807191f</t>
  </si>
  <si>
    <t>EXHIBIT_EMAIL_20250107_655_0bd6ebc4,EMAIL,2025-01-07T18:10:55-06:00,100.0,CRITICAL,Email: Make one-on-one time one of a kind,0bd6ebc4d6566b1e73e702d3e6f3193b0e5db631fa0fcba8d2da1a8bb888500b</t>
  </si>
  <si>
    <t>EXHIBIT_EMAIL_20241231_656_fae26864,EMAIL,2024-12-31T16:06:50+00:00,100.0,CRITICAL,Email: Your 2-Week-Old Baby: How to Clip Your Baby's Nails,fae26864724c843050662c95b73fb72dbb01fb725ef810805298db0bb8db7eb7</t>
  </si>
  <si>
    <t>EXHIBIT_EMAIL_20250107_657_39cea4f6,EMAIL,2025-01-07T18:35:12+00:00,100.0,CRITICAL,Email: You've connected a new app to Dropbox,39cea4f6a30642da1021a09d9941de54c86943cdbee8d0e099b0719522971aac</t>
  </si>
  <si>
    <t>EXHIBIT_EMAIL_20250107_658_9b6f0642,EMAIL,2025-01-07T18:14:58+00:00,100.0,CRITICAL,Email: You've connected a new app to Dropbox,9b6f06427524100f9fc11246c9305044902b519c3e8d1fc405eba4e3d6544271</t>
  </si>
  <si>
    <t>EXHIBIT_EMAIL_20241225_659_866083c7,EMAIL,2024-12-25T10:13:43+00:00,100.0,CRITICAL,Email: Explore Amazon Business guest access!,866083c7c2df249b0efabdb2aeb532bd25a7f17dd733eec8d4b762fd9076f886</t>
  </si>
  <si>
    <t>EXHIBIT_EMAIL_20250202_660_556f5b0c,EMAIL,2025-02-02T01:42:03+00:00,100.0,CRITICAL,Email: Your cart item: now 85% OFF!,556f5b0c252fac0405b1bc911df98619bc6148f953d5014c42f751876be376f4</t>
  </si>
  <si>
    <t>EXHIBIT_EMAIL_20250111_661_f76db39b,EMAIL,2025-01-11T10:14:18-06:00,100.0,CRITICAL,Email: Hurry! Your COUPONS are here 🎫🎫,f76db39ba224f364d4c6e65b76f2504761e940a86fe8675289529b2de20c0628</t>
  </si>
  <si>
    <t>EXHIBIT_EMAIL_20241226_662_eaa2107c,EMAIL,2024-12-26T06:34:39-05:00,100.0,CRITICAL,Email: Up to 50% OFF – Boxing Day Deals Inside 🥊,eaa2107cff77fe2aa13566f89adb45b27e39f4b615e7796423c5640a45ea2f1d</t>
  </si>
  <si>
    <t>EXHIBIT_EMAIL_20250111_663_3ff7dff9,EMAIL,2025-01-11T06:24:05+01:00,100.0,CRITICAL,"Email: vroofn, you have free spins on Collapsed Castle ! 🏰",3ff7dff9c5dabf9dd5c127d9fbc029a7d991622f99d1cc932640850795a9e72f</t>
  </si>
  <si>
    <t>EXHIBIT_EMAIL_20250121_664_dac2dbfa,EMAIL,2025-01-21T19:10:45+00:00,100.0,CRITICAL,Email: 4 ways to fund your baby’s future,dac2dbfaa03f893c83675110b614033e4df6187ba29175b947571ed4fa1bfd21</t>
  </si>
  <si>
    <t>EXHIBIT_EMAIL_20241225_665_f29724b7,EMAIL,2024-12-25T15:08:37-06:00,100.0,CRITICAL,Email: Kickstart 2025 with these end-of-year deals!,f29724b7fa367940b78c5fecda8a3bc6a0e93751ff6075ea96db4e2247dabbbb</t>
  </si>
  <si>
    <t>EXHIBIT_EMAIL_20250112_666_8374e060,EMAIL,2025-01-12T07:34:10+00:00,100.0,CRITICAL,Email: Welcome to Wix eCommerce,8374e06018312cf04fba24315b4e8103cbb3a8554890cbe712d5f21efc314b02</t>
  </si>
  <si>
    <t>EXHIBIT_EMAIL_20250212_667_33d25581,EMAIL,2025-02-12T10:46:43+00:00,100.0,CRITICAL,Email: 8 Trends From London’s Surface Design Show | Scandinavian-Inspired Home With a Country Vibe,33d25581c24c9b505708ec5f00d768abf702bb5b1dc5f8cd22235a4fdecc7585</t>
  </si>
  <si>
    <t>EXHIBIT_EMAIL_20250107_668_203e5e6c,EMAIL,2025-01-07T08:02:41-06:00,100.0,CRITICAL,"Email: Sale continues: Save 25% or more, now",203e5e6c8acff0654336f10b3c35b1875b3920974250ee0684a9199e0f22832e</t>
  </si>
  <si>
    <t>EXHIBIT_EMAIL_20250104_669_ff9d5b21,EMAIL,2025-01-04T01:24:15+00:00,100.0,CRITICAL,Email: Using AI in Google Sheets. Take Your GPT Workspace Skills to the Next Level! 🚀,ff9d5b2172af46a965520526651421f78b6dfb2957e0ca37282cbafc86c4499d</t>
  </si>
  <si>
    <t>EXHIBIT_EMAIL_20250201_670_96c7709d,EMAIL,2025-02-01T17:20:32-08:00,100.0,CRITICAL,Email: You added a new address,96c7709d77b826866066b37321a89d4f8b02969b9a03e4de98863abc245d13d1</t>
  </si>
  <si>
    <t>EXHIBIT_EMAIL_20250201_671_073f3d8a,EMAIL,2025-02-01T17:19:52-08:00,100.0,CRITICAL,Email: You added a new address,073f3d8a0a96a1b1d5779661e9f5e82cffc596bec334fceabca7cdc423fca27e</t>
  </si>
  <si>
    <t>EXHIBIT_EMAIL_20250111_672_2f2210a8,EMAIL,2025-01-11T15:46:00+00:00,100.0,CRITICAL,Email: Mailchimp Order,2f2210a88c19b293d8ad5b3973656657880ed8fc1ba93a8f8871c3ad095824f2</t>
  </si>
  <si>
    <t>EXHIBIT_EMAIL_20250203_673_4d4456bc,EMAIL,2025-02-03T11:17:52+00:00,100.0,CRITICAL,Email: You can't sell if you're not open,4d4456bcb433d8afa23ffe5b830a929027e919206c8c40e69db1738b67df851c</t>
  </si>
  <si>
    <t>EXHIBIT_EMAIL_20241228_674_8256658e,EMAIL,2024-12-28T05:30:04+00:00,100.0,CRITICAL,"Email: vroofn, Deposit CAD 5, Get 77 Free Spins! 💰",8256658e1dcbebf47182cb86b82966fa2a4a99fe6ed6279ea6f471ed054ee228</t>
  </si>
  <si>
    <t>EXHIBIT_EMAIL_20250113_675_d5794cb5,EMAIL,2025-01-13T12:00:37+00:00,100.0,CRITICAL,Email: Start the day with double the points.,d5794cb5e2b700bca09cb9280a23cd58a719d834fb5dba84b78286b5f30f4855</t>
  </si>
  <si>
    <t>EXHIBIT_EMAIL_20250114_676_737b248a,EMAIL,2025-01-14T18:11:51-06:00,100.0,CRITICAL,Email: Keep these resorts in mind for 2025,737b248ab11ae3cc67d1862a5a59a53375f44ad61421aa78902baf98db27a565</t>
  </si>
  <si>
    <t>EXHIBIT_EMAIL_20250105_677_e64afd63,EMAIL,2025-01-05T09:34:49-06:00,100.0,CRITICAL,Email: UP TO 70% OFF DEALS 🤯,e64afd63ee054e4c2f9eb34afc00390c97b59fcb96e72ffae96e717bd00ef77f</t>
  </si>
  <si>
    <t>EXHIBIT_EMAIL_20250109_678_a201e600,EMAIL,2025-01-09T09:52:40-06:00,100.0,CRITICAL,Email: Your weekly flyer is here 🙂,a201e6006cdcba77a55a7be1ac57fb4437669f18a8e67671c2e6874a16376180</t>
  </si>
  <si>
    <t>EXHIBIT_EMAIL_20241225_679_7a371705,EMAIL,2024-12-25T20:19:34+00:00,100.0,CRITICAL,Email: Teen-friendly Uber Eats with safety in mind,7a3717058fab47a560dcb83827c6ee10578f2a3cfdf2c738f082f9d101739147</t>
  </si>
  <si>
    <t>EXHIBIT_EMAIL_20250108_680_da4d8e0a,EMAIL,2025-01-08T10:04:53-08:00,100.0,CRITICAL,Email: Copilot is here to assist you,da4d8e0a270d16169d4866758d6e88ef447052022ceea76a0eb737f7e073ae70</t>
  </si>
  <si>
    <t>EXHIBIT_EMAIL_20250115_681_fcd39913,EMAIL,2025-01-15T20:09:41+00:00,100.0,CRITICAL,"Email: Hungry for a deal, Craig n Emma?",fcd3991396a8602af94f44fc7c89a739988c9e4a69621d81099ec1d056b5ecf8</t>
  </si>
  <si>
    <t>EXHIBIT_EMAIL_20250110_682_2a633504,EMAIL,2025-01-10T14:10:52+00:00,100.0,CRITICAL,Email: The brands you love are on Amazon,2a6335047455a5c0d4e9e3889b315bb3b4ac28f8d444ecd3d8a4b0cfe79f0d82</t>
  </si>
  <si>
    <t>EXHIBIT_EMAIL_20241225_683_b6e24119,EMAIL,2024-12-25T01:13:22+00:00,100.0,CRITICAL,Email: Your video is ready! Publish in a few clicks ⬆️,b6e241196aaa59684dd9af998ec71671542816b12d595450bd19a4b662553a8e</t>
  </si>
  <si>
    <t>EXHIBIT_EMAIL_20250120_684_157e5d8d,EMAIL,2025-01-20T18:07:15+00:00,100.0,CRITICAL,Email: 🔥 Warm up your week with new offers,157e5d8dd6f654e9b9319dc033b43afdf3f9d5fc9c33e6ef2102853bc7e7ac88</t>
  </si>
  <si>
    <t>EXHIBIT_EMAIL_20250115_685_3f6b1b75,EMAIL,2025-01-15T23:12:41+00:00,100.0,CRITICAL,Email: Mailchimp verification code,3f6b1b759d8b8d2570559d5803b1db5c26df4ada279ce42c3c59ea924261e201</t>
  </si>
  <si>
    <t>EXHIBIT_EMAIL_20241225_686_92d91392,EMAIL,2024-12-25T01:51:23+00:00,100.0,CRITICAL,Email: 50% off your next 3 orders - just for you 👀,92d91392b8a0b49003123d2e1b771ca99491f10586d6ae5041918c6fd632899f</t>
  </si>
  <si>
    <t>EXHIBIT_EMAIL_20250114_687_7bde558b,EMAIL,2025-01-14T16:20:29+00:00,100.0,CRITICAL,Email: Get 20% off your website and a free domain,7bde558bffb13e4588b7a86cfba029a7fab1bdbab97372f29f90ec4d3a4f12ed</t>
  </si>
  <si>
    <t>EXHIBIT_EMAIL_20250115_688_42a3ca97,EMAIL,2025-01-15T13:32:19+00:00,100.0,CRITICAL,"Email: New year, more savings at the Business Savings Event",42a3ca97419c2ae4669def3ab05334333fb7af808d42cf52e92290438c8c6759</t>
  </si>
  <si>
    <t>EXHIBIT_EMAIL_20250203_689_a0cf3f68,EMAIL,2025-02-03T19:30:33-08:00,100.0,CRITICAL,Email: GitHub Copilot: What’s in your free plan 🤖,a0cf3f687f60b65e66055e056bac57a8b69ccf0737db6318c75a12f94b81307c</t>
  </si>
  <si>
    <t>EXHIBIT_EMAIL_20250109_690_c6a074af,EMAIL,2025-01-09T05:41:00+00:00,100.0,CRITICAL,Email: Want to know everything about your favourite draw?,c6a074afdef433ba914c528d36e833ef29072b9d82729c6bc46a4ee6800e33f6</t>
  </si>
  <si>
    <t>EXHIBIT_EMAIL_20241225_691_ef4fcc60,EMAIL,2024-12-25T10:21:26-06:00,100.0,CRITICAL,"Email: Merry Christmas, merry savings 🎄",ef4fcc6079f06df67310e6d1c567aed54a3d98249698ced17e7e036c540db4bd</t>
  </si>
  <si>
    <t>EXHIBIT_EMAIL_20241225_692_6bbb5baf,EMAIL,2024-12-25T10:36:19+00:00,100.0,CRITICAL,Email: The Top 5 Houzz Tours of 2024 | 5 Organizing Tips Designers Swear By,6bbb5baf6e891597802ea886c448b52d7ce423eb7183286be2ae3eccd0fac836</t>
  </si>
  <si>
    <t>EXHIBIT_EMAIL_20241226_693_e2a3dfed,EMAIL,2024-12-26T20:40:23+00:00,100.0,CRITICAL,Email: See inside to grab your savings,e2a3dfedf32e8c5f0f17356019901bc79b9d5cc2ddaccc8bfde89630aba64c06</t>
  </si>
  <si>
    <t>EXHIBIT_EMAIL_20241225_694_b152da8d,EMAIL,2024-12-25T09:06:21+00:00,100.0,CRITICAL,Email: Re: Read this one!!!!,b152da8d3c3161da5232da2947c5cc0caf33ac51d6c771c26cb6894eb0299d16</t>
  </si>
  <si>
    <t>EXHIBIT_EMAIL_20250111_695_9fa34425,EMAIL,2025-01-11T15:41:06+00:00,100.0,CRITICAL,Email: Activate your Mailchimp account,9fa344254d07f09da499a0400d7b623cbd5b560828b2cd9518636a033ff036ce</t>
  </si>
  <si>
    <t>EXHIBIT_EMAIL_20250110_696_66e6e6ea,EMAIL,2025-01-10T06:56:12+00:00,100.0,CRITICAL,Email: Your video is ready! Publish in a few clicks ⬆️,66e6e6ea75d407963417b4c79ef46ecf96b4a7da48eab26dc8a881b690bb4ef6</t>
  </si>
  <si>
    <t>EXHIBIT_EMAIL_20250227_697_9e4135f8,EMAIL,2025-02-27T17:42:16-08:00,100.0,CRITICAL,Email: Register now and save up to $200💰,9e4135f8b53d096b1ccfe2b147a2c6447a4596a0387779fbe72bc52af72278ff</t>
  </si>
  <si>
    <t>EXHIBIT_EMAIL_20250123_698_137ebf08,EMAIL,2025-01-23T01:44:33+00:00,100.0,CRITICAL,Email: 3 days left on your Zapier Chatbots trial ⏳,137ebf083bbc6850ac3504d8d860927208a52aeb530c36a9f8061020049281da</t>
  </si>
  <si>
    <t>EXHIBIT_EMAIL_20250220_699_d3e6c8de,EMAIL,2025-02-20T06:48:41-08:00,100.0,CRITICAL,"Email: CRAIG, Gemini 2.0 Flash is now production-ready – start building!",d3e6c8dea7d1b694d99de386795bffa778e81465823ab29f3f8538ece42219f4</t>
  </si>
  <si>
    <t>EXHIBIT_EMAIL_20250124_700_0b760416,EMAIL,2025-01-24T15:59:45-08:00,100.0,CRITICAL,Email: ⚠️ Your Gmail storage is 100% full,0b760416bbb6ed83faed0e13ac2fb85e30b0ca746c2640fcfa34d5ea5993294d</t>
  </si>
  <si>
    <t>EXHIBIT_EMAIL_20241230_701_a146086e,EMAIL,2024-12-30T14:10:32+00:00,100.0,CRITICAL,Email: Reminder: Add a backup user to your business account,a146086edcccce69c16fe3e1a30043c63964090329d8ddd6798949fa2e6b69ac</t>
  </si>
  <si>
    <t>EXHIBIT_EMAIL_20250109_702_2fd83115,EMAIL,2025-01-09T11:42:07-05:00,100.0,CRITICAL,"Email: Booklists From Mel Robbins, Adam Grant &amp; Brené Brown",2fd831151bac2e8591002f607c788707b2a30053531abcbb90523dcd7a8782c4</t>
  </si>
  <si>
    <t>EXHIBIT_EMAIL_20250128_703_4197d970,EMAIL,2025-01-28T11:21:11+00:00,100.0,CRITICAL,Email: Cash Crusade Assembl'em���: The Future of Casino Games,4197d970236df79c85c7230cb223b056289b16875c15df97174cb85c3ca73c3d</t>
  </si>
  <si>
    <t>EXHIBIT_EMAIL_20250202_704_11122d84,EMAIL,2025-02-02T06:29:39-08:00,100.0,CRITICAL,Email: [GitHub] Please reset your password,11122d84b34e1d358971bdf13ea97d3dfcb0468ab992ee37bdbe9f8c6f74b5a0</t>
  </si>
  <si>
    <t>EXHIBIT_EMAIL_20250103_705_8baed159,EMAIL,2025-01-03T19:20:42+00:00,100.0,CRITICAL,"Email: Grab 16 spins in our player fave, Sweet 16 Blast!",8baed1596cb40656fe199269a61ae586949ab886f7745a16fed5c55ccb9173bb</t>
  </si>
  <si>
    <t>EXHIBIT_EMAIL_20250102_706_036ef6c9,EMAIL,2025-01-02T05:23:28+00:00,100.0,CRITICAL,Email: Security alert for lunacraigcep@gmail.com,036ef6c9147e95856f9f6533e115217b7ebdf4ad98df03a916cedd8aeb319cc1</t>
  </si>
  <si>
    <t>EXHIBIT_EMAIL_20250101_707_8e10abe4,EMAIL,2025-01-01T14:04:12+00:00,100.0,CRITICAL,"Email: Amazon Basics: well made, sharply priced",8e10abe43dfd45a13042f67a5735425a763237b9d1fa06c10074275efc475e86</t>
  </si>
  <si>
    <t>EXHIBIT_EMAIL_20241226_708_cca6a096,EMAIL,2024-12-26T09:26:49-06:00,100.0,CRITICAL,"Email: Boxing Week deals, take a trip for less",cca6a0963ceeebfd50443ca1ae62fef654d32e1b56d6caaeaeaa32144ed086b1</t>
  </si>
  <si>
    <t>EXHIBIT_EMAIL_20250119_709_3ec6dae7,EMAIL,2025-01-19T06:21:32+00:00,100.0,CRITICAL,Email: Mailchimp trial ending,3ec6dae7d023021ed8c636b37ed018efe8c40303a6262b66569046a9dd03d24a</t>
  </si>
  <si>
    <t>EXHIBIT_EMAIL_20250128_710_364c3ede,EMAIL,2025-01-28T02:49:37+00:00,100.0,CRITICAL,"Email: The choice is yours, Stacey!",364c3ede0ceccb14812e5c53a25129535b81693030d299e14f5d3ae449d9fcd5</t>
  </si>
  <si>
    <t>EXHIBIT_EMAIL_20250122_711_81cad9b2,EMAIL,2025-01-22T01:24:23+00:00,100.0,CRITICAL,Email: Chat with PDFs with GPT Workspace,81cad9b2ba6648e736eabf3a9f7f65a877e1369f50bb61b4efa51e88fe9ee03d</t>
  </si>
  <si>
    <t>EXHIBIT_EMAIL_20250107_712_4f4262a3,EMAIL,2025-01-07T18:35:02+00:00,100.0,CRITICAL,"Email: Hi Craig, we noticed a new sign in to your Dropbox account",4f4262a3fbd1a8bef4ed2a4466a141af925234f9f0773f2f7cce52f88108e1f9</t>
  </si>
  <si>
    <t>EXHIBIT_EMAIL_20241226_713_b39770f3,EMAIL,2024-12-26T08:39:13-06:00,100.0,CRITICAL,Email: Boxing Week deals like these won’t last long,b39770f36dbe59dc2e7a8e226542d74cfa70de76722c64a3915452ca40eb5004</t>
  </si>
  <si>
    <t>EXHIBIT_EMAIL_20250106_714_73884e66,EMAIL,2025-01-06T09:15:10-06:00,100.0,CRITICAL,Email: $10 &amp; under Holiday Clearance finds 😍,73884e665856c611f2a7850beabb4e15359e18e720a2b4b6f17f535639eb59dd</t>
  </si>
  <si>
    <t>EXHIBIT_EMAIL_20241229_715_166fdd79,EMAIL,2024-12-29T15:10:45+00:00,100.0,CRITICAL,Email: Get it for less on Amazon,166fdd7914bf451067cc7debcb576647b8ebe051837ad0439c895765f0c6416d</t>
  </si>
  <si>
    <t>EXHIBIT_EMAIL_20250206_716_0e5dc7c3,EMAIL,2025-02-06T01:37:33+00:00,100.0,CRITICAL,Email: Security alert for lunacraigcep@gmail.com,0e5dc7c348d6afb27561caefa46b3e44d69ec7ec4c4c72494dd1620433925f76</t>
  </si>
  <si>
    <t>EXHIBIT_EMAIL_20250116_717_ff7379a3,EMAIL,2025-01-16T01:47:15+00:00,100.0,CRITICAL,Email: Build your dream business with Shopify,ff7379a38750ac7f7369c34137de2859b7b968c170b7e153f35fcc9dd1c31f6a</t>
  </si>
  <si>
    <t>EXHIBIT_EMAIL_20250110_718_d9cbc18e,EMAIL,2025-01-10T08:02:51+00:00,100.0,CRITICAL,Email: A Canva user has requested access to your design,d9cbc18e23bb8f008ff7e44278c9aa86c3950f26d95315c9d0fdaa42cfc0440d</t>
  </si>
  <si>
    <t>EXHIBIT_EMAIL_20250129_719_8c297659,EMAIL,2025-01-29T17:08:11-05:00,100.0,CRITICAL,Email: Already Finished Onyx Storm?,8c29765987e796cb2192e8cd02e9d3595f9984bea03fbc6826ca641c06ada09b</t>
  </si>
  <si>
    <t>EXHIBIT_EMAIL_20250214_720_6557e903,EMAIL,2025-02-14T17:19:05+00:00,100.0,CRITICAL,Email: Security alert,6557e903c63522d1fa3d0c66d27a5377fbf095124770096dff875bce7971b671</t>
  </si>
  <si>
    <t>EXHIBIT_EMAIL_20241220_721_50cff652,EMAIL,2024-12-20T18:16:10+00:00,100.0,CRITICAL,Email: 🚀 What’s new in OpenPhone: 2024 end of year recap!,50cff652d8cfd76736595a43f70570729267b2ee50f4a0e9264c4286c07bdc43</t>
  </si>
  <si>
    <t>EXHIBIT_EMAIL_20241221_722_74ee2594,EMAIL,2024-12-21T23:22:38+00:00,100.0,CRITICAL,Email: SJ PLACED - 🎅 Christmas Special: 40% OFF on All Plans! 🎁,74ee2594405b001101dca9ee2a769fb5226eb7ffa832be2591c6345c2d831ee6</t>
  </si>
  <si>
    <t>EXHIBIT_EMAIL_20241218_723_6e4f5315,EMAIL,2024-12-18T09:44:34-06:00,100.0,CRITICAL,Email: Comfy holiday PJs from $18 are here 😊,6e4f531527157bdc7ac7c883d42ff30a383d47eff8cefdbf696c7dd1820247d4</t>
  </si>
  <si>
    <t>EXHIBIT_EMAIL_20241211_724_6b6db9d4,EMAIL,2024-12-11T16:20:43-06:00,100.0,CRITICAL,Email: The spirit of saving is here 🎄,6b6db9d45df96970eee61004e429c3efc9ec24c4226ee0e8ff0b517807b644a0</t>
  </si>
  <si>
    <t>EXHIBIT_EMAIL_20241218_725_29825313,EMAIL,2024-12-18T06:31:08+01:00,100.0,CRITICAL,Email: You have received 5 free spins,298253135aec67854e5bccf265d9d9206ba35afda74121987aea0914852e4261</t>
  </si>
  <si>
    <t>EXHIBIT_EMAIL_20241221_726_57520f3b,EMAIL,2024-12-21T09:09:03-05:00,100.0,CRITICAL,Email: Top 10 Gifts to Pick Up Today 🎁,57520f3b9d7b7f4fca095b64a59c29b53b112c56d48fdc05d44694475e552767</t>
  </si>
  <si>
    <t>EXHIBIT_EMAIL_20250121_727_cb66df99,EMAIL,2025-01-21T09:35:33-06:00,100.0,CRITICAL,Email: Rollback savings on grocery 🛒🥫,cb66df99e3d8052fc67491a813b39083c0dd9eed53d2d10d5d83a5a53f1709c4</t>
  </si>
  <si>
    <t>EXHIBIT_EMAIL_20241219_728_e023ae1c,EMAIL,2024-12-19T09:29:03-06:00,100.0,CRITICAL,Email: Get a top-rated stay when you access Member Prices,e023ae1c740d3eca89284ef75988bb569e0202bd4a7a32d604aed8a57c831b07</t>
  </si>
  <si>
    <t>EXHIBIT_EMAIL_20241219_729_8f5b2319,EMAIL,2024-12-19T15:29:55+00:00,100.0,CRITICAL,Email: Regarding your account: Don't forget about your Dropbox files,8f5b2319212ee7bd1fe1f1bad8e7171a50ee20eb24a1a3631c25809711bcccc4</t>
  </si>
  <si>
    <t>EXHIBIT_EMAIL_20241223_730_9f304a0e,EMAIL,2024-12-23T05:43:53-03:00,100.0,CRITICAL,"Email: C W shared the folder ""DCIM"" with you",9f304a0e5e38014e41c375134772c2a3b4fa02e1d05c0ab2a6398ae63b393a6e</t>
  </si>
  <si>
    <t>EXHIBIT_EMAIL_20241215_731_526f0554,EMAIL,2024-12-15T09:19:32-06:00,100.0,CRITICAL,Email: Holiday party prep at low prices 🥂,526f0554ef98f44292783f5682ad364859cf087578c2ab773dcf717f8556f1de</t>
  </si>
  <si>
    <t>EXHIBIT_EMAIL_20241224_732_e9109ae3,EMAIL,2024-12-24T17:08:34-05:00,100.0,CRITICAL,Email: Warm Holiday Wishes,e9109ae37f60cbd704d145fedeb3414a30cfbc1daebaf14f602e30cd621ff2c5</t>
  </si>
  <si>
    <t>EXHIBIT_EMAIL_20241216_733_c1de12f8,EMAIL,2024-12-16T12:07:48+00:00,100.0,CRITICAL,Email: BIG NEWS! It’s time to BOGO!,c1de12f82ff99d7d7af1c560f344d45fe0a02ade0b40c913db0a20b7a25a0f4a</t>
  </si>
  <si>
    <t>EXHIBIT_EMAIL_20241210_734_5e71debb,EMAIL,2024-12-10T15:41:03-06:00,100.0,CRITICAL,Email: Let's get your site ready to go.,5e71debb3b7f39586ddeff9ad2b324e97fffe237a0e0502b135748be9df4197b</t>
  </si>
  <si>
    <t>EXHIBIT_EMAIL_20241228_735_ec17ee55,EMAIL,2024-12-28T01:43:24+01:00,100.0,CRITICAL,"Email: vroofn, you have free spins on The Slotfather: Book of Wins - Hold &amp; Win! 🔪",ec17ee55f2d840cab182452749b01521964bba2b2ca21fcc4dae0fcc52dc7199</t>
  </si>
  <si>
    <t>EXHIBIT_EMAIL_20241221_736_d0585111,EMAIL,2024-12-21T06:00:07+00:00,100.0,CRITICAL,"Email: vroofn, Deposit CAD 5, Get 77 Free Spins! 🎁",d05851113964aba76b11e95afcd84d50c6164042aeb9e394e38f87e7253fbdc9</t>
  </si>
  <si>
    <t>EXHIBIT_EMAIL_20241208_737_72ee826f,EMAIL,2024-12-08T21:24:13+00:00,100.0,CRITICAL,Email: Someone added you as their recovery email,72ee826f341606f0943d64203f4a5ea71a5efa67c98e319fe889268923cb3c47</t>
  </si>
  <si>
    <t>EXHIBIT_EMAIL_20250129_738_951677e6,EMAIL,2025-01-29T10:21:55+00:00,100.0,CRITICAL,Email: 4 Bathroom Makeovers in 50 Square Feet or Less | 8 Color Trends From Maison &amp; Objet,951677e67d095c6f94332b77e06f6f381db90de889eb53f4382b320dfb2ff860</t>
  </si>
  <si>
    <t>EXHIBIT_EMAIL_20241209_739_ca697995,EMAIL,2024-12-09T09:08:51+00:00,100.0,CRITICAL,Email: PLaCED - welcome to OpenPhone!,ca69799598bb1505658996cb150faeffcc75b0e6023f1bc4a479c798232be6d5</t>
  </si>
  <si>
    <t>EXHIBIT_EMAIL_20241209_740_4f025074,EMAIL,2024-12-09T01:29:22+00:00,100.0,CRITICAL,Email: Your cart item: now 30% OFF!,4f02507407b0f7e2f33ed48977152063e8203092f81b4caee60c5f8eeee16b9a</t>
  </si>
  <si>
    <t>EXHIBIT_EMAIL_20241208_741_b56df9db,EMAIL,2024-12-08T06:05:01+00:00,100.0,CRITICAL,Email: Welcome to Financeit! Important information.,b56df9dbb3c1983407d4c6884b43b8323a98f61fed88d4f74ed1a7f4203f9a9e</t>
  </si>
  <si>
    <t>EXHIBIT_EMAIL_20241213_742_d18b399c,EMAIL,2024-12-13T11:01:07+00:00,100.0,CRITICAL,Email: Did you know? We can design it for you,d18b399cc0e657905f505b9e1f47874c7256a5614bc589e4aa38aeb1b392b48e</t>
  </si>
  <si>
    <t>EXHIBIT_EMAIL_20241209_743_0100937d,EMAIL,2024-12-09T12:12:42-06:00,100.0,CRITICAL,"Email: Beach now, bill later",0100937d1ff094d1543fc72e2eb7301dec82b66ee59c415ab7a259f18c93af11</t>
  </si>
  <si>
    <t>EXHIBIT_EMAIL_20241210_744_ed5ce094,EMAIL,2024-12-10T16:08:02+00:00,100.0,CRITICAL,Email: 39 Weeks Pregnant: Fat Deposits,ed5ce094ecd98e947c61ed9d73574ce62dba04ee2f1190bd79605666e03a5b7d</t>
  </si>
  <si>
    <t>EXHIBIT_EMAIL_20241211_745_70595157,EMAIL,2024-12-11T04:30:12+00:00,100.0,CRITICAL,"Email: vroofn, play with a 100% Bonus + 50 Free Spins! 💸",70595157dd31541a9dc8462b9936918d308c1f096010958b44243688199d546e</t>
  </si>
  <si>
    <t>EXHIBIT_EMAIL_20250129_746_4aae3a32,EMAIL,2025-01-29T07:01:10-05:00,100.0,CRITICAL,Email: You’re in good company with these Mailchimp success stories,4aae3a325959cb723fe17b02dd5829e30ea12182772fb48a6fedfcd72c3cdbe9</t>
  </si>
  <si>
    <t>EXHIBIT_EMAIL_20241228_747_a4aca1d2,EMAIL,2024-12-28T03:51:29+00:00,100.0,CRITICAL,Email: Security alert for placed.sj@gmail.com,a4aca1d2408f9dcb1ef2d9d9c9144dcf2cab84a85dbb44b566b2a7ee6b3416e3</t>
  </si>
  <si>
    <t>EXHIBIT_EMAIL_20241220_748_f6ad5785,EMAIL,2024-12-20T22:16:08+00:00,100.0,CRITICAL,Email: Updated Terms of Use,f6ad5785dc464c3eeea20ed6b27390bba730634d331c062c0aaf9d8de9efbdbc</t>
  </si>
  <si>
    <t>EXHIBIT_EMAIL_20241209_749_1d43e3f6,EMAIL,2024-12-09T09:55:47-06:00,100.0,CRITICAL,Email: Magical Deals ✨ Grab up to 40% off now!,1d43e3f623d8b82dc8110b40f1df4db81706c8af04a8210ce4388e698a93565d</t>
  </si>
  <si>
    <t>EXHIBIT_EMAIL_20250112_750_9896785b,EMAIL,2025-01-12T10:46:26+00:00,100.0,CRITICAL,Email: 10 Kitchen Remodeling Trends for 2025 | 4 Warm Bathrooms With Wood Vanities,9896785b9f5eed275a83fdfe562c81eba2c89705e5c6fc9ef76c758774741e67</t>
  </si>
  <si>
    <t>EXHIBIT_EMAIL_20241223_751_18bde0fb,EMAIL,2024-12-23T15:31:09+00:00,100.0,CRITICAL,Email: Have you seen these new features?,18bde0fbb0a871936c4cb051bbfdaf650a7fc72c50697c4a64de80fe6f5af861</t>
  </si>
  <si>
    <t>EXHIBIT_EMAIL_20241221_752_5c397265,EMAIL,2024-12-21T09:46:32-06:00,100.0,CRITICAL,Email: Hurry! Check off all the toys on their list 🧸,5c397265f8e3525f7070fbbb8e5fb52d058af3e9ae795064c9111a2aa197c6b6</t>
  </si>
  <si>
    <t>EXHIBIT_EMAIL_20241223_753_6d41c69c,EMAIL,2024-12-23T05:59:59+01:00,100.0,CRITICAL,Email: As-tu entendu parler de notre semaine de soldes d’après Noël?,6d41c69c05f49e495bf1a99e4818a495a52480a7b9fd536f0eadf20aefe42333</t>
  </si>
  <si>
    <t>EXHIBIT_EMAIL_20241215_754_1a8685b6,EMAIL,2024-12-15T23:36:16+00:00,100.0,CRITICAL,Email: PLaCED sent you a message,1a8685b62bb62dc199a32a87d35c7bff4dcb0e640c51a18b65a0d947dd57230d</t>
  </si>
  <si>
    <t>EXHIBIT_EMAIL_20241209_755_419ff29f,EMAIL,2024-12-09T18:33:28+00:00,100.0,CRITICAL,Email: Unwrap 600 bonus points by completing the Holiday Challenge,419ff29f6a52fd78615003c280544ea7c164fab3ba321a294ae1a7bc47dafbf7</t>
  </si>
  <si>
    <t>EXHIBIT_EMAIL_20241217_756_d0d29651,EMAIL,2024-12-17T10:23:58-06:00,100.0,CRITICAL,Email: UP TO 40% OFF 💫 Magical deals on toys &amp; more!,d0d296514d4c8c055aa7d7e962a60658928e8bf4e0a5e3c94cbe278c17ecdfaa</t>
  </si>
  <si>
    <t>EXHIBIT_EMAIL_20241222_757_df843aa8,EMAIL,2024-12-22T17:47:32-06:00,100.0,CRITICAL,Email: BOXING WEEK DEALS START AT 10 PM EST ⌚,df843aa841822a44ffa65afe0d9be64672a2413c4be65bc1f37929a869b7c713</t>
  </si>
  <si>
    <t>EXHIBIT_EMAIL_20241211_758_d8606a97,EMAIL,2024-12-11T12:11:19+00:00,100.0,CRITICAL,Email: These Black Friday deals are back: Up to 50% off holiday cards &amp; wall calendars,d8606a97d2ffc13711a537aded9fd71ecfeac71964d6b751d56f1ea1e7331cc9</t>
  </si>
  <si>
    <t>EXHIBIT_EMAIL_20241226_759_1fd9f395,EMAIL,2024-12-26T06:00:02+00:00,100.0,CRITICAL,"Email: vroofn, you have free spins on Christmas Reach! 🎄",1fd9f3955bdcc2eb045da5599c63499072732a0a3ba27547f9cc7ca727d0be88</t>
  </si>
  <si>
    <t>EXHIBIT_EMAIL_20241212_760_18b0f096,EMAIL,2024-12-12T13:59:36-06:00,100.0,CRITICAL,Email: Holiday Deals + Surprises In-store! 🎁,18b0f09668ebfb12e444c0c79384df950c9aab1acf51dbfbb0d3566e14517c5b</t>
  </si>
  <si>
    <t>EXHIBIT_EMAIL_20241219_761_3e3673ba,EMAIL,2024-12-19T09:56:07-06:00,100.0,CRITICAL,Email: Last-minute gifts at low prices you'll love 🎁,3e3673bab59922d52cf0f08feed77e81ac64b7bb1717c4bc15efda9bb82e6bc5</t>
  </si>
  <si>
    <t>EXHIBIT_EMAIL_20241220_762_b0146b2f,EMAIL,2024-12-20T16:58:48+00:00,100.0,CRITICAL,"Email: Your 3 months of Spotify Premium for  $12.69 are waiting. $12.69/mo</t>
  </si>
  <si>
    <t>after. Cancel anytime.",b0146b2fb7fb48eac38d59ea66c849e4a5f9583381aec3b12b588b3af17d1b93</t>
  </si>
  <si>
    <t>EXHIBIT_EMAIL_20241211_763_62722a33,EMAIL,2024-12-11T01:25:52+00:00,100.0,CRITICAL,Email: 30% off your next 3 orders - just for you 👀,62722a33445d707c742b6583f4f6a7f03d48519fc38397e514abf2d4e6a15840</t>
  </si>
  <si>
    <t>EXHIBIT_EMAIL_20241220_764_9a6b44ef,EMAIL,2024-12-20T19:44:40+00:00,100.0,CRITICAL,"Email: Grab 20 Spins to play this player fave, no deposit required.",9a6b44efbb86358c30faeba10a5047856b8b0e2178bb380e32f80910f26c0ebb</t>
  </si>
  <si>
    <t>EXHIBIT_EMAIL_20250113_765_2cfddbc9,EMAIL,2025-01-13T18:35:47-05:00,100.0,CRITICAL,Email: What you need to know to about your audience,2cfddbc968f056a338694d13241a362a0ebb4896d16d936812b247cce22db835</t>
  </si>
  <si>
    <t>EXHIBIT_EMAIL_20250108_766_359cc7fc,EMAIL,2025-01-08T06:19:49+01:00,100.0,CRITICAL,"Email: vroofn, you have free spins on Collapsed Castle ! 🏰",359cc7fc476af8995f68886ac9750f54376f2c9ee2719f2f54d28ef94f932b12</t>
  </si>
  <si>
    <t>EXHIBIT_EMAIL_20241224_767_03277a95,EMAIL,2024-12-24T16:07:19+00:00,100.0,CRITICAL,Email: 41 Weeks Pregnant: The Truth About Newborn Poop,03277a956c4363ca5f1de2b7b6d3f9ec7b8404b09a4bbc6257fad418af8ec26a</t>
  </si>
  <si>
    <t>EXHIBIT_EMAIL_20250114_768_bba5f518,EMAIL,2025-01-14T16:44:37+00:00,100.0,CRITICAL,Email: Your 4-Week-Old Baby: 11 Brilliant IKEA Hacks for Nurseries,bba5f518d9b2d074f5eed8e640e05f5762705d6b7ffe31ad1a09f6125157b975</t>
  </si>
  <si>
    <t>EXHIBIT_EMAIL_20241214_769_dec94005,EMAIL,2024-12-14T17:47:38+00:00,100.0,CRITICAL,Email: Place 1 order to unlock 30% off,dec940055a74c34425bd2bf773055f683cb460cad097eb60097d79002332887b</t>
  </si>
  <si>
    <t>EXHIBIT_EMAIL_20241216_770_592c0938,EMAIL,2024-12-16T03:14:12-06:00,100.0,CRITICAL,Email: Complete your order today: Plus a 25% coupon code.,592c0938ada494f1b5809cd373168fe84b1b3edfcbfa46609e498c366e571e04</t>
  </si>
  <si>
    <t>EXHIBIT_EMAIL_20241212_771_3a6806a4,EMAIL,2024-12-12T06:22:00+00:00,100.0,CRITICAL,Email: SJ PLACED - 12 visitors love Oasis Property Experts,3a6806a447ed7e0e368d248184b5180044bfdc7b397bfb3eb336d165766da47c</t>
  </si>
  <si>
    <t>EXHIBIT_EMAIL_20241223_772_26d554df,EMAIL,2024-12-23T18:17:08-08:00,100.0,CRITICAL,"Email: charliewharlie369, catch up on moments you've missed",26d554dfda7513f716a697f656a680141edf931ef5081a16e5858133bc880088</t>
  </si>
  <si>
    <t>EXHIBIT_EMAIL_20241210_773_4b4b87b4,EMAIL,2024-12-10T14:03:26-05:00,100.0,CRITICAL,Email: Effective strategies to cut operational costs,4b4b87b4b08a555efd4851c00eeb6c051fff1c8e80fd0a5cae0c51480f6420c7</t>
  </si>
  <si>
    <t>EXHIBIT_EMAIL_20241218_774_6d83329c,EMAIL,2024-12-18T05:09:11+01:00,100.0,CRITICAL,"Email: vroofn, you have free spins on Getaway Gangsters! 🔪",6d83329ce0c8991e1ba02f8d2d41d3be4af4c4209c42edb43149e737705ca0a5</t>
  </si>
  <si>
    <t>EXHIBIT_EMAIL_20241221_775_36f16d80,EMAIL,2024-12-21T10:10:00+00:00,100.0,CRITICAL,Email: Your guide to a cozy holiday at home,36f16d8056d6ffee2d1891af509f484f738280b249365fa7dbdca5f2e6267250</t>
  </si>
  <si>
    <t>EXHIBIT_EMAIL_20250125_776_b7cbbfd0,EMAIL,2025-01-25T11:17:23+00:00,100.0,CRITICAL,Email: Get back to business for $1,b7cbbfd09855b572d0ea3d10529cdbfdaacb683d48528de6bed31a0b9d28908d</t>
  </si>
  <si>
    <t>EXHIBIT_EMAIL_20250106_777_54a5b3c7,EMAIL,2025-01-06T15:24:56+00:00,100.0,CRITICAL,"Email: It’s the ✨BUY MORE, SAVE MORE✨ event",54a5b3c7242e61000a26e91d9b9b65a6e0f7b8b7f7477ec04e4719d1a1722f93</t>
  </si>
  <si>
    <t>EXHIBIT_EMAIL_20241220_778_c57b3beb,EMAIL,2024-12-20T23:42:18+00:00,100.0,CRITICAL,Email: Your phone number(s) will be released soon,c57b3beb3b09b953ba74e347dce3a1815bab44089495bd304a4d3188cad3c5dd</t>
  </si>
  <si>
    <t>EXHIBIT_EMAIL_20241224_779_b718ee06,EMAIL,2024-12-24T05:09:04+01:00,100.0,CRITICAL,"Email: vroofn, you have free spins on Amazing Catch Power Combo!🐟",b718ee06f1757850b2f6483570c496243c1366476793c20b41485b3b174f6e95</t>
  </si>
  <si>
    <t>EXHIBIT_EMAIL_20250206_780_aef96d4d,EMAIL,2025-02-06T15:24:13+00:00,100.0,CRITICAL,Email: Stacey's family order from Costco is confirmed for February 6,aef96d4d5e145db13bc4346b317ea82092fd60fb57d788275daca27c75998547</t>
  </si>
  <si>
    <t>EXHIBIT_EMAIL_20241220_781_48d0369d,EMAIL,2024-12-20T02:01:41+00:00,100.0,CRITICAL,Email: Save on these restaurant dishes.,48d0369d0abc608371f2b7628f1afde8cb3ba9d289f5c83076d929cf58799104</t>
  </si>
  <si>
    <t>EXHIBIT_EMAIL_20250112_782_e9878145,EMAIL,2025-01-12T09:37:25-06:00,100.0,CRITICAL,Email: CLEARANCE prices you can't miss 🫵,e98781453654f11f8046350cdf17f02fe53858cf5bd457d6c7a1b94ec24ff283</t>
  </si>
  <si>
    <t>EXHIBIT_EMAIL_20250211_783_7b2718fb,EMAIL,2025-02-11T12:03:13+00:00,100.0,CRITICAL,Email: 🚨Footlong time is almost over 🚨,7b2718fbecca64ff99bd8eea74c6a26d8941061251a2bbf0a4c514fbe55b228a</t>
  </si>
  <si>
    <t>EXHIBIT_EMAIL_20250123_784_49e1375d,EMAIL,2025-01-23T19:01:31-08:00,100.0,CRITICAL,"Email: charliewharlie369, see amclau59, jbu71 and more in your feed",49e1375d1af4659db045a2cd44706e092abb5fc24c1e7b3b0c7fed1f984d1a34</t>
  </si>
  <si>
    <t>EXHIBIT_EMAIL_20241211_785_c829d132,EMAIL,2024-12-11T23:52:59+00:00,100.0,CRITICAL,Email: Step into the fiery realm of Dragon Winds!,c829d13233b851b1720614633c87a595046b28e1e7d9beb5bb6f960f85b59ef4</t>
  </si>
  <si>
    <t>EXHIBIT_EMAIL_20241217_786_2469f254,EMAIL,2024-12-17T12:21:11+00:00,100.0,CRITICAL,Email: Up to 40% off wall calendars + an EXTRA 20% off your order,2469f25479951eabd0edeffb125acd34d665ff67c9658b1e4415762ba5df603f</t>
  </si>
  <si>
    <t>EXHIBIT_EMAIL_20241224_787_7f2e3dbf,EMAIL,2024-12-24T14:13:30-05:00,100.0,CRITICAL,Email: KPIs: How to set the right metrics for your business,7f2e3dbfeaa99fde5c1517f9719bca84863b684a0a6f2f82afce5d77d8e51fb5</t>
  </si>
  <si>
    <t>EXHIBIT_EMAIL_20241209_788_11384173,EMAIL,2024-12-09T23:24:09-04:00,100.0,CRITICAL,Email: ,113841734e221460359646be106bdd77baa83db607556e0f9b642496c5d985a0</t>
  </si>
  <si>
    <t>EXHIBIT_EMAIL_20241209_789_152d1eae,EMAIL,2024-12-09T13:19:19+00:00,100.0,CRITICAL,Email: CUPA Pizarras – Request of information about THERMOSLATE®,152d1eaeb3d699f9805c7a8e5326e442856e132a5326e0b24c2925db1b8336d7</t>
  </si>
  <si>
    <t>EXHIBIT_EMAIL_20250109_790_c8309fcc,EMAIL,2025-01-09T02:46:07+00:00,100.0,CRITICAL,Email: How to start your first Printful order,c8309fcce0ec26a625267f1a50a9cd755cd34eedb27ef53670c53e1e507b88ae</t>
  </si>
  <si>
    <t>EXHIBIT_EMAIL_20241223_791_90c74e45,EMAIL,2024-12-23T02:16:05-06:00,100.0,CRITICAL,Email: Your cart's rolling away. Complete your order today.,90c74e45ad2df0a656c6d7f5d2f10d76bc0c65c65dae4c9eb4b1e44ba50e4901</t>
  </si>
  <si>
    <t>EXHIBIT_EMAIL_20241222_792_648bd151,EMAIL,2024-12-22T23:22:14+00:00,100.0,CRITICAL,Email: Updated Terms of Use,648bd151b8098874dfd2d03566022cf71ae4504d98f4a623513d7e8ef2feb045</t>
  </si>
  <si>
    <t>EXHIBIT_EMAIL_20250106_793_a8baef90,EMAIL,2025-01-06T12:33:45-04:00,100.0,CRITICAL,Email: Invoice from Paul’s Roofing,a8baef9058b254d99b18310a57788bc4e4aa3217269a0464fcba2b2d23ee8ddd</t>
  </si>
  <si>
    <t>EXHIBIT_EMAIL_20241218_794_860a46f1,EMAIL,2024-12-18T20:03:40+00:00,100.0,CRITICAL,"Email: 39 Weeks, 5 Days Pregnant",860a46f1c7959d6d767ea0da7bb06e845843726e45d5e7320054cb4c44a9381b</t>
  </si>
  <si>
    <t>EXHIBIT_EMAIL_20241213_795_91b28893,EMAIL,2024-12-13T11:46:54+00:00,100.0,CRITICAL,Email: Security alert for placed.sj@gmail.com,91b288934267066c4b4213a87e13ce78ecf3148b285037d096c283452329d334</t>
  </si>
  <si>
    <t>EXHIBIT_EMAIL_20241222_796_44c52db0,EMAIL,2024-12-22T03:23:19+00:00,100.0,CRITICAL,Email: Why This *One* Formula Ingredient Matters,44c52db0642176115345cf6ebab5c4d567b8c46236e92b32ee5bed5db997ac5c</t>
  </si>
  <si>
    <t>EXHIBIT_EMAIL_20241224_797_b0b63760,EMAIL,2024-12-24T23:42:20+00:00,100.0,CRITICAL,Email: Last chance to port your number(s),b0b63760a27dad47a95688f49e03b00a5df9cd0ac9dba354568bb1a852cc2ab9</t>
  </si>
  <si>
    <t>EXHIBIT_EMAIL_20241225_798_d3f577e9,EMAIL,2024-12-25T00:42:16-08:00,100.0,CRITICAL,Email: Read this one!!!!,d3f577e9b2ee71a295b4ea0ad2e8ad88981fb693825a2afad702558e471bca8a</t>
  </si>
  <si>
    <t>EXHIBIT_EMAIL_20250213_799_21209536,EMAIL,2025-02-13T14:04:47-04:00,100.0,CRITICAL,Email: Hey,212095367b58b297abbf49c374dbc1ae5f6d8f57d264e19bf3cac26f89690f4a</t>
  </si>
  <si>
    <t>EXHIBIT_EMAIL_20241224_800_71246606,EMAIL,2024-12-24T17:00:04+00:00,100.0,CRITICAL,Email: 9 steps to transform your customer service experience,7124660680ccc32cbd5f922215092a87ea24deead1b1f97211e328612e900c14</t>
  </si>
  <si>
    <t>EXHIBIT_EMAIL_20241210_801_77310e1d,EMAIL,2024-12-10T20:27:25+00:00,100.0,CRITICAL,Email: 30% off is waiting for you at checkout,77310e1d5aca81255ee077a4a18a8cb37b44e1331920aba0d5685eb4543d1ff6</t>
  </si>
  <si>
    <t>EXHIBIT_EMAIL_20241215_802_6f06d701,EMAIL,2024-12-15T01:19:16+00:00,100.0,CRITICAL,Email: Your own creative studio at CapCut,6f06d701cc70ed678fe00bb6f51e79eefa8e79341dada9ba2d70f1d251d2f97a</t>
  </si>
  <si>
    <t>EXHIBIT_EMAIL_20241218_803_43da1223,EMAIL,2024-12-18T14:40:44+00:00,100.0,CRITICAL,Email: Our Christmas Sale is waiting,43da1223593d6beb05a25cc1389343b880b4163ca872f0b3efa4b25c2d41cc64</t>
  </si>
  <si>
    <t>EXHIBIT_EMAIL_20241207_804_5fd4a54a,EMAIL,2024-12-07T15:13:00-04:00,100.0,CRITICAL,Email: Hello,5fd4a54ad497bb1c180e7d5605f9f7ff4e70244605546ab4b0f2f7b7a3008ede</t>
  </si>
  <si>
    <t>EXHIBIT_EMAIL_20241208_805_97e9d7d5,EMAIL,2024-12-08T07:15:21+01:00,100.0,CRITICAL,Email: You have received 7 free spins,97e9d7d580cc865d06af64b133b5f35b0c68e7a8ba2a6a02e3935d09d19a81f7</t>
  </si>
  <si>
    <t>EXHIBIT_EMAIL_20241228_806_7ee4c739,EMAIL,2024-12-28T03:50:12+00:00,100.0,CRITICAL,Email: Security alert for lunacraigcep@gmail.com,7ee4c739c270bf50c43ebf0649b7301e683f886f394218d8efd4922786b89c79</t>
  </si>
  <si>
    <t>EXHIBIT_EMAIL_20250209_807_67be3c3d,EMAIL,2025-02-09T06:23:58+01:00,100.0,CRITICAL,"Email: vroofn, you have free spins on Collapsed Castle ! 🏰",67be3c3dbc15d1182e89d76e952e9a09cf5fa7399ae639b5fcbd77f2c7df95f6</t>
  </si>
  <si>
    <t>EXHIBIT_EMAIL_20241210_808_21f2ec29,EMAIL,2024-12-10T13:59:57+01:00,100.0,CRITICAL,Email: DÉPÊCHE-TOI : 40 % de rabais pour quelques heures seulement,21f2ec29d4ba31139ba834f9bc46e5b10363407caa8d272b616548c49938013a</t>
  </si>
  <si>
    <t>EXHIBIT_EMAIL_20250217_809_8fdd052f,EMAIL,2025-02-17T10:08:57+00:00,100.0,CRITICAL,Email: Presidents’ Day Sale: still time to save!,8fdd052f97d715a534800ba657536695eb9f342cd070e04b8097e7b81ddce690</t>
  </si>
  <si>
    <t>EXHIBIT_EMAIL_20241218_810_020047f5,EMAIL,2024-12-18T15:26:44+00:00,100.0,CRITICAL,Email: Back up your Amazon Business account now,020047f538cea77c45167f9223ac1dac20c3ee609c8ea8b328f8aab09856f405</t>
  </si>
  <si>
    <t>EXHIBIT_EMAIL_20241211_811_f8ad50f7,EMAIL,2024-12-11T01:38:37+01:00,100.0,CRITICAL,"Email: vroofn, you have free spins on Mining Pots of Gold! 💰",f8ad50f703b60870ca58f78283dc62a572ed9c9562a4dd206da70d7d7dd0bbdf</t>
  </si>
  <si>
    <t>EXHIBIT_EMAIL_20241222_812_daa5285d,EMAIL,2024-12-22T10:58:23+00:00,100.0,CRITICAL,Email: Pros’ Favorite Time-Saving Practices | The 10 Most Popular New Bedrooms of 2024,daa5285d8b0a669bb50d170269a018238e519d07fd6af48bace97ac8f247b319</t>
  </si>
  <si>
    <t>EXHIBIT_EMAIL_20241219_813_ce9edc64,EMAIL,2024-12-19T15:04:13+00:00,100.0,CRITICAL,Email: 🎉 Introducing Shed Suite Marketplace,ce9edc64820eb32c8704b6e4efeff654735dabb4065b8663992048b2b4cb75fe</t>
  </si>
  <si>
    <t>EXHIBIT_EMAIL_20241220_814_9091a87b,EMAIL,2024-12-20T10:19:53-06:00,100.0,CRITICAL,Email: Up to 40% off Magical Deals won't last forever ⏰,9091a87bc6fc931e9ef897f6aa03aacc31eb37f02ad4b0d2d7a6a9a2ed8b65eb</t>
  </si>
  <si>
    <t>EXHIBIT_EMAIL_20241208_815_bc909c54,EMAIL,2024-12-08T12:21:46+00:00,100.0,CRITICAL,Email: Build your dream business with Shopify,bc909c54e57c361e763b5a4eccdf7ad107c0ad52338617aa3da8fe472b6f3409</t>
  </si>
  <si>
    <t>EXHIBIT_EMAIL_20241229_816_e5dfee7a,EMAIL,2024-12-29T03:16:59+00:00,100.0,CRITICAL,Email: Security alert for placed.sj@gmail.com,e5dfee7a760ead588d6340950d055e3252bdc2ae9258db273ed5e99842b68b7c</t>
  </si>
  <si>
    <t>EXHIBIT_EMAIL_20241223_817_7737e5e8,EMAIL,2024-12-23T01:26:12-08:00,100.0,CRITICAL,Email: Photos,7737e5e810502866703fbe216e11a6520fe1cc5c1b7f6328c5c1baa170aef536</t>
  </si>
  <si>
    <t>EXHIBIT_EMAIL_20241212_818_23378a3c,EMAIL,2024-12-12T15:15:39+00:00,100.0,CRITICAL,Email: 🚨 Up to 25% off business staples 🚨,23378a3c6d0da7159fa5bde01535ad420a44faf5e08d87c605cd868105a1939e</t>
  </si>
  <si>
    <t>EXHIBIT_EMAIL_20241215_819_c08075d2,EMAIL,2024-12-15T23:06:05+00:00,100.0,CRITICAL,Email: Verify Email,c08075d2a6a39b681b865157090218a1221084dcae0bf641bc24d0d0e5d9a388</t>
  </si>
  <si>
    <t>EXHIBIT_EMAIL_20241217_820_6f86c71b,EMAIL,2024-12-17T12:05:51-06:00,100.0,CRITICAL,Email: Should you break up with Google?,6f86c71beefbda5acef30bd7f55e7e02e9f68d134e51c168cc99097b809b66d9</t>
  </si>
  <si>
    <t>EXHIBIT_EMAIL_20250109_821_15f47965,EMAIL,2025-01-09T09:46:09+00:00,100.0,CRITICAL,Email: Someone has switched your Alfred Camera to Viewer,15f47965584f78d917b994b11013fd9cb3ac312e4a4822518e04a8e6cff51ffa</t>
  </si>
  <si>
    <t>EXHIBIT_EMAIL_20250116_822_459e30b0,EMAIL,2025-01-16T02:23:54-06:00,100.0,CRITICAL,Email: Verification Method Deleted,459e30b06abf7f215d2d19841bda291a20f1424cbdc6c0e41ea7a43024df630a</t>
  </si>
  <si>
    <t>EXHIBIT_EMAIL_20250116_823_ae2b0ab1,EMAIL,2025-01-16T02:23:32-06:00,100.0,CRITICAL,Email: Verification Method Deleted,ae2b0ab18d57fa2af521322223d72b4092eb8911cdc9692031577a7fb1671962</t>
  </si>
  <si>
    <t>EXHIBIT_EMAIL_20241217_824_10544934,EMAIL,2024-12-17T10:14:00-06:00,100.0,CRITICAL,Email: Ready for a city escape?,105449341f21e7fead8196d58ed040d59bc905498136ad4ff2be71ca1a943250</t>
  </si>
  <si>
    <t>EXHIBIT_EMAIL_20250112_825_b42c2c7d,EMAIL,2025-01-12T00:50:30+00:00,100.0,CRITICAL,Email: Your DashPass membership is now paused,b42c2c7de2d2995fa677a7f64f632e25d37feef6cfc54c6068c5563130d9145d</t>
  </si>
  <si>
    <t>EXHIBIT_EMAIL_20241226_826_649fbc86,EMAIL,2024-12-26T09:43:15-06:00,100.0,CRITICAL,"Email: It's Boxing Day! Up to 45% off on toys, electronics &amp; more 📱",649fbc86d0c4be5f13f5601fdca84ec66a3cc6d87d0003547254ede2b67bc576</t>
  </si>
  <si>
    <t>EXHIBIT_EMAIL_20241218_827_1d953131,EMAIL,2024-12-18T02:04:09+00:00,100.0,CRITICAL,Email: Experience First-Class magic! ����,1d953131e8b0a4f720614dec5fd77a90b46c5438e3db57f2ca23b7682301dac1</t>
  </si>
  <si>
    <t>EXHIBIT_EMAIL_20241217_828_e590df74,EMAIL,2024-12-17T05:09:25+01:00,100.0,CRITICAL,"Email: vroofn, you have free spins on Getaway Gangsters! 🔪",e590df742744e3cb8c42564a8bff56b50d31bd57b8017223dea34bb9ff4bdb4c</t>
  </si>
  <si>
    <t>EXHIBIT_EMAIL_20241208_829_523aa41e,EMAIL,2024-12-08T10:54:57-06:00,100.0,CRITICAL,Email: Don't miss up to 40% off MAGICAL DEALS 🪄,523aa41e4eade5f810b6bad9e9dd6a0d2d8e31c61a6d3ab8717e5ee74bf1f35b</t>
  </si>
  <si>
    <t>EXHIBIT_EMAIL_20241216_830_71d8b37f,EMAIL,2024-12-16T17:47:40+00:00,100.0,CRITICAL,Email: You’re on your way to saving 30%,71d8b37fcee49feb704db5074a4ee7d3ba10c2c466ecf760ab0760df8d3f417f</t>
  </si>
  <si>
    <t>EXHIBIT_EMAIL_20241216_831_08c3ff97,EMAIL,2024-12-16T02:05:56+00:00,100.0,CRITICAL,Email: Get baby products using your pre-tax dollars 🥳 💸,08c3ff973d89e6e920dcef72554394fc606350e7ea4a4ef02a12676c7e8fe88b</t>
  </si>
  <si>
    <t>EXHIBIT_EMAIL_20241212_832_d3b9e534,EMAIL,2024-12-12T17:47:33+00:00,100.0,CRITICAL,Email: Order to unlock 30% off,d3b9e534f3cd0f524fd46d8928101a71780ac441ccd114449da546dfdc082f48</t>
  </si>
  <si>
    <t>EXHIBIT_EMAIL_20241216_833_a0409aac,EMAIL,2024-12-16T23:58:51+00:00,100.0,CRITICAL,Email: 30% off your next 3 orders - just for you 👀,a0409aacf90a2935c83fd0b734f0b0f05b1a8568286cd1cb8c3457673b86cd7b</t>
  </si>
  <si>
    <t>EXHIBIT_EMAIL_20241213_834_5971a002,EMAIL,2024-12-13T12:44:07+00:00,100.0,CRITICAL,Email: Final units remaining!,5971a002deeae891360b9bc4310eefa28a48849cc15598637161525754c2c331</t>
  </si>
  <si>
    <t>EXHIBIT_EMAIL_20241214_835_f82669b7,EMAIL,2024-12-14T14:04:47+00:00,100.0,CRITICAL,Email: ✨ Free stuff during pregnancy ✨  &amp; a granola bar recall,f82669b7ccb5ec30d661e35e80232f4b2211192f4bf05605bd3fd7452c4d1329</t>
  </si>
  <si>
    <t>EXHIBIT_EMAIL_20241224_836_33b9c5ee,EMAIL,2024-12-24T13:24:24+00:00,100.0,CRITICAL,"Email: A holiday treat for you, MVP!",33b9c5ee2330ea10cf44d49cd3fe4d1cc4e76fe503ed555b83893cd56c62f731</t>
  </si>
  <si>
    <t>EXHIBIT_EMAIL_20250101_837_29529825,EMAIL,2025-01-01T01:23:11+00:00,100.0,CRITICAL,Email: Security alert for placed.sj@gmail.com,295298257104cd3b105d06bb1c37d3806562d01b3f3c16311d3b571366040bcf</t>
  </si>
  <si>
    <t>EXHIBIT_EMAIL_20250202_838_0569af74,EMAIL,2025-02-02T02:12:03+00:00,100.0,CRITICAL,Email: All your grandparent names 🍭 &amp; a nap poll,0569af74350e28debe0f3f0726e95f6fd5bdabfa7950271284b6a15a73d19579</t>
  </si>
  <si>
    <t>EXHIBIT_EMAIL_20241220_839_0188a300,EMAIL,2024-12-20T12:02:19+00:00,100.0,CRITICAL,Email: We would never let you miss a BOGO!,0188a300069d61c1e25e1354246ddbd2a8c2e10dc374102b8a757056f76b59d6</t>
  </si>
  <si>
    <t>EXHIBIT_EMAIL_20250110_840_74af67f7,EMAIL,2025-01-10T01:02:04+00:00,100.0,CRITICAL,Email: I have a 40% off deal I think you’ll love,74af67f7dc329c26bfe32bc8386a58ef848ac5dc79c90f78983b85902e4be4e5</t>
  </si>
  <si>
    <t>EXHIBIT_EMAIL_20250202_841_fc1caa29,EMAIL,2025-02-02T09:40:56-06:00,100.0,CRITICAL,Email: Our brands 🤝 Your savings,fc1caa293719c74b87be1ec841016be45ec439a1cd3869038bb8e804ef2b2c81</t>
  </si>
  <si>
    <t>EXHIBIT_EMAIL_20250117_842_53c38eb5,EMAIL,2025-01-17T07:59:58+01:00,100.0,CRITICAL,"Email: Libère ton emploi du temps, les soldes d’hiver sont là",53c38eb511e9dd5b3388630ed242b20739f71b2d8d18abc22abe780fd3424004</t>
  </si>
  <si>
    <t>EXHIBIT_EMAIL_20241223_843_30027e2d,EMAIL,2024-12-23T10:59:52-06:00,100.0,CRITICAL,Email: Say hello to Boxing Week Deals — UP TO 45% OFF 💝,30027e2d447ae1c9cef90d18938dbb01ad095178b0e93395b020328caa0a8bb5</t>
  </si>
  <si>
    <t>EXHIBIT_EMAIL_20241218_844_9383b48b,EMAIL,2024-12-18T12:44:22+00:00,100.0,CRITICAL,Email: 🛒A message from your cart:,9383b48bbf5281851c2d45ec44ca704248bf5cbb4e58f35b928abe18080cbd86</t>
  </si>
  <si>
    <t>EXHIBIT_EMAIL_20241210_845_a0a052e6,EMAIL,2024-12-10T11:31:16-06:00,100.0,CRITICAL,"Email: Up to 40% off Magical Deals 🔮 Plus, get $15 OFF eligible items!",a0a052e6607890d8cf18414e2b246ee6bad44ec9e0150cebd04576f078f359bb</t>
  </si>
  <si>
    <t>EXHIBIT_EMAIL_20241215_846_f8807ccb,EMAIL,2024-12-15T10:10:51+00:00,100.0,CRITICAL,Email: 5 Proven Tips for Turning Leads Into Customers | The 10 Most Popular New Bathrooms of 2024,f8807ccbd98999f8ffbec08b2d41872f73aa726391adb104bd1894b1c9e7c4ad</t>
  </si>
  <si>
    <t>EXHIBIT_EMAIL_20241209_847_d1873597,EMAIL,2024-12-09T00:39:31+00:00,100.0,CRITICAL,Email: Your affiliate account is pending,d187359783b75fca8d575a2ad7f08fb12913638be236e0b36301c456d2a0b2bf</t>
  </si>
  <si>
    <t>EXHIBIT_EMAIL_20250101_848_a00b51ca,EMAIL,2025-01-01T12:45:19+00:00,100.0,CRITICAL,Email: Your cart is calling:,a00b51caa5d9dcc61364e99e2fe09c937fa86e4a868e8d0e378b328e60ed3f55</t>
  </si>
  <si>
    <t>EXHIBIT_EMAIL_20241213_849_222e6215,EMAIL,2024-12-13T08:30:23+00:00,100.0,CRITICAL,Email: 5 Effective Ways to Keep Clients Happy | The 10 Most Popular New Kitchens of 2024,222e6215f67eb34a3906cb604c52eef513fe38d87b1f8e02a5b268bb04e8023d</t>
  </si>
  <si>
    <t>EXHIBIT_EMAIL_20250113_850_d3ffbebc,EMAIL,2025-01-13T08:56:16+00:00,100.0,CRITICAL,Email: Welcome gift inside,d3ffbebc0b7bbe32047ebc37cc6fe4d02d9174fe3543fb7fc67de6e61f4541c6</t>
  </si>
  <si>
    <t>EXHIBIT_EMAIL_20250213_851_80daebce,EMAIL,2025-02-13T13:15:17-06:00,100.0,CRITICAL,Email: Adults only resorts at their absolute best,80daebcec528a942502cb6f096bfee5842b66b020fb4e62624b9b82141f16c0f</t>
  </si>
  <si>
    <t>EXHIBIT_EMAIL_20241218_852_d840661b,EMAIL,2024-12-18T23:08:40+00:00,100.0,CRITICAL,Email: ICYMI: Top diapers &amp; weekly poll highlights,d840661b9c0b62dd534f28edc2313bc929a6e21d27f0d50ffd3ecee628873aea</t>
  </si>
  <si>
    <t>EXHIBIT_EMAIL_20250114_853_6728f260,EMAIL,2025-01-14T01:46:37+00:00,100.0,CRITICAL,Email: Your Purchases Have Returned As Credits,6728f260278f44da98fe22966eec5e515b9933fe197dcf3cbf56dbf1dc6516ea</t>
  </si>
  <si>
    <t>EXHIBIT_EMAIL_20250204_854_df6f8b2a,EMAIL,2025-02-04T12:05:36+00:00,100.0,CRITICAL,Email: Love is in the air.,df6f8b2aca50955406b5636dd9ff8a0fcffbbcc4aa54d112ddf83351358662c2</t>
  </si>
  <si>
    <t>EXHIBIT_EMAIL_20241218_855_0aad8973,EMAIL,2024-12-18T11:15:21+00:00,100.0,CRITICAL,Email: A year on IFTTT,0aad89739a46c8d5b22a87f8d3159d8ea6af3b5108b641251122073658dcfb32</t>
  </si>
  <si>
    <t>EXHIBIT_EMAIL_20241224_856_eefdd300,EMAIL,2024-12-24T20:02:29+00:00,100.0,CRITICAL,Email: 50% off is waiting for you at checkout,eefdd300ec85d6240f7a7813f89e5e244d3f96945be92f2124f8e4694687f0b9</t>
  </si>
  <si>
    <t>EXHIBIT_EMAIL_20241224_857_87f6e3e6,EMAIL,2024-12-24T09:21:36-06:00,100.0,CRITICAL,Email: Don’t miss $10 off your next online order ❗,87f6e3e62e000a5f30909007e8e8fed591c7c44a6dbb2e344aef1f10ae81bf4a</t>
  </si>
  <si>
    <t>EXHIBIT_EMAIL_20250210_858_b0e5939b,EMAIL,2025-02-10T17:13:24-04:00,100.0,CRITICAL,Email: Fwd:,b0e5939be63e215c0b1d2b8d5620f02ac29e05dcb208eaaaa7db4f3c7d5317d8</t>
  </si>
  <si>
    <t>EXHIBIT_EMAIL_20250210_859_b5bbf8c9,EMAIL,2025-02-10T17:00:38-04:00,100.0,CRITICAL,Email: ,b5bbf8c9f849b7b2883be4bc331da667037e5e93f53bc34a7147d8d057f49498</t>
  </si>
  <si>
    <t>EXHIBIT_EMAIL_20250225_860_7d509c57,EMAIL,2025-02-25T14:33:53+00:00,100.0,CRITICAL,Email: Save 50% and get a free domain when you upgrade your site today,7d509c578618dd748d2009cdba61415563359d82dd84f4d21f7f6df54a2386e5</t>
  </si>
  <si>
    <t>EXHIBIT_EMAIL_20250106_861_c24966e3,EMAIL,2025-01-06T06:36:55-08:00,100.0,CRITICAL,Email: Dive into fresh creative pathways with Illustrator,c24966e3a0140d22fcddea9665d08e1910426d19420e04f333aa59f4a046bbd3</t>
  </si>
  <si>
    <t>EXHIBIT_EMAIL_20250215_862_3dae43cd,EMAIL,2025-02-15T05:10:43+01:00,100.0,CRITICAL,"Email: vroofn, you have free spins on Getaway Gangsters! 🔪",3dae43cda616f20a35601e0d34dea3408dcd83cd2bfe0cb7040b9d946c949a84</t>
  </si>
  <si>
    <t>EXHIBIT_EMAIL_20250119_863_259da44c,EMAIL,2025-01-19T09:35:07-06:00,100.0,CRITICAL,Email: Psst! You could save $100s with partner offers 🎥🎵,259da44ce9504d0270d7ce67fa76e5f14adb84ff4f3814037339d05a5489d580</t>
  </si>
  <si>
    <t>EXHIBIT_EMAIL_20250216_864_d01ec158,EMAIL,2025-02-16T09:35:29-06:00,100.0,CRITICAL,Email: Clearance savings that REALLY sizzle 🔥🔥,d01ec1582eefb7aa0b9e93a2db8e578d422a653ff483eb785615f9f0d57ff576</t>
  </si>
  <si>
    <t>EXHIBIT_EMAIL_20241213_865_69274426,EMAIL,2024-12-13T09:49:29-06:00,100.0,CRITICAL,Email: Delicious holiday meals at prices you'll love 🥘,69274426969a67d8051f086b0de84340349370e6f76f3ed472aec5cb6f87c742</t>
  </si>
  <si>
    <t>EXHIBIT_EMAIL_20241226_866_f38ad68a,EMAIL,2024-12-26T07:01:24+01:00,100.0,CRITICAL,Email: You have received 7 free spins,f38ad68af89d5456c9cb5002cc2ec4829b07416a9b99ce25f721d168258dc887</t>
  </si>
  <si>
    <t>EXHIBIT_EMAIL_20241211_867_fae6f0b4,EMAIL,2024-12-11T06:57:10-08:00,100.0,CRITICAL,Email: Pitch perfect PDFs,fae6f0b41db604002db583d5b56b0e1f7b4d07f77b85f283e4faa2fb88aba887</t>
  </si>
  <si>
    <t>EXHIBIT_EMAIL_20250210_868_3717b51c,EMAIL,2025-02-10T09:31:35-05:00,100.0,CRITICAL,Email: Webinar: Building resilience in a changingworld—Key strategies for 2025,3717b51c6736b807ce6f66c53a43c22f53d96960e85d43546f614d6113b41dba</t>
  </si>
  <si>
    <t>EXHIBIT_EMAIL_20241209_869_2d516a26,EMAIL,2024-12-09T11:01:23+00:00,100.0,CRITICAL,"Email: Let’s create! Your first product in 3, 2, 1…",2d516a26a7741a273dee8da3e3197300176f3b229645bd56807cd9dd9a0b850c</t>
  </si>
  <si>
    <t>EXHIBIT_EMAIL_20250210_870_7f19f72f,EMAIL,2025-02-10T11:27:45-05:00,100.0,CRITICAL,Email: Deals Coming in Hot 🔥,7f19f72fe9f3f3bc6afed7c216924475bfe23d68be7e6c49b3a70b16999e0697</t>
  </si>
  <si>
    <t>EXHIBIT_EMAIL_20241229_871_843c1413,EMAIL,2024-12-29T03:14:05-08:00,100.0,CRITICAL,Email: Microsoft account security code,843c1413823b9950b6a218b67d1ddfd0df487d66e932ab733dfd4c3b00d1c22e</t>
  </si>
  <si>
    <t>EXHIBIT_EMAIL_20241223_872_05d7464d,EMAIL,2024-12-23T12:24:14-06:00,100.0,CRITICAL,Email: Last Chance: Enter for Amazing Prizes!,05d7464d1020fed772c7d5f95174f752c8c0c0d4cce666b667578d915efb6db7</t>
  </si>
  <si>
    <t>EXHIBIT_EMAIL_20241216_873_efc7ad26,EMAIL,2024-12-16T07:45:52+00:00,100.0,CRITICAL,Email: CUPA Pizarras – Request of information about THERMOSLATE®,efc7ad2641d4fc393b002584af3bbd3004fc414c28a4536c046b907052d26242</t>
  </si>
  <si>
    <t>EXHIBIT_EMAIL_20241213_874_90d34d27,EMAIL,2024-12-13T17:49:56-05:00,100.0,CRITICAL,Email: Remember to finish opening your CIBC account,90d34d2735f37eb8eef1883b5e3f8104dad386dbf56707c87a47966cfb63c321</t>
  </si>
  <si>
    <t>EXHIBIT_EMAIL_20241129_875_631de4a3,EMAIL,2024-11-29T10:11:06-06:00,100.0,CRITICAL,Email: ⏳ We’re about to call it quits on Black Friday ⏳,631de4a3a541163f2763c62d8b42e4c97f152e5cf3651fafec1931792ff9c276</t>
  </si>
  <si>
    <t>EXHIBIT_EMAIL_20241129_876_a9702750,EMAIL,2024-11-29T16:18:06-08:00,100.0,CRITICAL,Email: Microsoft account password change,a97027503891e40e95bf6a953f09da72c600a3c88453f250de3f17dae717d428</t>
  </si>
  <si>
    <t>EXHIBIT_EMAIL_20241129_877_042dc81b,EMAIL,2024-11-29T16:12:19-08:00,100.0,CRITICAL,Email: Microsoft account password change,042dc81b708a63c77b1b837faa130b0d5e74443b1961a96064de5495b532ce8c</t>
  </si>
  <si>
    <t>EXHIBIT_EMAIL_20241126_878_f75a5458,EMAIL,2024-11-26T12:04:07+00:00,100.0,CRITICAL,Email: The sweetest deal of the season is here.,f75a5458d4b3502d4b9d7cb72c84cb856f7d987f6059046345d95efee7ba5005</t>
  </si>
  <si>
    <t>EXHIBIT_EMAIL_20241218_879_02f8aff4,EMAIL,2024-12-18T10:11:02-06:00,100.0,CRITICAL,Email: Last call for gifts from Amazon.ca,02f8aff48c6f9389bd09958541f11de2b84b3670091b8111ad29f5e07dec0555</t>
  </si>
  <si>
    <t>EXHIBIT_EMAIL_20241203_880_7e1db9c9,EMAIL,2024-12-03T01:08:46+00:00,100.0,CRITICAL,Email: Welcome to Ripl—tips for getting started!,7e1db9c98960a284521f397d1a0dda2215296d8555e8fc3c7180b117933a9cdd</t>
  </si>
  <si>
    <t>EXHIBIT_EMAIL_20241130_881_3611e887,EMAIL,2024-11-30T05:32:24+00:00,100.0,CRITICAL,Email: Security alert for lunacraigcep@gmail.com,3611e887d172bc80a5af108b01c771b3fde3d7914ff836ddd5eaaa59d9ded50e</t>
  </si>
  <si>
    <t>EXHIBIT_EMAIL_20241130_882_ef22c4eb,EMAIL,2024-11-30T05:32:23+00:00,100.0,CRITICAL,Email: Security alert for lunacraigcep@gmail.com,ef22c4eb6117841ee259a76bc2f6194be669674198a03d136d0181ddad6f39f9</t>
  </si>
  <si>
    <t>EXHIBIT_EMAIL_20241129_883_8acfb95c,EMAIL,2024-11-29T23:52:57+00:00,100.0,CRITICAL,Email: Security alert for lunacraigcep@gmail.com,8acfb95cb3acebe83e079b20b603c500302665691bf4ddbbe91ac2153589be7f</t>
  </si>
  <si>
    <t>EXHIBIT_EMAIL_20241129_884_ea7e7402,EMAIL,2024-11-29T19:19:21+00:00,100.0,CRITICAL,Email: Security alert for lunacraigcep@gmail.com,ea7e74024435fa216f39f799a84162d8899b1c8ca6a9a642196472106c3f8246</t>
  </si>
  <si>
    <t>EXHIBIT_EMAIL_20241129_885_2369b85c,EMAIL,2024-11-29T19:18:20+00:00,100.0,CRITICAL,Email: Security alert for lunacraigcep@gmail.com,2369b85cbd7bde6579a87bfee939697d5e3fce719774333eb16fb45d387963f9</t>
  </si>
  <si>
    <t>EXHIBIT_EMAIL_20241127_886_ee6e3d8e,EMAIL,2024-11-27T04:30:17+00:00,100.0,CRITICAL,"Email: vroofn, play with a 120% Bonus + 30 Free Spins! 🐸",ee6e3d8e9f4a7aee170d0afab4927b652639f21c4c1a2788e450e8c4189499e5</t>
  </si>
  <si>
    <t>EXHIBIT_EMAIL_20241123_887_703b898e,EMAIL,2024-11-23T19:07:14+00:00,100.0,CRITICAL,Email: Play FREE for a $1 Million Top Prize this Thanksgiving when you deposit $5+! 🦃,703b898e30ad492d484952cf6719535382620eb7e72a26e719c82b622a4d2e44</t>
  </si>
  <si>
    <t>EXHIBIT_EMAIL_20241130_888_8aa93ab6,EMAIL,2024-11-30T02:16:28+00:00,100.0,CRITICAL,Email: [Personal] Your Friday evening order with Uber Eats,8aa93ab69f01f99d9df1883e1664ce353da3da4b259f72845ed0dce345843579</t>
  </si>
  <si>
    <t>EXHIBIT_EMAIL_20250116_889_a84af92e,EMAIL,2025-01-16T09:42:46-06:00,100.0,CRITICAL,Email: Your weekly flyer is here 🙂,a84af92e1aa3adfd9389430b520ae2c1c6d6fcf4ad7badec276e7f2c1f3dd9c8</t>
  </si>
  <si>
    <t>EXHIBIT_EMAIL_20241126_890_41ba602d,EMAIL,2024-11-26T23:16:47+00:00,100.0,CRITICAL,Email: ⌛ 2 days left to play FREE for a $1 MILLION TopPrize🦃,41ba602ddc954a94e48a0b3782f76333ab17ae88c8b9ada0fb123849c173898c</t>
  </si>
  <si>
    <t>EXHIBIT_EMAIL_20241123_891_830dd9ea,EMAIL,2024-11-23T10:21:52-06:00,100.0,CRITICAL,Email: The hottest BLACK FRIDAY DEALS are here 🔥,830dd9ea5167b4644026be2ea148abf742155c9906e490e973e8687caa991d2d</t>
  </si>
  <si>
    <t>EXHIBIT_EMAIL_20241203_892_47c88ac0,EMAIL,2024-12-03T10:38:23-06:00,100.0,CRITICAL,Email: It’s Giving Tuesday 🫶 Shop toys to donate!,47c88ac08562eaf35383160d88a708fc7e58027ff9316d92f2668156b5ca0f3a</t>
  </si>
  <si>
    <t>EXHIBIT_EMAIL_20241206_893_0bf22af6,EMAIL,2024-12-06T12:04:13+00:00,100.0,CRITICAL,Email: $3 off a Footlong sub? YEE-HAW!,0bf22af6f5f65668cfe94adf6cc5a5a560556b184dd52d6e659b9a2685ac384f</t>
  </si>
  <si>
    <t>EXHIBIT_EMAIL_20241213_894_5a908b0f,EMAIL,2024-12-13T12:14:15+01:00,100.0,CRITICAL,Email: You have received 7 free spins,5a908b0f1e7e042e1d130d0d7b08bc421a18ac2d0735cd1a4e2d5f037cd954c7</t>
  </si>
  <si>
    <t>EXHIBIT_EMAIL_20250112_895_d0cd49e6,EMAIL,2025-01-12T01:44:30+00:00,100.0,CRITICAL,Email: Welcome to your Zapier Chatbots trial 👋,d0cd49e63d91d16bbb60d488cd885b20cab1607781b99ea33a4945cb1448b79d</t>
  </si>
  <si>
    <t>EXHIBIT_EMAIL_20241125_896_727aecff,EMAIL,2024-11-25T12:28:22+00:00,100.0,CRITICAL,Email: Our apologies for the urgency,727aecff02fb050d00c272efe01700a29c38e597703ead0bd5990715a9d471f3</t>
  </si>
  <si>
    <t>EXHIBIT_EMAIL_20241129_897_f33255b7,EMAIL,2024-11-29T13:18:37+00:00,100.0,CRITICAL,Email: Your Business Prime offer is waiting,f33255b772eb4d04617c5ccaa41d3aa0a1b30bfda7cf26670681f979545751ac</t>
  </si>
  <si>
    <t>EXHIBIT_EMAIL_20241130_898_fa9288aa,EMAIL,2024-11-30T00:45:17+00:00,100.0,CRITICAL,"Email: Craig n Emma, your Uber account phone number was updated",fa9288aac9392aee01a79c45e43b06bba0aa4562c17cb15931e1e08ccbbf28a2</t>
  </si>
  <si>
    <t>EXHIBIT_EMAIL_20241130_899_fa9288aa,EMAIL,2024-11-30T00:45:17+00:00,100.0,CRITICAL,"Email: Craig n Emma, your Uber account phone number was updated",fa9288aac9392aee01a79c45e43b06bba0aa4562c17cb15931e1e08ccbbf28a2</t>
  </si>
  <si>
    <t>EXHIBIT_EMAIL_20241204_900_f0d4579e,EMAIL,2024-12-04T14:00:16+00:00,100.0,CRITICAL,Email: 👀 Is your digital presence losing customers?,f0d4579eee766486901c93250b4f8b2bc28eb147431da425f112f37f30d9863d</t>
  </si>
  <si>
    <t>EXHIBIT_EMAIL_20241128_901_c59b7610,EMAIL,2024-11-28T15:35:39+00:00,100.0,CRITICAL,Email: 🚨 LAST SHOT: CLAIM A FREE $3 NFL CONTEST TICKETTODAY🚨,c59b7610ae4157d3e7715a2dfb5cc451a79e569c93c3b417bca22ebfdc5cba1e</t>
  </si>
  <si>
    <t>EXHIBIT_EMAIL_20241129_902_b0da6cb1,EMAIL,2024-11-29T12:57:06+01:00,100.0,CRITICAL,Email: obtiens jusqu’à 60 % de rabais + 20 % SUPPLÉMENTAIRE,b0da6cb1dbce4447f76e82ab9621dcb25db320bfa8bf9952e3fc083fa0974b09</t>
  </si>
  <si>
    <t>EXHIBIT_EMAIL_20241205_903_0942ae2b,EMAIL,2024-12-05T23:47:04+00:00,100.0,CRITICAL,Email: Final units remaining!,0942ae2b484fa4a3d7739b17e3403420439ba1fa65518d28aac33b18bda3f673</t>
  </si>
  <si>
    <t>EXHIBIT_EMAIL_20241127_904_977e6d87,EMAIL,2024-11-27T22:36:07-08:00,100.0,CRITICAL,Email: Microsoft account security code,977e6d87b884fe25ad4f5b29a23888e145e3a66518198ca8b240d04670a31095</t>
  </si>
  <si>
    <t>EXHIBIT_EMAIL_20241128_905_af1164d2,EMAIL,2024-11-28T12:20:46-06:00,100.0,CRITICAL,Email: Black Friday deals await,af1164d2e886153237ff498da3f02bd9855a979b379c6db8fc91c7ed137fb739</t>
  </si>
  <si>
    <t>EXHIBIT_EMAIL_20241206_906_00066bf7,EMAIL,2024-12-06T14:19:59+00:00,100.0,CRITICAL,Email: Your offers are calling–will you answer? 📞,00066bf7074a4a33b7da64c598a5cbfb0c5d41cdad68ec32150453e88103a33e</t>
  </si>
  <si>
    <t>EXHIBIT_EMAIL_20250211_907_a786655e,EMAIL,2025-02-11T17:15:51+00:00,100.0,CRITICAL,"Email: Stacey's family order from Shoppers Drug Mart is confirmed for</t>
  </si>
  <si>
    <t>February 11",a786655edd2019705ebc6f687dce7dbff3be227b73dbdd8aa08710e46abcb476</t>
  </si>
  <si>
    <t>EXHIBIT_EMAIL_20241202_908_14e43bf8,EMAIL,2024-12-02T12:04:32-08:00,100.0,CRITICAL,Email: Microsoft account password reset,14e43bf8d3169dcdbc9a849e49510182269b0204013feb02f9b3468cc6ee0f2a</t>
  </si>
  <si>
    <t>EXHIBIT_EMAIL_20241122_909_f4fd09a1,EMAIL,2024-11-22T20:51:16+00:00,100.0,CRITICAL,Email: BOGO deals incoming  👀,f4fd09a1365a2b6e9b1a6003bf2b48a4571f0e834a3e8fff72dd4cf21b176674</t>
  </si>
  <si>
    <t>EXHIBIT_EMAIL_20241221_910_915be8b6,EMAIL,2024-12-21T11:01:13+00:00,100.0,CRITICAL,"Email: Let’s do this, K 💪!",915be8b67aca85f92729d25a363af1c2cda16e5b1f57d0c8d7afd2c30e36e8e7</t>
  </si>
  <si>
    <t>EXHIBIT_EMAIL_20241204_911_c785ca26,EMAIL,2024-12-04T09:43:05-05:00,100.0,CRITICAL,Email: My Top Gifts for Booklovers + Holiday Wishes,c785ca26aae29d5580cbd5bfbf9e601504a3d7d071893cd838cfd05fef0637d9</t>
  </si>
  <si>
    <t>EXHIBIT_EMAIL_20241201_912_61d45af3,EMAIL,2024-12-01T13:35:29+00:00,100.0,CRITICAL,Email: 15 Powder Rooms With Fabulous Wallcoverings | 9 Steps to Create an Engaging End-of-Year Client Newsl,61d45af374bf52647c463b84806dead4f6e2a9b136b812b550b3331268a2d592</t>
  </si>
  <si>
    <t>EXHIBIT_EMAIL_20241204_913_32ee2797,EMAIL,2024-12-04T14:00:02+01:00,100.0,CRITICAL,Email: PROMO PROLONGÉE : jusqu’à 60 % de rabais + 25 % de rabais supplémentaire,32ee27972cf7f1ba57a1be155f41a2b683a9e42499fa588084498b81dd3c778f</t>
  </si>
  <si>
    <t>EXHIBIT_EMAIL_20241127_914_cfc30572,EMAIL,2024-11-27T22:33:33-08:00,100.0,CRITICAL,Email: Microsoft account app passwords need updating,cfc30572dedcd0ee63f7d4f9debde8fd28fb4e6a63e2b2dab9844dd877dd5e78</t>
  </si>
  <si>
    <t>EXHIBIT_EMAIL_20241207_915_dfa7d971,EMAIL,2024-12-07T04:30:14+00:00,100.0,CRITICAL,"Email: vroofn, Deposit CAD 5, Get 77 Free Spins! 💸",dfa7d971ff920d4be8f068f860a71d22473cd0b8eda211845734bbcbc32219ae</t>
  </si>
  <si>
    <t>EXHIBIT_EMAIL_20241126_916_b4f14d64,EMAIL,2024-11-26T17:46:50-08:00,100.0,CRITICAL,Email: Microsoft account security code,b4f14d643c17e9ae244ebc82df8a4b3f2f411b39df0024e1ad36c45de55c8570</t>
  </si>
  <si>
    <t>EXHIBIT_EMAIL_20241124_917_1d305c5b,EMAIL,2024-11-24T10:19:43-06:00,100.0,CRITICAL,Email: Get 10% off when you buy 5 beauty items 💄,1d305c5b4109b5c7a314b5d075c349dac52ded5d4a5dbd7791ef4cc5f968d0e1</t>
  </si>
  <si>
    <t>EXHIBIT_EMAIL_20241204_918_77446cf1,EMAIL,2024-12-04T11:02:22-06:00,100.0,CRITICAL,Email: LAST DAY 📢 Up to 50% off Cyber Week Deals!,77446cf1d70106c4f80040b9c196808682e1f61f39e6b087eac652778485178a</t>
  </si>
  <si>
    <t>EXHIBIT_EMAIL_20241202_919_86bf1366,EMAIL,2024-12-02T17:08:17+00:00,100.0,CRITICAL,"Email: Your new exclusive offers, made just for you, just landed.",86bf1366c9fb4031f9041f2995f91ffb733e3c2ab672d3e8534e6488118d6221</t>
  </si>
  <si>
    <t>EXHIBIT_EMAIL_20241129_920_e0811df6,EMAIL,2024-11-29T10:22:17+00:00,100.0,CRITICAL,Email: 🕵️‍♀️ We found the best Black Friday deals ➡️,e0811df6ff1f9cbc081dd083b3b238ca5e53f7ad1c78392ed2703833827dbf71</t>
  </si>
  <si>
    <t>EXHIBIT_EMAIL_20250131_921_aed3ca22,EMAIL,2025-01-31T20:21:04+00:00,100.0,CRITICAL,Email: Special Olympics Donuts are back! 🍩💫,aed3ca22eb45032bc2a14441cbb0eedcd47c0a54df2c02cef50da34e06ab13ae</t>
  </si>
  <si>
    <t>EXHIBIT_EMAIL_20241123_922_07e12325,EMAIL,2024-11-23T20:19:31+00:00,100.0,CRITICAL,Email: Dishes and discounts catered to your taste,07e12325a1dd1adb3c714558ada9e90c83661fed899693293721ee349b1bb4ac</t>
  </si>
  <si>
    <t>EXHIBIT_EMAIL_20241201_923_6f22f8ad,EMAIL,2024-12-01T13:57:06+01:00,100.0,CRITICAL,Email: DERNIÈRE SOIRÉE pour avoir jusqu’à 60 % de rabais + 20 % de rabais,6f22f8adf7e7b5956473563cc8517ad13c304108d84ce9d8484cbee21e7a78d3</t>
  </si>
  <si>
    <t>EXHIBIT_EMAIL_20241130_924_1686d2fa,EMAIL,2024-11-30T13:29:52+01:00,100.0,CRITICAL,Email: De nouveau en stock : PUMA x ONE PIECE,1686d2fa35c4d258fd3e8b521e1c3c12cd47c30feef6f18ea42990c097d87bc0</t>
  </si>
  <si>
    <t>EXHIBIT_EMAIL_20241217_925_27523c63,EMAIL,2024-12-17T12:14:48-06:00,100.0,CRITICAL,Email: Your winter upgrade: Pure grown-up paradise,27523c63e02f4c692322799bacf4ac18f02f8667d13e1f07d7ccf7af30920ebb</t>
  </si>
  <si>
    <t>EXHIBIT_EMAIL_20241126_926_5eb69838,EMAIL,2024-11-26T07:03:29-05:00,100.0,CRITICAL,Email: 50% OFF – Book Door Crashers 📚,5eb6983883c02ac574dc864cf5875aec1d1424956ca8f517f0cff697dd0486ca</t>
  </si>
  <si>
    <t>EXHIBIT_EMAIL_20241221_927_908e3cb8,EMAIL,2024-12-21T14:05:28+00:00,100.0,CRITICAL,Email: What we learned in 2024 + 🎶 Babylist Bops (TY!),908e3cb850a956f703e78686b52ec57393e180bc73a86ca9cc8bc88f240e5ded</t>
  </si>
  <si>
    <t>EXHIBIT_EMAIL_20241206_928_4adbc8d8,EMAIL,2024-12-06T23:42:59+00:00,100.0,CRITICAL,Email: Welcome 👋 Here’s what to do next,4adbc8d8f6fcc2ee0ed0a0ca602ab5f267670c1556aec80a6d12628b77df0449</t>
  </si>
  <si>
    <t>EXHIBIT_EMAIL_20241231_929_2f37f241,EMAIL,2024-12-31T06:00:47+01:00,100.0,CRITICAL,"Email: Arrête de défiler, commence à économiser",2f37f24120671954e4673cc96959a522bb4a16b1d1834f5443b227753ef1144a</t>
  </si>
  <si>
    <t>EXHIBIT_EMAIL_20241214_930_8d1a6f66,EMAIL,2024-12-14T23:42:15+00:00,100.0,CRITICAL,Email: How to port your number(s) out of OpenPhone,8d1a6f66fd321ad32487c640a7c8e571720cd81e0ccc8a324bdace64e0074b6b</t>
  </si>
  <si>
    <t>EXHIBIT_EMAIL_20250211_931_6ed82a8c,EMAIL,2025-02-11T08:35:25+00:00,100.0,CRITICAL,Email: TalkingParents Subscription Canceled,6ed82a8cc0a0c1193c38fd1176f93cfc81ff0af2cdcc8492902cd4032b23e6f9</t>
  </si>
  <si>
    <t>EXHIBIT_EMAIL_20241206_932_a96103ca,EMAIL,2024-12-06T00:31:24+00:00,100.0,CRITICAL,Email: ❄️ Win a KOHO Metal Card this holiday season ❄️,a96103cae06ce9a12f797f2668c0e4e4f9ed5b6616c5b7c9d6b56ec1c478dd1d</t>
  </si>
  <si>
    <t>EXHIBIT_EMAIL_20241212_933_32490f5c,EMAIL,2024-12-12T18:49:47-08:00,100.0,CRITICAL,"Email: charliewharlie369, catch up on moments you've missed",32490f5ce87ab33d77c5a223a2e2665646d5e59cf3de1b488bc22d757f32d162</t>
  </si>
  <si>
    <t>EXHIBIT_EMAIL_20241128_934_55e9c62a,EMAIL,2024-11-28T11:12:58-06:00,100.0,CRITICAL,Email: FINAL WEEK! Up to 50% off BLACK FRIDAY DEALS 💥,55e9c62aa1898cefacadd289fcf3f40a515a3998c528d11f7dbdf1a12d26fbec</t>
  </si>
  <si>
    <t>EXHIBIT_EMAIL_20241126_935_fe85f060,EMAIL,2024-11-26T13:23:15+00:00,100.0,CRITICAL,Email: New Black Friday savings for you,fe85f060b790426c437f137f9cb75e06ca542d28fd1e75226422dda6cadac89a</t>
  </si>
  <si>
    <t>EXHIBIT_EMAIL_20241203_936_07305066,EMAIL,2024-12-03T09:07:38-05:00,100.0,CRITICAL,Email: A BIG Grateful Thank You,07305066f57258ad51edfa0628db81e21c3f90d6e655726dcb2cd6ae009ad623</t>
  </si>
  <si>
    <t>EXHIBIT_EMAIL_20241126_937_8bf045d0,EMAIL,2024-11-26T08:02:32-06:00,100.0,CRITICAL,Email: Black Friday sale: Still time to save 30%+ when you join,8bf045d071cfe6c7f23ed9697c3951b11f811b1a9d3a9bd88d36eb5cd66077ca</t>
  </si>
  <si>
    <t>EXHIBIT_EMAIL_20241210_938_c5b5b8ed,EMAIL,2024-12-10T00:44:14+00:00,100.0,CRITICAL,Email: Your Purchases Have Returned As Credits,c5b5b8edfa5e8a65986465106a6529ec5b66bc9c47428ec45e78a2de9f11e1e6</t>
  </si>
  <si>
    <t>EXHIBIT_EMAIL_20241129_939_6e8e3253,EMAIL,2024-11-29T01:21:28+00:00,100.0,CRITICAL,"Email: Deals you don’t wanna miss, Craig n Emma",6e8e3253b8f91a717bea2d4572170fdcbf850b08f7993808c3f64e4472c82330</t>
  </si>
  <si>
    <t>EXHIBIT_EMAIL_20241214_940_e4996cf7,EMAIL,2024-12-14T09:43:03-06:00,100.0,CRITICAL,Email: Your MAGICAL DEALS are waiting ✨ Up to 40% off!,e4996cf749212e3cffe8c52e8f3769d0f0d9f6121058edfb6b4ac754cadcaa65</t>
  </si>
  <si>
    <t>EXHIBIT_EMAIL_20241201_941_670a735e,EMAIL,2024-12-01T16:28:55+00:00,100.0,CRITICAL,Email: Final units remaining!,670a735ee9e3236d06d41da4adc912f6679d1cc2c794500979da206f5aa81d76</t>
  </si>
  <si>
    <t>EXHIBIT_EMAIL_20241209_942_bca6fc83,EMAIL,2024-12-09T00:38:45+00:00,100.0,CRITICAL,Email: Save 33% with a yearly Ripl subscription—learnhow,bca6fc8386dbbd86942f91b9d236c507a1c59b8fc2f44139d4138e3278f14159</t>
  </si>
  <si>
    <t>EXHIBIT_EMAIL_20241128_943_0c4c3a95,EMAIL,2024-11-28T04:59:26+00:00,100.0,CRITICAL,Email: Security alert for lunacraigcep@gmail.com,0c4c3a95531d22bacb1a603086d486cf28afb4dcb79f7780d42e0eaa099f556f</t>
  </si>
  <si>
    <t>EXHIBIT_EMAIL_20250115_944_38c30daf,EMAIL,2025-01-15T23:11:26+00:00,100.0,CRITICAL,Email: Security alert for placed.sj@gmail.com,38c30dafe3ee379bac4471999d97510605ec1252244bb8532f679846e412ef42</t>
  </si>
  <si>
    <t>EXHIBIT_EMAIL_20241127_945_c67c7590,EMAIL,2024-11-27T22:33:32-08:00,100.0,CRITICAL,Email: Microsoft account password change,c67c75904f2afe8a154d64a9685add3f95b530105812dc248e029dfc7af339cc</t>
  </si>
  <si>
    <t>EXHIBIT_EMAIL_20241127_946_1f3124e0,EMAIL,2024-11-27T20:20:02-08:00,100.0,CRITICAL,Email: Microsoft account password change,1f3124e0d6f0aa5a367343a3b10642d2acfc2a4c286420b7f3909d84e09e70cf</t>
  </si>
  <si>
    <t>EXHIBIT_EMAIL_20241127_947_a721bd89,EMAIL,2024-11-27T17:33:27-08:00,100.0,CRITICAL,Email: Microsoft account password change,a721bd89a40ccc27f4ebdc9fffc3a85a89d91a60118f650a2547a6216bdd275a</t>
  </si>
  <si>
    <t>EXHIBIT_EMAIL_20241222_948_a1c6d191,EMAIL,2024-12-22T20:02:54+00:00,100.0,CRITICAL,"Email: We are ready to upgrade your account, Dawn.",a1c6d191e6baf1f5114380277819614713a87c6d7529ad49fca897753c199fa8</t>
  </si>
  <si>
    <t>EXHIBIT_EMAIL_20250125_949_85a13692,EMAIL,2025-01-25T09:40:31-06:00,100.0,CRITICAL,Email: Can't-miss Holiday Clearance prices ⭐,85a13692f63ae9da452494bced38eeeb2c5195d6b07bdffed297c5d20c2ee0b7</t>
  </si>
  <si>
    <t>EXHIBIT_EMAIL_20241202_950_2806acbc,EMAIL,2024-12-02T20:12:27+00:00,100.0,CRITICAL,Email: See what we’ve picked out just for you,2806acbc7b605d369d767c40ad3d9323718850f2380a0eeb254ed98c3a32956c</t>
  </si>
  <si>
    <t>EXHIBIT_EMAIL_20241203_951_23b629f5,EMAIL,2024-12-03T12:44:05+00:00,100.0,CRITICAL,Email: 🛒A message from your cart:,23b629f594de5210b778a918e4035196142c9c2ec51ac0e0a402cad92bc30855</t>
  </si>
  <si>
    <t>EXHIBIT_EMAIL_20241203_952_9a1070bf,EMAIL,2024-12-03T17:23:29+00:00,100.0,CRITICAL,Email: Security alert for lunacraigcep@gmail.com,9a1070bfed47ff098b8411ef8196347cbfe89b81b7a6c2ff03ad820d3dd9e19f</t>
  </si>
  <si>
    <t>EXHIBIT_EMAIL_20241126_953_b162d988,EMAIL,2024-11-26T12:15:19-06:00,100.0,CRITICAL,Email: As low as 0% APR for you on Black Friday,b162d9882442bbbde8113fdd1b0147b1816bc81f98a7588c2ca9f848e5f5b929</t>
  </si>
  <si>
    <t>EXHIBIT_EMAIL_20250228_954_daf0e6d8,EMAIL,2025-02-28T15:11:21+00:00,100.0,CRITICAL,Email: Start your new business with VistaPrint,daf0e6d88b22395894f2f1e8b25f93709280760d44473037f5665b16aa426bba</t>
  </si>
  <si>
    <t>EXHIBIT_EMAIL_20241202_955_094ee159,EMAIL,2024-12-02T14:44:05+00:00,100.0,CRITICAL,Email: 6 Item(s) are ghosting from Your Cart🦇,094ee159f390d5c8270dc87bc99cc69e0816ee333ac8437c3110144d1ee850b7</t>
  </si>
  <si>
    <t>EXHIBIT_EMAIL_20241129_956_66c768cd,EMAIL,2024-11-29T12:29:44+00:00,100.0,CRITICAL,Email: Awfully sorry for telling you...Cali Boyd,66c768cdc251a4890d10a2ee43739ae7752054a87f091a09d0a3e1568172d100</t>
  </si>
  <si>
    <t>EXHIBIT_EMAIL_20241202_957_37303329,EMAIL,2024-12-02T18:00:20+00:00,100.0,CRITICAL,Email: Cyber Monday Sale: 88% off for K,373033291a28484ec71847de131c1253da827728d99911d9a878b9432c2c9a07</t>
  </si>
  <si>
    <t>EXHIBIT_EMAIL_20250210_958_4e39e0fb,EMAIL,2025-02-10T09:36:15-06:00,100.0,CRITICAL,Email: Low prices on Valentine's Day meals 💘,4e39e0fbd96c04ff9ba530e3119d8e1f9cdf21c7aaede0bdf273854ffca0ac12</t>
  </si>
  <si>
    <t>EXHIBIT_EMAIL_20241218_959_234dd4f6,EMAIL,2024-12-18T01:37:59+01:00,100.0,CRITICAL,"Email: vroofn, you have free spins on Lucky Porker Bonus Buy !🐷",234dd4f6e0d32bd2275d9439830c154c3b4c68d081a58ae596484704b74f4f5a</t>
  </si>
  <si>
    <t>EXHIBIT_EMAIL_20241125_960_3dcd7266,EMAIL,2024-11-25T14:59:52+01:00,100.0,CRITICAL,Email: NOUVEAUX articles maintenant à 60 %,3dcd7266f351def0fe63b7320373ba8168c67899659233aad3b74e3d8d2948c3</t>
  </si>
  <si>
    <t>EXHIBIT_EMAIL_20250107_961_21f0133e,EMAIL,2025-01-07T17:51:20+00:00,100.0,CRITICAL,Email: You've successfully reset your Dropbox password,21f0133ea72a6ba3220ed3b496f46a1e5e47af492d524724576d08ccda27fbe6</t>
  </si>
  <si>
    <t>EXHIBIT_EMAIL_20241205_962_10a1dbfa,EMAIL,2024-12-05T11:57:36-08:00,100.0,CRITICAL,"Email: Hey K, welcome to Gemini",10a1dbfa3d14dbdf0f2b15bfd5e658ab8419ea804d54962515cea62ad6aff835</t>
  </si>
  <si>
    <t>EXHIBIT_EMAIL_20241205_963_d0c6708c,EMAIL,2024-12-05T11:01:30-06:00,100.0,CRITICAL,Email: Up to 40% off MAGICAL DEALS ✨,d0c6708cf8024400151e375f6602783f28adfc66b89246279cdf9d8d2b5a70b3</t>
  </si>
  <si>
    <t>EXHIBIT_EMAIL_20241203_964_6ceef3ef,EMAIL,2024-12-03T08:03:01-06:00,100.0,CRITICAL,Email: Sale ends soon: Book now to save 30% or more,6ceef3ef4d67ad24235c793a748ec96b4228bca27819e2096298ee3e30c1a1bb</t>
  </si>
  <si>
    <t>EXHIBIT_EMAIL_20241129_965_aa5a4c17,EMAIL,2024-11-29T23:52:57+00:00,100.0,CRITICAL,Email: Your Google Account was recovered successfully,aa5a4c17990e2b551a860772d70d2ea1df82da799328477e4005b9816e25e5ea</t>
  </si>
  <si>
    <t>EXHIBIT_EMAIL_20241209_966_5e9cc374,EMAIL,2024-12-09T10:17:13-06:00,100.0,CRITICAL,Email: Split up the cost of gifts from Apple,5e9cc374aef91ae502a9c61b358b203802f8d7321e5e193576e5434c95a3c948</t>
  </si>
  <si>
    <t>EXHIBIT_EMAIL_20241122_967_b632886a,EMAIL,2024-11-22T21:30:50+00:00,100.0,CRITICAL,Email: 🎁 ⭐Create a wishlist to keep track of gift ideas,b632886a504a3746c6222df6d4f077b9c9f7e5a2f03c29d7f5f677aa23cf9e76</t>
  </si>
  <si>
    <t>EXHIBIT_EMAIL_20250130_968_e6170dfd,EMAIL,2025-01-30T14:01:51+00:00,100.0,CRITICAL,Email: We’ve updated our Privacy Notices,e6170dfd3d50e0a649237def6bf959d6870eee46d19b8993f5a10d3b66cae9f9</t>
  </si>
  <si>
    <t>EXHIBIT_EMAIL_20250124_969_6cfba67e,EMAIL,2025-01-24T06:10:12-08:00,100.0,CRITICAL,Email: Unlock Microsoft offers and updates!,6cfba67ed395afa63c8a278564c05213eed9f585bc76095a3e28500c99e4aab8</t>
  </si>
  <si>
    <t>EXHIBIT_EMAIL_20250206_970_8b242804,EMAIL,2025-02-06T22:25:04+00:00,100.0,CRITICAL,Email: ✨ Make your videos stand out,8b242804ea9bf3a4ea7667eb656a85e13a1f422f2e9d7d5787a24cac92aafe8e</t>
  </si>
  <si>
    <t>EXHIBIT_EMAIL_20250102_971_820d3eb0,EMAIL,2025-01-02T14:59:55+01:00,100.0,CRITICAL,Email: DÉPÊCHE-TOI : la semaine des soldes d’après Noël est presque terminée,820d3eb028f41503df7ce92d7320959f0a1074bd755943c6fcbc7a0b434c1fc4</t>
  </si>
  <si>
    <t>EXHIBIT_EMAIL_20250218_972_1732b0fa,EMAIL,2025-02-18T00:37:46+00:00,100.0,CRITICAL,Email: [Confirm your email],1732b0fa2364ef744fe2e96a2cbc7f6f60c6dc58898fc0c031ea5aba585715c3</t>
  </si>
  <si>
    <t>EXHIBIT_EMAIL_20241203_973_5da081a2,EMAIL,2024-12-03T15:38:08-06:00,100.0,CRITICAL,"Email: Up to 50% off electronics, toys, appliances &amp; more for Cyber Week 💻",5da081a200294129d3f28bffce4e7017946e91b4fd6d5778c3f55825b3d1897e</t>
  </si>
  <si>
    <t>EXHIBIT_EMAIL_20250112_974_02c2930f,EMAIL,2025-01-12T02:16:40+00:00,100.0,CRITICAL,Email: Indoor play tips &amp; why “picky eater” should be banned,02c2930fe4fb30913ed2466072e8833a1b5139292495b255c5343618f2b8288e</t>
  </si>
  <si>
    <t>EXHIBIT_EMAIL_20241126_975_eff9c4ac,EMAIL,2024-11-26T23:00:20+01:00,100.0,CRITICAL,Email: ces incontournables sont maintenant à 60 % de rabais,eff9c4aca9bfd92639bbc863ba5c978f0cb724b7cac514f5805c3f299d78402f</t>
  </si>
  <si>
    <t>EXHIBIT_EMAIL_20241206_976_7b83f6a0,EMAIL,2024-12-06T07:31:48-08:00,100.0,CRITICAL,Email: Cyber Monday ends soon — save 50%,7b83f6a0f45861a49c111a4c5ea7828f89c9de57907cd6f0776cf1073a5a1ba0</t>
  </si>
  <si>
    <t>EXHIBIT_EMAIL_20241123_977_777af5f8,EMAIL,2024-11-23T03:40:17+00:00,100.0,CRITICAL,Email: 🛒 You left some items behind...,777af5f804db2445ff80ccb9a212cdafd62104e213d6b3dd9a559afc2abb7692</t>
  </si>
  <si>
    <t>EXHIBIT_EMAIL_20250213_978_3e6753c6,EMAIL,2025-02-13T08:44:26-04:00,100.0,CRITICAL,Email: Fwd: Interac e-Transfer: You've received $240.00 from Paul Carey and it has been automatically depos,3e6753c6da40f335bfc03000661357df2cfad227ed7286146ef484e2c17a3e92</t>
  </si>
  <si>
    <t>EXHIBIT_EMAIL_20241127_979_67283a63,EMAIL,2024-11-27T15:00:54-06:00,100.0,CRITICAL,Email: 🏒NEW 2024-25 NHL GDM Cards are Coming Soon!,67283a631b0855c0f2d7e712124b16498c92adb0339339afe0299d05d210e2df</t>
  </si>
  <si>
    <t>EXHIBIT_EMAIL_20241127_980_deb22d7d,EMAIL,2024-11-27T10:05:03+00:00,100.0,CRITICAL,Email: 🔥 Our Black Friday Sale: starts now! 🔥,deb22d7d60ff95dc132f20f8804c0bb564478a6a288c5126c139d4983365e419</t>
  </si>
  <si>
    <t>EXHIBIT_EMAIL_20241202_981_d9227a1c,EMAIL,2024-12-02T23:56:38+01:00,100.0,CRITICAL,Email: UNE GROSSE PROMO : jusqu’à 60 % de rabais + 25 % de rabais supplémentaire,d9227a1c0e24950c1e03d996ab5d544b0322e61af0a10bb78955c9e592c32031</t>
  </si>
  <si>
    <t>EXHIBIT_EMAIL_20241207_982_c8625e4b,EMAIL,2024-12-07T02:20:20+00:00,100.0,CRITICAL,Email: PLaCED sent you a message,c8625e4b3bd71abf531b3e06cc3b94a319ba0985e252baa20b7979ea39468f73</t>
  </si>
  <si>
    <t>EXHIBIT_EMAIL_20241129_983_b0453ce3,EMAIL,2024-11-29T06:03:47-05:00,100.0,CRITICAL,Email: Up to 50% off - It's OFFICIALLY Black Friday 🖤,b0453ce3cb481a4ad5dad09bf1925cfa1c4a7d7ad4ca85c84dc762c4fbd83c52</t>
  </si>
  <si>
    <t>EXHIBIT_EMAIL_20241122_984_550f892f,EMAIL,2024-11-22T19:15:16-08:00,100.0,CRITICAL,"Email: charliewharlie369, catch up on moments you've missed",550f892ffae2e616855fa10bef1601a3b65049ddee38cf026e2ab71a336016d8</t>
  </si>
  <si>
    <t>EXHIBIT_EMAIL_20241208_985_92765c7a,EMAIL,2024-12-08T06:17:22+01:00,100.0,CRITICAL,"Email: vroofn, you have free spins on Collapsed Castle ! 🏰",92765c7ade431f983d5e625255a7494dbe34e8decd664c7b0e2ac32335968b22</t>
  </si>
  <si>
    <t>EXHIBIT_EMAIL_20250109_986_08212f02,EMAIL,2025-01-09T18:20:05+00:00,100.0,CRITICAL,Email: What’s new in January: Deadlines🎯,08212f0277c442cba3753b562ed88eff2ae5690689d59dc5bfd0af1b96991c78</t>
  </si>
  <si>
    <t>EXHIBIT_EMAIL_20241202_987_2874dcbb,EMAIL,2024-12-02T12:05:32-08:00,100.0,CRITICAL,Email: Microsoft account password change,2874dcbb4100eb902189734030f526f2fb9a6ccce3ddf264199f3cbaf86c499d</t>
  </si>
  <si>
    <t>EXHIBIT_EMAIL_20250126_988_c8b85a16,EMAIL,2025-01-26T00:57:17+00:00,100.0,CRITICAL,Email: We're so sorry to tell you...,c8b85a16bf66396400300ceb3f5d8e627de2a35b636322b3afce92036bb84fa7</t>
  </si>
  <si>
    <t>EXHIBIT_EMAIL_20241210_989_ae867497,EMAIL,2024-12-10T14:44:23+00:00,100.0,CRITICAL,Email: Make this Footlong Season a buzzer beater.,ae867497d48efa46716aa3139a41dd90de42f6c7580ab509c0305b632cfb777b</t>
  </si>
  <si>
    <t>EXHIBIT_EMAIL_20241202_990_397faa12,EMAIL,2024-12-02T12:58:18+01:00,100.0,CRITICAL,Email: CYBER-RABAIS : jusqu’à 60 % de rabais + 25 % extra,397faa12c5dd3f563f05f48b4fda614512ffd5186e60a286ac189f4c23febbc7</t>
  </si>
  <si>
    <t>EXHIBIT_EMAIL_20241130_991_337f0c01,EMAIL,2024-11-30T09:27:36-06:00,100.0,CRITICAL,Email: 2 DAYS LEFT! Get BLACK FRIDAY DEALS before they're gone 🛒,337f0c01db26eb82ad11e2ea968140cee3b7c1278d818dfffd3e16972877c7a4</t>
  </si>
  <si>
    <t>EXHIBIT_EMAIL_20241203_992_46ea190f,EMAIL,2024-12-03T03:33:32+00:00,100.0,CRITICAL,Email: Security alert for lunacraigcep@gmail.com,46ea190fe8f9a8f1c9d24f5c71cf19737a7626aba78689794f31d491069e1d4f</t>
  </si>
  <si>
    <t>EXHIBIT_EMAIL_20250221_993_b4f8ee88,EMAIL,2025-02-21T20:27:16+00:00,100.0,CRITICAL,Email: Rent a car and reimagine weekends,b4f8ee880549b119fcf4f4136ab971deb42e599e27e95c453314654a3270bc74</t>
  </si>
  <si>
    <t>EXHIBIT_EMAIL_20241127_994_2a15887d,EMAIL,2024-11-27T17:37:11-06:00,100.0,CRITICAL,Email: MORE BLACK FRIDAY DEALS START AT 9 PM EST ⌚,2a15887dab7260da7fa5ec0ae73a589e3c3c481aecaa0d886a8854f625c55933</t>
  </si>
  <si>
    <t>EXHIBIT_EMAIL_20241127_995_27b7e6fb,EMAIL,2024-11-27T10:34:56-06:00,100.0,CRITICAL,Email: Shop. Save. Repeat 🙌 Up to 50% off Black Friday Deals!,27b7e6fb5da22a42df2a5b5643748666f46162a2c662cc8d534df76cd97862e9</t>
  </si>
  <si>
    <t>EXHIBIT_EMAIL_20241130_996_bf4c7ddf,EMAIL,2024-11-30T12:29:43+00:00,100.0,CRITICAL,Email: We're so sorry to tell you...,bf4c7ddf1a4277336c1b6e21491285a1882c44fffaadfd11c22952c955c390d9</t>
  </si>
  <si>
    <t>EXHIBIT_EMAIL_20241228_997_1d78d156,EMAIL,2024-12-28T09:32:59+01:00,100.0,CRITICAL,Email: You have received 5 free spins,1d78d156e5efa8fc554a61f8cd2b20f7d3ae9f06040f7543617692bede5484ec</t>
  </si>
  <si>
    <t>EXHIBIT_EMAIL_20241127_998_9f6f341f,EMAIL,2024-11-27T12:29:18+00:00,100.0,CRITICAL,Email: We're so sorry to tell you...,9f6f341f5f6c7cfc2dfefd72209189e45d3ed1c59e4cb1584cfa276af1b4aabd</t>
  </si>
  <si>
    <t>EXHIBIT_EMAIL_20241203_999_e18176e1,EMAIL,2024-12-03T16:08:58+00:00,100.0,CRITICAL,Email: 38 Weeks Pregnant: 72 Hours After Birth - What Happens?,e18176e123636b32528eb697c8f85ba10cac5ea3d1a63eac489d5bc9da722fb3</t>
  </si>
  <si>
    <t>EXHIBIT_EMAIL_20250109_1000_26bc57ec,EMAIL,2025-01-09T06:49:16-08:00,100.0,CRITICAL,Email: Ignite your creativity with the ultimate toolkit,26bc57ec59136d77f63e1ffab253e24e51133509b01d4af056750f49be60191f</t>
  </si>
  <si>
    <t>EXHIBIT_EMAIL_20241127_1001_d2887103,EMAIL,2024-11-27T17:09:12+00:00,100.0,CRITICAL,Email: Looking at breast pumps? Get 1 for free,d2887103d6b58433a52d5a0de25c793e8e3a84d870f0cd9348192627f595830a</t>
  </si>
  <si>
    <t>EXHIBIT_EMAIL_20241216_1002_53c337fd,EMAIL,2024-12-16T08:04:02+00:00,100.0,CRITICAL,Email: Welcome to Premium,53c337fdf86f15c1bcced9869820373460b2faf23418c32ad8111dcfae2322be</t>
  </si>
  <si>
    <t>EXHIBIT_EMAIL_20241207_1003_38dd529b,EMAIL,2024-12-07T18:20:20-04:00,100.0,CRITICAL,Email: Invoice for Bell Hill Rd,38dd529b83b5d9757c0011dcc99b6fe292c1110783c4f3831b6eb02847a55eb8</t>
  </si>
  <si>
    <t>EXHIBIT_EMAIL_20241207_1004_abdbe2e6,EMAIL,2024-12-07T18:22:13-04:00,100.0,CRITICAL,Email: Invoice for Bell Hill Rd,abdbe2e6a77a471064a18b423dc6370a58c47228f1fef68dacb2d0c79962dc9d</t>
  </si>
  <si>
    <t>EXHIBIT_EMAIL_20241130_1005_f30cec9d,EMAIL,2024-11-30T21:57:19+01:00,100.0,CRITICAL,Email: Une autre chance pour avoir jusqu’à 60 % de rabais + 20 % de rabais,f30cec9d9032e065e67a4cf54e5f8a54e1e934934d33b19d4403deee932383e1</t>
  </si>
  <si>
    <t>EXHIBIT_EMAIL_20241201_1006_6fb00f42,EMAIL,2024-12-01T07:01:58-05:00,100.0,CRITICAL,Email: ⏱️ FINAL Hours! Up to 50% off Ends Today,6fb00f42e86fbc617633aff7ce4dc9f37ce2c579ababf0221547c5dc1ea7132d</t>
  </si>
  <si>
    <t>EXHIBIT_EMAIL_20250101_1007_c7211e2a,EMAIL,2025-01-01T01:24:11+00:00,100.0,CRITICAL,Email: Welcome to GPT Workspace,c7211e2a2cea364fc49b729d52ffff060793b27b6fc503ce87e69550afff1c47</t>
  </si>
  <si>
    <t>EXHIBIT_EMAIL_20241203_1008_453a6e80,EMAIL,2024-12-03T04:14:21+00:00,100.0,CRITICAL,Email: You at 37 Weeks: Yay or Nay to Nurse Gift Baskets,453a6e80f856ede9e623dbb65b9433a8de986d269cb9d2e89ce6c34acc906d9e</t>
  </si>
  <si>
    <t>EXHIBIT_EMAIL_20241214_1009_291ebd92,EMAIL,2024-12-14T17:44:12+00:00,100.0,CRITICAL,Email: Your cart item: now 83% OFF!,291ebd92fb79c3fac1ee7c873ab16057fc822f34c049df1f0fcd3bfbc0a5e902</t>
  </si>
  <si>
    <t>EXHIBIT_EMAIL_20250212_1010_45c305ac,EMAIL,2025-02-12T03:24:50+00:00,100.0,CRITICAL,Email: You Have a New Message,45c305ace04df428b4a6b6c9a956dba9ed5840145bdbc08cb16d50b4394c3bd2</t>
  </si>
  <si>
    <t>EXHIBIT_EMAIL_20250212_1011_969cdc98,EMAIL,2025-02-12T03:00:22+00:00,100.0,CRITICAL,Email: You Have a New Message,969cdc98dd35a86988e2b9ab22438a54a6465e18a1900231f02f54fc68edc167</t>
  </si>
  <si>
    <t>EXHIBIT_EMAIL_20250212_1012_86a5b1e0,EMAIL,2025-02-12T03:24:46+00:00,100.0,CRITICAL,Email: You Have a New Message,86a5b1e0cabf4b4377c616cd739a32d337254bbf22e432278c2884acd56b0101</t>
  </si>
  <si>
    <t>EXHIBIT_EMAIL_20250212_1013_d280d399,EMAIL,2025-02-12T00:51:33+00:00,100.0,CRITICAL,Email: You Have a New Message,d280d399dc00607084b9ca8d0cd26d069c0ff533b1bd7afb9035ab19ac3bb3ce</t>
  </si>
  <si>
    <t>EXHIBIT_EMAIL_20250212_1014_4041f944,EMAIL,2025-02-12T00:16:03+00:00,100.0,CRITICAL,Email: You Have a New Message,4041f94490aa11fc7b7716397b224e1fb74899d1fd5a81d7f03f4e482b77a361</t>
  </si>
  <si>
    <t>EXHIBIT_EMAIL_20241206_1015_7099f310,EMAIL,2024-12-06T23:08:43+00:00,100.0,CRITICAL,Email: 🎊🎊Congrats! Chris David!,7099f3101eaa721757665738edf1967bde43be7404719a78560561564e66571b</t>
  </si>
  <si>
    <t>EXHIBIT_EMAIL_20241203_1016_b9284868,EMAIL,2024-12-03T12:11:46-06:00,100.0,CRITICAL,Email: Your marketing attribution is failing you,b9284868757efe3882df07f1121fb7b2b7f063a1e3ada27edd127b7ffe5bafb8</t>
  </si>
  <si>
    <t>EXHIBIT_EMAIL_20241130_1017_e775dbd0,EMAIL,2024-11-30T04:30:17+00:00,100.0,CRITICAL,"Email: vroofn, Deposit CAD 5, Get 77 Free Spins! 🎅",e775dbd065a654b8ae23bc6751fca96986594bf984f16e844571d37ff8270aae</t>
  </si>
  <si>
    <t>EXHIBIT_EMAIL_20241127_1018_e6339a58,EMAIL,2024-11-27T20:39:45-06:00,100.0,CRITICAL,Email: New Black Friday Deals LIVE NOW: Up to 50% off 🤩,e6339a587587f5f550f671e50fc0122aa9058284b1e26ebb447bbaf6e902d47e</t>
  </si>
  <si>
    <t>EXHIBIT_EMAIL_20241224_1019_819ebf4e,EMAIL,2024-12-24T10:59:30-06:00,100.0,CRITICAL,Email: Unwrap up to 45% off BOXING WEEK DEALS 📦,819ebf4e56b8f89809002c9493993810f449055e778266f3a8e1e44f55aa32b4</t>
  </si>
  <si>
    <t>EXHIBIT_EMAIL_20250120_1020_3a268f24,EMAIL,2025-01-20T10:05:59-06:00,100.0,CRITICAL,Email: Are you ready for your best year yet? 🤸,3a268f248b87ade8172b676bba9d9e9e66ded63fe1b53d09c0df07ffae005a1b</t>
  </si>
  <si>
    <t>EXHIBIT_EMAIL_20241203_1021_6f00ede1,EMAIL,2024-12-03T03:38:18+00:00,100.0,CRITICAL,Email: Security alert,6f00ede1cf91c2e81f3c10c94086f9f682340fff24ddfabd877cb6ce780ff1f8</t>
  </si>
  <si>
    <t>EXHIBIT_EMAIL_20241203_1022_87579cbd,EMAIL,2024-12-03T03:37:52+00:00,100.0,CRITICAL,Email: Security alert,87579cbd54a82857cebfba6f15fd8e114b7f06460638b4533e48bb140c460d64</t>
  </si>
  <si>
    <t>EXHIBIT_EMAIL_20250131_1023_911873ef,EMAIL,2025-01-31T09:55:59-06:00,100.0,CRITICAL,Email: Save up to 33% on select Walmart brands 🛒,911873efeec8648d481672b4ca68d5cb3aefc59c8d9d8b2208e15957871852a9</t>
  </si>
  <si>
    <t>EXHIBIT_EMAIL_20241225_1024_be6d54ea,EMAIL,2024-12-25T06:00:03+00:00,100.0,CRITICAL,"Email: vroofn, play with a 120% Bonus + 30 Free Spins! 🐟",be6d54ea4786499e3497f6267d18e91b6f11e2d8bbce216e0ece82677e465fd7</t>
  </si>
  <si>
    <t>EXHIBIT_EMAIL_20241230_1025_028f31fe,EMAIL,2024-12-30T10:50:09-06:00,100.0,CRITICAL,"Email: Holiday Clearance on toys, electronics &amp; more 💛",028f31fed9f06da1d9ce1875c91a383f515ea6851106bc10de90250213db36ac</t>
  </si>
  <si>
    <t>EXHIBIT_EMAIL_20241213_1026_e241fc47,EMAIL,2024-12-13T17:14:42+00:00,100.0,CRITICAL,Email: Registration success,e241fc4701a6f82d478c70448d8c3a7581f97710f6c8b59b490c43640fea3802</t>
  </si>
  <si>
    <t>EXHIBIT_EMAIL_20241213_1027_adb9c572,EMAIL,2024-12-13T17:01:53+00:00,100.0,CRITICAL,Email: Registration success,adb9c572db315ebf125be8ed6910bde309dc75a94589b5ad34e01f7a1ca80775</t>
  </si>
  <si>
    <t>EXHIBIT_EMAIL_20250121_1028_b9c487d0,EMAIL,2025-01-21T16:10:40+01:00,100.0,CRITICAL,Email: Adoucissons la promotion,b9c487d0c41459fca4368913c7db2166700940df8653108648f5ec4fadc02877</t>
  </si>
  <si>
    <t>EXHIBIT_EMAIL_20241214_1029_c78938bc,EMAIL,2024-12-14T20:21:00+00:00,100.0,CRITICAL,"Email: Deals you don’t wanna miss, Craig n Emma",c78938bc8a25252b8ba753244b70b1e2a6669e612a69875a7e4c5656e76590d6</t>
  </si>
  <si>
    <t>EXHIBIT_EMAIL_20241210_1030_7fce9290,EMAIL,2024-12-10T14:15:39+00:00,100.0,CRITICAL,Email: Protect your Amazon Business account,7fce92902bd05365dbe9055bf1ab69754b9971318c945ee037136617b3227186</t>
  </si>
  <si>
    <t>EXHIBIT_EMAIL_20250113_1031_f034215e,EMAIL,2025-01-13T06:46:43-08:00,100.0,CRITICAL,Email: All your ideas. One amazing set of apps.,f034215e9aab4a03acce018e77d5c34329f807264513367cfefdf326db9a5144</t>
  </si>
  <si>
    <t>EXHIBIT_EMAIL_20241201_1032_095efb05,EMAIL,2024-12-01T02:15:38+00:00,100.0,CRITICAL,"Email: 🤣🤭 LOL at this hospital bag item, plus an epidural FYI",095efb053b590931be782cd5fe78928941db9ab4656e33f789fbfb927e776cdc</t>
  </si>
  <si>
    <t>EXHIBIT_EMAIL_20241209_1033_4e6e47fe,EMAIL,2024-12-09T06:17:57+01:00,100.0,CRITICAL,"Email: vroofn, you have free spins on Collapsed Castle ! 🏰",4e6e47fe664432e85835ea9d6fef1a0d164e57274df234a59509862252d9295a</t>
  </si>
  <si>
    <t>EXHIBIT_EMAIL_20241130_1034_b284f151,EMAIL,2024-11-30T07:03:15-05:00,100.0,CRITICAL,"Email: 2 DAYS LEFT: Up to 50% off 1,000s of Books 📚",b284f1512a5445dd3b03e98aa728c69a7f41f2d0a9c8c299fd67f0e5bc09a8cd</t>
  </si>
  <si>
    <t>EXHIBIT_EMAIL_20250117_1035_6110c611,EMAIL,2025-01-17T15:36:06-06:00,100.0,CRITICAL,Email: Welcome to Heroku! Let's Build Something Amazing,6110c61123a805b427e070e1b5db42eb56485747918d568722ce340a03e08ff4</t>
  </si>
  <si>
    <t>EXHIBIT_EMAIL_20241204_1036_0dc77e85,EMAIL,2024-12-04T14:01:59+00:00,100.0,CRITICAL,Email: Our Cyber Monday Sale for K is ending soon,0dc77e85d2369c4d87763e9d6bcbdb55317a9638eaae721afcfa622ab17b44b6</t>
  </si>
  <si>
    <t>EXHIBIT_EMAIL_20241128_1037_42f56c77,EMAIL,2024-11-28T04:15:56+00:00,100.0,CRITICAL,Email: Your Google Account was recovered successfully,42f56c77997db6f8e631ba645f9ef279d2a94dd358a31fba590329aba1ec33c4</t>
  </si>
  <si>
    <t>EXHIBIT_EMAIL_20241229_1038_5121a57c,EMAIL,2024-12-29T10:11:14+00:00,100.0,CRITICAL,Email: The 10 Most Popular New Home Bars of 2024 | How to Explain Price Increases to Clients,5121a57cb08f48c5df87069077a90a041f8590689899de8a69947946188d3b86</t>
  </si>
  <si>
    <t>EXHIBIT_EMAIL_20250123_1039_a2aedf31,EMAIL,2025-01-23T09:26:11-06:00,100.0,CRITICAL,Email: Choose a hotel with free cancellation options,a2aedf3121292a694219208a17a585fbd40cdbd9b4c93214bb80f6b2d586ae21</t>
  </si>
  <si>
    <t>EXHIBIT_EMAIL_20241128_1040_82ca47b8,EMAIL,2024-11-28T04:30:11+00:00,100.0,CRITICAL,"Email: vroofn, you have free spins on Fishin' Pots of Gold™ Gold Blitz Extreme™! 🐠",82ca47b833e8ab8fd149c3182140eaebdb473296dc314d13963deb11f40943ab</t>
  </si>
  <si>
    <t>EXHIBIT_EMAIL_20250116_1041_820b3b5a,EMAIL,2025-01-16T16:38:33+00:00,100.0,CRITICAL,"Email: New year, better website.",820b3b5a995f8e00081812b03f481e4c4716d7de16941feef750f0f599e71f06</t>
  </si>
  <si>
    <t>EXHIBIT_EMAIL_20241214_1042_0c48ee5d,EMAIL,2024-12-14T00:08:59+00:00,100.0,CRITICAL,Email: Awfully sorry for the delay,0c48ee5d2cc80afefe6720b5b14866f69a1b210303a4b790ff710e6d16d7fc97</t>
  </si>
  <si>
    <t>EXHIBIT_EMAIL_20250101_1043_b3d1a5e4,EMAIL,2025-01-01T10:48:32-06:00,100.0,CRITICAL,"Email: New year, big savings 🎉",b3d1a5e470a70356e91d8155a6c0e22004ba0298b5c7af3934cb3ed4956a143c</t>
  </si>
  <si>
    <t>EXHIBIT_EMAIL_20241124_1044_e7eefa03,EMAIL,2024-11-24T09:08:17+00:00,100.0,CRITICAL,Email: 8 Stylish Bathrooms With Wood Vanities | 6 Kitchen Design Trends at Paris’ Esprit Meuble Trade Show,e7eefa033fd3cca1e4dc15ccbc27c9d2e3af6ab6e60717e13fc2c7e298e79df8</t>
  </si>
  <si>
    <t>EXHIBIT_EMAIL_20241212_1045_36adb7c5,EMAIL,2024-12-12T09:52:28-06:00,100.0,CRITICAL,Email: Here's $15 off ⭐ Shop MAGICAL DEALS now!,36adb7c5b9f7af0ef74882ae3d8f5b041ce33295eeafe2f68d0bcfb1ebf8d145</t>
  </si>
  <si>
    <t>EXHIBIT_EMAIL_20241229_1046_f03870b1,EMAIL,2024-12-29T03:13:50+00:00,100.0,CRITICAL,Email: Security alert for lunacraigcep@gmail.com,f03870b169a8dcbb78229ff3ddffd364f023b5d1a1f330b14ca1bdbf30eae6da</t>
  </si>
  <si>
    <t>EXHIBIT_EMAIL_20241229_1047_c57e70b1,EMAIL,2024-12-29T00:56:19+00:00,100.0,CRITICAL,Email: Security alert for lunacraigcep@gmail.com,c57e70b1a713ac2ffd825e5f75d3aefc850366c757f3ffa81935002857d4e571</t>
  </si>
  <si>
    <t>EXHIBIT_EMAIL_20241203_1048_abdc6069,EMAIL,2024-12-03T13:18:16-06:00,100.0,CRITICAL,Email: Jingle your way to $10K with 31 Days of Circle K!,abdc606995057ad4af1d2183d1d0a46ae00821f13a4d014678f253071bf19dd8</t>
  </si>
  <si>
    <t>EXHIBIT_EMAIL_20250114_1049_3eddd79a,EMAIL,2025-01-14T14:26:05+00:00,100.0,CRITICAL,Email: Streamline your invoicing with Wix,3eddd79aa405a8d4d7bd2ce304f29abad75438ee0b9a08e225e9db768c4de295</t>
  </si>
  <si>
    <t>EXHIBIT_EMAIL_20250126_1050_db719fc5,EMAIL,2025-01-26T10:03:29+00:00,100.0,CRITICAL,Email: Home Professionals Optimistic After a Strong 2024 Finish | 8 Wildly Stylish Powder Rooms,db719fc54c8fd5cc28d616e0f35d14b4142039816f8f34769cb9ab6a01c80e24</t>
  </si>
  <si>
    <t>EXHIBIT_EMAIL_20241218_1051_624520ad,EMAIL,2024-12-18T15:00:57+01:00,100.0,CRITICAL,Email: Vente de fin d’année : jusqu’à 60 % de rabais,624520ad4a6e3faa2b9d8b9c4ed0cb95772c5f261ba5ce857e1febb4524daa20</t>
  </si>
  <si>
    <t>EXHIBIT_EMAIL_20241223_1052_2c3e18a6,EMAIL,2024-12-23T09:08:44-05:00,100.0,CRITICAL,Email: Last-Minute Gifts They'll Love 🎅,2c3e18a6306583eda1cfdbfd2de2141695a734d30650c4a4c6a3be431369ebac</t>
  </si>
  <si>
    <t>EXHIBIT_EMAIL_20241206_1053_5b9fa353,EMAIL,2024-12-06T19:39:18-08:00,100.0,CRITICAL,Email: Microsoft account security info was added,5b9fa35357ca16493db2dcf7c7b8d79aaaac046b2841b6c9bdd43395e53e7d0d</t>
  </si>
  <si>
    <t>EXHIBIT_EMAIL_20241125_1054_d2d977af,EMAIL,2024-11-25T07:19:22-05:00,100.0,CRITICAL,Email: 💥 Up to 50% off – Black Friday Starts NOW!,d2d977af656b54067414db5ccf56df21169f585c1afcba2ec8a9563a49b7c16c</t>
  </si>
  <si>
    <t>EXHIBIT_EMAIL_20241121_1055_c14246b7,EMAIL,2024-11-21T20:16:19+00:00,100.0,CRITICAL,Email: Why does Tesla require their cars to be towed and maintenance performed when the 12 v...?,c14246b7b1337c312130e0c4ae4a3bfbb255d5d8baedb49833fa7128efede841</t>
  </si>
  <si>
    <t>EXHIBIT_EMAIL_20241121_1056_f5f6db4c,EMAIL,2024-11-21T21:36:55-08:00,100.0,CRITICAL,Email: Microsoft account security code,f5f6db4ce69ceb6d880906d0b3472530d1a6446713476784603f6430678cae36</t>
  </si>
  <si>
    <t>EXHIBIT_EMAIL_20241106_1057_7d7705db,EMAIL,2024-11-06T13:26:14-06:00,100.0,CRITICAL,Email: Is feature-based selling dead? 🤔,7d7705db4dbf2854d5fea3f0dd311b177bd907a143952542c09ee6df286f71ed</t>
  </si>
  <si>
    <t>EXHIBIT_EMAIL_20241108_1058_19657f5f,EMAIL,2024-11-08T16:23:26+00:00,100.0,CRITICAL,Email: Psst. Your offers will expire soon.,19657f5fafd98067bb75949de5cc22d15b5ac799a0fffd5eb7431031e7b7ca71</t>
  </si>
  <si>
    <t>EXHIBIT_EMAIL_20241120_1059_a54b9e00,EMAIL,2024-11-20T20:26:04+00:00,100.0,CRITICAL,Email: Save on these restaurant dishes.,a54b9e00a0a24b283786a826a7faf474d1c87eb3066b224ca77845bc9a538f45</t>
  </si>
  <si>
    <t>EXHIBIT_EMAIL_20241115_1060_cbedf4ee,EMAIL,2024-11-15T13:06:00+00:00,100.0,CRITICAL,Email: Discover gift ideas for your business,cbedf4ee3dcc0554b4a0d8e8045c1185c2cc5f92d036be71ef067525af3cf526</t>
  </si>
  <si>
    <t>EXHIBIT_EMAIL_20241114_1061_2dfe8164,EMAIL,2024-11-14T05:58:48+00:00,100.0,CRITICAL,Email: Subscribe to Emma Ryan’s “C”?,2dfe81646b5a867756fdf404da0e56abe3b710886f868717c2e6f45a13b03ba2</t>
  </si>
  <si>
    <t>EXHIBIT_EMAIL_20241113_1062_87055f25,EMAIL,2024-11-13T12:20:05+00:00,100.0,CRITICAL,Email: NEW ACHIEVEMENT: Link Receipts,87055f25bde49f7bea87766f5054dcd8f4142afe499bd9631009ce927175906e</t>
  </si>
  <si>
    <t>EXHIBIT_EMAIL_20241115_1063_61f12368,EMAIL,2024-11-15T19:14:01-08:00,100.0,CRITICAL,"Email: charliewharlie369, see Lexi, Jessie Fleming and more in your feed",61f12368264d0552795e3c79b480c42d2f24541a16acd74cd35fcd7629c861fb</t>
  </si>
  <si>
    <t>EXHIBIT_EMAIL_20241118_1064_f5285986,EMAIL,2024-11-18T12:15:05-05:00,100.0,CRITICAL,Email: Deals That Make Great Gifts 💝,f5285986d36f7acfc1b8e45e75cf3e3f150f11f0ed0af46d3efc1907105a9af2</t>
  </si>
  <si>
    <t>EXHIBIT_EMAIL_20250213_1065_049daa52,EMAIL,2025-02-13T14:32:46-04:00,100.0,CRITICAL,Email: URGENT REQUEST FOR HARPER RYANS RECORDS,049daa52beef90edaed68128725d6562054c73fddfafae69ff308b7a01280998</t>
  </si>
  <si>
    <t>EXHIBIT_EMAIL_20241111_1066_c2c7e5a7,EMAIL,2024-11-11T14:11:19+00:00,100.0,CRITICAL,Email: ⏰ Early Black Friday deals start now!,c2c7e5a71d4825e6ba19e7a86d33dc7d75afe80ccc52a831c6dd842b59a26b03</t>
  </si>
  <si>
    <t>EXHIBIT_EMAIL_20241122_1067_f488bd9b,EMAIL,2024-11-22T13:02:30-06:00,100.0,CRITICAL,"Email: Craig, are you looking for the perfect holiday gift?",f488bd9b0440585dc8c0a18a2f17f25426723d9009e587508c0e0b8203410fc9</t>
  </si>
  <si>
    <t>EXHIBIT_EMAIL_20241113_1068_d182aa11,EMAIL,2024-11-13T14:45:23+00:00,100.0,CRITICAL,Email: Last Chance—Save 50% with Wix,d182aa11d639360cae6e9b53b319eb779f74c8bbbd2b7db5b6ebce27e579cd4f</t>
  </si>
  <si>
    <t>EXHIBIT_EMAIL_20241110_1069_ee1be675,EMAIL,2024-11-10T00:11:53+00:00,100.0,CRITICAL,Email: Thanks! 💗 Here's a CA$100 Coupon Bundle for You,ee1be6758a12cea57ef41ecc7156188bf76ca253c3c9b35513e78818713db832</t>
  </si>
  <si>
    <t>EXHIBIT_EMAIL_20241122_1070_02cef79f,EMAIL,2024-11-22T11:35:28-06:00,100.0,CRITICAL,Email: Deals In-Store + Your Tokyo Adventure Awaits,02cef79f24c3245616f0ef1a4065bded7ce3f19b01a0210587ba5075904288db</t>
  </si>
  <si>
    <t>EXHIBIT_EMAIL_20241119_1071_152fc7fe,EMAIL,2024-11-19T12:20:48-06:00,100.0,CRITICAL,Email: Are you playing it too safe with your brand? 🤔,152fc7fe2e0d95c373a252d8b59e12446a221c94823dd124d5f48e9ec64803fa</t>
  </si>
  <si>
    <t>EXHIBIT_EMAIL_20241223_1072_b95aa7cc,EMAIL,2024-12-23T12:21:40-06:00,100.0,CRITICAL,Email: Experience our most popular hotels for less,b95aa7cc8c2faacb08cb956d1c9ac3ba613bad7db9035dc5d50faac68d43755a</t>
  </si>
  <si>
    <t>EXHIBIT_EMAIL_20241121_1073_bfc1aa02,EMAIL,2024-11-21T02:05:51+00:00,100.0,CRITICAL,"Email: Hi Craig, here’s what new parents are reading, ICYMI",bfc1aa027f17284e62a0987331f68f6afb17f164c456b43c8626301d40caa2a2</t>
  </si>
  <si>
    <t>EXHIBIT_EMAIL_20241120_1074_ea6169ed,EMAIL,2024-11-20T17:38:12-06:00,100.0,CRITICAL,Email: NEW BLACK FRIDAY DEALS START AT 9 PM EST ⌚,ea6169ede5b1d049b757b5d905f0dee782c0b0f7c72c3139b67a425e13f9ec23</t>
  </si>
  <si>
    <t>EXHIBIT_EMAIL_20241120_1075_82d518e4,EMAIL,2024-11-20T10:32:56-06:00,100.0,CRITICAL,Email: Up to 50% off — Black Friday Deals are on 👊,82d518e4904c0a6aa6b3dc2840d2782dc94be58aeb3a24406bdca819af3f4913</t>
  </si>
  <si>
    <t>EXHIBIT_EMAIL_20250217_1076_36230670,EMAIL,2025-02-17T12:06:59-06:00,100.0,CRITICAL,Email: Finds for everyone in the family,36230670c468890c473f848f4177f0f12e8caf35b18c751aed23afa3092213e9</t>
  </si>
  <si>
    <t>EXHIBIT_EMAIL_20241119_1077_7c3cf7c9,EMAIL,2024-11-19T16:22:29+00:00,100.0,CRITICAL,Email: Your cart item: now 74% OFF!,7c3cf7c91a015a6c5aa9e938abcd57b5a851f43775c97a5aff6d6291daf869fb</t>
  </si>
  <si>
    <t>EXHIBIT_EMAIL_20241112_1078_364f81f2,EMAIL,2024-11-12T01:02:44-06:00,100.0,CRITICAL,Email: Earn Reward Dollars on your fall faves 🍂,364f81f2cfe20a79df71065972296850c8593ffdd212c83edf0b1826a750265d</t>
  </si>
  <si>
    <t>EXHIBIT_EMAIL_20241122_1079_cc3b1c04,EMAIL,2024-11-22T07:03:03-08:00,100.0,CRITICAL,Email: Save 50% with this Black Friday offer,cc3b1c047a602aba00cfba06bc46f67b5d2a9648c89b5fa8223e9dd7ad769331</t>
  </si>
  <si>
    <t>EXHIBIT_EMAIL_20241120_1080_e7b5fc41,EMAIL,2024-11-20T15:11:29-06:00,100.0,CRITICAL,"Email: No gift wrap 🎁, but these offers sure feel like presents!",e7b5fc41ce0500c76ca0967cacbb18c7ae6649eb62f0ca6bb79af5bfc13a938a</t>
  </si>
  <si>
    <t>EXHIBIT_EMAIL_20241116_1081_379e1de8,EMAIL,2024-11-16T05:08:35+01:00,100.0,CRITICAL,"Email: vroofn, you have free spins on Getaway Gangsters! 🔪",379e1de80aa892a5c40bb9bbcefe857b7006db21f954587e4565cef239c34ba6</t>
  </si>
  <si>
    <t>EXHIBIT_EMAIL_20241112_1082_991f9ec6,EMAIL,2024-11-12T20:22:41+00:00,100.0,CRITICAL,Email: What is the purpose of using diodes with transistors in switching circuits? What woul...?,991f9ec655a46497ee5dba72ce3dfb6b7c3cc21cad962d2e45e0979e4a85cd04</t>
  </si>
  <si>
    <t>EXHIBIT_EMAIL_20241108_1083_8e875b8e,EMAIL,2024-11-08T00:08:50+00:00,100.0,CRITICAL,Email: Critical security alert for placed.sj@gmail.com,8e875b8ebe900f34a140e5fbb6e5d2134afd6676fea5e9f26e1d0f14990ff434</t>
  </si>
  <si>
    <t>EXHIBIT_EMAIL_20241105_1084_d9f58cdf,EMAIL,2024-11-05T02:04:05+00:00,100.0,CRITICAL,Email: Pampers: 💭 We want to know what you think,d9f58cdf78d7893c1aa0c0c0b6780592c24a2f5bd80c91c3712de53106e9fa5e</t>
  </si>
  <si>
    <t>EXHIBIT_EMAIL_20241109_1085_2f26a116,EMAIL,2024-11-09T07:53:24+00:00,100.0,CRITICAL,Email: Your Google Account was recovered successfully,2f26a1165f242092dd71e22b76160861e55fd3bc5611e0c35aa0dd95620ec393</t>
  </si>
  <si>
    <t>EXHIBIT_EMAIL_20241117_1086_cedd5c26,EMAIL,2024-11-17T09:09:46+00:00,100.0,CRITICAL,Email: 6 Proven Time Management Tips for Home Professionals | 6 Mudrooms With Great Storage Ideas,cedd5c26bfe799b7654c2eabc07d3cc664bb2d50257f98bd995bac274173789e</t>
  </si>
  <si>
    <t>EXHIBIT_EMAIL_20241114_1087_55a543e8,EMAIL,2024-11-14T10:04:03-06:00,100.0,CRITICAL,Email: UP TO 50% OFF! BLACK FRIDAY DEALS 🤩,55a543e8e5beadef8f75320eec850caf46c6e9b41c3fd58146f8849a71eb324b</t>
  </si>
  <si>
    <t>EXHIBIT_EMAIL_20241107_1088_969f4305,EMAIL,2024-11-07T04:23:36+00:00,100.0,CRITICAL,Email: What happens to EV cars at the end of battery life?,969f4305677dcab054bba7b05dda31785291d7ea7dff5c1e230f2744875301db</t>
  </si>
  <si>
    <t>EXHIBIT_EMAIL_20241216_1089_92deae34,EMAIL,2024-12-16T05:38:08-04:00,100.0,CRITICAL,Email: Harper,92deae342b87cb9455f2f9d338fbf2f1c98bfc4a20d40bff9798a2cc718288cc</t>
  </si>
  <si>
    <t>EXHIBIT_EMAIL_20241107_1090_1762e405,EMAIL,2024-11-07T20:45:20+00:00,100.0,CRITICAL,Email: Try out AI workflows in 3 easy steps,1762e4059e047ba06a7ddb7fc22190aaf604a4e694247ea97a072ee2b8a64c61</t>
  </si>
  <si>
    <t>EXHIBIT_EMAIL_20241218_1091_7e957baf,EMAIL,2024-12-18T06:30:31+01:00,100.0,CRITICAL,Email: You have received 10 free spins,7e957baf6a06d77e70520454b9f71188398e5eb1a1e1c466cb59c03f0a575950</t>
  </si>
  <si>
    <t>EXHIBIT_EMAIL_20241104_1092_786fdb25,EMAIL,2024-11-04T12:02:27+00:00,100.0,CRITICAL,Email: 🛒TEMU Cart Message,786fdb2583bc097a35a7b52acc48e7f8b4047e0c15d23dfab4b15610270716cc</t>
  </si>
  <si>
    <t>EXHIBIT_EMAIL_20241112_1093_596ecf23,EMAIL,2024-11-12T16:16:30+00:00,100.0,CRITICAL,Email: 35 Weeks Pregnant: Signs of Labor to Know About,596ecf235966eaa9f4ac310de421ee7c03897ea7f42cfb3a3f82c299e964032f</t>
  </si>
  <si>
    <t>EXHIBIT_EMAIL_20241118_1094_d222dc14,EMAIL,2024-11-18T05:35:37+01:00,100.0,CRITICAL,Email: You have received 10 free spins,d222dc1485e987fc76d13c7a841413c988998d4cf5ea4641f59bc2001e871bb5</t>
  </si>
  <si>
    <t>EXHIBIT_EMAIL_20241112_1095_013b25b4,EMAIL,2024-11-12T01:54:38+00:00,100.0,CRITICAL,Email: 30% off your next 3 orders - just for you 👀,013b25b4565e2c363aeb8e4d7ddd4ec22aa8de2b082426403740bb8d834d68e2</t>
  </si>
  <si>
    <t>EXHIBIT_EMAIL_20241121_1096_8e268276,EMAIL,2024-11-21T12:13:12-06:00,100.0,CRITICAL,Email: For you: As low as 0% APR at Amazon.ca,8e2682761009c94281fd05df6840e9f347c3da0cd23507d690af0ec1e4e03f8b</t>
  </si>
  <si>
    <t>EXHIBIT_EMAIL_20241117_1097_520402ea,EMAIL,2024-11-17T06:36:55+00:00,100.0,CRITICAL,"Email: Design anytime, anywhere 🌍✨",520402ea15b426dea0e63b4738c874c4119fa3599b98517329e6f5f9ecc0891b</t>
  </si>
  <si>
    <t>EXHIBIT_EMAIL_20250114_1098_e344d025,EMAIL,2025-01-14T17:55:43-04:00,100.0,CRITICAL,Email: Re: Obtaining the things to care for her.,e344d025f2595fb466a97c1551651870120cda4186323b55955bef0835fea02b</t>
  </si>
  <si>
    <t>EXHIBIT_EMAIL_20250114_1099_3a56bd0f,EMAIL,2025-01-14T17:38:04-04:00,100.0,CRITICAL,Email: Re: Obtaining the things to care for her.,3a56bd0f23362ca2330e1f0d21661b6c441c44a14cf803ab7a69e0426d29c874</t>
  </si>
  <si>
    <t>EXHIBIT_EMAIL_20250114_1100_8f2c5dd8,EMAIL,2025-01-14T17:31:00-04:00,100.0,CRITICAL,Email: Re: Obtaining the things to care for her.,8f2c5dd8501d53062779248a2c700081b6074a9ae7f2221a60aa253f51da864f</t>
  </si>
  <si>
    <t>EXHIBIT_EMAIL_20250114_1101_febc2a56,EMAIL,2025-01-14T16:39:38-04:00,100.0,CRITICAL,Email: Re: Obtaining the things to care for her.,febc2a563e370ea2588d6c7d5ea357b5c70239fe08f05c9e9c5bba31216a5601</t>
  </si>
  <si>
    <t>EXHIBIT_EMAIL_20250114_1102_3d70f502,EMAIL,2025-01-14T15:02:57-04:00,100.0,CRITICAL,Email: Re: Obtaining the things to care for her.,3d70f502e201d19e32bf24316fca2b113097e5761eb7480bdec44322ca128730</t>
  </si>
  <si>
    <t>EXHIBIT_EMAIL_20250114_1103_a2ed6a27,EMAIL,2025-01-14T13:48:07-04:00,100.0,CRITICAL,Email: Re: Obtaining the things to care for her.,a2ed6a27642c10595180a4b407a3033698ffd8589d4430812a2de2b0704a353c</t>
  </si>
  <si>
    <t>EXHIBIT_EMAIL_20250114_1104_3ae7f6c0,EMAIL,2025-01-14T13:44:52-04:00,100.0,CRITICAL,Email: Re: Obtaining the things to care for her.,3ae7f6c00fad3ce25b6dbfe3b0c994c0eea6702335212a10fa69ca5fc3fb5457</t>
  </si>
  <si>
    <t>EXHIBIT_EMAIL_20250114_1105_6e0a837a,EMAIL,2025-01-14T13:32:30-04:00,100.0,CRITICAL,Email: Re: Obtaining the things to care for her.,6e0a837ab3ddf16141a90e661b24661283026a5a8994d1f19e2e050d21e35c66</t>
  </si>
  <si>
    <t>EXHIBIT_EMAIL_20250114_1106_313a187d,EMAIL,2025-01-14T13:28:38-04:00,100.0,CRITICAL,Email: Re: Obtaining the things to care for her.,313a187d0c9098b2f7e1e758accba8e760d4616db7f880b431fe0e684523823d</t>
  </si>
  <si>
    <t>EXHIBIT_EMAIL_20250114_1107_ada304b2,EMAIL,2025-01-14T13:07:50-04:00,100.0,CRITICAL,Email: Re: Obtaining the things to care for her.,ada304b2c2531318824d3fa9033d48b9e00a43a5207e0d953f255661bfeb2e71</t>
  </si>
  <si>
    <t>EXHIBIT_EMAIL_20250114_1108_f008927f,EMAIL,2025-01-14T12:31:34-04:00,100.0,CRITICAL,Email: Re: Obtaining the things to care for her.,f008927f64452f173b4162c3dbb968c0e9faea068c90141f42fa4d401b23dce5</t>
  </si>
  <si>
    <t>EXHIBIT_EMAIL_20250114_1109_9294f9cc,EMAIL,2025-01-14T12:04:33-04:00,100.0,CRITICAL,Email: Re: Obtaining the things to care for her.,9294f9cce0a5433404d1b88dda81ad9e5edcb673c4e7fb660f9f5a2326ead9ec</t>
  </si>
  <si>
    <t>EXHIBIT_EMAIL_20250114_1110_21dae676,EMAIL,2025-01-14T12:03:06-04:00,100.0,CRITICAL,Email: Re: Obtaining the things to care for her.,21dae67694a86e08ebfef68d9ab0009398e6cb9037775bdfcf8a5c799a48ad36</t>
  </si>
  <si>
    <t>EXHIBIT_EMAIL_20250114_1111_d1c411ad,EMAIL,2025-01-14T11:57:53-04:00,100.0,CRITICAL,Email: Re: Obtaining the things to care for her.,d1c411adb4b079f8fa02d21c93834369e7f65a03aa3b8671ac916e508faf0260</t>
  </si>
  <si>
    <t>EXHIBIT_EMAIL_20250114_1112_a2df267e,EMAIL,2025-01-14T11:57:42-04:00,100.0,CRITICAL,Email: Re: Obtaining the things to care for her.,a2df267e4412ef1e230635ccc84d5752d63655ff3e928fc21d1c49210d96b410</t>
  </si>
  <si>
    <t>EXHIBIT_EMAIL_20250114_1113_fc715662,EMAIL,2025-01-14T11:57:26-04:00,100.0,CRITICAL,Email: Re: Obtaining the things to care for her.,fc715662d67a16bb1e5587bacba83217af9eb234f0c543ef4d405af0a35ce4e0</t>
  </si>
  <si>
    <t>EXHIBIT_EMAIL_20250114_1114_11565e2a,EMAIL,2025-01-14T11:57:12-04:00,100.0,CRITICAL,Email: Re: Obtaining the things to care for her.,11565e2abf4eed4b75ce8ab4316f2ceefa7a23446a15e59250aa9a90969b3084</t>
  </si>
  <si>
    <t>EXHIBIT_EMAIL_20250114_1115_14a921ca,EMAIL,2025-01-14T11:56:47-04:00,100.0,CRITICAL,Email: Re: Obtaining the things to care for her.,14a921cac44b970dcc7257f0c61bddb590bb9177b50c538334c6f4a9dababc50</t>
  </si>
  <si>
    <t>EXHIBIT_EMAIL_20250114_1116_139b5d53,EMAIL,2025-01-14T11:56:20-04:00,100.0,CRITICAL,Email: Re: Obtaining the things to care for her.,139b5d53df82812233720de7f2d93757369b47a844397a685bb6b520fb5e08ba</t>
  </si>
  <si>
    <t>EXHIBIT_EMAIL_20250114_1117_5040605c,EMAIL,2025-01-14T11:54:15-04:00,100.0,CRITICAL,Email: Re: Obtaining the things to care for her.,5040605cb4053e3e17c6782f76afc042ec6e4fbdc15b0405284446ee8e124d7a</t>
  </si>
  <si>
    <t>EXHIBIT_EMAIL_20250114_1118_3773acd8,EMAIL,2025-01-14T11:53:58-04:00,100.0,CRITICAL,Email: Re: Obtaining the things to care for her.,3773acd8366b9db22e3335746543ad88170acb1c10818503d6bdd599ac31d2a3</t>
  </si>
  <si>
    <t>EXHIBIT_EMAIL_20250114_1119_c015020b,EMAIL,2025-01-14T11:53:35-04:00,100.0,CRITICAL,Email: Re: Obtaining the things to care for her.,c015020b70dc5901963b51c960e3a8c880dcd88d904b5516044677e047f3a1c1</t>
  </si>
  <si>
    <t>EXHIBIT_EMAIL_20250114_1120_c1fc0a4e,EMAIL,2025-01-14T11:53:24-04:00,100.0,CRITICAL,Email: Re: Obtaining the things to care for her.,c1fc0a4ebb57f404a085be2f7b8a15cab1f2b063ab05a269663aa07d8532cb78</t>
  </si>
  <si>
    <t>EXHIBIT_EMAIL_20250114_1121_6828a946,EMAIL,2025-01-14T11:53:07-04:00,100.0,CRITICAL,Email: Re: Obtaining the things to care for her.,6828a9463f187eca5e724feb8f013640fc53c2c368d9f5244ff3a0c997a2068d</t>
  </si>
  <si>
    <t>EXHIBIT_EMAIL_20250114_1122_46b3909e,EMAIL,2025-01-14T11:52:29-04:00,100.0,CRITICAL,Email: Re: Obtaining the things to care for her.,46b3909e0fd863470a52494010cca2dd4c47315474f8b14e48025e65f52977e4</t>
  </si>
  <si>
    <t>EXHIBIT_EMAIL_20250114_1123_8ee06224,EMAIL,2025-01-14T11:52:05-04:00,100.0,CRITICAL,Email: Re: Obtaining the things to care for her.,8ee0622460717fe54205a760fa3c1717e4a1fe434df138800998a82d8b30261f</t>
  </si>
  <si>
    <t>EXHIBIT_EMAIL_20250114_1124_4f45ef1e,EMAIL,2025-01-14T11:51:37-04:00,100.0,CRITICAL,Email: Re: Obtaining the things to care for her.,4f45ef1e80c4d1f9326ca4124be7b10c614b2e6f9aa22e3335368dff544f7b87</t>
  </si>
  <si>
    <t>EXHIBIT_EMAIL_20250114_1125_e6c4567b,EMAIL,2025-01-14T11:49:30-04:00,100.0,CRITICAL,Email: Re: Obtaining the things to care for her.,e6c4567bf0fec8e97297d88631482d2e1fc710ddfa63be26132fcc6a78d79444</t>
  </si>
  <si>
    <t>EXHIBIT_EMAIL_20250114_1126_2f3e6de3,EMAIL,2025-01-14T11:47:25-04:00,100.0,CRITICAL,Email: Re: Obtaining the things to care for her.,2f3e6de3e2cd33d668ef0b4a223f7fd0302c34bb9d5fa2886041d66bf77a7b0f</t>
  </si>
  <si>
    <t>EXHIBIT_EMAIL_20250114_1127_5d03510e,EMAIL,2025-01-14T11:46:57-04:00,100.0,CRITICAL,Email: Re: Obtaining the things to care for her.,5d03510e1313e1d1c54d891b4e98429832771df76cab50b92c00ad4f6d14ff34</t>
  </si>
  <si>
    <t>EXHIBIT_EMAIL_20250114_1128_63c90106,EMAIL,2025-01-14T11:46:21-04:00,100.0,CRITICAL,Email: Re: Obtaining the things to care for her.,63c90106f1f1cc1d841cc65008265f8091dd084e0e2b661ab9adc65c9a128ea4</t>
  </si>
  <si>
    <t>EXHIBIT_EMAIL_20250114_1129_f15bcc33,EMAIL,2025-01-14T11:45:10-04:00,100.0,CRITICAL,Email: Re: Obtaining the things to care for her.,f15bcc3366851fcf58e2713f6ac808e23bcebbf706c12678572c9bfc4945e0c6</t>
  </si>
  <si>
    <t>EXHIBIT_EMAIL_20250114_1130_d496673b,EMAIL,2025-01-14T11:43:39-04:00,100.0,CRITICAL,Email: Re: Obtaining the things to care for her.,d496673ba9b792be522c233daef245bc7106ba83f8cecec76503b4d5ebae0bd5</t>
  </si>
  <si>
    <t>EXHIBIT_EMAIL_20250114_1131_74c85dce,EMAIL,2025-01-14T11:42:32-04:00,100.0,CRITICAL,Email: Re: Obtaining the things to care for her.,74c85dced24b41dd6bec22cb61b4c62e2f69e8b44cac379b77aebe0d5e2a21ad</t>
  </si>
  <si>
    <t>EXHIBIT_EMAIL_20250114_1132_1b8760e6,EMAIL,2025-01-14T11:41:41-04:00,100.0,CRITICAL,Email: Re: Obtaining the things to care for her.,1b8760e69a737836b41c2bb99daf0c6e9b14145e377b4e7bcfcf61b3dc32ae05</t>
  </si>
  <si>
    <t>EXHIBIT_EMAIL_20250114_1133_fdff2d01,EMAIL,2025-01-14T11:37:02-04:00,100.0,CRITICAL,Email: Re: Obtaining the things to care for her.,fdff2d01915822021f26280eafef987fda3b0bc89b329e03673cce91636c8214</t>
  </si>
  <si>
    <t>EXHIBIT_EMAIL_20250114_1134_04952a10,EMAIL,2025-01-14T11:36:40-04:00,100.0,CRITICAL,Email: Re: Obtaining the things to care for her.,04952a107255ea369057fd33a221204436c012d632b0b4263ee4aa8f67f97ffc</t>
  </si>
  <si>
    <t>EXHIBIT_EMAIL_20250114_1135_5a686cf1,EMAIL,2025-01-14T11:36:32-04:00,100.0,CRITICAL,Email: Re: Obtaining the things to care for her.,5a686cf1ae16307d89bdd612fd80338c225559fe01f88de6f885318133c1386a</t>
  </si>
  <si>
    <t>EXHIBIT_EMAIL_20250114_1136_34aeeb56,EMAIL,2025-01-14T11:36:00-04:00,100.0,CRITICAL,Email: Re: Obtaining the things to care for her.,34aeeb566aca192072a5edff1cb78ce5867620bca85335f6a9b6f0811554c335</t>
  </si>
  <si>
    <t>EXHIBIT_EMAIL_20250114_1137_76277fda,EMAIL,2025-01-14T11:35:56-04:00,100.0,CRITICAL,Email: Re: Obtaining the things to care for her.,76277fdaf002ee8430d5a47a8e78082431cc893edd7e0d28877322b9540b7706</t>
  </si>
  <si>
    <t>EXHIBIT_EMAIL_20250114_1138_55739950,EMAIL,2025-01-14T11:35:20-04:00,100.0,CRITICAL,Email: Re: Obtaining the things to care for her.,55739950a57e37598a0ec0b0b2944cfa33e21f5de20613a5e2ddf1cf36918ec3</t>
  </si>
  <si>
    <t>EXHIBIT_EMAIL_20250114_1139_e17c0ff3,EMAIL,2025-01-14T11:34:32-04:00,100.0,CRITICAL,Email: Re: Obtaining the things to care for her.,e17c0ff390dc02bbf29ad1c9f6240629e05f2d1e0b585613442b93fdf682505b</t>
  </si>
  <si>
    <t>EXHIBIT_EMAIL_20250114_1140_02a174d8,EMAIL,2025-01-14T11:33:23-04:00,100.0,CRITICAL,Email: Re: Obtaining the things to care for her.,02a174d8ef0e573ae36d85858e4a25398376ec0fede0657ac8b269c6095b7991</t>
  </si>
  <si>
    <t>EXHIBIT_EMAIL_20250114_1141_f95c565c,EMAIL,2025-01-14T11:32:36-04:00,100.0,CRITICAL,Email: Re: Obtaining the things to care for her.,f95c565c1042cfaf4df1352f08f103bd111cab0cde26403c0d39fa04c5a5bc38</t>
  </si>
  <si>
    <t>EXHIBIT_EMAIL_20250114_1142_20877556,EMAIL,2025-01-14T11:23:32-04:00,100.0,CRITICAL,Email: Re: Obtaining the things to care for her.,208775566272f83a9730e0bfa25c6f7b23660f1dfe3dcaa9aea7e785a0dbd0fe</t>
  </si>
  <si>
    <t>EXHIBIT_EMAIL_20250114_1143_603560b0,EMAIL,2025-01-14T11:25:48-04:00,100.0,CRITICAL,Email: Re: Obtaining the things to care for her.,603560b06686ca104b832708c5b2470e2a28691fb7cf4f16b8a120aec810d467</t>
  </si>
  <si>
    <t>EXHIBIT_EMAIL_20250114_1144_70ef2a9d,EMAIL,2025-01-14T11:24:59-04:00,100.0,CRITICAL,Email: Re: Obtaining the things to care for her.,70ef2a9d1d333ad0e13c625acfdf5927aaa7c0458075b9e401bf7558a0a83b82</t>
  </si>
  <si>
    <t>EXHIBIT_EMAIL_20250114_1145_e8b98a13,EMAIL,2025-01-14T11:22:31-04:00,100.0,CRITICAL,Email: Fwd: Re: Obtaining the things to care for her.,e8b98a135e8a592b9dcb029e36c6c5abaef396a3a9b456f3e0bcdad6b34bfe8e</t>
  </si>
  <si>
    <t>EXHIBIT_EMAIL_20250114_1146_18c9b114,EMAIL,2025-01-14T11:22:10-04:00,100.0,CRITICAL,Email: Re: Obtaining the things to care for her.,18c9b114bcb6363147d70ff6e38ce31acddec08fd45d8d21d3968b6917056359</t>
  </si>
  <si>
    <t>EXHIBIT_EMAIL_20250114_1147_57f52917,EMAIL,2025-01-14T11:21:49-04:00,100.0,CRITICAL,Email: Re: Obtaining the things to care for her.,57f5291750fe691477514fe6a64fea3f1ddcfb6107be63ce69f915bb095b0f4d</t>
  </si>
  <si>
    <t>EXHIBIT_EMAIL_20250114_1148_0e24cc1a,EMAIL,2025-01-14T11:20:27-04:00,100.0,CRITICAL,Email: Re: Obtaining the things to care for her.,0e24cc1ade01d60c5e955d2be2fea91ef880226d33e02c64924f7abf37ab8ffe</t>
  </si>
  <si>
    <t>EXHIBIT_EMAIL_20250114_1149_acd925e2,EMAIL,2025-01-14T11:20:02-04:00,100.0,CRITICAL,Email: Re: Obtaining the things to care for her.,acd925e27e6875c78be303a934d7c74dc5cf3daf766bbeb1c257c97150735297</t>
  </si>
  <si>
    <t>EXHIBIT_EMAIL_20250114_1150_4ab2dc79,EMAIL,2025-01-14T11:20:38-04:00,100.0,CRITICAL,Email: Re: Obtaining the things to care for her.,4ab2dc7970dd447fb841954e9c49f9feaa942e914f5b1f2b8632e025c808c687</t>
  </si>
  <si>
    <t>EXHIBIT_EMAIL_20250114_1151_6342ee63,EMAIL,2025-01-14T11:20:20-04:00,100.0,CRITICAL,Email: Re: Obtaining the things to care for her.,6342ee633533370a3ab9c1e2968a6ce62d7a47e63e19f35a7fe6c4fc11002f4d</t>
  </si>
  <si>
    <t>EXHIBIT_EMAIL_20250114_1152_4a34df22,EMAIL,2025-01-14T11:19:17-04:00,100.0,CRITICAL,Email: Re: Obtaining the things to care for her.,4a34df22a63ef2de9ede08ef568623d4dac77a6892a5510b34f5be7b79eac04b</t>
  </si>
  <si>
    <t>EXHIBIT_EMAIL_20250114_1153_a7d8f5b4,EMAIL,2025-01-14T11:19:30-04:00,100.0,CRITICAL,Email: Re: Obtaining the things to care for her.,a7d8f5b45fae705928356638421f0c8dc4a606449bb6316e70ba9212347ac3ac</t>
  </si>
  <si>
    <t>EXHIBIT_EMAIL_20250114_1154_1342c561,EMAIL,2025-01-14T11:19:06-04:00,100.0,CRITICAL,Email: Re: Obtaining the things to care for her.,1342c56142efdbc2161d36d28bbfe82a6be9b461860df534ef706e7dd1881ef8</t>
  </si>
  <si>
    <t>EXHIBIT_EMAIL_20250114_1155_93907da2,EMAIL,2025-01-14T11:18:25-04:00,100.0,CRITICAL,Email: Re: Obtaining the things to care for her.,93907da2c0abeddb470ed54e372694ac9120130a332530337a39d1c4ddb61df3</t>
  </si>
  <si>
    <t>EXHIBIT_EMAIL_20250114_1156_deab2135,EMAIL,2025-01-14T11:18:31-04:00,100.0,CRITICAL,Email: Re: Obtaining the things to care for her.,deab2135edc5e5b66483ee8d01bfb1583c837f12c899dbe0dc6d35636cdf1fb5</t>
  </si>
  <si>
    <t>EXHIBIT_EMAIL_20250114_1157_22bdeeb5,EMAIL,2025-01-14T11:17:41-04:00,100.0,CRITICAL,Email: Re: Obtaining the things to care for her.,22bdeeb5e31626eadda6aa786d37d72ee0d39d108e36c10ed49bdc3d49cdd575</t>
  </si>
  <si>
    <t>EXHIBIT_EMAIL_20250114_1158_4bb5c5aa,EMAIL,2025-01-14T11:16:29-04:00,100.0,CRITICAL,Email: Re: Obtaining the things to care for her.,4bb5c5aa810c01987c2f0a436ba14c1659702e165c849542903ab7d895f35f94</t>
  </si>
  <si>
    <t>EXHIBIT_EMAIL_20250114_1159_cbccb55b,EMAIL,2025-01-14T11:05:48-04:00,100.0,CRITICAL,Email: Re: Obtaining the things to care for her.,cbccb55bae7a07811111ccd29609fdcaa1fc65741120a2c7f74644cdc506fd6a</t>
  </si>
  <si>
    <t>EXHIBIT_EMAIL_20250114_1160_c68377a5,EMAIL,2025-01-14T10:55:18-04:00,100.0,CRITICAL,Email: Re: Obtaining the things to care for her.,c68377a54f73087c7bd88a21c17312ca29d6b1ff567b37ffabdcb9abc497d729</t>
  </si>
  <si>
    <t>EXHIBIT_EMAIL_20250114_1161_5ac709a6,EMAIL,2025-01-14T10:54:30-04:00,100.0,CRITICAL,Email: Re: Obtaining the things to care for her.,5ac709a63817f86fbc271cffcf1931ce640c011d675b523b3cf818dd561dec77</t>
  </si>
  <si>
    <t>EXHIBIT_EMAIL_20250114_1162_930e26b0,EMAIL,2025-01-14T10:52:31-04:00,100.0,CRITICAL,Email: Re: Obtaining the things to care for her.,930e26b0814f57ae19cd9355b7598b6636252ec5f3348a38697f2435a7d5bf53</t>
  </si>
  <si>
    <t>EXHIBIT_EMAIL_20250114_1163_cc4c874b,EMAIL,2025-01-14T10:51:59-04:00,100.0,CRITICAL,Email: Re: Obtaining the things to care for her.,cc4c874bf18d45d41cc8b923f09bf9aaf9ae5edf5db2478ec284cdda508a5ed8</t>
  </si>
  <si>
    <t>EXHIBIT_EMAIL_20250114_1164_102ac7f2,EMAIL,2025-01-14T10:44:10-04:00,100.0,CRITICAL,Email: Re: Obtaining the things to care for her.,102ac7f259df101b32bdae5cbae40f9f5bf5763edfd7de69bd5f1a2415ad1f5e</t>
  </si>
  <si>
    <t>EXHIBIT_EMAIL_20250114_1165_4041f686,EMAIL,2025-01-14T10:43:19-04:00,100.0,CRITICAL,Email: Re: Obtaining the things to care for her.,4041f686f78903bcd7cb241f49ff44bd39c463f00ebade2bbd998c71615f9208</t>
  </si>
  <si>
    <t>EXHIBIT_EMAIL_20250114_1166_4f97f3f2,EMAIL,2025-01-14T10:42:33-04:00,100.0,CRITICAL,Email: Obtaining the things to care for her.,4f97f3f2d10b73d857be3f9bd62f67eee957a3368df3d58e9f5b481301ab3316</t>
  </si>
  <si>
    <t>EXHIBIT_EMAIL_20241115_1167_8cae8e9a,EMAIL,2024-11-15T09:06:22-06:00,100.0,CRITICAL,Email: Join for 30% off this Black Friday,8cae8e9a69dcab5a19ab93677f9c5a39d05f6547798f17ffb2790b6110579fe1</t>
  </si>
  <si>
    <t>EXHIBIT_EMAIL_20241101_1168_cfc080cd,EMAIL,2024-11-01T19:25:36+00:00,100.0,CRITICAL,Email: You still have CA$90 in Credits unclaimed,cfc080cdd4c870f124dfcd29ed077d5993d9e2c7a8edcc76217017c97544660f</t>
  </si>
  <si>
    <t>EXHIBIT_EMAIL_20241109_1169_a234c6b8,EMAIL,2024-11-09T07:53:24+00:00,100.0,CRITICAL,Email: Security alert for placed.sj@gmail.com,a234c6b8fce18648f7876825d3ac441237db480432beb79b84ab4bb02172fb9b</t>
  </si>
  <si>
    <t>EXHIBIT_EMAIL_20241118_1170_f08c86aa,EMAIL,2024-11-18T20:26:09+00:00,100.0,CRITICAL,Email: BOGO deal from McDonald’s,f08c86aae69b007c34559624023322336b03643087aafe9b385c013855eca287</t>
  </si>
  <si>
    <t>EXHIBIT_EMAIL_20241119_1171_6ea0a0a7,EMAIL,2024-11-19T20:24:07+00:00,100.0,CRITICAL,Email: 50% off your next 3 orders - just for you 👀,6ea0a0a76941a82f4f1f9c88f02dae1fd5814fc5ec916c503f283deb65bab96f</t>
  </si>
  <si>
    <t>EXHIBIT_EMAIL_20241108_1172_55f14e08,EMAIL,2024-11-08T12:04:43+00:00,100.0,CRITICAL,Email: Get 2x the points and 2x the ❤️,55f14e081e3457973c3029b2cca2a57da302b42c47e68c494b8b0e8e9f7d4208</t>
  </si>
  <si>
    <t>EXHIBIT_EMAIL_20241207_1173_995c2a8b,EMAIL,2024-12-07T20:07:44+00:00,100.0,CRITICAL,Email: Offers on the flavors you love most,995c2a8b5db27aef46b411f384072364c4f8e0edc6ffc199e6e70355c670f782</t>
  </si>
  <si>
    <t>EXHIBIT_EMAIL_20241109_1174_d16d51e0,EMAIL,2024-11-09T00:12:33+00:00,100.0,CRITICAL,Email: You still have CA$90 in Credits unclaimed,d16d51e0dd172ce626af2e3d9f13195324f9cea697231359fba42704ee1c450f</t>
  </si>
  <si>
    <t>EXHIBIT_EMAIL_20241107_1175_f20fce15,EMAIL,2024-11-07T12:10:48+00:00,100.0,CRITICAL,Email: Your cart item: now 87% OFF!,f20fce157b9e994d535c7e69c47fd5d3309fa8f811489b108ad67b421c4550dc</t>
  </si>
  <si>
    <t>EXHIBIT_EMAIL_20241120_1176_e5533329,EMAIL,2024-11-20T20:05:53+00:00,100.0,CRITICAL,"Email: 35 Weeks, 5 Days Pregnant",e553332903e11c02cff359b2a21b5c13766f3d5d95bcb3ecdd4aaf04b9fd770a</t>
  </si>
  <si>
    <t>EXHIBIT_EMAIL_20241207_1177_3a50425f,EMAIL,2024-12-07T21:34:50+00:00,100.0,CRITICAL,"Email: You're in, K! Start exploring VistaPrint",3a50425fc317cd21c552dc560c0993a0228494cfab8ef57ce7c90ccd484ca309</t>
  </si>
  <si>
    <t>EXHIBIT_EMAIL_20241108_1178_e3d68a2a,EMAIL,2024-11-08T14:33:23+00:00,100.0,CRITICAL,Email: 20% off ends today,e3d68a2a15249880dc1fd1eb3eb30ca515553edc50595a78e65b64775aacf3b5</t>
  </si>
  <si>
    <t>EXHIBIT_EMAIL_20241103_1179_678b5ace,EMAIL,2024-11-03T15:02:24+00:00,100.0,CRITICAL,Email: Oops! There are 6 item(s) in your cart low in stock...,678b5ace17674f9863dac14b412e292979b837b70bbb983764fc3f5f659d88c8</t>
  </si>
  <si>
    <t>EXHIBIT_EMAIL_20241118_1180_0dabb64d,EMAIL,2024-11-18T09:37:16-06:00,100.0,CRITICAL,Email: EPIC SAVINGS ALERT! Black Friday Deals up to 50% off 🛍️,0dabb64d5cf9c4dadca059b8a894ae477e60eae7062d70397d348cfbc898ac9a</t>
  </si>
  <si>
    <t>EXHIBIT_EMAIL_20241120_1181_e3ba4a19,EMAIL,2024-11-20T21:47:45+00:00,100.0,CRITICAL,Email: Play FREE for a $1 Million Top Prize this Thanksgiving!🦃,e3ba4a1980f2b64be1c446451484d321c089aec363da13370a02a04a617431cc</t>
  </si>
  <si>
    <t>EXHIBIT_EMAIL_20241111_1182_a701edc8,EMAIL,2024-11-11T20:31:23+00:00,100.0,CRITICAL,Email: BOGO 6pc wings from Mary Brown’s Chicken 🐔,a701edc8472a92ea00231a0930ad4608a7bf2a7f2a0a4025d580bb9ef68a8cc7</t>
  </si>
  <si>
    <t>EXHIBIT_EMAIL_20241112_1183_9b4e82e2,EMAIL,2024-11-12T14:00:45+00:00,100.0,CRITICAL,"Email: 🎁 SJ PLACED, Claim Your Black Friday Exclusive VIP access 🎉",9b4e82e21a4b3d1c5e0af99959212fb919ffa94adb895d637b9871ba696ef127</t>
  </si>
  <si>
    <t>EXHIBIT_EMAIL_20241103_1184_0fc71264,EMAIL,2024-11-03T12:09:53+00:00,100.0,CRITICAL,Email: It’s the most wonderful day of the year!,0fc71264fa4f09f22dc7120ceca305147a2daefbfe09d4e39f22df8c08a08665</t>
  </si>
  <si>
    <t>EXHIBIT_EMAIL_20241118_1185_fb18080b,EMAIL,2024-11-18T05:08:53+01:00,100.0,CRITICAL,"Email: vroofn, you have free spins on Getaway Gangsters! 🔪",fb18080b424bb092058b08af19775b4af446e9dc8b27e89449a17ee807e15837</t>
  </si>
  <si>
    <t>EXHIBIT_EMAIL_20241201_1186_8e1147de,EMAIL,2024-12-01T09:28:41-06:00,100.0,CRITICAL,Email: Holiday hosting picks at low prices 🍽️,8e1147de3c06ec4378a51c3dfe202c49cd012eaee4049caa75509cb50536b01b</t>
  </si>
  <si>
    <t>EXHIBIT_EMAIL_20241110_1187_6d8ba92c,EMAIL,2024-11-10T12:10:47+00:00,100.0,CRITICAL,Email: Your cart item: now 80% OFF!,6d8ba92ce8ac17cad0c9a2725db6420cefa07eaee1d1f08f7a06774586698da2</t>
  </si>
  <si>
    <t>EXHIBIT_EMAIL_20241223_1188_2cf32f6c,EMAIL,2024-12-23T06:50:18-08:00,100.0,CRITICAL,Email: Go beyond the borders of an image,2cf32f6c4b1b7669e631c22e8298bac9cd31c054ad899b4d6dd582572ad0c2dd</t>
  </si>
  <si>
    <t>EXHIBIT_EMAIL_20241108_1189_fe1c563f,EMAIL,2024-11-08T13:01:48-06:00,100.0,CRITICAL,Email: Holiday Rollbacks 💥 Up to 30% off!,fe1c563f82bd73b8fb992b0d7772f568e14e1af4ce6d94e2f75066b503d36c6f</t>
  </si>
  <si>
    <t>EXHIBIT_EMAIL_20250206_1190_33db31e2,EMAIL,2025-02-06T20:00:04+00:00,100.0,CRITICAL,Email: Your cart item: now 86% OFF!,33db31e2769c09e33f927b85cf1e8daefd91b73da381388456e4b6352ad93ccf</t>
  </si>
  <si>
    <t>EXHIBIT_EMAIL_20241113_1191_c2e34ed0,EMAIL,2024-11-13T13:29:21+00:00,100.0,CRITICAL,Email: 📥 Automate with RSS feeds 📥,c2e34ed000469976d4704f1fcdc332b78b46e22807e6421a96fd60ee079daf47</t>
  </si>
  <si>
    <t>EXHIBIT_EMAIL_20241107_1192_99a99c02,EMAIL,2024-11-07T00:12:42+00:00,100.0,CRITICAL,"Email: @Cali Boyd, You've received CA$11.69 Treat!",99a99c02cc78e67ca176d661bc8d6237b0fd6c50ca5fdd870a97a254ae40577b</t>
  </si>
  <si>
    <t>EXHIBIT_EMAIL_20241121_1193_3d27370e,EMAIL,2024-11-21T20:45:18+00:00,100.0,CRITICAL,Email: Type your Zap idea + watch AI create it!,3d27370e64c3c71a651e21244a120857da64df42d5efb1adf6d6e793bdc97724</t>
  </si>
  <si>
    <t>EXHIBIT_EMAIL_20250128_1194_73b742d5,EMAIL,2025-01-28T08:53:09-06:00,100.0,CRITICAL,"Email: Epic beaches, big cities, great savings",73b742d5aa0576cd56ad4cdee29dbc0ab65b27b8a09563f7d748a90b6d5e78b6</t>
  </si>
  <si>
    <t>EXHIBIT_EMAIL_20241110_1195_5d5494f6,EMAIL,2024-11-10T20:07:29+00:00,100.0,CRITICAL,Email: Bring on the savings 🥳,5d5494f6d718366a4f428d1118dba6321bc4f444b0af40f69d88612862cbf43e</t>
  </si>
  <si>
    <t>EXHIBIT_EMAIL_20241106_1196_f8e86c38,EMAIL,2024-11-06T16:39:50-06:00,100.0,CRITICAL,"Email: Craig, your special savings are here!",f8e86c38df88b2fb37de6f710ff61a515d90ab827ae82271035449dd27b5633c</t>
  </si>
  <si>
    <t>EXHIBIT_EMAIL_20250115_1197_1387985e,EMAIL,2025-01-15T15:09:19-06:00,100.0,CRITICAL,Email: The month just got a lot better with these offers!,1387985e798f29dac23afbfb8d3c52f9d724b870b7a37b8d2383c34689cbfc3f</t>
  </si>
  <si>
    <t>EXHIBIT_EMAIL_20241102_1198_2bee49bd,EMAIL,2024-11-02T13:05:43+00:00,100.0,CRITICAL,Email: 19 pregnancy superfoods &amp; 2025 name predictions,2bee49bd835bdc00f9b94d08fb248ed061a45840726331d0d3e0bc13235f330a</t>
  </si>
  <si>
    <t>EXHIBIT_EMAIL_20241102_1199_a116b7a5,EMAIL,2024-11-02T01:18:42+00:00,100.0,CRITICAL,Email: A breast pump with a tongue?,a116b7a5db5e0a6e7314c96e83b523b8f5862da391903782cbbf58896f624ebb</t>
  </si>
  <si>
    <t>EXHIBIT_EMAIL_20250214_1200_f9cca990,EMAIL,2025-02-14T18:07:29-08:00,100.0,CRITICAL,"Email: charliewharlie369, catch up on moments you've missed",f9cca990cef70f76afe9031ee1c6e088ee8a169e7f4893b5bbab318acc751dc4</t>
  </si>
  <si>
    <t>EXHIBIT_EMAIL_20241124_1201_2324532a,EMAIL,2024-11-24T15:00:23+01:00,100.0,CRITICAL,Email: il ne reste plus beaucoup de temps pour profiter des 60 % de rabais,2324532ac20cefe699ae0c0b66eb5664fc06a4dc7816cf577f15ac8ad887a4a8</t>
  </si>
  <si>
    <t>EXHIBIT_EMAIL_20241105_1202_2f01cf0c,EMAIL,2024-11-05T23:07:43+00:00,100.0,CRITICAL,Email: Security alert for lunacraigcep@gmail.com,2f01cf0c3d456f5495f9afa8ca3c098092c5d8ff3c75f8cc51fc2de777c6ecb1</t>
  </si>
  <si>
    <t>EXHIBIT_EMAIL_20250203_1203_06245a3b,EMAIL,2025-02-03T14:30:50-05:00,100.0,CRITICAL,Email: It's Black History Month,06245a3b343f983eeee1bbf1d4a54fa1011af8dfca8a292324964f6512fb8df9</t>
  </si>
  <si>
    <t>EXHIBIT_EMAIL_20250104_1204_878acbfd,EMAIL,2025-01-04T15:01:34+00:00,100.0,CRITICAL,Email: Get the gifts you really want,878acbfdc7fbb77fd4fc8f4fe58e494c88fcc5970dea15a2c111e402745e517b</t>
  </si>
  <si>
    <t>EXHIBIT_EMAIL_20241220_1205_31c99f20,EMAIL,2024-12-20T19:24:53+00:00,100.0,CRITICAL,Email: 🎉 Kickstart 2025: Your January Social Media Calendar Inside!,31c99f2017242db6521969e5d95a1a93a6a31945f555abf8f856069ac6486270</t>
  </si>
  <si>
    <t>EXHIBIT_EMAIL_20250108_1206_e9ee59bc,EMAIL,2025-01-08T11:01:13+00:00,100.0,CRITICAL,Email: Action required: Please verify your email,e9ee59bc1da6d116dc42693be3f00001d6ddf7ae35baa058e7a6e3e0f5fc1eda</t>
  </si>
  <si>
    <t>EXHIBIT_EMAIL_20241202_1207_f59659f9,EMAIL,2024-12-02T18:55:31-08:00,100.0,CRITICAL,"Email: charliewharlie369, see crystallayden, loganref and more in your feed",f59659f9274dc03879eb377440f17726bf059ef0e868420ba0b9ad341ccfc122</t>
  </si>
  <si>
    <t>EXHIBIT_EMAIL_20241102_1208_13522f1e,EMAIL,2024-11-02T02:00:29+00:00,100.0,CRITICAL,Email: We fished 100 USD Chip for You ⛵,13522f1e0fd18a72ce967f7e961f0582c6d05a88a52600d566a32c76c2b7d2cb</t>
  </si>
  <si>
    <t>EXHIBIT_EMAIL_20241109_1209_5d4916d5,EMAIL,2024-11-09T09:49:34-06:00,100.0,CRITICAL,Email: Don’t miss BLACK FRIDAY EARLY DEALS 🚨,5d4916d5d3576fbd2a23f60a9e94111d518905f20a2292f961d4cd4cb2d6b544</t>
  </si>
  <si>
    <t>EXHIBIT_EMAIL_20241106_1210_24b23d14,EMAIL,2024-11-06T20:10:39+00:00,100.0,CRITICAL,Email: Tasty offers are waiting,24b23d14119a6f395a2754aa7c7f09895996ac5f7b6e5e7d6bd1f0f02f11ea6c</t>
  </si>
  <si>
    <t>EXHIBIT_EMAIL_20241116_1211_52ae0736,EMAIL,2024-11-16T00:21:53+00:00,100.0,CRITICAL,Email: Awfully sorry for the delay,52ae0736e880583db793b247438a1cd9ed499b614618c8e3d7335dd9a3771b06</t>
  </si>
  <si>
    <t>EXHIBIT_EMAIL_20241113_1212_b60afbf4,EMAIL,2024-11-13T20:33:53+00:00,100.0,CRITICAL,Email: Get these deals while they’re hot,b60afbf428911b7c357e3323b3b6212c6d1fd4a3a5318c36f27745b6c8b47b84</t>
  </si>
  <si>
    <t>EXHIBIT_EMAIL_20241120_1213_a823e573,EMAIL,2024-11-20T19:10:09+00:00,100.0,CRITICAL,Email: Rediscover the sound of Premium,a823e573a103e2317cafd4e3cc73221538c656d635ce459fad10c7b1f60d20d4</t>
  </si>
  <si>
    <t>EXHIBIT_EMAIL_20241106_1214_7360ac87,EMAIL,2024-11-06T09:11:03+00:00,100.0,CRITICAL,Email: 5 Furniture Trends at the Fall High Point Market | Elegant Bathroom With a Wet-Room Layout,7360ac87c17f85ebc5db1cf018e462ecce1bd7dd4970ef89bf760871e2a4d2e9</t>
  </si>
  <si>
    <t>EXHIBIT_EMAIL_20241110_1215_c61e3371,EMAIL,2024-11-10T08:13:32+00:00,100.0,CRITICAL,Email: 4 Lighting Trends at the Fall High Point Market | 5 Kitchens With Dark and Moody Details,c61e337188b8f216eebf6421c36910d6a7b8bf423130b9c8486e9f1d0f8fe23a</t>
  </si>
  <si>
    <t>EXHIBIT_EMAIL_20250104_1216_4567026e,EMAIL,2025-01-04T09:29:00-06:00,100.0,CRITICAL,Email: CLEARANCE ALERT 🚨 Save big now!,4567026ea2f6a662d24eb9ef6b6c9f21e868c12905ec5000d6e3a34be63ccab1</t>
  </si>
  <si>
    <t>EXHIBIT_EMAIL_20241225_1217_dc2ea220,EMAIL,2024-12-25T01:03:13+00:00,100.0,CRITICAL,Email: Making videos has never been easier,dc2ea2204bf3853e985e4f13ba33a6b4ac9b8c323691d202ab855a29f7841d85</t>
  </si>
  <si>
    <t>EXHIBIT_EMAIL_20241110_1218_08249de7,EMAIL,2024-11-10T12:00:07+00:00,100.0,CRITICAL,"Email: Hey Craig, use your $15 off at Walmart before it expires",08249de769b15456b732561fbbe2b7edc25fdf8535485687633bf80def7639c5</t>
  </si>
  <si>
    <t>EXHIBIT_EMAIL_20241209_1219_9e511d6b,EMAIL,2024-12-09T16:03:49+00:00,100.0,CRITICAL,"Email: Get ready for the start of something great, dawn!",9e511d6bbd347214559a728c6de42a9b0e36e12a4844a48c85e8b2dd430f3cfd</t>
  </si>
  <si>
    <t>EXHIBIT_EMAIL_20250109_1220_73c1a3e2,EMAIL,2025-01-09T09:47:11+00:00,100.0,CRITICAL,Email: Security alert for placed.sj@gmail.com,73c1a3e2d054da4e00aeca6ec7b71c332043f9700d10a5a31b2395e39702a8b2</t>
  </si>
  <si>
    <t>EXHIBIT_EMAIL_20241225_1221_80c5f4e2,EMAIL,2024-12-25T02:37:35-08:00,100.0,CRITICAL,Email: Re: Harper’s Crazy Holiday,80c5f4e2bfd1550ce87152b1ffb763e783a185c3f3644a610223267e965352aa</t>
  </si>
  <si>
    <t>EXHIBIT_EMAIL_20241225_1222_a4280970,EMAIL,2024-12-25T09:09:27+00:00,100.0,CRITICAL,Email: Re: Harper’s Crazy Holiday,a42809700e7ecb79b4b2effb909ce9590c121eb83c42a7d15c5d950bf247cb7d</t>
  </si>
  <si>
    <t>EXHIBIT_EMAIL_20241225_1223_c9e3cef8,EMAIL,2024-12-25T00:38:39-08:00,100.0,CRITICAL,Email: Re: Harper’s Crazy Holiday,c9e3cef8198b844194df1d14d5b059109751ecdbdabf6cafc6727e90fffc7bcb</t>
  </si>
  <si>
    <t>EXHIBIT_EMAIL_20241224_1224_49ee42d6,EMAIL,2024-12-24T22:21:01-08:00,100.0,CRITICAL,Email: Re: Harper’s Crazy Holiday,49ee42d641e0d5b10ea2caae7f48a896d9a51ad751997ef76aa106cb69b5f8cc</t>
  </si>
  <si>
    <t>EXHIBIT_EMAIL_20241225_1225_b975152a,EMAIL,2024-12-25T01:05:27+00:00,100.0,CRITICAL,Email: Re: Harper’s Crazy Holiday,b975152ab4b1743514268dab76bbd8cc00bba4e7daa732cd7e36577263a4998d</t>
  </si>
  <si>
    <t>EXHIBIT_EMAIL_20241224_1226_005768f5,EMAIL,2024-12-24T05:41:58-08:00,100.0,CRITICAL,Email: Harper’s Crazy Holiday,005768f5f89b35bf15f4808e3b42b7d55cc7f272ca962d0ed68ed6c34ab3aa23</t>
  </si>
  <si>
    <t>EXHIBIT_EMAIL_20241206_1227_ae6c6769,EMAIL,2024-12-06T13:37:14-05:00,100.0,CRITICAL,Email: Our Ultimate Booklover Gift Guide 🎁,ae6c67696c1beeff8ebe3b4c1ed436915a47a1b96046a8851fa0ac01c01e90af</t>
  </si>
  <si>
    <t>EXHIBIT_EMAIL_20241223_1228_3f4fb7a9,EMAIL,2024-12-23T08:02:57+00:00,100.0,CRITICAL,Email: Security alert for placed.sj@gmail.com,3f4fb7a90a0026b46fa26e820ef846b1d59147fc762699fe3f6f3a5fdd276352</t>
  </si>
  <si>
    <t>EXHIBIT_EMAIL_20241115_1229_933b9c4d,EMAIL,2024-11-15T14:25:41+00:00,100.0,CRITICAL,"Email: 📞 Hey, it’s your offers calling.",933b9c4d444568f30e70300110a95824b617486bec806549d60982a358b67994</t>
  </si>
  <si>
    <t>EXHIBIT_EMAIL_20241123_1230_02a2ee63,EMAIL,2024-11-23T19:55:44-08:00,100.0,CRITICAL,"Email: charliewharlie369, see loganref, gillian_picco and more in your feed",02a2ee631eed00ff8918c32848f0a41ed6eca2d8531ad5c5d7f4e0fb418f1dd7</t>
  </si>
  <si>
    <t>EXHIBIT_EMAIL_20250204_1231_8718525b,EMAIL,2025-02-04T14:32:43+00:00,100.0,CRITICAL,Email: Save 50% and get a free domain when you upgrade your site today,8718525b49612c5f9fbb20bd9e13dc33d45430a3a2ce73aad9a255da64545992</t>
  </si>
  <si>
    <t>EXHIBIT_EMAIL_20241103_1232_8efb9154,EMAIL,2024-11-03T20:44:59+00:00,100.0,CRITICAL,Email: Save on the tastes you crave,8efb91549f02caae8580369a05eef78a1fea9ab550cd7443c73919ef6b634d9a</t>
  </si>
  <si>
    <t>EXHIBIT_EMAIL_20241109_1233_f593f284,EMAIL,2024-11-09T20:12:42+00:00,100.0,CRITICAL,Email: 20% off Costco $90+. Last chance!,f593f2843a388f05799aa38c74b199de67e30350febe3e4fa5cc6d8efc676022</t>
  </si>
  <si>
    <t>EXHIBIT_EMAIL_20241105_1234_5f87f417,EMAIL,2024-11-05T12:10:59+00:00,100.0,CRITICAL,Email: Your cart item: now 76% OFF!,5f87f417000e191c42aa9d7d7dec60e9cbb9d8c33d63b6222911392b8cfe4838</t>
  </si>
  <si>
    <t>EXHIBIT_EMAIL_20241207_1235_86fc21d8,EMAIL,2024-12-07T00:38:43+00:00,100.0,CRITICAL,Email: Get started with some of our top collections,86fc21d86efc16cd6d93be01c9c29a271f2eb8062601008c14c62ae9c03940cc</t>
  </si>
  <si>
    <t>EXHIBIT_EMAIL_20241103_1236_5a945319,EMAIL,2024-11-03T08:00:38-06:00,100.0,CRITICAL,Email: Get Ready for Fall Adventures with Trupanion,5a9453193fd9b5830bc668576f690ea21980435ebabab5fb0b36e490021abaf8</t>
  </si>
  <si>
    <t>EXHIBIT_EMAIL_20241121_1237_e3b580ce,EMAIL,2024-11-21T11:00:25+00:00,100.0,CRITICAL,Email: Smart home for the holidays 🏠,e3b580ce5493061af4fcf20ace3ec2341799d76357c56bbe851c11c0d2ca732c</t>
  </si>
  <si>
    <t>EXHIBIT_EMAIL_20250201_1238_b8c5351d,EMAIL,2025-02-01T06:00:03+00:00,100.0,CRITICAL,"Email: vroofn, Deposit CAD 5, Get 77 Free Spins! ⚡",b8c5351d32458910b045b83f5ba0e8975be6931a682613d592ca412ae429477a</t>
  </si>
  <si>
    <t>EXHIBIT_EMAIL_20250115_1239_3bc410ae,EMAIL,2025-01-15T12:15:06+00:00,100.0,CRITICAL,Email: TWO DAYS ONLY ➡️ Semi-Annual Sale SNEAK PEEK 🤫,3bc410aeb44e2a97cccd3156a8f65fd09b4004f3bb28944695f72e52b83a1473</t>
  </si>
  <si>
    <t>EXHIBIT_EMAIL_20250101_1240_d81301d1,EMAIL,2025-01-01T07:17:23+00:00,100.0,CRITICAL,Email: Security alert for lunacraigcep@gmail.com,d81301d14d06d6980825e6d8e4a18c0a9446a596b0953aed5812cea01bb55ed9</t>
  </si>
  <si>
    <t>EXHIBIT_EMAIL_20250101_1241_249cb8f3,EMAIL,2025-01-01T07:01:58+00:00,100.0,CRITICAL,Email: Security alert for lunacraigcep@gmail.com,249cb8f3f20bfa4e8545ab34fbb63fec453e3ee0221883f91a38b935d79030c7</t>
  </si>
  <si>
    <t>EXHIBIT_EMAIL_20250101_1242_7cf98d3b,EMAIL,2025-01-01T06:42:20+00:00,100.0,CRITICAL,Email: Security alert for lunacraigcep@gmail.com,7cf98d3bf658f8d82968bffd5f6741fb2e48cf387bc66326a056402a7e0b17ea</t>
  </si>
  <si>
    <t>EXHIBIT_EMAIL_20241107_1243_c16e191e,EMAIL,2024-11-07T11:06:30-06:00,100.0,CRITICAL,Email: Choose a hotel with free cancellation options,c16e191eb9720ddbd6895e41e75e7be946407b5f995a0ca47231ac01bd10911f</t>
  </si>
  <si>
    <t>EXHIBIT_EMAIL_20241206_1244_9b45683d,EMAIL,2024-12-06T07:01:23-06:00,100.0,CRITICAL,Email: Final days to take advantage of this rental offer!,9b45683d99ec5168c803e07dce0068b6d52faa14bf8c7f7b65fcea7af21b6a10</t>
  </si>
  <si>
    <t>EXHIBIT_EMAIL_20241105_1245_aed44b97,EMAIL,2024-11-05T15:16:47-08:00,100.0,CRITICAL,Email: Microsoft account security code,aed44b97cd7c96b360c2aa0bfbe38c54d24078a1b94a4ab1f1f0297516626b48</t>
  </si>
  <si>
    <t>EXHIBIT_EMAIL_20241129_1246_dfcc9551,EMAIL,2024-11-29T17:56:51+01:00,100.0,CRITICAL,Email: jusqu’à 60 % de rabais PLUS 20 % de rabais supplémentaire,dfcc9551e446a7d819bb1286a74d7a4f22f57f1cf0b43ad488f984dea6b5523c</t>
  </si>
  <si>
    <t>EXHIBIT_EMAIL_20241110_1247_f2ca7119,EMAIL,2024-11-10T02:05:27+00:00,100.0,CRITICAL,Email: An Aldi cheese recall &amp; registry inspo for *extra* parents,f2ca71192b645cfa563f4e325c22cc7739b8e9640fc9495ca8d13828ce8d4704</t>
  </si>
  <si>
    <t>EXHIBIT_EMAIL_20241111_1248_ad3378ca,EMAIL,2024-11-11T14:00:57+01:00,100.0,CRITICAL,Email: Dernière chance de faire des réserves et d’économiser sur les cadeaux,ad3378cab59b595e4ab4e839860f5c49359f8a6d45cd9df23b3ec32862478460</t>
  </si>
  <si>
    <t>EXHIBIT_EMAIL_20250101_1249_79d94a4d,EMAIL,2025-01-01T16:10:37-06:00,100.0,CRITICAL,Email: The New Year brings new deals for you! 🎆,79d94a4d406901ca042e91fdd077a47ce6c34d5dc0e346e910a1ebd5dac79606</t>
  </si>
  <si>
    <t>EXHIBIT_EMAIL_20241206_1250_55f83770,EMAIL,2024-12-06T04:30:10+00:00,100.0,CRITICAL,"Email: vroofn, you have free spins on Coins of Christmas - Hold &amp; Win! 🧑‍🎄",55f83770e0d87faea5ca7d035fa8f05d3f314b8cdaaaf80d9b5d3f7763fd6ad7</t>
  </si>
  <si>
    <t>EXHIBIT_EMAIL_20250218_1251_d62be88e,EMAIL,2025-02-18T01:13:59+00:00,100.0,CRITICAL,Email: Luna Bagoo has accepted your invite!,d62be88e0581fc0f9733dbac23e12a85609e33893ef94839e577a340f7072fde</t>
  </si>
  <si>
    <t>EXHIBIT_EMAIL_20241110_1252_21fbd790,EMAIL,2024-11-10T20:10:44+00:00,100.0,CRITICAL,Email: I'm almost 18 and I inherited 3.5 million dollars can I live off this for the rest of...?,21fbd7907e60ee5b36bc716531df7d78ae6fe6bef7f07d108693c2f57b90037b</t>
  </si>
  <si>
    <t>EXHIBIT_EMAIL_20241107_1253_357c0251,EMAIL,2024-11-07T05:51:32-06:00,100.0,CRITICAL,Email: Clearance alert 🚨 Grab your favourites now 😊,357c0251fcc8a2570d01631ac536d90ae1e737c8c1b54f9fdbea2efbb721471b</t>
  </si>
  <si>
    <t>EXHIBIT_EMAIL_20241103_1254_4cff5830,EMAIL,2024-11-03T09:06:59-06:00,100.0,CRITICAL,Email: Our beauty gift guide is here ✨,4cff5830b51ce6614b94d0cce54290b7276b12dc41629e5b967e98e440eab82d</t>
  </si>
  <si>
    <t>EXHIBIT_EMAIL_20250121_1255_52338645,EMAIL,2025-01-21T09:14:23-06:00,100.0,CRITICAL,Email: Sale ends soon: Book now to save 25%+,523386455708cdd593776bc5a6c12ca6287eca03b04b5c8f82e10aee23e636ae</t>
  </si>
  <si>
    <t>EXHIBIT_EMAIL_20250211_1256_ea7b97ac,EMAIL,2025-02-11T00:08:36+00:00,100.0,CRITICAL,Email: 50% off is waiting for you at checkout,ea7b97ac818dee7ca332f15e01e4be0548c63289ee29d6e3fc0037fa6d965bca</t>
  </si>
  <si>
    <t>EXHIBIT_EMAIL_20241122_1257_795c3c21,EMAIL,2024-11-22T04:00:05+00:00,100.0,CRITICAL,Email: Grow Your Local Business Without Breaking the Bank,795c3c21449276ad2cd329df36c1fc42b6af7ab627da71406280595df1f983dd</t>
  </si>
  <si>
    <t>EXHIBIT_EMAIL_20241201_1258_494f500e,EMAIL,2024-12-01T10:52:49-06:00,100.0,CRITICAL,Email: 'Tis the Season for Prizes!,494f500e738129f3742b6ea7bef2afc543b10469b713ad7d8bccaac612b078c0</t>
  </si>
  <si>
    <t>EXHIBIT_EMAIL_20241219_1259_016d31d4,EMAIL,2024-12-19T09:07:14-05:00,100.0,CRITICAL,Email: ⏰ Open for Great Last-Minute Gifts,016d31d4e8124a4fb3849468db6e02755ff6da617d321006646aa4f5677c12f0</t>
  </si>
  <si>
    <t>EXHIBIT_EMAIL_20241108_1260_5158be2c,EMAIL,2024-11-08T23:04:15+00:00,100.0,CRITICAL,Email: New Product Updates ⚡️,5158be2c3bb7e5c0e6a3502581e8a18f834a76fa404b7d353e18522ec6d32769</t>
  </si>
  <si>
    <t>EXHIBIT_EMAIL_20250212_1261_869b387d,EMAIL,2025-02-12T14:20:55+00:00,100.0,CRITICAL,Email: Don't miss out—the Business Savings Event ends February 17,869b387d7d6fddc9477514774b3eb34c33e61d98087bbf894eed9a53281e7876</t>
  </si>
  <si>
    <t>EXHIBIT_EMAIL_20241108_1262_f7810eac,EMAIL,2024-11-08T09:46:51-08:00,100.0,CRITICAL,Email: Templates for your holiday content,f7810eac5f7aeed799a13a7475deb681c9028a1647fa7a773f873b0e773c6ee4</t>
  </si>
  <si>
    <t>EXHIBIT_EMAIL_20241219_1263_34574276,EMAIL,2024-12-19T20:11:22+00:00,100.0,CRITICAL,Email: Take a look at some festive favorites,34574276e87dc45a948a6785dbdb1669eb7695712768887d457fb4686667a98b</t>
  </si>
  <si>
    <t>EXHIBIT_EMAIL_20241113_1264_e13d628e,EMAIL,2024-11-13T07:01:32-06:00,100.0,CRITICAL,Email: See your account activity for October.,e13d628ea04699a001dddcd386da2514e0be5ae9913484163cb4b76c0b2fb3e0</t>
  </si>
  <si>
    <t>EXHIBIT_EMAIL_20241120_1265_79f60317,EMAIL,2024-11-20T01:47:24+00:00,100.0,CRITICAL,Email: 50% off is waiting for you at checkout,79f6031799a58b1cc53567e738966e5d979cac26b5f219612c0f035bd5a44baa</t>
  </si>
  <si>
    <t>EXHIBIT_EMAIL_20241207_1266_0cd5cb3b,EMAIL,2024-12-07T16:30:40+00:00,100.0,CRITICAL,Email: Our apologies for the urgency,0cd5cb3b291ef895f418775c462e8720e83c47f5293f74ab0b0a53597466cd35</t>
  </si>
  <si>
    <t>EXHIBIT_EMAIL_20250203_1267_6ba40c63,EMAIL,2025-02-03T14:59:39+01:00,100.0,CRITICAL,Email: Voici un cadeau pour la Saint-Valentin : 40 % sur les articlesà prix régulier et 30 % sur les soldes,6ba40c6355d8946cac8e0a3432872ffcfac07ee32eb08eb497886ba578096908</t>
  </si>
  <si>
    <t>EXHIBIT_EMAIL_20241105_1268_c7da2edd,EMAIL,2024-11-05T09:30:42-06:00,100.0,CRITICAL,Email: Save 10%+ on VIP Access hotels with Member Prices,c7da2edd2adf51df98d7eb8eed809be2d1e73a717846963dfc42d383325a3d19</t>
  </si>
  <si>
    <t>EXHIBIT_EMAIL_20241112_1269_e30a0ed9,EMAIL,2024-11-12T14:34:04+00:00,100.0,CRITICAL,Email: Save 50% and get a free domain when you upgrade your site today,e30a0ed9fe0d4356260f2e8567cca6c1675627c592587b8df9132e306d1a9252</t>
  </si>
  <si>
    <t>EXHIBIT_EMAIL_20250103_1270_790da6d6,EMAIL,2025-01-03T00:50:07-03:00,100.0,CRITICAL,"Email: C W shared the folder ""Pictures"" with you",790da6d6b433e454e700cd2c7c6c28178d7f9267669aec0d8f3c0e0a96dd4eee</t>
  </si>
  <si>
    <t>EXHIBIT_EMAIL_20241127_1271_2f47dfa8,EMAIL,2024-11-27T08:55:55+00:00,100.0,CRITICAL,Email: Designers’ Favorite Ways to Use Brass in a Kitchen | Traditional Meets Zen in a Remodeled Bathroom,2f47dfa8ad1ac43083325b384f5b2918522e22aabf2912b39c4c8023a83d305c</t>
  </si>
  <si>
    <t>EXHIBIT_EMAIL_20241122_1272_7d888cd6,EMAIL,2024-11-22T06:33:14-05:00,100.0,CRITICAL,Email: An update on your Simplii Financial application!,7d888cd6ddceb0b1597e18b7b6a1dea32f94fceca91439d9f52c435a53a7225d</t>
  </si>
  <si>
    <t>EXHIBIT_EMAIL_20241109_1273_7436f09c,EMAIL,2024-11-09T06:17:30+01:00,100.0,CRITICAL,"Email: vroofn, you have free spins on Collapsed Castle ! 🏰",7436f09c015e39ec62733eef4e519a757a7f71238085d28abc2b4037379c63fa</t>
  </si>
  <si>
    <t>EXHIBIT_EMAIL_20241102_1274_5a9a94bd,EMAIL,2024-11-02T09:09:08-04:00,100.0,CRITICAL,Email: $15 TODAY ONLY! Our #1 Best Book of the Year,5a9a94bd7322a3e2f71533e8eeec2d3060a781cac7d24ebe0da19697f3d2fc7f</t>
  </si>
  <si>
    <t>EXHIBIT_EMAIL_20241120_1275_edc9cf91,EMAIL,2024-11-20T07:07:13-08:00,100.0,CRITICAL,"Email: Save 50% and create designs, videos, and more",edc9cf91f4680ff7ebc365bc502368090d548412a0c7841c69fbbaaedaa5cb5f</t>
  </si>
  <si>
    <t>EXHIBIT_EMAIL_20241113_1276_ecf7cd43,EMAIL,2024-11-13T18:27:19-06:00,100.0,CRITICAL,Email: BLACK FRIDAY DEALS START SOON AT 9 PM EST ⌚,ecf7cd4356fc3a0524f505bdec2a243afdc7a6ab6c3b4ca4147060498118c023</t>
  </si>
  <si>
    <t>EXHIBIT_EMAIL_20241105_1277_5b437e83,EMAIL,2024-11-05T10:16:14-06:00,100.0,CRITICAL,Email: Black Friday Early Deals start Nov 7 ⏰,5b437e838851ededaf484e01653f19f389eac1098c0eb369c5a6a688ff1449c6</t>
  </si>
  <si>
    <t>EXHIBIT_EMAIL_20241205_1278_ed01052c,EMAIL,2024-12-05T15:09:26+00:00,100.0,CRITICAL,Email: craig- set delivery preferences now,ed01052cfab03b4efb7cb3957a7333e46d94ce1157824018684164ba502193a6</t>
  </si>
  <si>
    <t>EXHIBIT_EMAIL_20241220_1279_1a0ee751,EMAIL,2024-12-20T20:08:40+00:00,100.0,CRITICAL,Email: Dispatched on 2024-12-20&amp;gt;,1a0ee7513598e026cd921bd8dcdc60c9070f0b18d2193c76bf301f46aca8e6ac</t>
  </si>
  <si>
    <t>EXHIBIT_EMAIL_20241121_1280_6e876e9d,EMAIL,2024-11-21T12:05:30+00:00,100.0,CRITICAL,"Email: *Knock knock* Craig, it’s Subway®.",6e876e9d623b729edb7ed82c4decc8e06cf5f27c99af0d6401b1cce2c34ecd4b</t>
  </si>
  <si>
    <t>EXHIBIT_EMAIL_20241119_1281_39a54f8c,EMAIL,2024-11-19T15:00:25+01:00,100.0,CRITICAL,Email: économise jusqu’à 60 % dès AUJOURD’HUI,39a54f8c83d0771eac200a4b18dc687da34214542c3258f2f35f4ff186d2b5b7</t>
  </si>
  <si>
    <t>EXHIBIT_EMAIL_20241204_1282_03e36c22,EMAIL,2024-12-04T01:38:54+00:00,100.0,CRITICAL,Email: 30% off your next 3 orders - just for you 👀,03e36c22034ab1ed59d5767f5242fc6606c9923c1111d1f863a752ffec90a6c9</t>
  </si>
  <si>
    <t>EXHIBIT_EMAIL_20241105_1283_a1f02d3f,EMAIL,2024-11-05T21:18:35+00:00,100.0,CRITICAL,Email: Will a smoker’s lungs clean themselves if they quit smoking and how long does it take?,a1f02d3f58bee1379ff68604beb57d20df4db16123547285b5194f30ea38e21f</t>
  </si>
  <si>
    <t>EXHIBIT_EMAIL_20241119_1284_9e6bdd41,EMAIL,2024-11-19T09:28:07-06:00,100.0,CRITICAL,Email: UP TO 50% OFF ELECTRONICS 📱 Black Friday continues!,9e6bdd4156f8fdeebcb545981e1fcb74751a623a8aeabb768760cc07bd2dc188</t>
  </si>
  <si>
    <t>EXHIBIT_EMAIL_20241112_1285_a9d5be31,EMAIL,2024-11-12T23:05:55+00:00,100.0,CRITICAL,Email: Just in: Momcozy’s NEW bottle washer,a9d5be31b224123bb2ecf4c45c52c528d9a98fa45ab16542f39058a4e09e5cc7</t>
  </si>
  <si>
    <t>EXHIBIT_EMAIL_20241102_1286_34f8d27c,EMAIL,2024-11-02T04:15:19+00:00,100.0,CRITICAL,Email: Can an electrical current be deadly if it is just 1 volt but 100 ampere?,34f8d27c91d645fcea5b37d7fd3bccbb0b1ac1c920a79f2d5026110f5f3864f3</t>
  </si>
  <si>
    <t>EXHIBIT_EMAIL_20241129_1287_5b4568cc,EMAIL,2024-11-29T09:48:46-06:00,100.0,CRITICAL,Email: It's Black Friday 🥳 Enjoy up to 50% off!,5b4568cc25a906011403520a77fe4a51b62ba89c632a231707bb01b76d6ec779</t>
  </si>
  <si>
    <t>EXHIBIT_EMAIL_20250111_1288_a4d5fc07,EMAIL,2025-01-11T02:44:30+00:00,100.0,CRITICAL,"Email: 🎉 Give $5, get $5 back",a4d5fc07495fda0b493d90a72520f876041ecb894ad25896d366a18ad14ef423</t>
  </si>
  <si>
    <t>EXHIBIT_EMAIL_20241106_1289_21fefd4c,EMAIL,2024-11-06T09:41:27-06:00,100.0,CRITICAL,Email: The FRAÎCHE x Walmart Holiday Collection is finally here 🎀,21fefd4cbb0f3df62e995c70d60f559852f3c1dca9289041c8df85ff6f054178</t>
  </si>
  <si>
    <t>EXHIBIT_EMAIL_20241216_1290_a30caa64,EMAIL,2024-12-16T09:39:21-06:00,100.0,CRITICAL,Email: Low prices on your holiday meal prep 🍗,a30caa64d075b6f3cb3ab580ebba91f4f93e8ab233621677b7e348772cca0f7b</t>
  </si>
  <si>
    <t>EXHIBIT_EMAIL_20250213_1291_2c39ce8f,EMAIL,2025-02-13T12:02:13-05:00,100.0,CRITICAL,Email: $500 in Google Ads credit &amp; 100+ offers with a B12 website,2c39ce8f8c8b3dfeb276760eaba5bb3ce8dacb31b92ede74ce5ea4f64b4eda09</t>
  </si>
  <si>
    <t>EXHIBIT_EMAIL_20241231_1292_0c6e54b9,EMAIL,2024-12-31T09:20:40-06:00,100.0,CRITICAL,Email: Choose a hotel with free cancellation options,0c6e54b9eb7f6b8de8cad52d0990bc991a1e1282703da1deb3552e98796a9584</t>
  </si>
  <si>
    <t>EXHIBIT_EMAIL_20241215_1293_6dc2f0bf,EMAIL,2024-12-15T08:07:22-05:00,100.0,CRITICAL,Email: Bookish Gifts That Are Top Shelf,6dc2f0bfb6b646bc8bc3e11eb362c88652591d8b0de993a105c6a39eeb7b2985</t>
  </si>
  <si>
    <t>EXHIBIT_EMAIL_20241125_1294_f66af435,EMAIL,2024-11-25T05:09:30+01:00,100.0,CRITICAL,"Email: vroofn, you have free spins on Amazing Catch Power Combo!🐟",f66af43565d6543f269e823d06835f5d2cded3d73b3ae8915c4b1e5cdce6f815</t>
  </si>
  <si>
    <t>EXHIBIT_EMAIL_20241105_1295_04fa7b03,EMAIL,2024-11-05T16:11:17+00:00,100.0,CRITICAL,Email: 34 Weeks Pregnant: Pain Relief Options for Labor,04fa7b03f647a23439d1223ee6eda6efe9d5c92b0a92c354405dd0b60e9d6c79</t>
  </si>
  <si>
    <t>EXHIBIT_EMAIL_20241104_1296_6c0e3491,EMAIL,2024-11-04T10:39:41-05:00,100.0,CRITICAL,Email: Deals That Make Great Gifts 🎁,6c0e3491af4eaeb9c93fd457fa23db1e5563f88954e9ccc652087682b84396f3</t>
  </si>
  <si>
    <t>EXHIBIT_EMAIL_20241103_1297_ee869695,EMAIL,2024-11-03T07:50:14+00:00,100.0,CRITICAL,Email: 10 Questions to Quickly Identify Your Customers’ Needs | 5 Warm and Welcoming Kitchens,ee8696953ac2d825507f778ab324dc8b917ec63369de74538aefe351c4f26132</t>
  </si>
  <si>
    <t>EXHIBIT_EMAIL_20241112_1298_cf3db953,EMAIL,2024-11-12T18:02:22+00:00,100.0,CRITICAL,Email: Fancy some new offers?,cf3db953cb15730b0d5c4344bbdb41472720df3fcef0ac7e1b698bc3c3f1619e</t>
  </si>
  <si>
    <t>EXHIBIT_EMAIL_20241124_1299_c20ce250,EMAIL,2024-11-24T02:03:21+00:00,100.0,CRITICAL,Email: 🧷 The best disposable diaper + 🤢 water bottle germs,c20ce2502de073956266b7dd4753be46c7547aed227a00e716819423c444bfb1</t>
  </si>
  <si>
    <t>EXHIBIT_EMAIL_20241115_1300_c80c1a69,EMAIL,2024-11-15T20:53:40+00:00,100.0,CRITICAL,Email: Explore new restaurants on Uber Eats 🍽️,c80c1a69190b442830dba44f77847ef1733b5e910531ac96dd8b80de14a070f2</t>
  </si>
  <si>
    <t>EXHIBIT_EMAIL_20241202_1301_3f9c683b,EMAIL,2024-12-02T13:06:18+00:00,100.0,CRITICAL,"Email: Don't let 3 months of Spotify Premium for $12.69 go. $12.69/month</t>
  </si>
  <si>
    <t>after.  Cancel anytime.",3f9c683b3a79d2ad6958aa8fe2636584f8afb77fe0d69d07588e2ba5da8da36a</t>
  </si>
  <si>
    <t>EXHIBIT_EMAIL_20241117_1302_9be11b79,EMAIL,2024-11-17T20:06:51+00:00,100.0,CRITICAL,"Email: Your serving of savings, Craig n Emma",9be11b790f8f3370a5d6acd225955f2c24d683028c7021de5a98d48ffcd4a45f</t>
  </si>
  <si>
    <t>EXHIBIT_EMAIL_20241116_1303_e6826453,EMAIL,2024-11-16T19:19:39+00:00,100.0,CRITICAL,Email: Your cart item: now 38% OFF!,e682645341798495fb1020bf8f26ec266dada1dbb7d198b85652e88bc5fc46f2</t>
  </si>
  <si>
    <t>EXHIBIT_EMAIL_20241121_1304_48fa2806,EMAIL,2024-11-21T03:49:34+11:00,100.0,CRITICAL,Email: Important Product Safety Information from Instacart,48fa2806b31cfbab58c1c3348646622cfa00514d3c4bf43eb88192e97ada3241</t>
  </si>
  <si>
    <t>EXHIBIT_EMAIL_20250120_1305_13bb15fe,EMAIL,2025-01-20T14:45:07+00:00,100.0,CRITICAL,Email: 💡AI Guide is Here,13bb15fed50c1aac4e01360b30f37fcfb6cf66d95c12f61ff73b87bdb7d5ef81</t>
  </si>
  <si>
    <t>EXHIBIT_EMAIL_20241104_1306_59633e21,EMAIL,2024-11-04T23:30:08+00:00,100.0,CRITICAL,Email: New week? 📆 New offers just for you! 🤩,59633e21ba373d8dfb856b91326e88eefb577819d208da721cef50f14b5393a4</t>
  </si>
  <si>
    <t>EXHIBIT_EMAIL_20241204_1307_daa089d3,EMAIL,2024-12-04T20:12:21+00:00,100.0,CRITICAL,"Email: Craig n Emma, got room for a discount?🍴",daa089d312d2c9a5fdaaa056e2863a8e74557c86c95acbf38f9b0857c5be9945</t>
  </si>
  <si>
    <t>EXHIBIT_EMAIL_20241120_1308_0a36ce63,EMAIL,2024-11-20T20:27:05-06:00,100.0,CRITICAL,Email: IT'S ON: New Black Friday Deals — Up to 50% off 🔥,0a36ce63455bb348fb99473b6b5432c6ec0990c4bd6f2ab0b52e8cf544ee3a50</t>
  </si>
  <si>
    <t>EXHIBIT_EMAIL_20241113_1309_a31d2cf4,EMAIL,2024-11-13T05:30:14+00:00,100.0,CRITICAL,"Email: vroofn, play with a 150% Bonus + 25 Free Spins! 🐺",a31d2cf4d307f1af43b9e92558f92dc1501380c61ceb0eb3849ad715b7424154</t>
  </si>
  <si>
    <t>EXHIBIT_EMAIL_20241130_1310_cda27e76,EMAIL,2024-11-30T00:35:41+00:00,100.0,CRITICAL,Email: New device sign-in,cda27e767ecb8e7e1b5ec22064ae47929d4987b4a8ef7354ee8b6b70853175d9</t>
  </si>
  <si>
    <t>EXHIBIT_EMAIL_20241206_1311_ff5004a4,EMAIL,2024-12-06T00:38:48+00:00,100.0,CRITICAL,Email: Score on social - customize your own posts,ff5004a42d42cb235a482db7aef93798b68535a9ef1368312ce559a2a8f8dd22</t>
  </si>
  <si>
    <t>EXHIBIT_EMAIL_20241201_1312_0f3d8749,EMAIL,2024-12-01T17:38:17-06:00,100.0,CRITICAL,Email: CYBER WEEK DEALS START AT 9 PM EST ⌚,0f3d87495f50dd0f529451c05175f99efe47742da02edb4f1b17a11715a58775</t>
  </si>
  <si>
    <t>EXHIBIT_EMAIL_20250109_1313_8ac9bbd1,EMAIL,2025-01-09T11:48:35-06:00,100.0,CRITICAL,Email: Complete your order today: Plus a 25% coupon code.,8ac9bbd19ef99aec7c929e3c37924c6ec999cb53b2d5656cd14cf0a8fe0f72d2</t>
  </si>
  <si>
    <t>EXHIBIT_EMAIL_20241230_1314_d26a428c,EMAIL,2024-12-30T19:18:31-08:00,100.0,CRITICAL,"Email: charliewharlie369, see cyrtara, jvl2311 and more in your feed",d26a428c47fb6abc05e4e283717f1f95598b1c0ca323a1a9b26adcc91cc911c1</t>
  </si>
  <si>
    <t>EXHIBIT_EMAIL_20241119_1315_b40ce5d3,EMAIL,2024-11-19T16:08:54+00:00,100.0,CRITICAL,Email: 36 Weeks Pregnant: Best Hospital Bag Checklist,b40ce5d3db5d034a45c9d735e69497dd263e7bf39261977acefb8a2f535c02e9</t>
  </si>
  <si>
    <t>EXHIBIT_EMAIL_20241125_1316_19d71b1a,EMAIL,2024-11-25T17:08:55+00:00,100.0,CRITICAL,Email: How Can Debt Consolidation Help You?,19d71b1ad0deee4a1f8c1879d1020e24ca92d42acba5035d54aec3363751d6a2</t>
  </si>
  <si>
    <t>EXHIBIT_EMAIL_20250113_1317_b10dbba9,EMAIL,2025-01-13T20:33:50-08:00,100.0,CRITICAL,Email: Get your $100 e-voucher,b10dbba92a876dae76c1e67183c314f5b1067d8075c66c9c6e2d2bdff5cff358</t>
  </si>
  <si>
    <t>EXHIBIT_EMAIL_20241109_1318_482fd50c,EMAIL,2024-11-09T05:30:04+00:00,100.0,CRITICAL,"Email: vroofn, Deposit CAD 5, Get 77 Free Spins! 🐷",482fd50cbe7be2bfc9e86e78d801531d78a0474198cdaf82b9de3df90955fff2</t>
  </si>
  <si>
    <t>EXHIBIT_EMAIL_20241102_1319_695e3b54,EMAIL,2024-11-02T23:02:25+00:00,100.0,CRITICAL,Email: Discount Notice! Awaiting coupon.,695e3b54e7211d3959394423295aa308ca91dce03de1a22235e207b5df820c3c</t>
  </si>
  <si>
    <t>EXHIBIT_EMAIL_20241116_1320_83b43107,EMAIL,2024-11-16T20:00:34+00:00,100.0,CRITICAL,"Email: Whatever you're craving, we'll bring it to you. 🍔",83b43107a46c88833e028bcf2bccbbebde118c5af8b65c8b761b71ca2fcde3ed</t>
  </si>
  <si>
    <t>EXHIBIT_EMAIL_20241215_1321_6d51383f,EMAIL,2024-12-15T20:27:00-04:00,100.0,CRITICAL,Email: H,6d51383f9caa2b6fa04e074187d8f90fd9a1bebc09b7774c0ba330e8713aa4e9</t>
  </si>
  <si>
    <t>EXHIBIT_EMAIL_20241224_1322_346e1ba3,EMAIL,2024-12-24T16:47:28+01:00,100.0,CRITICAL,Email: You have received 10 free spins,346e1ba3eec7c772bc66c18e0173dcfeb3b3ceaf7a53ef1553688c6e3b8bba6f</t>
  </si>
  <si>
    <t>EXHIBIT_EMAIL_20250206_1323_cdcd5bfd,EMAIL,2025-02-06T05:59:48+01:00,100.0,CRITICAL,Email: 40 % sur les articles à prix régulier et 30 % sur les soldes ❤️,cdcd5bfdd9084388baf3c5eeca36868063ea4060b037e1c798f7c4ee063b2c6a</t>
  </si>
  <si>
    <t>EXHIBIT_EMAIL_20241105_1324_99f3a603,EMAIL,2024-11-05T16:08:48+00:00,100.0,CRITICAL,Email: Get 20% off your website and a free domain,99f3a603522189c9c870414ddbcb05fc06ddda2797288746aacd29b64bbcae38</t>
  </si>
  <si>
    <t>EXHIBIT_EMAIL_20241113_1325_69faaab5,EMAIL,2024-11-13T08:13:53+00:00,100.0,CRITICAL,Email: 10 Paint Colors Set to Define 2025 | 4 Spa-Like Bathrooms in About 65 Square Feet,69faaab52a2e4512c66165f8ef0f80f9ea45e6f9252f46b7793dfdfb8e7b5af4</t>
  </si>
  <si>
    <t>EXHIBIT_EMAIL_20241114_1326_94536a4e,EMAIL,2024-11-14T12:02:01+00:00,100.0,CRITICAL,Email: Kick start your celebrations with Subway®.,94536a4e4e9de05e3ee2c9152b1f608e4be0d79e07a9d8ded4b006eadf3a4dde</t>
  </si>
  <si>
    <t>EXHIBIT_EMAIL_20241030_1327_a08e73a4,EMAIL,2024-10-30T17:46:10+00:00,95.0,CRITICAL,Email: New workflow upgrades from our Happy Zapping week,a08e73a4b7c49caa48dba41c8639beb4aa573b7147f0dcedea1aeae927a2420d</t>
  </si>
  <si>
    <t>EXHIBIT_EMAIL_20241218_1328_3761f0c3,EMAIL,2024-12-18T10:11:30+00:00,100.0,CRITICAL,Email: The 10 Most Popular New Living Rooms of 2024 | 8 Ways to Keep Your Business Running Smoothly When Yo,3761f0c37b65439ebd899bee6931be430a0130bac97cba80839ffb82390f771d</t>
  </si>
  <si>
    <t>EXHIBIT_EMAIL_20241105_1329_e0bc4f73,EMAIL,2024-11-05T05:30:14+00:00,100.0,CRITICAL,"Email: vroofn, you have free spins on Coins of Zeus - Hold &amp; Win™! ⚡",e0bc4f739e7edb67324feedde274c96b339df42fec99edab1a032a8a49d11a76</t>
  </si>
  <si>
    <t>EXHIBIT_EMAIL_20250107_1330_5cc1c860,EMAIL,2025-01-07T15:30:08+00:00,100.0,CRITICAL,Email: Your Designs in 360º 🚀,5cc1c8602b35e90dae120902acc0eb869d61592a26f709f5d834bfa1e4cbfb8c</t>
  </si>
  <si>
    <t>EXHIBIT_EMAIL_20241113_1331_f7bd1f4b,EMAIL,2024-11-13T13:32:56+00:00,100.0,CRITICAL,Email: Get ready for Black Friday Week,f7bd1f4b8ef7082e45fd97e8276c9bfcb44afb38ada4fa6e5573fff31a0a7c36</t>
  </si>
  <si>
    <t>EXHIBIT_EMAIL_20241124_1332_085191e9,EMAIL,2024-11-24T04:19:18+00:00,100.0,CRITICAL,Email: What are study hacks that A+ students use?,085191e95000c989b63b3d093a8de7362acf0a67ce703da1ea1242d6f31afdcb</t>
  </si>
  <si>
    <t>EXHIBIT_EMAIL_20250227_1333_22df30d1,EMAIL,2025-02-27T14:07:51-05:00,100.0,CRITICAL,Email: NEW LEGO Sets – Dropping March 1! 🏁🏎️,22df30d11cd5cf0510e65bda06bd432d14ed7ed26677242887b716c9cd9c72ba</t>
  </si>
  <si>
    <t>EXHIBIT_EMAIL_20250107_1334_1ea56fe5,EMAIL,2025-01-07T17:03:38+00:00,100.0,CRITICAL,Email: Your 3-Week-Old Baby: What's Up with Spit Up?,1ea56fe556abf586167c6aa2fab695eafb8de77c1ad541c58c8b6f2baf0f5405</t>
  </si>
  <si>
    <t>EXHIBIT_EMAIL_20241201_1335_b23a141b,EMAIL,2024-12-01T20:47:22+00:00,100.0,CRITICAL,"Email: Craig n Emma, these discounts are calling your name",b23a141b9d1b51d3b957ebe6e3dd45bce8a7a4b94d11629065d06232c3deae33</t>
  </si>
  <si>
    <t>EXHIBIT_EMAIL_20250102_1336_fe7b36c4,EMAIL,2025-01-02T10:19:17-05:00,100.0,CRITICAL,Email: Join Our 2025 Reading Challenge! 📚,fe7b36c4ffecf6e7f8d59d9bdb0c31d5d0b16d124d8e34b3a001f3ef6b3e7327</t>
  </si>
  <si>
    <t>EXHIBIT_EMAIL_20241221_1337_12f19c9b,EMAIL,2024-12-21T01:01:15+00:00,100.0,CRITICAL,Email: Didn’t connect with Ripl? We’d love to hear why,12f19c9b46297e30c994fcc83c9ed113d14e398d5df68d5faefd5a59c5c4f1ca</t>
  </si>
  <si>
    <t>EXHIBIT_EMAIL_20241101_1338_31560b32,EMAIL,2024-11-01T14:32:27+00:00,100.0,CRITICAL,Email: Your offers will be disappearing soon,31560b32273ae86c57712e040988d4b757a8f6e978294c1e5a3a7de5b1c0ebab</t>
  </si>
  <si>
    <t>EXHIBIT_EMAIL_20241205_1339_45fd3a57,EMAIL,2024-12-05T15:00:27+01:00,100.0,CRITICAL,Email: C’EST ICI : la vente Ami.e.s et Famille,45fd3a575285c2a308fba159358ffe7a67ef9b68be710b74f0a453507d5a9f07</t>
  </si>
  <si>
    <t>EXHIBIT_EMAIL_20241223_1340_b09b9492,EMAIL,2024-12-23T05:52:27-04:00,100.0,CRITICAL,Email: Congratulations on your alc.ca Promo Reward,b09b94926aafefb013b52122ebc6c24ecb30d3e637c423fccbfcb15fd0ad3217</t>
  </si>
  <si>
    <t>EXHIBIT_EMAIL_20241207_1341_36ca9f72,EMAIL,2024-12-07T12:36:47+00:00,100.0,CRITICAL,Email: Say hello to your store,36ca9f7269ecb34323f88f591298a21064f793fa6c2170d09d2310fefe7806a2</t>
  </si>
  <si>
    <t>EXHIBIT_EMAIL_20241127_1342_46ac9b63,EMAIL,2024-11-27T22:46:36+00:00,100.0,CRITICAL,Email: 🚨 CLAIM A FREE $3 NFL CONTEST TICKET FOR THANKSGIVING 🚨,46ac9b63f67b33412cfe8f360ba3e7e8ec2182812a137b71d9f922605faae11b</t>
  </si>
  <si>
    <t>EXHIBIT_EMAIL_20241116_1343_2b3619e9,EMAIL,2024-11-16T05:30:09+00:00,100.0,CRITICAL,"Email: vroofn, Deposit CAD 5, Get 77 Free Spins! 🚆",2b3619e97a3892ae10d7080d2a0a029a409f4ca9fe038c134360ef8068cccf5f</t>
  </si>
  <si>
    <t>EXHIBIT_EMAIL_20241108_1344_7e3f574a,EMAIL,2024-11-08T17:37:31+00:00,100.0,CRITICAL,Email: CRAIG: You’re steps away from no-fee banking - 0009826511,7e3f574aa9b7e0d15e2a46f4f2ce0d40eb24f028a3efded82d38e55c7f901635</t>
  </si>
  <si>
    <t>EXHIBIT_EMAIL_20250129_1345_74fd30fc,EMAIL,2025-01-29T01:24:26+00:00,100.0,CRITICAL,Email: Respond to emails automatically with GPT Gmail,74fd30fc8413bc75cd23824c48034c447db42870058c5fb514d09370d0eba7f7</t>
  </si>
  <si>
    <t>EXHIBIT_EMAIL_20241101_1346_e887ad6b,EMAIL,2024-11-01T23:02:28+00:00,100.0,CRITICAL,Email: 1 COUPON inside:,e887ad6bf904a4c8b62676c36f0dc02b40661c3ff130d131d5215123656c36b4</t>
  </si>
  <si>
    <t>EXHIBIT_EMAIL_20241121_1347_1d5d29e0,EMAIL,2024-11-21T09:18:29-05:00,100.0,CRITICAL,"Email: Feast on fresh features &amp; content, Placed",1d5d29e042b37b7eb18b49d1c70224dc63e77f5ae93fd9f086ad6dc308151a64</t>
  </si>
  <si>
    <t>EXHIBIT_EMAIL_20241217_1348_3431409a,EMAIL,2024-12-17T09:20:39-06:00,100.0,CRITICAL,Email: $10 off is waiting for you ⏱️,3431409aa6b412e50672dba01af7055abdfbd51ad624ab32351edce595600c28</t>
  </si>
  <si>
    <t>EXHIBIT_EMAIL_20241126_1349_be3cb3c8,EMAIL,2024-11-26T19:06:59+00:00,100.0,CRITICAL,Email: An 8-in-1 crib?!,be3cb3c808463eeba5c8dca2f209092a7b7ed5e5de33a545cf936142a6ade8ca</t>
  </si>
  <si>
    <t>EXHIBIT_EMAIL_20250204_1350_8e2bef54,EMAIL,2025-02-04T16:44:44+00:00,100.0,CRITICAL,Email: Chatbase is Back on Product Hunt,8e2bef542c9b53a49f9c7061b9080e3aa3a07eb666314fe8367a174d5b425d6e</t>
  </si>
  <si>
    <t>EXHIBIT_EMAIL_20241206_1351_d36bf01c,EMAIL,2024-12-06T23:40:03+00:00,100.0,CRITICAL,Email: Your OpenPhone Code,d36bf01c96289cb855122284e728eb28c0cf36184f9c5c4aafec67f3df33ee83</t>
  </si>
  <si>
    <t>EXHIBIT_EMAIL_20241104_1352_98d5c84b,EMAIL,2024-11-04T03:59:31+00:00,100.0,CRITICAL,Email: Scheduled Archive of Google Data started,98d5c84b3c782dc67a8e82ab8c7d54f851e796e1b4902094ee56961026c47452</t>
  </si>
  <si>
    <t>EXHIBIT_EMAIL_20241119_1353_46dcd481,EMAIL,2024-11-19T19:03:36+00:00,100.0,CRITICAL,Email: A helpful way to prep for feeding baby,46dcd48151a981bebc191d6c241fcb2225b4487db9b34069ab9bcfb278d3c5c2</t>
  </si>
  <si>
    <t>EXHIBIT_EMAIL_20241209_1354_3fbdafbe,EMAIL,2024-12-09T11:39:21-05:00,100.0,CRITICAL,Email: Up to 50% off Holiday Faves &amp; More Deals 🎅,3fbdafbed73fb10a94db89dc7d99e343d650f979c7368819b66e8f56ddf93573</t>
  </si>
  <si>
    <t>EXHIBIT_EMAIL_20241106_1355_bbd5ed35,EMAIL,2024-11-06T05:30:39+00:00,100.0,CRITICAL,"Email: vroofn, play with a  100% Bonus + 50 Free Spins! 💸",bbd5ed35348acd50eface5b5e2990553950b49620143d80b08ce061c5f884827</t>
  </si>
  <si>
    <t>EXHIBIT_EMAIL_20241116_1356_ddfc5338,EMAIL,2024-11-16T11:37:04+00:00,100.0,CRITICAL,Email: [Personal] Your Wednesday evening order with Uber Eats,ddfc5338031367661c0d62771d2d8cf5c332679af91d700567f6a506c2562764</t>
  </si>
  <si>
    <t>EXHIBIT_EMAIL_20241203_1357_f2d2eb68,EMAIL,2024-12-03T20:17:55+00:00,100.0,CRITICAL,Email: 30% off is waiting for you at checkout,f2d2eb68e1c3a78e19b074666be35ee7ffa0f51fbfc4ba17e154a13dae13bd4a</t>
  </si>
  <si>
    <t>EXHIBIT_EMAIL_20241203_1358_7c886b78,EMAIL,2024-12-03T12:38:47-04:00,100.0,CRITICAL,Email: Atlantic Lottery - Your password reset request.,7c886b784b30f6321824a5b17e5e1098293ff91780354f767112cf30c23ff700</t>
  </si>
  <si>
    <t>EXHIBIT_EMAIL_20241226_1359_3b58fadb,EMAIL,2024-12-26T10:21:28-06:00,100.0,CRITICAL,Email: Deals to make your Boxing Day,3b58fadbd24737be9d889552b68ebc5fa8dfe4d237a8d3742d31d8bf4df3f2cd</t>
  </si>
  <si>
    <t>EXHIBIT_EMAIL_20250115_1360_9ac5b008,EMAIL,2025-01-15T01:24:21+00:00,100.0,CRITICAL,Email: Create Google Slides 10x better,9ac5b008a9c85daa8a143df198bac27bbd01b2c303c75422a07ab72e3f40eb80</t>
  </si>
  <si>
    <t>EXHIBIT_EMAIL_20241208_1361_6a157655,EMAIL,2024-12-08T20:33:21+00:00,100.0,CRITICAL,Email: See what we’ve picked out just for you,6a157655f0da976e7c3002aa7a6b9a47596ba4bc16e6a3f24ba87f7cd73223eb</t>
  </si>
  <si>
    <t>EXHIBIT_EMAIL_20241115_1362_be7d5162,EMAIL,2024-11-15T09:51:51-06:00,100.0,CRITICAL,Email: Black Friday Deals: Up to 50% off for you 😊,be7d51620298be624306a304b391b7789f219551653ed86038dfa0d18f6164ec</t>
  </si>
  <si>
    <t>EXHIBIT_EMAIL_20241218_1363_35a980b1,EMAIL,2024-12-18T11:19:39+00:00,100.0,CRITICAL,Email: Security alert for lunacraigcep@gmail.com,35a980b16a8fe18bc8f34233aeb475b46ca93632109b9082cd014b6dd336014d</t>
  </si>
  <si>
    <t>EXHIBIT_EMAIL_20250112_1364_0a676613,EMAIL,2025-01-12T08:00:05+00:00,100.0,CRITICAL,Email: Mailchimp billing estimate,0a6766130eb8bd56cb157cab342f6d53219b0e5152849a77b3a957949c7dba6b</t>
  </si>
  <si>
    <t>EXHIBIT_EMAIL_20241102_1365_c7d56435,EMAIL,2024-11-02T05:30:03+00:00,100.0,CRITICAL,"Email: vroofn, Deposit CAD 5, Get 77 Free Spins! ⚡️",c7d56435df75116c2549f0840d7431ff00d2c02733aed0562e74ec1d57bc1a76</t>
  </si>
  <si>
    <t>EXHIBIT_EMAIL_20241127_1366_023fc71c,EMAIL,2024-11-27T15:10:33-06:00,100.0,CRITICAL,Email: Merry deals await for you!,023fc71c57570172e5cd61eaf793f579d09c2041b4c9a29121e2049da5c24e34</t>
  </si>
  <si>
    <t>EXHIBIT_EMAIL_20250103_1367_401c6964,EMAIL,2025-01-03T09:16:33-06:00,100.0,CRITICAL,Email: Fresh finds to fuel your new year 🥗,401c6964e4a0c6f4e7e3596b9ea6f6e115353658f19a3b0a94b6f1eb3ec37b51</t>
  </si>
  <si>
    <t>EXHIBIT_EMAIL_20241119_1368_798fffc9,EMAIL,2024-11-19T05:30:22+00:00,100.0,CRITICAL,"Email: vroofn, you have free spins on Fishin' Pots Of Gold™! 🐟",798fffc9427b9aea004fb7f099070b1b7d3d563a0e26df4953a6d3492c3e6bd2</t>
  </si>
  <si>
    <t>EXHIBIT_EMAIL_20250119_1369_b4549f95,EMAIL,2025-01-19T09:07:27-05:00,100.0,CRITICAL,Email: LAST CHANCE! Sale Ends Soon ⏰,b4549f951a7876350224ad058402c630b55320177d2bbbcb49299636ab1e8137</t>
  </si>
  <si>
    <t>EXHIBIT_EMAIL_20250204_1370_cc5b86a9,EMAIL,2025-02-04T23:47:40+00:00,100.0,CRITICAL,Email: Build Your Dream App — Now Free to Try on iOS &amp; Android,cc5b86a9a1e75df90ab84a9772771e7f08b52efe7c68df7c52618840ea347b6a</t>
  </si>
  <si>
    <t>EXHIBIT_EMAIL_20241114_1371_244aa24e,EMAIL,2024-11-14T04:15:55+00:00,100.0,CRITICAL,"Email: If I connect a neutral wire to the ground rod, is there any case where there will be ...?",244aa24ef27695e4cf3173e5a557bfbb2d1faf0ce7c3401629adfa7966ae4afd</t>
  </si>
  <si>
    <t>EXHIBIT_EMAIL_20241204_1372_4c44fb68,EMAIL,2024-12-04T18:59:30+00:00,100.0,CRITICAL,Email: Ends soon: Spend only $10 to skip delivery fees,4c44fb684f3d7bf53ee7e899ba7bc2a49cef09138fd3ebbdfbcbf53f441ee913</t>
  </si>
  <si>
    <t>EXHIBIT_EMAIL_20241207_1373_42e9b5ab,EMAIL,2024-12-07T04:38:58-08:00,100.0,CRITICAL,Email: Welcome to your family group,42e9b5abc66405a2cb7e435651d95e792858994b53af6e8f49765739870ef383</t>
  </si>
  <si>
    <t>EXHIBIT_EMAIL_20250211_1374_6a74d3d8,EMAIL,2025-02-11T10:06:53+00:00,100.0,CRITICAL,Email: Your Subway® MVP Rewards points are expiring soon,6a74d3d830425aae75d9ba763d59ee527813a64119c024a7ec5b776202cd1106</t>
  </si>
  <si>
    <t>EXHIBIT_EMAIL_20250122_1375_fb2a6e6f,EMAIL,2025-01-22T15:10:34-06:00,100.0,CRITICAL,Email: Ready for some serious savings? 🤔,fb2a6e6fce36cbcb3c4a5d2945bc38d4bdcd9712a864ddf561364cc3e0959300</t>
  </si>
  <si>
    <t>EXHIBIT_EMAIL_20241119_1376_b894a86e,EMAIL,2024-11-19T11:13:02-06:00,100.0,CRITICAL,"Email: Craig, your new flight deals have landed",b894a86e7afa213e0ce2cf4c34074c4e24d8ed2f2854f3fcb948ae58545b5204</t>
  </si>
  <si>
    <t>EXHIBIT_EMAIL_20250107_1377_d7c753a6,EMAIL,2025-01-07T18:34:44+00:00,100.0,CRITICAL,"Email: Hi Craig, finish login with your Dropbox security code",d7c753a6bd0509025d47b6bf063be8747bfb17d7b27dada0a25219ad64887eec</t>
  </si>
  <si>
    <t>EXHIBIT_EMAIL_20250107_1378_c0fc2bf4,EMAIL,2025-01-07T18:33:55+00:00,100.0,CRITICAL,"Email: Hi Craig, finish login with your Dropbox security code",c0fc2bf49ae7e340978b39f8fc2a2515fd12c990270ffd1a9630a23563502a67</t>
  </si>
  <si>
    <t>EXHIBIT_EMAIL_20241111_1379_c1dafeb0,EMAIL,2024-11-11T10:38:45-06:00,100.0,CRITICAL,Email: 2 DAYS LEFT! Shop Black Friday Early Deals NOW ⏰,c1dafeb045bd704b4393b19e88a7c8b2499007bf1329219d60867b6af5a7244d</t>
  </si>
  <si>
    <t>EXHIBIT_EMAIL_20250110_1380_25dddc1e,EMAIL,2025-01-10T10:31:46-08:00,100.0,CRITICAL,"Email: Download the Copilot mobile app for intuitive design, helpful responses",25dddc1e611f52e19974933ec151e728e44e38b034ec1bdbb6d7909fbde3304e</t>
  </si>
  <si>
    <t>EXHIBIT_EMAIL_20241126_1381_c86edc45,EMAIL,2024-11-26T14:11:37+00:00,100.0,CRITICAL,"Email: Play it back with Spotify Premium. Get 3 months for $12.69.</t>
  </si>
  <si>
    <t>$12.69/mo. after. Cancel anytime.",c86edc452207162354feafe8adf75025c2cb280b158dbe3bcf1cfcc5646951ee</t>
  </si>
  <si>
    <t>EXHIBIT_EMAIL_20250110_1382_cd29b728,EMAIL,2025-01-10T17:31:41-08:00,100.0,CRITICAL,"Email: Great, Craig, you submitted your website application!",cd29b728ae6537796013355aaff2cef4a1c7ab349de83c6e77088c140adb1af2</t>
  </si>
  <si>
    <t>EXHIBIT_EMAIL_20250129_1383_fe609770,EMAIL,2025-01-29T08:31:25+00:00,100.0,CRITICAL,Email: Mailchimp billing: payment declined,fe60977027034ab960b5bab652aba8bc25cdbb50c1d4f41d6a9dc33f98d18750</t>
  </si>
  <si>
    <t>EXHIBIT_EMAIL_20241101_1384_70d0e8d5,EMAIL,2024-11-01T09:31:07-06:00,100.0,CRITICAL,Email: Grocery pickup or delivery? Your choice 😊,70d0e8d50f08ccef27e0b5732c825357869989b6df2f646070c67b3e14339100</t>
  </si>
  <si>
    <t>EXHIBIT_EMAIL_20250104_1385_0e6d8bd2,EMAIL,2025-01-04T06:00:23+00:00,100.0,CRITICAL,"Email: vroofn, Deposit CAD 5, Get 77 Free Spins! 🎤",0e6d8bd222635fa865e32e7cae4f3bc909543b2231d2b35f985268758060478a</t>
  </si>
  <si>
    <t>EXHIBIT_EMAIL_20241112_1386_0334ac0c,EMAIL,2024-11-12T09:23:07-06:00,100.0,CRITICAL,Email: Get away for the holidays with Member Prices,0334ac0c0fa677a972749c43a2e570ef9fd381046c76722dfe67bacf18a10bf0</t>
  </si>
  <si>
    <t>EXHIBIT_EMAIL_20250124_1387_1de4b667,EMAIL,2025-01-24T09:08:08-06:00,100.0,CRITICAL,Email: New Deals + OREO Hot Chocolate Now In-Store,1de4b66792b88ca95822e0c8dbcd214f16f22574242530f912a439162e951891</t>
  </si>
  <si>
    <t>EXHIBIT_EMAIL_20241122_1388_a90476dc,EMAIL,2024-11-22T04:01:14+01:00,100.0,CRITICAL,Email: obtiens jusqu’à 60 % de rabais sur tes articles préférés,a90476dc8aaaa4164d2bf4ee4da4ca4983f15d19cbd7617c03906a91990b0ef4</t>
  </si>
  <si>
    <t>EXHIBIT_EMAIL_20241204_1389_ecf2ff55,EMAIL,2024-12-04T09:12:34+00:00,100.0,CRITICAL,Email: 5 Cozy English Country Cottages | 25 Kitchen Storage Features Pros Swear By,ecf2ff556bddc705b85bc15ebc2eed5034a49d35e97e13c2603b85696ea8cf2a</t>
  </si>
  <si>
    <t>EXHIBIT_EMAIL_20241117_1390_cdea3867,EMAIL,2024-11-17T02:03:48+00:00,100.0,CRITICAL,Email: Viral products worth the hype &amp; “my BFF’s dad” names,cdea38673fcd66ce31bac79cc724422ab82b21595df80b118295f16a0550518a</t>
  </si>
  <si>
    <t>EXHIBIT_EMAIL_20241227_1391_71a36c1b,EMAIL,2024-12-27T17:45:19+00:00,100.0,CRITICAL,Email: The KOHO 2024 recap awaits!,71a36c1bbb04ae2271f935ea3a6eb7841e02cd9039d22695fcf00572803eb8f6</t>
  </si>
  <si>
    <t>EXHIBIT_EMAIL_20241118_1392_95a1731a,EMAIL,2024-11-18T10:30:24-05:00,100.0,CRITICAL,Email: Introducing: The Webinar Wizard 🪄,95a1731ace9e66a050dd8e59516db83a4f4b2fa4aa9684b5adf1cd1b4173d716</t>
  </si>
  <si>
    <t>EXHIBIT_EMAIL_20241216_1393_34389f47,EMAIL,2024-12-16T14:40:28+00:00,100.0,CRITICAL,Email: Christmas Sale: 88% off for K,34389f47cf31a3b3669b4c90ca635316f74ad86a4340bab43727b4f0069f44f1</t>
  </si>
  <si>
    <t>EXHIBIT_EMAIL_20241119_1394_bc8ce6df,EMAIL,2024-11-19T20:14:41+00:00,100.0,CRITICAL,Email: My landlord hasn't picked up rent for almost 1 year. He doesn't answer the phone or t...?,bc8ce6dfee6638759b1e5ac2ab24cf249642cbbc7553dd7b32180da7c2677871</t>
  </si>
  <si>
    <t>EXHIBIT_EMAIL_20241121_1395_eec113f3,EMAIL,2024-11-21T17:50:04+00:00,100.0,CRITICAL,Email: Black Friday deals start now,eec113f3b59f030e074f1ce0be4db972000bba96d5f7e9207cf809827374ca0a</t>
  </si>
  <si>
    <t>EXHIBIT_EMAIL_20241115_1396_9cc983f9,EMAIL,2024-11-15T20:19:24+00:00,100.0,CRITICAL,Email: Please Confirm It ASAP...,9cc983f90dcf4298113307d1f54cfcfdd8f69f92fc968b006f31b03a3f2e5e97</t>
  </si>
  <si>
    <t>EXHIBIT_EMAIL_20241122_1397_25d37d75,EMAIL,2024-11-22T20:12:59+00:00,100.0,CRITICAL,Email: Successfully Accepted ✅,25d37d75e134cdebedd1b75a1f5ed5f9ca6e4801796af0a8c8d50227f1105dd7</t>
  </si>
  <si>
    <t>EXHIBIT_EMAIL_20241123_1398_8d90686f,EMAIL,2024-11-23T12:20:20+00:00,100.0,CRITICAL,Email: 5 Item(s) are ghosting from Your Cart🦇,8d90686ff6c3cec27b552477554eb9447bb493067e2ac9f183f3a3d026a35c54</t>
  </si>
  <si>
    <t>EXHIBIT_EMAIL_20241211_1399_a020d43d,EMAIL,2024-12-11T05:28:18+01:00,100.0,CRITICAL,Email: You have received 10 free spins,a020d43d5174baa326ad326571af55c3c033fd46506d65b67b8e3fad3049fd72</t>
  </si>
  <si>
    <t>EXHIBIT_EMAIL_20250129_1400_04090574,EMAIL,2025-01-29T11:17:30+00:00,100.0,CRITICAL,Email: Your future online store is waiting,04090574360dac5a850a7f6d57a43088a1af8ce3a950fcf60e1c656aaba73cf9</t>
  </si>
  <si>
    <t>EXHIBIT_EMAIL_20241110_1401_b1303fb1,EMAIL,2024-11-10T11:05:57-06:00,100.0,CRITICAL,Email: UP TO 40% OFF! Black Friday Early Deals are on 🚨,b1303fb1227ddd9a7811854a71d4c72741447f03d7e8773f17fd4084264d9f8c</t>
  </si>
  <si>
    <t>EXHIBIT_EMAIL_20241129_1402_81fd06f6,EMAIL,2024-11-29T16:15:36-08:00,100.0,CRITICAL,Email: Microsoft account password reset,81fd06f639faa37669e9de77bb7ced12b5833070b966cdf27c61b3af47410ba0</t>
  </si>
  <si>
    <t>EXHIBIT_EMAIL_20241121_1403_8f013455,EMAIL,2024-11-21T10:15:47-06:00,100.0,CRITICAL,Email: NEW DEALS ADDED! Up to 50% off for Black Friday 🙌,8f0134550686efb140606fdd4e12e082bc8aaf884d79aa4e6e836777b474f2cf</t>
  </si>
  <si>
    <t>EXHIBIT_EMAIL_20241202_1404_76a79d87,EMAIL,2024-12-02T19:03:19+01:00,100.0,CRITICAL,Email: 60 % de rabais + 25 % de rabais = 100 % bonheur,76a79d878e39ffea5271e5919eb9bb3c7c8af6dc7a8353bed282d576d7c15600</t>
  </si>
  <si>
    <t>EXHIBIT_EMAIL_20241212_1405_0baaec35,EMAIL,2024-12-12T04:30:09+00:00,100.0,CRITICAL,"Email: vroofn, you have free spins on Bass Cash X UP™! 🎣",0baaec35ec7924926590cf983ef81d5ee5df12d3a475943f5a2296598b0d6af3</t>
  </si>
  <si>
    <t>EXHIBIT_EMAIL_20250113_1406_61276f39,EMAIL,2025-01-13T09:40:59-06:00,100.0,CRITICAL,Email: Your home refresh starts here 🧹🏠,61276f3910ea4d1d37fcf0b2c35098fde7236b593543b7bf7c5de5764e27d7b6</t>
  </si>
  <si>
    <t>EXHIBIT_EMAIL_20241101_1407_6b29867b,EMAIL,2024-11-01T15:34:21-05:00,100.0,CRITICAL,Email: Epic $4K Gaming Prize Packs + Save on Fuel with Hometown Rewards,6b29867b9f224e57d078e7af60dc7a60ad7280721919c185046e2a03c3548a9a</t>
  </si>
  <si>
    <t>EXHIBIT_EMAIL_20241107_1408_65267e1e,EMAIL,2024-11-07T10:53:35-06:00,100.0,CRITICAL,Email: UP TO 40% OFF! BLACK FRIDAY EARLY DEALS 🙌,65267e1ee38a9ae9e66ae0e3a877228a43920b99eb5718d2599f3501c5b8afd6</t>
  </si>
  <si>
    <t>EXHIBIT_EMAIL_20241202_1409_78716fde,EMAIL,2024-12-02T00:01:26+01:00,100.0,CRITICAL,Email: Joue à ta façon avec PUMA x PLAYMOBIL,78716fde82b542f0524ed5cc358ecaec533031f9f431e021d056305a9998ec79</t>
  </si>
  <si>
    <t>EXHIBIT_EMAIL_20241104_1410_f7636946,EMAIL,2024-11-04T21:02:14+00:00,100.0,CRITICAL,Email: Miss easy shopping? Top picks are ready for you.,f76369460ce52435dc7ed8cacd8e396a754f42c5173bb205dd2f430b80af2866</t>
  </si>
  <si>
    <t>EXHIBIT_EMAIL_20250118_1411_f7eed3f2,EMAIL,2025-01-18T06:00:05+00:00,100.0,CRITICAL,"Email: vroofn, Deposit CAD 5, Get 77 Free Spins! 🌛",f7eed3f20f7710960036c30ea16a8ed20ceae1238668d24fd7c3becd697d9ab0</t>
  </si>
  <si>
    <t>EXHIBIT_EMAIL_20241116_1412_26d691bc,EMAIL,2024-11-16T02:00:37+00:00,100.0,CRITICAL,Email: We fished 100 USD Chip for You ⛵,26d691bc09e2b21b45f65c987f2f696fcb6da3b0347097d8de0fa90c1f0a6f73</t>
  </si>
  <si>
    <t>EXHIBIT_EMAIL_20241106_1413_f468ebc9,EMAIL,2024-11-06T19:52:19-08:00,100.0,CRITICAL,"Email: charliewharlie369, see Jessie Fleming, Mackenzie Verner and more in your feed",f468ebc93b6fe432b84c83e94b5fb68a914434837591aa37c0fff89fb4fd5e61</t>
  </si>
  <si>
    <t>EXHIBIT_EMAIL_20241204_1414_0dade033,EMAIL,2024-12-04T12:03:55+00:00,100.0,CRITICAL,"Email: Want a FREE Footlong cookie? Buy a Footlong sub, today only! 🚨 🍪",0dade033c708311512b292741aede6caec4fe2a05841a75190766a63c6805eb0</t>
  </si>
  <si>
    <t>EXHIBIT_EMAIL_20241127_1415_3f7f9fe8,EMAIL,2024-11-27T22:32:05-08:00,100.0,CRITICAL,Email: Microsoft account password reset,3f7f9fe83dc09797d6f1b07fa9e77045fad4fac85285f299b55e412d8c48692d</t>
  </si>
  <si>
    <t>EXHIBIT_EMAIL_20250213_1416_daaf6021,EMAIL,2025-02-13T12:02:13+00:00,100.0,CRITICAL,Email: Get a $5 Snackwich Bundle before it is gone‼️,daaf60210fe1d46c011233cf2ade8cdfb9225ebd9bbf78a1aa5b12f3ab7bad5d</t>
  </si>
  <si>
    <t>EXHIBIT_EMAIL_20241116_1417_bd3bc8f3,EMAIL,2024-11-16T09:45:24-06:00,100.0,CRITICAL,Email: Up to 50% off home &amp; more BLACK FRIDAY DEALS ✨,bd3bc8f30dc88bdd1efccadd262876a710d591fa9bd9b4d4e582bec9732d8c22</t>
  </si>
  <si>
    <t>EXHIBIT_EMAIL_20250122_1418_4cb6a5a1,EMAIL,2025-01-22T23:14:42+00:00,100.0,CRITICAL,"Email: Hi Craig, here’s what new parents are reading, ICYMI",4cb6a5a18302ac92017164666653af6fee78f2a63cb0101bf851f2dc9b9aefff</t>
  </si>
  <si>
    <t>EXHIBIT_EMAIL_20250103_1419_f79aac26,EMAIL,2025-01-03T09:07:21-05:00,100.0,CRITICAL,"Email: 💥 Buy 3, Get the 4th FREE: Graphic Novels, Manga &amp; Teen Books",f79aac26508b97c873a1ec0f7d6d39165a789a938acf6debc800b22fb142cc6c</t>
  </si>
  <si>
    <t>EXHIBIT_EMAIL_20241113_1420_ee45912d,EMAIL,2024-11-13T21:05:51-06:00,100.0,CRITICAL,Email: NOW LIVE: Black Friday Deals — Up to 50% off  🔥🖤,ee45912d8022dadda3702d88b8bd070132bfde72bddaf0ea095a396658d576c6</t>
  </si>
  <si>
    <t>EXHIBIT_EMAIL_20241212_1421_63a1b908,EMAIL,2024-12-12T09:10:33-06:00,100.0,CRITICAL,Email: Your free trial is ending on 2024-12-15.,63a1b908702d6c580f10fd6b07ba3197ed8e9f7b6a36613a23ed3563f075540e</t>
  </si>
  <si>
    <t>EXHIBIT_EMAIL_20241107_1422_0c0e8157,EMAIL,2024-11-07T14:45:43+00:00,100.0,CRITICAL,Email: BOGO before it’s a no go!,0c0e815798a018b23656662c3ad6dbadadec119dfec188a51302d6179cfc4bb4</t>
  </si>
  <si>
    <t>EXHIBIT_EMAIL_20241102_1423_04356b4b,EMAIL,2024-11-02T20:12:00+00:00,100.0,CRITICAL,Email: How likely are you to recommend Instacart to a friend or colleague?,04356b4b697baffd3616dcbc5325ad0c847829a1e04f010b3b453b3dcbedefa5</t>
  </si>
  <si>
    <t>EXHIBIT_EMAIL_20250202_1424_a8f23387,EMAIL,2025-02-02T00:35:44+00:00,100.0,CRITICAL,Email: New sign-in to your Samsung account,a8f233870f5781f3ab53951723669d3f8332931cd4ad60c9fc63f2a1b713d868</t>
  </si>
  <si>
    <t>EXHIBIT_EMAIL_20241116_1425_46c9fa97,EMAIL,2024-11-16T04:19:57+00:00,100.0,CRITICAL,"Email: If you cry in jail/prison, do you get beat up?",46c9fa972e22adf49e2ddde4dddc4d7851e9f9d815618a69077c955a76db28d7</t>
  </si>
  <si>
    <t>EXHIBIT_EMAIL_20241201_1426_55f483a0,EMAIL,2024-12-01T21:03:25-06:00,100.0,CRITICAL,Email: NOW LIVE: Cyber Week Deals — Up to 50% off 🩵,55f483a069c87e5e2913b0484e137ba4a13124aa51de53c281f7dafc3e2a19d4</t>
  </si>
  <si>
    <t>EXHIBIT_EMAIL_20241117_1427_a7555f75,EMAIL,2024-11-17T19:23:46+00:00,100.0,CRITICAL,Email: Your cart item: now 87% OFF!,a7555f75cd014e178851d4bd58d1f99d20852b8cae8abf4c79f9c9bd51eb9f33</t>
  </si>
  <si>
    <t>EXHIBIT_EMAIL_20250208_1428_002e9aa4,EMAIL,2025-02-08T01:52:27+00:00,100.0,CRITICAL,"Email: Railway Functions,  CLI Updates, AI-powered Answer Generation in Help Station,</t>
  </si>
  <si>
    <t>Video Guides",002e9aa45d91d58a27b06bd4e8f417c4bda93b64f2f30528fdfa7dca08fb72d7</t>
  </si>
  <si>
    <t>EXHIBIT_EMAIL_20241210_1429_6e30fa17,EMAIL,2024-12-10T00:15:52+00:00,100.0,CRITICAL,"Email: Psst, in here: up to 50% off holiday cards and wall calendars",6e30fa176f265dcebe022c968979dcc700d8972e2008553fdd857321cbf74fd5</t>
  </si>
  <si>
    <t>EXHIBIT_EMAIL_20241204_1430_fd44a0ee,EMAIL,2024-12-04T04:30:08+00:00,100.0,CRITICAL,"Email: vroofn, get a 200% Bonus! 💥",fd44a0ee67a1a4574b2228cf46cc43248b388c3870153c1ad039ff44fbf4d698</t>
  </si>
  <si>
    <t>EXHIBIT_EMAIL_20250115_1431_a7e7ee9d,EMAIL,2025-01-15T14:36:30-06:00,100.0,CRITICAL,Email: Don’t miss out - finish setting up your account today!,a7e7ee9d19fa88413ebd9d5ed4533b5c332ab91f7fbd384e86c8a823c29f51dc</t>
  </si>
  <si>
    <t>EXHIBIT_EMAIL_20241114_1432_beeccc29,EMAIL,2024-11-14T06:36:55+00:00,100.0,CRITICAL,Email: Join the Design Battle! It’s time to get creative 🎨💥,beeccc29907c92a429e61b393312e938a23a5fd8e8f0cbeeb87af72fd0b931b9</t>
  </si>
  <si>
    <t>EXHIBIT_EMAIL_20250118_1433_fa4f04f6,EMAIL,2025-01-18T23:54:35+00:00,100.0,CRITICAL,Email: Your cart item: now 82% OFF!,fa4f04f6cb7500c838449e0c1142be796b693d97e97f2e2c7c3caad873c8a0c7</t>
  </si>
  <si>
    <t>EXHIBIT_EMAIL_20241222_1434_e0cd9693,EMAIL,2024-12-22T09:38:52-06:00,100.0,CRITICAL,Email: Get a sneak peek at BOXING WEEK DEALS 👀,e0cd96932770985dbf07ab01ec4e16b8b1a8a27b6770c582ef03274d865675d6</t>
  </si>
  <si>
    <t>EXHIBIT_EMAIL_20241107_1435_89c3e9c5,EMAIL,2024-11-07T00:15:10+00:00,100.0,CRITICAL,Email: [Personal] Your Wednesday evening order with Uber Eats,89c3e9c5384f6302227a27bb2e11cea76822d58d79742381119396a636acd38b</t>
  </si>
  <si>
    <t>EXHIBIT_EMAIL_20241106_1436_e92d22b9,EMAIL,2024-11-06T23:15:19+00:00,100.0,CRITICAL,Email: [Personal] Your Wednesday evening order with Uber Eats,e92d22b9136e398100d3cede96651d84e41d6af221b57ff98d14cd9e85ccc275</t>
  </si>
  <si>
    <t>EXHIBIT_EMAIL_20241120_1437_c9b9dd26,EMAIL,2024-11-20T14:23:37+00:00,100.0,CRITICAL,Email: Get 50% OFF: Final Hours to Save,c9b9dd26c1b760725f114e720dc9a65ac63cbafb1c3420672a5c6c651169c582</t>
  </si>
  <si>
    <t>EXHIBIT_EMAIL_20250227_1438_503471d8,EMAIL,2025-02-27T09:25:54+00:00,100.0,CRITICAL,Email: Let clients book your services themselves,503471d8c315d0ab1e75b7290765e03d93b38e7e4504befbd45518c28f8ba108</t>
  </si>
  <si>
    <t>EXHIBIT_EMAIL_20250107_1439_8cba59eb,EMAIL,2025-01-07T10:47:59-05:00,100.0,CRITICAL,"Email: Tariffs, immigration and interest rates: What to expect in 2025",8cba59eb774056e4c696cdbfa69d1545cf33f916ffb928169de7b9841fc71f9d</t>
  </si>
  <si>
    <t>EXHIBIT_EMAIL_20241202_1440_5426f1a7,EMAIL,2024-12-02T11:11:30-06:00,100.0,CRITICAL,Email: Cyber Week Deals: Get up to 50% off now 🔥,5426f1a77f10810ddbac364d1dc99ab9bef3e4f923a45a4eeb5a0028cd48e7b7</t>
  </si>
  <si>
    <t>EXHIBIT_EMAIL_20241123_1441_355deb20,EMAIL,2024-11-23T05:30:03+00:00,100.0,CRITICAL,"Email: vroofn, Deposit CAD 5, Get 77 Free Spins! 🐺",355deb208ff02e931598c8dc8831a0270e564fd448de27bddbd63a804c48e0c8</t>
  </si>
  <si>
    <t>EXHIBIT_EMAIL_20241119_1442_f9fb38be,EMAIL,2024-11-19T14:14:54+00:00,100.0,CRITICAL,Email: 50% OFF: Sale happening now,f9fb38be5c0eb3183f7bd9cf5804eaed2c15fd09123a85dce3481b5bcf86d1c9</t>
  </si>
  <si>
    <t>EXHIBIT_EMAIL_20241224_1443_5dc73402,EMAIL,2024-12-24T09:07:52-05:00,100.0,CRITICAL,Email: The Gift Card Every Booklover Wants,5dc7340274a744ede1eafa7157e9d55d034c100790277d8208e0d20fabaa3ea9</t>
  </si>
  <si>
    <t>EXHIBIT_EMAIL_20250205_1444_7c33a43c,EMAIL,2025-02-05T20:07:42+00:00,100.0,CRITICAL,Email: Restaurants everyone is loving,7c33a43ca730157e3beea73beb3f32821c11a6358e7616b3487f96ed97a46290</t>
  </si>
  <si>
    <t>EXHIBIT_EMAIL_20250213_1445_fa76d581,EMAIL,2025-02-13T08:44:41-04:00,100.0,CRITICAL,Email: Fwd: Interac e-Transfer: You've received $150.00 from Paul Carey and it has been automatically depos,fa76d581b104fc0040e03977113d5c25cc2ea55b09481d48b68d23f3620c351d</t>
  </si>
  <si>
    <t>EXHIBIT_EMAIL_20241209_1446_5b9401cc,EMAIL,2024-12-09T01:30:09-04:00,100.0,CRITICAL,Email: Congratulations on your alc.ca Promo Reward,5b9401cc9568eef31c0b11ece3211ef162e17f9e8fb4ebb63dec328905445de4</t>
  </si>
  <si>
    <t>EXHIBIT_EMAIL_20250118_1447_7ad1e556,EMAIL,2025-01-18T07:55:10+01:00,100.0,CRITICAL,Email: You have received 10 free spins,7ad1e556651440cf0516da605ba5bf3f94a0bff5603bf0114eee5b4d93934b39</t>
  </si>
  <si>
    <t>EXHIBIT_EMAIL_20250225_1448_166082fc,EMAIL,2025-02-25T02:00:55+00:00,100.0,CRITICAL,Email: More for your buck!,166082fcdb68b7edd66d58b21b81ecbd879734fb008c12307862a50a9174bf79</t>
  </si>
  <si>
    <t>EXHIBIT_EMAIL_20241120_1449_efbdc64e,EMAIL,2024-11-20T05:30:08+00:00,100.0,CRITICAL,"Email: vroofn, play with a 100% Bonus + 10 Free Spins! 🐉",efbdc64ed416df89870a3bfab2da3a8261a7e50e0ddc41f1a33329f68c56a05d</t>
  </si>
  <si>
    <t>EXHIBIT_EMAIL_20250214_1450_263056bf,EMAIL,2025-02-14T17:19:05+00:00,100.0,CRITICAL,Email: Security alert for placed.sj@gmail.com,263056bff0495a14d3f49878809d15519986cead50f7c63430ff0318b11c96a0</t>
  </si>
  <si>
    <t>EXHIBIT_EMAIL_20241105_1451_36523500,EMAIL,2024-11-05T19:29:08+00:00,100.0,CRITICAL,Email: What Are Builders’ Margins for 2025?,365235007d210cec50162fb7e3a567f4f33c0f81a8750461bb4a5251f364ed07</t>
  </si>
  <si>
    <t>EXHIBIT_EMAIL_20250122_1452_3a221019,EMAIL,2025-01-22T19:30:35+00:00,100.0,CRITICAL,"Email: 🚀 What’s new in OpenPhone: Make integration, phone menu insights, and more",3a22101999d5e577fcbbb3031b4faf2fc7aa68e5123b818a1ee37b66f4c3a513</t>
  </si>
  <si>
    <t>EXHIBIT_EMAIL_20241112_1453_d7ad5038,EMAIL,2024-11-12T20:33:50+00:00,100.0,CRITICAL,Email: 30% off is waiting for you at checkout,d7ad50388ae5672a8e75c4dc2d3e98d043ab089f696059dabcfab483eee915df</t>
  </si>
  <si>
    <t>EXHIBIT_EMAIL_20250202_1454_b2f8a321,EMAIL,2025-02-02T00:36:41+00:00,100.0,CRITICAL,Email: 2-step verification settings changed,b2f8a3215aad0a8ba07b64b1e678b5b966fb21a15e571df934d96a0ed50ef836</t>
  </si>
  <si>
    <t>EXHIBIT_EMAIL_20241105_1455_9df3ddbc,EMAIL,2024-11-05T18:19:32+00:00,100.0,CRITICAL,"Email: Emma, cover what matters most with a personal loan",9df3ddbc19c8a6bf235c7c8f0da23dce03849a38dff2617730687e4656e07ba7</t>
  </si>
  <si>
    <t>EXHIBIT_EMAIL_20250210_1456_ea650a1e,EMAIL,2025-02-10T14:29:42-06:00,100.0,CRITICAL,"Email: Answer for a chance at $5,000!",ea650a1e0a4c8e60c7aa235656353d16c021edc1919e8943ee2a5cd8733ef222</t>
  </si>
  <si>
    <t>EXHIBIT_EMAIL_20241126_1457_785e89ae,EMAIL,2024-11-26T16:08:55+00:00,100.0,CRITICAL,Email: 37 Weeks Pregnant: What to Know About C-sections,785e89ae1694e14e7995d851cc1984cae0f30d87195fea5befc5284799635fb4</t>
  </si>
  <si>
    <t>EXHIBIT_EMAIL_20250117_1458_fa5d07f8,EMAIL,2025-01-17T05:09:53+01:00,100.0,CRITICAL,"Email: vroofn, you have free spins on Getaway Gangsters! 🔪",fa5d07f877f29f397d220747d1d669e1419ef4c14821ef7a6c8b811d01f35f13</t>
  </si>
  <si>
    <t>EXHIBIT_EMAIL_20241212_1459_b64b5c11,EMAIL,2024-12-12T18:16:40-06:00,100.0,CRITICAL,Email: Your guide to stress-free last-minute shopping,b64b5c1135c865c6e39bd994bf4994f4a17218c85e6a4999a4ef4b5ccd79f368</t>
  </si>
  <si>
    <t>EXHIBIT_EMAIL_20241213_1460_449790cf,EMAIL,2024-12-13T16:59:18+00:00,100.0,CRITICAL,Email: Registration,449790cf281258da98ef4555324eeecece49e9934b597f4255c47df820c64862</t>
  </si>
  <si>
    <t>EXHIBIT_EMAIL_20241218_1461_94438228,EMAIL,2024-12-18T15:09:48-06:00,100.0,CRITICAL,Email: A merry week calls for merry deals,944382284d4940ff7d79f71896603450868a6a95052e954c9809e32edbe32847</t>
  </si>
  <si>
    <t>EXHIBIT_EMAIL_20241210_1462_45384b9c,EMAIL,2024-12-10T09:20:02-06:00,100.0,CRITICAL,Email: Here’s $10 off to get your shopping started 🙌,45384b9c5b7a8a2e3bcf829a8ed3544cdd55a6b6806da784c4ae99c7bd56169c</t>
  </si>
  <si>
    <t>EXHIBIT_EMAIL_20240723_1463_3f903a4c,EMAIL,2024-07-23T13:15:26-05:00,93.0,CRITICAL,Email: Is Luna drinking enough water?,3f903a4ce0861596fa249253ac5e004eaf7edf21acf9ed80e27fe30902d9b3ae</t>
  </si>
  <si>
    <t>EXHIBIT_EMAIL_20241202_1464_38c463ac,EMAIL,2024-12-02T08:40:47-06:00,100.0,CRITICAL,Email: ⚡ Cyber Monday ⚡ A week of deals and daily door crashers 🚪,38c463ac1943073354e84e7e82718026bad90be7a2a24d8f8012ba64285ee07b</t>
  </si>
  <si>
    <t>EXHIBIT_EMAIL_20250115_1465_0d049c1f,EMAIL,2025-01-15T23:11:26+00:00,100.0,CRITICAL,Email: Security alert,0d049c1f5d41db17c975c79e8daa0248b6fc81175ba4cc6c6625cdf14fc8697a</t>
  </si>
  <si>
    <t>EXHIBIT_EMAIL_20250218_1466_b39d9554,EMAIL,2025-02-18T03:52:44+00:00,100.0,CRITICAL,Email: ,b39d9554f567d03d95577805c5924a1ea82ef3695cc80301b1f263b5852ae4a9</t>
  </si>
  <si>
    <t>EXHIBIT_EMAIL_20241206_1467_386d01f8,EMAIL,2024-12-06T09:47:05-06:00,100.0,CRITICAL,Email: Low prices on holiday meals are here 🍲,386d01f80a040fa9a7ac9cc1227751a6f72546aee1777cf84d23b6739d12a322</t>
  </si>
  <si>
    <t>EXHIBIT_EMAIL_20250218_1468_9d1b6491,EMAIL,2025-02-18T20:51:10+00:00,100.0,CRITICAL,Email: 50% off is waiting for you at checkout,9d1b649119f5512a32c923e0b5100f2f796371d0543f07f398629b961e3653d6</t>
  </si>
  <si>
    <t>EXHIBIT_EMAIL_20241128_1469_8ce4fc8a,EMAIL,2024-11-28T13:31:16-08:00,100.0,CRITICAL,Email: End of support for Windows 10 — what you need to know,8ce4fc8af6bd50151d42b5b88471e5364c46c310ff81c5b5b1c0fb8e1118d57a</t>
  </si>
  <si>
    <t>EXHIBIT_EMAIL_20241127_1470_ce1a0a7f,EMAIL,2024-11-27T22:31:13-08:00,100.0,CRITICAL,Email: Microsoft account security info was added,ce1a0a7f6c78e2bda8b76767eb0222443acdd76752fb86d3541128928df49745</t>
  </si>
  <si>
    <t>EXHIBIT_EMAIL_20241127_1471_cbc95ad4,EMAIL,2024-11-27T14:52:36+00:00,100.0,CRITICAL,Email: 📆 Check Out Your December Financial Calendar,cbc95ad4ceb66ee6c24f3bff69cd433325a1dcb2b86fcd21a3c8225bd2032341</t>
  </si>
  <si>
    <t>EXHIBIT_EMAIL_20241112_1472_9bc7f296,EMAIL,2024-11-12T10:57:43-06:00,100.0,CRITICAL,Email: Psst! BLACK FRIDAY DEALS start Nov 13 ⏳,9bc7f2969d1072555804eda8568ca05ca265a789a48ff7d8e8f84ee83c364f22</t>
  </si>
  <si>
    <t>EXHIBIT_EMAIL_20241126_1473_115bfab4,EMAIL,2024-11-26T14:21:16+00:00,100.0,CRITICAL,Email: 🛍️You deserve a little treat,115bfab4d73a3d0da7a88e319c5cbc8074e528e2fcf07eaf36c0851b9aa1a511</t>
  </si>
  <si>
    <t>EXHIBIT_EMAIL_20241216_1474_7c51805b,EMAIL,2024-12-16T00:36:58-04:00,100.0,CRITICAL,Email: Congratulations on your alc.ca Promo Reward,7c51805b93f7b4daa618685c8a0099e3d28d1eeec21c70ff44ee1c72ad26f72a</t>
  </si>
  <si>
    <t>EXHIBIT_EMAIL_20241108_1475_7f84af50,EMAIL,2024-11-08T00:41:06+00:00,100.0,CRITICAL,Email: Security alert for placed.sj@gmail.com,7f84af50e817a54d8d4b7f9709a0a1821f3e85d3f60be7da95d46a30e7c20aeb</t>
  </si>
  <si>
    <t>EXHIBIT_EMAIL_20250124_1476_1d93b3a1,EMAIL,2025-01-24T14:31:57-05:00,100.0,CRITICAL,Email: Psst ... 2025's Buzziest Books Are Here ➡️,1d93b3a11badbb560985dc8fc39f8260b459f73f13d96de6ad0a9167557a5248</t>
  </si>
  <si>
    <t>EXHIBIT_EMAIL_20241122_1477_833f2474,EMAIL,2024-11-22T08:02:43-06:00,100.0,CRITICAL,Email: Black Friday starts now: Join to get 30%+ off,833f2474a8e796c4ff02c2dedf951d6f0d714a4e9b17461dc3389c707dd0f9e8</t>
  </si>
  <si>
    <t>EXHIBIT_EMAIL_20250116_1478_444d475e,EMAIL,2025-01-16T08:07:54-08:00,100.0,CRITICAL,Email: Bring on the likes,444d475e3da0f96aff4b1f4776b42fe67ce9ff94b54524735b09e7de7d27991b</t>
  </si>
  <si>
    <t>EXHIBIT_EMAIL_20241215_1479_bc745310,EMAIL,2024-12-15T12:16:12+00:00,100.0,CRITICAL,Email: Ending soon | up to 30% off gifts that arrive by Christmas,bc7453105d45d3e20e0727f4e351ee243539b86fe6751eb513536e02578f9c95</t>
  </si>
  <si>
    <t>EXHIBIT_EMAIL_20241123_1480_ca85b761,EMAIL,2024-11-23T05:08:56+01:00,100.0,CRITICAL,"Email: vroofn, you have free spins on Amazing Catch Power Combo!🐟",ca85b761b248a62bf00f0a0143dafa7df1580ea452e5f37b3c99d70030f6bc1e</t>
  </si>
  <si>
    <t>EXHIBIT_EMAIL_20241113_1481_d6736598,EMAIL,2024-11-13T15:08:14-06:00,100.0,CRITICAL,"Email: Craig, ready to save? Grab your weekly deals today!",d67365981d99cc38958e091cf591c958f6445ab58d7296d52db7d34c13c354da</t>
  </si>
  <si>
    <t>EXHIBIT_EMAIL_20250225_1482_ab919a11,EMAIL,2025-02-25T11:55:52-06:00,100.0,CRITICAL,Email: Is AI taking over podcasting? 😲,ab919a11c4e8f4b101bd2d629efde88ead12d66a0a18170f6a9205f8247ec3b5</t>
  </si>
  <si>
    <t>EXHIBIT_EMAIL_20241127_1483_2816e2fe,EMAIL,2024-11-27T18:11:37-06:00,100.0,CRITICAL,Email: Make 2025 about new destinations,2816e2fe90dae4bbb7d54206116a57770ab6cfe94e26f951af44e8face73179c</t>
  </si>
  <si>
    <t>EXHIBIT_EMAIL_20241216_1484_6ef2d681,EMAIL,2024-12-16T04:28:50+00:00,100.0,CRITICAL,Email: Verify Email Address for Discord,6ef2d681a8d08816599f3049bcdb09e61b5e1d5697155da89ea0952914fc4448</t>
  </si>
  <si>
    <t>EXHIBIT_EMAIL_20250213_1485_f296c2f7,EMAIL,2025-02-13T19:05:59+00:00,100.0,CRITICAL,"Email: Your appreciation chip is here, Dawn!",f296c2f710d39d6051aa9164891feccd5dee316eb7abfc585b466c0507388c62</t>
  </si>
  <si>
    <t>EXHIBIT_EMAIL_20241221_1486_3aa9683c,EMAIL,2024-12-21T19:46:43+00:00,100.0,CRITICAL,Email: Your cart item: now 85% OFF!,3aa9683cd5e58d0e792a46d84bb5e56e882abe378ec4d45b90a844b7051e398d</t>
  </si>
  <si>
    <t>EXHIBIT_EMAIL_20250122_1487_0960cce2,EMAIL,2025-01-22T20:13:51+00:00,100.0,CRITICAL,Email: Offers on the flavors you love most,0960cce27311e107946fe11be93350d4693ab38ffdd79af465c8e5a210889cc7</t>
  </si>
  <si>
    <t>EXHIBIT_EMAIL_20250206_1488_8a3b1769,EMAIL,2025-02-06T15:43:06+00:00,100.0,CRITICAL,Email: Security alert,8a3b176940b83ac73750b8ef8578644c10cc6083eae9d2d55546d0b97e0c42d6</t>
  </si>
  <si>
    <t>EXHIBIT_EMAIL_20241117_1489_21d7808e,EMAIL,2024-11-17T04:25:15+00:00,100.0,CRITICAL,Email: If a police officer pulls you over for speeding and asks “do you know how fast you we...?,21d7808e54cee63b4623c99c1a06a8eb6ec3c0f3e896b38dcb5344471e4613a6</t>
  </si>
  <si>
    <t>EXHIBIT_EMAIL_20241116_1490_5b093567,EMAIL,2024-11-16T13:05:34+00:00,100.0,CRITICAL,Email: [Personal] Your Saturday morning order with Uber Eats,5b093567f7709e0735d94f4e679df9e41be50222a2c911d8fac05644d63aade4</t>
  </si>
  <si>
    <t>EXHIBIT_EMAIL_20241216_1491_277af77f,EMAIL,2024-12-16T12:15:25+00:00,100.0,CRITICAL,Email: It’s not too late! But you have to order now 🎁,277af77f064858547b9a70feb8650bd82904f881d604cdbae6b2c4621b7d5a55</t>
  </si>
  <si>
    <t>EXHIBIT_EMAIL_20240430_1492_b3b1116f,EMAIL,2024-04-30T16:05:51+00:00,96.0,CRITICAL,Email: Your March  Coinbase statement is ready to download,b3b1116f7cadecb703cd4ead492656beabb65dd48b7810e949b6aeeadd27e443</t>
  </si>
  <si>
    <t>EXHIBIT_EMAIL_20250211_1493_1e83e5ce,EMAIL,2025-02-11T10:03:08-06:00,100.0,CRITICAL,Email: Update for Avion Select members,1e83e5ce6f36edabe5e6b60313cbd26bb0fc60dea00f22e1ef0e7beafc7b909a</t>
  </si>
  <si>
    <t>EXHIBIT_EMAIL_20241128_1494_584a48de,EMAIL,2024-11-28T01:09:19+00:00,100.0,CRITICAL,Email: Get back into your Spotify account,584a48de588019f082f0feaffdfaadee786b42beb6b7e41cbf9ff7b721034e7e</t>
  </si>
  <si>
    <t>EXHIBIT_EMAIL_20241128_1495_85ff35de,EMAIL,2024-11-28T01:02:18+00:00,100.0,CRITICAL,Email: Get back into your Spotify account,85ff35de71ae5b5d7f7e7310bbf10848ede72ea3657932dd34503a4f11733dee</t>
  </si>
  <si>
    <t>EXHIBIT_EMAIL_20250127_1496_ab143cd9,EMAIL,2025-01-27T09:38:24-06:00,100.0,CRITICAL,Email: Low prices on Valentine's Day gifts for all 💝,ab143cd90c56f7e118f44a661cfc51cb5d635fc2e5992d8daa67dd8190e6edd6</t>
  </si>
  <si>
    <t>EXHIBIT_EMAIL_20241130_1497_0d3ac091,EMAIL,2024-11-30T00:02:58+01:00,100.0,CRITICAL,Email: obtiens jusqu’à 60 % de rabais PLUS 20 % de rabais MAINTENANT,0d3ac0911c9cdce1c2770a8b563ae39758d33b3b9ecee1704ebdde785a473bec</t>
  </si>
  <si>
    <t>EXHIBIT_EMAIL_20241115_1498_60e973d5,EMAIL,2024-11-15T02:58:31+00:00,100.0,CRITICAL,Email: Security alert for lunacraigcep@gmail.com,60e973d5d7090b979fb80667f1d522592c2c311552854d211d40327c725afb5f</t>
  </si>
  <si>
    <t>EXHIBIT_EMAIL_20250129_1499_eff56868,EMAIL,2025-01-29T06:00:07+00:00,100.0,CRITICAL,"Email: vroofn, you have free spins on City Dawgs - Hold &amp; Win™! 🐶",eff56868e329b6d72c48c67f0d7719c10ce3f56ce9066eff139d56b51ee386dc</t>
  </si>
  <si>
    <t>EXHIBIT_EMAIL_20250127_1500_43a23b1a,EMAIL,2025-01-27T01:44:35+00:00,100.0,CRITICAL,Email: Your Zapier Chatbots trial has ended,43a23b1a42706b7d3b69b3d47a73e35bca1601b78ffcb618e0776efa374bd473</t>
  </si>
  <si>
    <t>EXHIBIT_EMAIL_20241208_1501_29ef3f9a,EMAIL,2024-12-08T08:20:21+00:00,100.0,CRITICAL,Email: Pantone’s 2025 Color of the Year | 4 Blue-and-Wood Bathrooms With a Curbless Shower,29ef3f9a976b075bb8bf0085a9f8b7f495bcf119311c62aaaef09cf2c9eb9d39</t>
  </si>
  <si>
    <t>EXHIBIT_EMAIL_20250122_1502_b1040c06,EMAIL,2025-01-22T14:45:08-04:00,100.0,CRITICAL,Email: Guardianship,b1040c0630eef8556c79ec425fa54507ea94dee257ce0de9cf43432375ebd059</t>
  </si>
  <si>
    <t>EXHIBIT_EMAIL_20250203_1503_00cc4c9a,EMAIL,2025-02-03T09:36:51-06:00,100.0,CRITICAL,Email: Cute plushies from $3.98 &amp; more 🧸,00cc4c9acb21759f551270a453aa31f54b677a29ff80396c4d518f7668c329ca</t>
  </si>
  <si>
    <t>EXHIBIT_EMAIL_20241228_1504_ed532fc6,EMAIL,2024-12-28T10:50:01-06:00,100.0,CRITICAL,Email: UP TO 45% OFF! BOXING WEEK DEALS CONTINUE 🙌,ed532fc64a25a14fd448b718d08aed680c062a4242649997628b0d11644f7c10</t>
  </si>
  <si>
    <t>EXHIBIT_EMAIL_20241202_1505_329d6e16,EMAIL,2024-12-02T07:09:18-05:00,100.0,CRITICAL,Email: Up to 30% OFF – Cyber Monday Is Booked! 📚,329d6e160ebf3f35358b2d1c7fc13672a0cbd7ddcde3d041f1d41896db6654e3</t>
  </si>
  <si>
    <t>EXHIBIT_EMAIL_20241217_1506_dc913e0d,EMAIL,2024-12-17T16:07:29+00:00,100.0,CRITICAL,Email: 40 Weeks Pregnant: Natural Induction Methods that *Work*,dc913e0d5c3d51e6662efa2a3d7b0f563d5cd0dc1e31bdf9789c6a55059deb07</t>
  </si>
  <si>
    <t>EXHIBIT_EMAIL_20241111_1507_c86ec6ef,EMAIL,2024-11-11T12:10:55+00:00,100.0,CRITICAL,Email: 🛒TEMU Cart Message,c86ec6efc03a2217f8351c6ae535c379bf62c0084cbad653acc5a73a555b6b29</t>
  </si>
  <si>
    <t>EXHIBIT_EMAIL_20250131_1508_d0b453e6,EMAIL,2025-01-31T23:31:45+01:00,100.0,CRITICAL,Email: You have received 7 free spins,d0b453e68bf1452e72a44c4585bdd406b5469560ca96ae8673dfb2bbbb55428b</t>
  </si>
  <si>
    <t>EXHIBIT_EMAIL_20241225_1509_40ab9319,EMAIL,2024-12-25T03:08:24+00:00,100.0,CRITICAL,Email: Lactation care (that’s insurance-covered) 👉,40ab9319afe492210f2af292cbd27305a15e644f4a09f08b8674a49a9a0de106</t>
  </si>
  <si>
    <t>EXHIBIT_EMAIL_20241224_1510_bf144df2,EMAIL,2024-12-24T01:00:21+00:00,100.0,CRITICAL,Email: Wishing You a Mighty Festive Season!,bf144df2202e43b241281195714010c598690cdc2b64faca4427452b4825f480</t>
  </si>
  <si>
    <t>EXHIBIT_EMAIL_20241126_1511_ff4711a6,EMAIL,2024-11-26T09:34:11-06:00,100.0,CRITICAL,Email: MEGA SAVINGS 📢 Up to 50% off appliances!,ff4711a6634f06ae750d4dad6146764d276f5bd6de4831ebc4c67b35b5579f11</t>
  </si>
  <si>
    <t>EXHIBIT_EMAIL_20241113_1512_8a6cf396,EMAIL,2024-11-13T11:14:36-06:00,100.0,CRITICAL,Email: Get ready! Black Friday Deals start at 9 pm EST 🖤,8a6cf39662f6c6c594970397c8943c12880eb02f045e54b74288267d919e1838</t>
  </si>
  <si>
    <t>EXHIBIT_EMAIL_20240329_1513_7dca3167,EMAIL,2024-03-29T16:05:34+00:00,96.0,CRITICAL,Email: Your February Coinbase statement is ready to download,7dca3167b3ff7713a77a963c6dda547f789743acd9d4375840330e0c9997e1ca</t>
  </si>
  <si>
    <t>EXHIBIT_EMAIL_20241219_1514_041ebd97,EMAIL,2024-12-19T18:23:37-08:00,100.0,CRITICAL,"Email: charliewharlie369, see simar_.26, jvl2311 and more in your feed",041ebd978d781d0715015a2c98d42f65eb88db785b8c733d445585ae1cb4912b</t>
  </si>
  <si>
    <t>EXHIBIT_EMAIL_20241129_1515_8bdf5a41,EMAIL,2024-11-29T05:35:51-08:00,100.0,CRITICAL,Email: Special Black Friday Offer: Save 35% Off WeVideo Annual Plans!,8bdf5a41ef71a4f559e61365fe258a23a19850e9437ee8f22a011c344b890b61</t>
  </si>
  <si>
    <t>EXHIBIT_EMAIL_20250123_1516_e26fdc37,EMAIL,2025-01-23T12:42:09+00:00,100.0,CRITICAL,Email: Your cart item: now 83% OFF!,e26fdc37e0e5758ba188c0281ace4ef86b4c7c5ad19aefd2a2042f42265204f4</t>
  </si>
  <si>
    <t>EXHIBIT_EMAIL_20250223_1517_1e5fb94a,EMAIL,2025-02-23T07:29:12+00:00,100.0,CRITICAL,Email: You’ve downloaded Brand Kit from Notion,1e5fb94a4bd2d8abc45d57d84d973befe00eb21b42431010e6f0a848fe6d14a1</t>
  </si>
  <si>
    <t>EXHIBIT_EMAIL_20241216_1518_d4e2ffe3,EMAIL,2024-12-16T07:56:08-08:00,100.0,CRITICAL,Email: From idea to design in no time,d4e2ffe3440d27e6b1cc0e7a466a8a34f74417c0503b74c2fe0eaf608bea91f0</t>
  </si>
  <si>
    <t>EXHIBIT_EMAIL_20250226_1519_5f3697ee,EMAIL,2025-02-26T03:44:00+00:00,100.0,CRITICAL,Email: Your Intuit Account,5f3697eea595b2e095e6903dea2585b83f98f8185b22bbb201e3c1bb77d7eabb</t>
  </si>
  <si>
    <t>EXHIBIT_EMAIL_20241112_1520_492fa3c8,EMAIL,2024-11-12T07:01:13-06:00,100.0,CRITICAL,Email: See Inside for a Member Exclusive Rental Offer,492fa3c88e80a7b52a77533ad8c41614d5bd7b0fc88c7d0d502f99cf37797bd6</t>
  </si>
  <si>
    <t>EXHIBIT_EMAIL_20250108_1521_9fc15076,EMAIL,2025-01-08T12:45:02+00:00,100.0,CRITICAL,Email: Your cart item: now 79% OFF!,9fc15076be2fca74ae1d2a01ae222c4290ed06e4c7e65252ddb894302005bfe7</t>
  </si>
  <si>
    <t>EXHIBIT_EMAIL_20250107_1522_b6e4f46a,EMAIL,2025-01-07T19:02:46-08:00,100.0,CRITICAL,"Email: charliewharlie369, see cyrtara, jbu71 and more in your feed",b6e4f46a4af655b74649b9d0c6f447f7ba4aeffa5a27851c87dca583aa330e0a</t>
  </si>
  <si>
    <t>EXHIBIT_EMAIL_20241108_1523_1b419d0c,EMAIL,2024-11-08T20:22:27+00:00,100.0,CRITICAL,"Email: Kindly accept: CA$100 off, no min. spend.",1b419d0c39636d416729109d3edd6d5cb66ce1cfc8364ee666e1a207ee088aab</t>
  </si>
  <si>
    <t>EXHIBIT_EMAIL_20250123_1524_edc71e51,EMAIL,2025-01-23T06:21:10+00:00,100.0,CRITICAL,Email: Mailchimp trial ending,edc71e5149dff330a74bfd7882e0e6b4a56e13516a104a6cee40decc98d2dfc3</t>
  </si>
  <si>
    <t>EXHIBIT_EMAIL_20250102_1525_88f0d818,EMAIL,2025-01-02T18:10:58-06:00,100.0,CRITICAL,Email: How to vacation like a boss,88f0d8181dfbd1a4be723d793acbb00b410d33e50777756bf948692f02db63ee</t>
  </si>
  <si>
    <t>EXHIBIT_EMAIL_20241122_1526_0f989328,EMAIL,2024-11-22T09:29:21-06:00,100.0,CRITICAL,Email: SAVE NOW: Up to 50% off Black Friday Deals 🛍️,0f9893283234d2be82b3767e890f2ef588d8bc5d2cd9d466bc84b35feb4a717d</t>
  </si>
  <si>
    <t>EXHIBIT_EMAIL_20250109_1527_b1b27438,EMAIL,2025-01-09T03:00:27+00:00,100.0,CRITICAL,"Email: Okay, here’s the deal",b1b27438a4a7d0731fffb22fc0eaa986d3a05f2ada2252593f359ffa954185a9</t>
  </si>
  <si>
    <t>EXHIBIT_EMAIL_20241217_1528_27877f23,EMAIL,2024-12-17T00:50:41+00:00,100.0,CRITICAL,Email: GST/HST Holiday Break on Uber Eats!,27877f2327304ef0a799175e8ce1b0496e4f41b4dfb1b2b5ace6c0ef5aafc333</t>
  </si>
  <si>
    <t>EXHIBIT_EMAIL_20250225_1529_d7de2dbf,EMAIL,2025-02-25T13:15:22+00:00,100.0,CRITICAL,Email: Last Chance - Save 50% with Webador!,d7de2dbff5030883d80d55f31f314ba66fb267975289a8986325aaec48eeba8c</t>
  </si>
  <si>
    <t>EXHIBIT_EMAIL_20241125_1530_a59dd0a9,EMAIL,2024-11-25T09:30:43-06:00,100.0,CRITICAL,Email: Black Friday Deals: Up to 50% off toys 🧸,a59dd0a9c8556bafc266ebe907e9ff57115fb19afed0afd9f074d794b306456a</t>
  </si>
  <si>
    <t>EXHIBIT_EMAIL_20241118_1531_54981d11,EMAIL,2024-11-18T07:37:53-08:00,100.0,CRITICAL,Email: Save 50% on Creative Cloud All Apps now,54981d1146e7d130a8a2d06c91d63947a2a752377de866bac4655d0d44b0fcb7</t>
  </si>
  <si>
    <t>EXHIBIT_EMAIL_20250214_1532_00a502db,EMAIL,2025-02-14T14:00:33-04:00,100.0,CRITICAL,Email: 81c,00a502dbdd14431ba157e6667357104540c13493ec278e438b3a3da2b8d0786c</t>
  </si>
  <si>
    <t>EXHIBIT_EMAIL_20250204_1533_412789e6,EMAIL,2025-02-04T07:50:33+00:00,100.0,CRITICAL,Email: Welcome to Vercel,412789e6cbddcb3fac8cef4ab0075872483fe2ad9f39eb0770aa327750ebbd18</t>
  </si>
  <si>
    <t>EXHIBIT_EMAIL_20250107_1534_9bd808d6,EMAIL,2025-01-07T12:01:42+00:00,100.0,CRITICAL,Email: Cozy comforts for only $5? YESWAY.,9bd808d6c45551e6dfde7c158c93c072a785784b661ac9b3c99b48bf6884ee1c</t>
  </si>
  <si>
    <t>EXHIBIT_EMAIL_20250117_1535_420670ea,EMAIL,2025-01-17T14:22:09+00:00,100.0,CRITICAL,Email: 20% off ends today,420670ea3c444402b74ceec4b4865a0ea374c27e9df3c2bb81eed44f44f15f70</t>
  </si>
  <si>
    <t>EXHIBIT_EMAIL_20250122_1536_3e1f742e,EMAIL,2025-01-22T13:02:30+00:00,100.0,CRITICAL,Email: Check out what you get with your plan,3e1f742eddbf6ed63a0f192bb3fe5d9bd390559d3bdc73f88abc38d8e41efc90</t>
  </si>
  <si>
    <t>EXHIBIT_EMAIL_20250219_1537_52d1493f,EMAIL,2025-02-19T11:30:14+00:00,100.0,CRITICAL,"Email: Save it for later, automatically 🔖",52d1493f1b31579844d6ecf6e16d3f5d23cec885153f74191e2a2faea64497e0</t>
  </si>
  <si>
    <t>EXHIBIT_EMAIL_20250122_1538_8a995644,EMAIL,2025-01-22T12:00:07+00:00,100.0,CRITICAL,"Email: 20 seconds of your time, please? 💝",8a995644ab8592733d43ef12ef23318ab65d38151f2a171bf51cbfbe21d3654e</t>
  </si>
  <si>
    <t>EXHIBIT_EMAIL_20241202_1539_5b6a1755,EMAIL,2024-12-02T08:02:58-06:00,100.0,CRITICAL,Email: Sale still on: Join to save 30%+,5b6a17554c404b21f7ef26b7f3e4924a2400faa19f56b160c2118054f73673de</t>
  </si>
  <si>
    <t>EXHIBIT_EMAIL_20241106_1540_a2029962,EMAIL,2024-11-06T14:44:20+00:00,100.0,CRITICAL,Email: Last Chance—Save 50% with Wix,a20299626bab3ffefcc9e956ee20fce9b0fd5f369a53cabe217b14b5fddd0a3a</t>
  </si>
  <si>
    <t>EXHIBIT_EMAIL_20250225_1541_c7378778,EMAIL,2025-02-25T00:37:06+00:00,100.0,CRITICAL,Email: Welcome to Durable,c737877886d36c9f30c71b83c9738555a913fce3470e735f97fc202b85c0afc3</t>
  </si>
  <si>
    <t>EXHIBIT_EMAIL_20250127_1542_5065b353,EMAIL,2025-01-27T19:47:36+00:00,100.0,CRITICAL,Email: Dive into Mermaid Royale with 13 spins on us.,5065b3536bf9a4c65facc5e50889da2017120aee6aa7eef9d528bb23e8fc19a2</t>
  </si>
  <si>
    <t>EXHIBIT_EMAIL_20241211_1543_c02d46c9,EMAIL,2024-12-11T09:22:32-06:00,100.0,CRITICAL,Email: Promo alert! 15% off clothing &amp; more 👚,c02d46c9d869de9b627c24c2a7dbc80c990e5f38db6673004e08550d5e86acc9</t>
  </si>
  <si>
    <t>EXHIBIT_EMAIL_20250111_1544_11c7e3d1,EMAIL,2025-01-11T22:54:28+00:00,100.0,CRITICAL,Email: Your cart item: now 85% OFF!,11c7e3d147d96c878f331672a9b8218f157704e05f100b04f39f96fd094ac7ca</t>
  </si>
  <si>
    <t>EXHIBIT_EMAIL_20241102_1545_b85631cd,EMAIL,2024-11-02T08:43:37-06:00,100.0,CRITICAL,Email: Our holiday lookbook is here 🎁,b85631cd302bc4173774d5fb977888bd845b44619e14683737bdf211ba17a50c</t>
  </si>
  <si>
    <t>EXHIBIT_EMAIL_20241218_1546_74a49d08,EMAIL,2024-12-18T04:30:15+00:00,100.0,CRITICAL,"Email: vroofn, play with a 150% Bonus + 25 Free Spins! 🪙",74a49d08880dc78cd48bb8288605353649d468c4bd32e272a48fb9bf2b119c67</t>
  </si>
  <si>
    <t>EXHIBIT_EMAIL_20241212_1547_05ee0fa4,EMAIL,2024-12-12T06:48:46-08:00,100.0,CRITICAL,Email: Make a splash on social with unique editing effects,05ee0fa42e01409eb1bf578e869c5fd940a94d38a70ef1fe6e5a6a841cb808ba</t>
  </si>
  <si>
    <t>EXHIBIT_EMAIL_20250220_1548_8e5ccc25,EMAIL,2025-02-20T14:11:13+00:00,100.0,CRITICAL,Email: Introducing AdCreative.ai V10 – Our Biggest Update with 10 New Features!,8e5ccc2593a18b279593ecd44c1c11f1497a6914eed1e764639dd0ac63a32f16</t>
  </si>
  <si>
    <t>EXHIBIT_EMAIL_20250109_1549_9b4ba35c,EMAIL,2025-01-09T12:04:48+00:00,100.0,CRITICAL,Email: Get 25% off any Footlong sub TODAY!,9b4ba35cfcdb0467562e9d6c9f83685c89dcb36017c3785a8425c89c265c6f8d</t>
  </si>
  <si>
    <t>EXHIBIT_EMAIL_20241207_1550_0ffbd2cb,EMAIL,2024-12-07T10:14:52-06:00,100.0,CRITICAL,Email: COUPON ALERT! Savings you'll really love 😍🎫,0ffbd2cb92d2bb8a7c0aca26db2791673919471b72fa6ecadeb251f01fc8b80b</t>
  </si>
  <si>
    <t>EXHIBIT_EMAIL_20250228_1551_5bffe70d,EMAIL,2025-02-28T15:35:05+00:00,100.0,CRITICAL,Email: 🚀 Work Smarter: New Features + Why You Should Delegate,5bffe70dfddf057e31b967ef33a249c823d05aeeb4a621a9aee8247c626399a9</t>
  </si>
  <si>
    <t>EXHIBIT_EMAIL_20241130_1552_68114537,EMAIL,2024-11-30T05:12:46+00:00,100.0,CRITICAL,Email: New sign-in to your Alfred account,68114537d00708484508ce781bfc03500605f603953601907ad8173a6d46172d</t>
  </si>
  <si>
    <t>EXHIBIT_EMAIL_20241130_1553_d01c3416,EMAIL,2024-11-30T05:09:43+00:00,100.0,CRITICAL,Email: New sign-in to your Alfred account,d01c3416843b4ab236f9ebd369358f03690d96ad3b425d19512fb4aaa5a30a16</t>
  </si>
  <si>
    <t>EXHIBIT_EMAIL_20250130_1554_1d633028,EMAIL,2025-01-30T18:57:49+00:00,100.0,CRITICAL,Email: Your cart item: now 83% OFF!,1d6330285cffa79759070a898132aa55312a09d2ae1b960fdba9dbd2ae1522a8</t>
  </si>
  <si>
    <t>EXHIBIT_EMAIL_20241227_1555_750786e6,EMAIL,2024-12-27T11:01:51-06:00,100.0,CRITICAL,Email: Can't-miss Boxing Week Deals — Up to 45% off 🤩,750786e6611dc48c140e16e502b928774e436893d746425ddb1d91487b77b34f</t>
  </si>
  <si>
    <t>EXHIBIT_EMAIL_20250205_1556_8792ac50,EMAIL,2025-02-05T11:33:00-05:00,100.0,CRITICAL,Email: $10 Romance Books – This Weekend Only! 🌶️,8792ac50269ea81adb4ca6bce034f29d74a8d09b74d82ca6bd3b8410c40f76b2</t>
  </si>
  <si>
    <t>EXHIBIT_EMAIL_20240226_1557_2e0fdfb2,EMAIL,2024-02-26T17:05:52+00:00,96.0,CRITICAL,Email: Your January Coinbase statement is ready to download,2e0fdfb26a558fa8e8fa16e0a3079da9a0b2778968fe9b6aafc40fd2595ab110</t>
  </si>
  <si>
    <t>EXHIBIT_EMAIL_20241118_1558_cc99bfb5,EMAIL,2024-11-18T14:06:29+00:00,100.0,CRITICAL,Email: 🔥 Just spotted: more early Black Friday deals,cc99bfb5684ffad057782e133d7a9e37273acaa1bf2e08fec4663d7712ca68d6</t>
  </si>
  <si>
    <t>EXHIBIT_EMAIL_20250219_1559_dcbc5574,EMAIL,2025-02-19T13:30:04+00:00,100.0,CRITICAL,Email: The best AI app builders,dcbc5574b697401275ed268fa265ebc2535b0de12147584ce558307e18ef94dd</t>
  </si>
  <si>
    <t>EXHIBIT_EMAIL_20250101_1560_3ad08db3,EMAIL,2025-01-01T10:09:22+00:00,100.0,CRITICAL,Email: 7 Reasons to Create an Email Marketing Strategy | 5 Inviting Porches With Fireplaces,3ad08db333b83d912bf8e14ab011b94797edcd80e5064ded32af44a42ea0c36a</t>
  </si>
  <si>
    <t>EXHIBIT_EMAIL_20250119_1561_7c399223,EMAIL,2025-01-19T17:23:06+00:00,100.0,CRITICAL,Email: Your future online store is waiting,7c39922393d806e0a34c3eafc1c60b6becaa6702c579bfe456b23273a7822b01</t>
  </si>
  <si>
    <t>EXHIBIT_EMAIL_20250125_1562_8dc397cd,EMAIL,2025-01-25T14:07:13+00:00,100.0,CRITICAL,Email: Meet Amazon Essentials. Quality clothes for everyone.,8dc397cd99defcad45ba0329324808bbe471a655688ad96a9def3455477095cc</t>
  </si>
  <si>
    <t>EXHIBIT_EMAIL_20241202_1563_359c8b76,EMAIL,2024-12-02T14:16:26+00:00,100.0,CRITICAL,Email: Alert: Claim your free Business Prime plan,359c8b761cb0817597c6e1eeeb4d3a0f73833a644ab5a8b1aac7f71d3bf2089e</t>
  </si>
  <si>
    <t>EXHIBIT_EMAIL_20250212_1564_7d7ef783,EMAIL,2025-02-12T14:25:59+00:00,100.0,CRITICAL,Email: Get 50% OFF: Final Hours to Save,7d7ef783b325b6daefff450e2061e1d8846cfb842321b38d834d5403de26368c</t>
  </si>
  <si>
    <t>EXHIBIT_EMAIL_20250109_1565_09e5a23f,EMAIL,2025-01-09T06:26:26+01:00,100.0,CRITICAL,"Email: vroofn, you have free spins on Collapsed Castle ! 🏰",09e5a23f7e792bfff6ca00d3e4c432ce87855cc2a0f71a499d291115aaac78b7</t>
  </si>
  <si>
    <t>EXHIBIT_EMAIL_20250219_1566_e003012a,EMAIL,2025-02-19T01:38:28+01:00,100.0,CRITICAL,"Email: vroofn, you have free spins on Lucky Porker Bonus Buy !🐷",e003012a7b20ef7a7d6343801f27648f818e5b6b201eccfa5b84f378da23e36b</t>
  </si>
  <si>
    <t>EXHIBIT_EMAIL_20241129_1567_ac381bff,EMAIL,2024-11-29T07:04:49-08:00,100.0,CRITICAL,Email: Save 50% now before the deal is gone,ac381bff6f18a0103a3ba9a17aab796adb5229be434937b6e6cd9a854fb190e2</t>
  </si>
  <si>
    <t>EXHIBIT_EMAIL_20241105_1568_653b3d5a,EMAIL,2024-11-05T14:37:18+00:00,100.0,CRITICAL,Email: 50% OFF sale is on,653b3d5a39762b4ed49f450c1eb4314def1d8adfaead6215b5e82202a027b7cb</t>
  </si>
  <si>
    <t>EXHIBIT_EMAIL_20250203_1569_28526d66,EMAIL,2025-02-03T19:16:20+00:00,100.0,CRITICAL,"Email: Grab 16 spins in our player fave, Sweet 16 Blast!",28526d663dd9eb4cb271b7deeb89c39a8243e3994e056388b12c55227a111e71</t>
  </si>
  <si>
    <t>EXHIBIT_EMAIL_20241128_1570_3152ed7e,EMAIL,2024-11-28T12:29:28+00:00,100.0,CRITICAL,Email: Our apologies for the urgency,3152ed7eb5433545e042fb1bcae4c885a672db5e9de208a2fdc35ca411da4c91</t>
  </si>
  <si>
    <t>EXHIBIT_EMAIL_20250121_1571_166a3ec0,EMAIL,2025-01-21T14:14:48+00:00,100.0,CRITICAL,Email: 50% OFF: Sale happening now,166a3ec0c56d32fe2574cfba818fdaa67bc33901cc71f684674feb502827948a</t>
  </si>
  <si>
    <t>EXHIBIT_EMAIL_20241202_1572_851366a8,EMAIL,2024-12-02T05:28:34-08:00,100.0,CRITICAL,Email: Surprise Extension! Save 35% Off Through December 4,851366a8ef9b37489b31ae8629c41cc8d8b243b82d1ce627220e5a3eaf06888d</t>
  </si>
  <si>
    <t>EXHIBIT_EMAIL_20250217_1573_a3658f3f,EMAIL,2025-02-17T19:10:39+00:00,100.0,CRITICAL,"Email: Hey, Canada, Roll Up to Win is almost back! 👀🤭",a3658f3fd547b5bba332cc62cb7d0b76e53f9d32b792c36ecfa8a2ed9f0f08b1</t>
  </si>
  <si>
    <t>EXHIBIT_EMAIL_20250215_1574_dd5e0386,EMAIL,2025-02-15T02:02:19+00:00,100.0,CRITICAL,Email: Security alert for lunacraigcep@gmail.com,dd5e03861307ee8e676c36b3844721f4c66be1ad1693c7427af0e2a1adc0c9d6</t>
  </si>
  <si>
    <t>EXHIBIT_EMAIL_20250215_1575_e6c7a450,EMAIL,2025-02-15T00:47:54+00:00,100.0,CRITICAL,Email: Security alert for lunacraigcep@gmail.com,e6c7a45084f7770b8a6cf419ea3a5c57589681108c6f04c12c0227261dabd89d</t>
  </si>
  <si>
    <t>EXHIBIT_EMAIL_20250226_1576_860998ff,EMAIL,2025-02-26T23:27:00+00:00,100.0,CRITICAL,Email: Need help with your website?,860998fff9f7fed3f3c640c3bfe491bc0305d1df7464781eccd5628b9f179a48</t>
  </si>
  <si>
    <t>EXHIBIT_EMAIL_20241222_1577_4e218cef,EMAIL,2024-12-22T21:21:27-06:00,100.0,CRITICAL,Email: NOW LIVE: Up to 45% off Boxing Week Deals 🎁,4e218cefd544e894abc3ccbae127ce3911102a2686f0b261ad2ff2cedd31c53b</t>
  </si>
  <si>
    <t>EXHIBIT_EMAIL_20241204_1578_d7c402a5,EMAIL,2024-12-04T07:29:47-08:00,100.0,CRITICAL,Email: Don’t miss 50% off for Cyber Monday,d7c402a529f30803f3420f3b2086c74f71ce8fc87606ef4f53ffdde78607151e</t>
  </si>
  <si>
    <t>EXHIBIT_EMAIL_20241202_1579_29b8b706,EMAIL,2024-12-02T17:03:41-05:00,100.0,CRITICAL,Email: Up to 30% Off Ends TONIGHT! Don't Sleep on These Deals! 💤,29b8b706c3ce54a75e0e16fc64a020741a1ca82159ba56b49d373ab6446f8f95</t>
  </si>
  <si>
    <t>EXHIBIT_EMAIL_20250126_1580_0c7745ca,EMAIL,2025-01-26T02:00:53+00:00,100.0,CRITICAL,Email: New sign-in to your Alfred account,0c7745ca51649254088cde659fe7ae32c661f750e25319a7b71ba1555c53013a</t>
  </si>
  <si>
    <t>EXHIBIT_EMAIL_20241127_1581_31fdef4a,EMAIL,2024-11-27T13:45:05-06:00,100.0,CRITICAL,Email: 🔥 Black Friday Deals You Can’t Miss!,31fdef4a52fd26c99eca9a84b8a01a2da44b1b19809025ec62733c05e8f2d16d</t>
  </si>
  <si>
    <t>EXHIBIT_EMAIL_20241128_1582_729786ad,EMAIL,2024-11-28T06:55:23+00:00,100.0,CRITICAL,Email: Security alert for placed.sj@gmail.com,729786ad77a59a3499b15146c028dc923db1e5c6c9ff6f25c47d28c14ffa3b61</t>
  </si>
  <si>
    <t>EXHIBIT_EMAIL_20241128_1583_29e46d1c,EMAIL,2024-11-28T04:15:56+00:00,100.0,CRITICAL,Email: Security alert for placed.sj@gmail.com,29e46d1c6250f919373e804b66856aa28fef77b3e78a10a13ec6f773eff661c1</t>
  </si>
  <si>
    <t>EXHIBIT_EMAIL_20241128_1584_f72e769a,EMAIL,2024-11-28T04:15:55+00:00,100.0,CRITICAL,Email: Security alert for placed.sj@gmail.com,f72e769a1b9a44be29e11097c0b50ecf8565eee4d6bd1feabcd03d2545a29653</t>
  </si>
  <si>
    <t>EXHIBIT_EMAIL_20241128_1585_8f24ea0b,EMAIL,2024-11-28T04:15:47+00:00,100.0,CRITICAL,Email: Security alert for placed.sj@gmail.com,8f24ea0bb1e9a3c55c0731a9fd9a60481214d46f9367e63219b640d8f1d4a391</t>
  </si>
  <si>
    <t>EXHIBIT_EMAIL_20250224_1586_8cf81076,EMAIL,2025-02-24T13:43:11-05:00,100.0,CRITICAL,Email: Need a hand today? We’ve got you,8cf81076b945957f6c4e3c837571a513d9b8dae6e18873a9046534fb99f47638</t>
  </si>
  <si>
    <t>EXHIBIT_EMAIL_20241117_1587_f6de8390,EMAIL,2024-11-17T07:22:04-06:00,100.0,CRITICAL,Email: Stock up on self care &amp; Black Friday Deals 🛒,f6de83906afbe7c3e289900da6df0abba32aed136bfbe456093aa762294f74e7</t>
  </si>
  <si>
    <t>EXHIBIT_EMAIL_20241224_1588_6ee5aab9,EMAIL,2024-12-24T09:04:20-08:00,100.0,CRITICAL,Email: Unwrap joy &amp; innovation with Microsoft,6ee5aab9eb361816de086f49a325d5991745921761fe0f2befdce064634de983</t>
  </si>
  <si>
    <t>EXHIBIT_EMAIL_20241229_1589_50aab2e2,EMAIL,2024-12-29T09:22:46-06:00,100.0,CRITICAL,Email: Low prices on Tylenol relief 💊,50aab2e25e869551d415f29ce7aa61f213960dd48db62cd91cd69013ddd1f7fa</t>
  </si>
  <si>
    <t>EXHIBIT_EMAIL_20250207_1590_2ceffae9,EMAIL,2025-02-07T23:12:41-08:00,100.0,CRITICAL,Email: You have codespaces that are about to be deleted,2ceffae96af2c8b9fec49bdf3da92aa1608d660ebbdb6e3f460eb446948e9cd7</t>
  </si>
  <si>
    <t>EXHIBIT_EMAIL_20250104_1591_1d6a2554,EMAIL,2025-01-04T19:56:33-08:00,100.0,CRITICAL,"Email: charliewharlie369, catch up on moments you've missed",1d6a25548a94ef361643be9d083cbffbbed74971537c826b3c403adf1622c44a</t>
  </si>
  <si>
    <t>EXHIBIT_EMAIL_20250103_1592_35f141ae,EMAIL,2025-01-03T08:02:47-06:00,100.0,CRITICAL,Email: Deals just in: Join now to save 25%+,35f141aea10685349c1d64469d8fa892e4443dfcf5946f76cfc925bf582369ed</t>
  </si>
  <si>
    <t>EXHIBIT_EMAIL_20241126_1593_ae54b4dc,EMAIL,2024-11-26T13:53:41-05:00,100.0,CRITICAL,Email: Create your company's financial plan in 6 steps,ae54b4dc3be49757ac68f7e60f6c748cc896fc310dbdbf332e6fd826cb3bf2c6</t>
  </si>
  <si>
    <t>EXHIBIT_EMAIL_20250112_1594_0f607653,EMAIL,2025-01-12T14:35:36-06:00,100.0,CRITICAL,Email: Want to get the most out of Avion Rewards?,0f607653aebff0cbc43142634fb4c8b3dfe61936d055be4485e925fd1c549d69</t>
  </si>
  <si>
    <t>EXHIBIT_EMAIL_20250210_1595_f14cab92,EMAIL,2025-02-10T06:48:30-08:00,100.0,CRITICAL,Email: Set the mood with these misty photo overlays,f14cab927fa8267721cd136d3575ffdab3cf9ab14dba0a4c5cafc2c77bc55ecc</t>
  </si>
  <si>
    <t>EXHIBIT_EMAIL_20241209_1596_93bd1cd0,EMAIL,2024-12-09T16:08:37+00:00,100.0,CRITICAL,"Email: Get in on 3 months of Spotify Premium for $12.69 now. $12.69/mo.</t>
  </si>
  <si>
    <t>after. Cancel anytime.",93bd1cd048e928ad75b55ba7722cfdd39fc6d7877c0455bc530253c0c4d5320d</t>
  </si>
  <si>
    <t>EXHIBIT_EMAIL_20241220_1597_edbd4dbd,EMAIL,2024-12-20T19:59:50+01:00,100.0,CRITICAL,Email: Jusqu’à 60 % de rabais + 30 % de rabais supplémentaire sur les meilleurs articles de l’année,edbd4dbde34b51946871d788ba0471e9ba228bd8a42d0b69a42f91615612605e</t>
  </si>
  <si>
    <t>EXHIBIT_EMAIL_20241212_1598_586f9518,EMAIL,2024-12-12T12:17:55-06:00,100.0,CRITICAL,Email: Planning your next trip just got easier,586f95182441c5438bdbf86063e74bc4a21363c23e1de5b61aac38764c3cd4ab</t>
  </si>
  <si>
    <t>EXHIBIT_EMAIL_20250213_1599_9f235f3d,EMAIL,2025-02-13T17:24:22+00:00,100.0,CRITICAL,"Email: Supercharge meeting transcripts with automation, 14 updates, and 17 new apps",9f235f3d7305c8ef0946176ab8d1a97324f0e1e2e6e41962c29d8f72c6ebccae</t>
  </si>
  <si>
    <t>EXHIBIT_EMAIL_20251003_1600_a3ac050d,EMAIL,2025-10-03T10:22:31-03:00,95.0,CRITICAL,Email: FDSJ 739-24- UPDATE,a3ac050d7e77d4cc2f298a6226803f45f9da11ca9b6b8fda1dd5d075f76c238f</t>
  </si>
  <si>
    <t>EXHIBIT_EMAIL_20250206_1601_a34d9709,EMAIL,2025-02-06T11:02:52+00:00,100.0,CRITICAL,Email: We know you’re a big Footlong sub fan…,a34d97096995dc1ae9e649a35939d43647389bfa61ab060cba95f1f40ab0ef1c</t>
  </si>
  <si>
    <t>EXHIBIT_EMAIL_20241105_1602_e3094057,EMAIL,2024-11-05T00:00:45+00:00,100.0,CRITICAL,Email: Security alert for lunacraigcep@gmail.com,e3094057b014613439cd3c0cfd0772d66ce03aeaae9688dd90dcbd94dbccf724</t>
  </si>
  <si>
    <t>EXHIBIT_EMAIL_20250101_1603_222de1f2,EMAIL,2025-01-01T05:30:04+00:00,100.0,CRITICAL,"Email: vroofn, get a 200% Bonus! ✨",222de1f232ffd7956d86c31d1137c1d63d617da4d4d09284b1db0e78d1b13090</t>
  </si>
  <si>
    <t>EXHIBIT_EMAIL_20250226_1604_aad673e9,EMAIL,2025-02-26T18:35:38+00:00,100.0,CRITICAL,Email: Season 8: Design your video in an instant,aad673e94b50d539ad2041978d45475bcab5621b0b2e2f5709507b93c218fe88</t>
  </si>
  <si>
    <t>EXHIBIT_EMAIL_20241107_1605_f13d10ce,EMAIL,2024-11-07T16:46:25-08:00,100.0,CRITICAL,Email: Microsoft account password change,f13d10ce3509ba75648e86d2247310a9fa48d57b72354795df76c2460af8bb3c</t>
  </si>
  <si>
    <t>EXHIBIT_EMAIL_20241126_1606_431b605b,EMAIL,2024-11-26T16:55:56+00:00,100.0,CRITICAL,Email: Our apologies for the urgency,431b605b30f6a09862a88df340a150bb055cf93a49bb4b9ccc158f267ac726a7</t>
  </si>
  <si>
    <t>EXHIBIT_EMAIL_20241218_1607_5e1c6e44,EMAIL,2024-12-18T15:30:33-05:00,100.0,CRITICAL,Email: Re: Paul,5e1c6e44c9228cbe78c37c2259b7776b64964f436318b2cacd03f61ed12c7c93</t>
  </si>
  <si>
    <t>EXHIBIT_EMAIL_20241209_1608_27dedf10,EMAIL,2024-12-09T10:21:03-05:00,100.0,CRITICAL,Email: Paul,27dedf101b5ed7440ea8bc1dcaa2a50534a5bff097593f86d59329f87d0c9668</t>
  </si>
  <si>
    <t>EXHIBIT_EMAIL_20250108_1609_6251def3,EMAIL,2025-01-08T12:05:09-08:00,100.0,CRITICAL,Email: New app(s) connected to your Microsoft account,6251def361aa1b472220676417f27aeb6eb15b38bf01b1021574b9a67b0774c7</t>
  </si>
  <si>
    <t>EXHIBIT_EMAIL_20241116_1610_77190ee0,EMAIL,2024-11-16T15:46:23+00:00,100.0,CRITICAL,Email: Ready to host? Transform your living room for the holidays!,77190ee09790812c2840fb0047fc9b35004c935a28f2a9543adb726f71999a8e</t>
  </si>
  <si>
    <t>EXHIBIT_EMAIL_20250127_1611_3ee4560d,EMAIL,2025-01-27T01:31:11+01:00,100.0,CRITICAL,Email: You have received 10 free spins,3ee4560d19d3876d07db1c8c45f3c7bde41970f702deb5274362be3bd38b3c79</t>
  </si>
  <si>
    <t>EXHIBIT_EMAIL_20241107_1612_84960f4f,EMAIL,2024-11-07T23:02:00+01:00,100.0,CRITICAL,Email: C’est maintenant le moment de faire des réserves et d’économiser sur les cadeaux,84960f4fb2f5e2ccec1f0be183c5490f68bab407d76a863eb1f702f4a6eb3724</t>
  </si>
  <si>
    <t>EXHIBIT_EMAIL_20241109_1613_52528f50,EMAIL,2024-11-09T04:17:59+00:00,100.0,CRITICAL,Email: Why is the neutral wire at 0V?,52528f5022422d8f43dc10d008b954492d4dd99d3da030f0ba447ac4f6a1ba91</t>
  </si>
  <si>
    <t>EXHIBIT_EMAIL_20241127_1614_82d29e87,EMAIL,2024-11-27T14:00:51+00:00,100.0,CRITICAL,"Email: New day, new deals: Black Friday Week",82d29e8725b921cb4f18b4cbbd09e8edaa717b0bb10d5a685cb82d403f54632d</t>
  </si>
  <si>
    <t>EXHIBIT_EMAIL_20241107_1615_5be7eae0,EMAIL,2024-11-07T16:46:26-08:00,100.0,CRITICAL,Email: Microsoft account app passwords need updating,5be7eae06b03be6276b91a241c714c6f88420f6f45ddcc7403a084141b65d2be</t>
  </si>
  <si>
    <t>EXHIBIT_EMAIL_20250206_1616_73005b30,EMAIL,2025-02-06T19:00:53+00:00,100.0,CRITICAL,Email: The Right Way to Ask for Google Reviews: A Guide for Local BusinessesThe Right Way to Ask for Google,73005b30b16a4cbca6a42b71bc80b8213bd836a364d9af5eae5355774196551f</t>
  </si>
  <si>
    <t>EXHIBIT_EMAIL_20241129_1617_5196e359,EMAIL,2024-11-29T16:18:06-08:00,100.0,CRITICAL,Email: Microsoft account app passwords need updating,5196e359dbe41f25f418236f22e11193f8487d50399760a87e982e51ec418c49</t>
  </si>
  <si>
    <t>EXHIBIT_EMAIL_20241214_1618_21439172,EMAIL,2024-12-14T04:30:18+00:00,100.0,CRITICAL,"Email: vroofn, Deposit CAD 5, Get 77 Free Spins! 🎅",2143917243764b42f6ba55ba0ed6425d0f1de1df74c26caad5b7ab1c2cc08daf</t>
  </si>
  <si>
    <t>EXHIBIT_EMAIL_20250116_1619_687d0e5a,EMAIL,2025-01-16T16:58:30-08:00,100.0,CRITICAL,Email: Sign up for an exclusive $100 e-voucher,687d0e5ac5768e815b9051e9ce009e57cd4217da6000652248d6fad2d971bdf9</t>
  </si>
  <si>
    <t>EXHIBIT_EMAIL_20250204_1620_61a6fa06,EMAIL,2025-02-04T11:17:43+00:00,100.0,CRITICAL,Email: Try the best converting checkout,61a6fa06cb9276ab12cba2d9670a855647bc9340e8095509d204bff2b5c08705</t>
  </si>
  <si>
    <t>EXHIBIT_EMAIL_20251004_1621_4f3bb9c1,EMAIL,2025-10-04T03:10:24+00:00,96.0,CRITICAL,"Email: Share request for ""emmaspaperaffidavit""",4f3bb9c1785e2a939ea47414868d9f4bcb988bf46d6ed66d5f336f0d5080b126</t>
  </si>
  <si>
    <t>EXHIBIT_EMAIL_20241117_1622_c12bbabe,EMAIL,2024-11-17T11:49:45-06:00,100.0,CRITICAL,Email: Hot savings 🔥 Up to 50% off Black Friday Deals 😍,c12bbabeb423e6ad5f966279e6f38f40990722dd48842abcbea77e7a3507d461</t>
  </si>
  <si>
    <t>EXHIBIT_EMAIL_20241201_1623_b619b162,EMAIL,2024-12-01T06:00:11-06:00,100.0,CRITICAL,Email: Time to play December to Remember!,b619b162aac22b6cd7c3e0dddbbe40532a483b01237fa47d34af172c70e23250</t>
  </si>
  <si>
    <t>EXHIBIT_EMAIL_20250126_1624_73120f97,EMAIL,2025-01-26T01:51:12+00:00,100.0,CRITICAL,Email: Security alert for placed.sj@gmail.com,73120f972ca236bdbc516fddc3cd771414e03f157f8dccc9a9a8fcc7872e1d19</t>
  </si>
  <si>
    <t>EXHIBIT_EMAIL_20160802_1625_0219dffd,EMAIL,2016-08-02T15:32:42-06:00,96.0,CRITICAL,Email: Updates to our terms of use and privacy statement,0219dffdb78b78e188c0bda48834831b5832b278451829ec21b4debe303468b1</t>
  </si>
  <si>
    <t>EXHIBIT_EMAIL_20160723_1626_02cd49be,EMAIL,2016-07-23T16:15:47-07:00,96.0,CRITICAL,Email: Updates to our terms of use and privacy statement,02cd49be89d90be245bdce77489cebc663b6c5dbb58462d7a7df30af18788449</t>
  </si>
  <si>
    <t>EXHIBIT_EMAIL_20241118_1627_7cbdd3da,EMAIL,2024-11-18T12:19:52+00:00,100.0,CRITICAL,Email: 🛒TEMU Cart Message,7cbdd3da9535c3a99e0ed7376d65dde13bc52495edf7d082214fb195870ec81d</t>
  </si>
  <si>
    <t>EXHIBIT_EMAIL_20241227_1628_0ad29dc0,EMAIL,2024-12-27T18:11:12-06:00,100.0,CRITICAL,Email: Five national parks you need to see,0ad29dc0cdf7a3f79c001665bd6eb91c1d152f07006d7490efe3f3d5601b6acc</t>
  </si>
  <si>
    <t>EXHIBIT_EMAIL_20151216_1629_de4f9ac1,EMAIL,2015-12-16T06:57:07-08:00,96.0,CRITICAL,Email: Your VIP Club Statement,de4f9ac182f941134da9493ac2adf9a4349c37251502213e99df0ecc2e907ce0</t>
  </si>
  <si>
    <t>EXHIBIT_EMAIL_20241203_1630_2b51a0fd,EMAIL,2024-12-03T03:38:18+00:00,100.0,CRITICAL,Email: Security alert for placed.sj@gmail.com,2b51a0fd79b2e233c4052abd89cd2e97a11a2111161919b629cd5d85cc2d8193</t>
  </si>
  <si>
    <t>EXHIBIT_EMAIL_20241203_1631_d845dd91,EMAIL,2024-12-03T03:37:52+00:00,100.0,CRITICAL,Email: Security alert for placed.sj@gmail.com,d845dd91b2536e13ee8ce04465b332c2e5c696c1d2f2f6f979e70b66f7648008</t>
  </si>
  <si>
    <t>EXHIBIT_EMAIL_20151206_1632_00ac4d2d,EMAIL,2015-12-06T18:11:45+00:00,85.0,CRITICAL,"Email: Reminder: Your free month ends Wednesday, December 9, 2015",00ac4d2dc49bd03662caf89b5c9e63c919137f03daea077c528ec680b0963875</t>
  </si>
  <si>
    <t>EXHIBIT_EMAIL_20151113_1633_967c5a87,EMAIL,2015-11-13T10:07:40-08:00,96.0,CRITICAL,Email: Your VIP Club Statement,967c5a8711fcc6638166ef622b1a64aebc7d0de6507a01c67fe1dfba363bb832</t>
  </si>
  <si>
    <t>EXHIBIT_EMAIL_20151113_1634_d18fb970,EMAIL,2015-11-13T10:06:39-08:00,96.0,CRITICAL,Email: Your VIP Club Statement,d18fb970f8ce8dbaf7a29369d20d6726fbe0759daef678545f81a09ba4f813b0</t>
  </si>
  <si>
    <t>EXHIBIT_EMAIL_20250217_1635_ac15d389,EMAIL,2025-02-17T14:52:07+00:00,100.0,CRITICAL,Email: Psst...get $40—good for delivery or pickup,ac15d389e5492b5d8ed55fe7898f68959d52644d5c51a2fcb1893cf4a75ee2b8</t>
  </si>
  <si>
    <t>EXHIBIT_EMAIL_20250809_1636_159b5c3e,EMAIL,2025-08-09T21:24:44-03:00,90.0,CRITICAL,Email: court ordered time,159b5c3e9efca336b67511e0d2198a9fc0a2a36d2d7202b69a161fef3671f998</t>
  </si>
  <si>
    <t>EXHIBIT_EMAIL_20250124_1637_512e9b9a,EMAIL,2025-01-24T15:47:20+00:00,100.0,CRITICAL,Email: Security alert,512e9b9ada1abee7f04cde16c60dbb3b1494b4e95b824d7fbdd49d0df92982ff</t>
  </si>
  <si>
    <t>EXHIBIT_EMAIL_20250119_1638_22a5e42f,EMAIL,2025-01-19T02:10:39+00:00,100.0,CRITICAL,Email: Norovirus poll results &amp; 🚫 the red dye ban,22a5e42fcf0fab472bf1a3d6a10b83b132a2e1fdefd41acbfc39042e6d94ec95</t>
  </si>
  <si>
    <t>EXHIBIT_EMAIL_20250109_1639_03571018,EMAIL,2025-01-09T12:27:42-06:00,100.0,CRITICAL,Email: Planning your next trip just got easier,03571018eff142ea553f46e5f2e2ca90bede82c8bd481ff100aa5c43ef9a9917</t>
  </si>
  <si>
    <t>EXHIBIT_EMAIL_20241204_1640_98c3041d,EMAIL,2024-12-04T15:10:28-06:00,100.0,CRITICAL,"Email: Craig, get ready for the season of sharing!",98c3041d0a67ac106ca72fec8fb260866130e6f3d82402fff2465d52386101c0</t>
  </si>
  <si>
    <t>EXHIBIT_EMAIL_20250123_1641_e3d196f5,EMAIL,2025-01-23T10:32:42-05:00,100.0,CRITICAL,Email: Valentine's Gifts for Every Kind of Love ❤️,e3d196f58e03ff5540fde50785d6bf99efc07ac15ba8fe2faf13daa3a94b064c</t>
  </si>
  <si>
    <t>EXHIBIT_EMAIL_20241223_1642_88009cb0,EMAIL,2024-12-23T14:01:22+00:00,100.0,CRITICAL,Email: Merry Christmas from the Shed Suite Team 🎄,88009cb0c2e8f4c7ebb7978071c19bd72b178d38ca272c0c645f1b1197ded73d</t>
  </si>
  <si>
    <t>EXHIBIT_EMAIL_20250119_1643_786450b4,EMAIL,2025-01-19T10:58:49+00:00,100.0,CRITICAL,Email: Security alert for lunacraigcep@gmail.com,786450b4263a5bd3c0d6826ecd0a73edaa4eb0693b34128dae6ab08e032e9dd7</t>
  </si>
  <si>
    <t>EXHIBIT_EMAIL_20241202_1644_5025f8ba,EMAIL,2024-12-02T12:05:33-08:00,100.0,CRITICAL,Email: Microsoft account app passwords need updating,5025f8ba101100b4752cfd4d6dc490d740296c060271f32cd79bd1103bd119c0</t>
  </si>
  <si>
    <t>EXHIBIT_EMAIL_20241210_1645_588e765b,EMAIL,2024-12-10T16:30:27+00:00,100.0,CRITICAL,Email: Our apologies for the urgency,588e765b5355dd75760f941218a718992f022bb300690618d3ee2d56ba493dc1</t>
  </si>
  <si>
    <t>EXHIBIT_EMAIL_20241216_1646_d4ed574e,EMAIL,2024-12-16T12:44:21+00:00,100.0,CRITICAL,Email: Your cart item: now 30% OFF!,d4ed574e0afe0c6a19c1c1fc02388159531b322f719917d1977eeb763bdb37c9</t>
  </si>
  <si>
    <t>EXHIBIT_EMAIL_20250113_1647_e0b885cf,EMAIL,2025-01-13T16:05:01+00:00,100.0,CRITICAL,Email: Space is limited. Join the Customer Insights Community.,e0b885cf18d65ad18889b71478dcc20d45a48e443144fcdcf83f2c0b58c73a04</t>
  </si>
  <si>
    <t>EXHIBIT_EMAIL_20241208_1648_09dca84d,EMAIL,2024-12-08T07:13:35+01:00,100.0,CRITICAL,Email: You have received 5 free spins,09dca84d02c94ee633190edfec4018e2aca783f48220d810d9cf98f531cd0644</t>
  </si>
  <si>
    <t>EXHIBIT_EMAIL_20250213_1649_ed5fbce6,EMAIL,2025-02-13T08:45:33-04:00,100.0,CRITICAL,Email: Fwd: INTERAC e-Transfer: A money transfer from Paul Carey has been automatically deposited.,ed5fbce64ae8d13358a950c6b09ec2f205b5d4aeab6e185843c0953702fbcaff</t>
  </si>
  <si>
    <t>EXHIBIT_EMAIL_20250203_1650_44470865,EMAIL,2025-02-03T13:30:49+00:00,100.0,CRITICAL,Email: Automate your to-do list,44470865f66e477a51502d17c057de89e655ba80ed80fe869dd36d60e873eff2</t>
  </si>
  <si>
    <t>EXHIBIT_EMAIL_20241112_1651_42584da5,EMAIL,2024-11-12T14:10:09+00:00,100.0,CRITICAL,Email: Get the Turkey you’ve been eyeing 👀,42584da54dd098f53ea32482cf5ad5cbf058009fd73b3215f59a3a481a513a45</t>
  </si>
  <si>
    <t>EXHIBIT_EMAIL_20250812_1652_645fa0c4,EMAIL,2025-08-12T15:19:07+00:00,90.0,CRITICAL,Email: Web accessibility made simple: detect &amp; fix violations,645fa0c4cb5126f5125d851ed373d69893d694935a98c4e982537e4628a719cf</t>
  </si>
  <si>
    <t>EXHIBIT_EMAIL_20241104_1653_490a98f1,EMAIL,2024-11-04T10:19:18-06:00,100.0,CRITICAL,Email: Up to 30% off holiday Rollbacks 🎁,490a98f11d831d6316d1208e1a32d32f23921fdb5f1153a62b06c207c9df56b9</t>
  </si>
  <si>
    <t>EXHIBIT_EMAIL_20250128_1654_37525a6f,EMAIL,2025-01-28T16:06:13+00:00,100.0,CRITICAL,Email: No top prize? Score a ticket instead! 🎫,37525a6fd3843a161dd6a80b47498d451e4c1182d7c585326c10284684ed0d12</t>
  </si>
  <si>
    <t>EXHIBIT_EMAIL_20250203_1655_8c041216,EMAIL,2025-02-03T17:00:28+00:00,100.0,CRITICAL,Email: New earning opportunities available to you,8c041216eb29e837eec52637006e6ba2d64583d00cbb726d9f376f2448c35685</t>
  </si>
  <si>
    <t>EXHIBIT_EMAIL_20241212_1656_e427c030,EMAIL,2024-12-12T07:27:36+00:00,100.0,CRITICAL,Email: CUPA Pizarras – Request of information about THERMOSLATE®,e427c0300c7b7d8ea85019b6a8e4de7fd2e33e04549c16a3f6e94af9cd0abafc</t>
  </si>
  <si>
    <t>EXHIBIT_EMAIL_20250226_1657_b7180c79,EMAIL,2025-02-26T15:36:21-06:00,100.0,CRITICAL,Email: LAST CHANCE: $50 says this demo’s worth it,b7180c79010936a830ba476cfd247a9cb127a6b16348495675636a318858bfdb</t>
  </si>
  <si>
    <t>EXHIBIT_EMAIL_20241203_1658_c012233b,EMAIL,2024-12-03T03:37:52+00:00,100.0,CRITICAL,Email: Your Google Account was recovered successfully,c012233bbaa1f769bd5331eebdce0cad87a66f60260c0e39c53a4f9b3e8717f5</t>
  </si>
  <si>
    <t>EXHIBIT_EMAIL_20241203_1659_c012233b,EMAIL,2024-12-03T03:37:52+00:00,100.0,CRITICAL,Email: Your Google Account was recovered successfully,c012233bbaa1f769bd5331eebdce0cad87a66f60260c0e39c53a4f9b3e8717f5</t>
  </si>
  <si>
    <t>EXHIBIT_EMAIL_20241208_1660_53ee76ce,EMAIL,2024-12-08T02:02:36+00:00,100.0,CRITICAL,Email: Your pregnancy announcements &amp; more 🥒 recalls,53ee76ce410c80db49d0855006cca6c5db0de927b94b56be953c186731ba1b42</t>
  </si>
  <si>
    <t>EXHIBIT_EMAIL_20250213_1661_39ef116a,EMAIL,2025-02-13T08:45:05-04:00,100.0,CRITICAL,Email: Fwd: INTERAC e-Transfer: A money transfer from Paul Carey has been automatically deposited.,39ef116a803e05bbf7425268afe7e2a6c63f8c573d12c08148e0ca361acb9421</t>
  </si>
  <si>
    <t>EXHIBIT_EMAIL_20250129_1662_24c2e659,EMAIL,2025-01-29T11:03:14+00:00,100.0,CRITICAL,"Email: Join BetFury Staking: unlock regular rewards with the highest</t>
  </si>
  <si>
    <t>APYs!",24c2e65952bb6d1ff74e747461598c7f8df898d0aea0f853d25ed7343f0a2a58</t>
  </si>
  <si>
    <t>EXHIBIT_EMAIL_20250110_1663_076337bf,EMAIL,2025-01-10T06:39:36+00:00,100.0,CRITICAL,"Email: Your generation is ready, step right back in 🔥",076337bf1126a968088a2435642cf5dfc690b0a454b8eb6aabb371d11688d8d8</t>
  </si>
  <si>
    <t>EXHIBIT_EMAIL_20250116_1664_4e21e0bc,EMAIL,2025-01-16T02:24:48-06:00,100.0,CRITICAL,Email: Verification Method Added,4e21e0bcf7c843bba272ad661e1c6d6d97c4c7e7690add6188dbdf4ac611ca1c</t>
  </si>
  <si>
    <t>EXHIBIT_EMAIL_20250110_1665_159703ed,EMAIL,2025-01-10T09:47:08-05:00,100.0,CRITICAL,Email: Up to 70% OFF! Don't Miss Out 🏃🏽,159703ed8706080517fe2db08edd8671d37875287884fc07a6691c9c3cd5c880</t>
  </si>
  <si>
    <t>EXHIBIT_EMAIL_20241213_1666_c9b5d031,EMAIL,2024-12-13T19:19:30+00:00,100.0,CRITICAL,"Email: Your appreciation chip is here, Dawn!",c9b5d031e1075a906873e5982046e36ca911ad5fc138f8ea1bef130aedf153da</t>
  </si>
  <si>
    <t>EXHIBIT_EMAIL_20241127_1667_1fe88d82,EMAIL,2024-11-27T07:03:37-08:00,100.0,CRITICAL,Email: 50% off for Black Friday ends soon,1fe88d8271aa1429eb950ddb2f8d2222d935bdf58739ea6dfa5cb0b1f8a97849</t>
  </si>
  <si>
    <t>EXHIBIT_EMAIL_20250205_1668_37ffa013,EMAIL,2025-02-05T08:01:11-06:00,100.0,CRITICAL,Email: Show your pet some love,37ffa01358eb0c0eefb1802c82c6f36f4738a6df067feebbfc512d1252b05581</t>
  </si>
  <si>
    <t>EXHIBIT_EMAIL_20241203_1669_e4c20c8d,EMAIL,2024-12-03T14:57:46+01:00,100.0,CRITICAL,Email: SURPRISE : encore deux jours de cyber-rabais,e4c20c8de0bf0fb9fd8d0bf07ffb5eadb7f22b517c8cd449e370bee596638ed3</t>
  </si>
  <si>
    <t>EXHIBIT_EMAIL_20250228_1670_3ff5ab89,EMAIL,2025-02-28T22:51:07+00:00,100.0,CRITICAL,"Email: Launch Week in 4 days, Volumes on Railway Metal Beta, SE Asia Metal Region",3ff5ab8918af288641d21d808d38e572c201d63bb0bc46c6a2b15c7455b2249f</t>
  </si>
  <si>
    <t>EXHIBIT_EMAIL_20241202_1671_f27d264d,EMAIL,2024-12-02T07:17:46-08:00,100.0,CRITICAL,Email: Save 50% for Cyber Monday,f27d264d51882cf25cdb6748d3d5c19c9090a27a80c84cca25ee2d1a9950239b</t>
  </si>
  <si>
    <t>EXHIBIT_EMAIL_20250205_1672_5e58bbc1,EMAIL,2025-02-05T10:39:56+00:00,100.0,CRITICAL,"Email: 4 White, Wood and Blue Kitchen Makeovers | Lighting Trends From Maison &amp; Objet",5e58bbc1ad391fa52db0edae2948dac33719eaa9742249b53b988a54c38dfb95</t>
  </si>
  <si>
    <t>EXHIBIT_EMAIL_20241205_1673_82c565d5,EMAIL,2024-12-05T11:57:53-06:00,100.0,CRITICAL,Email: PRICE DROP ALERT 🚨❗,82c565d5d8861a51276b5f1a9582f213bf254344df6a4ebe5d8ed118594e27fd</t>
  </si>
  <si>
    <t>EXHIBIT_EMAIL_20250108_1674_958ac993,EMAIL,2025-01-08T09:09:25-06:00,100.0,CRITICAL,Email: Low prices on storage solutions for your home ✨🧺,958ac9932524003752fc502ba8d7fef6a056190f051adcf97b3aa11666c191ef</t>
  </si>
  <si>
    <t>EXHIBIT_EMAIL_20250207_1675_23b6f851,EMAIL,2025-02-07T15:00:32+00:00,100.0,CRITICAL,Email: We’d love to hear from you!,23b6f85133ef2a0739e663e1591665f714cf40c7b28c83712a11b413f6563fe7</t>
  </si>
  <si>
    <t>EXHIBIT_EMAIL_20250220_1676_52b824ce,EMAIL,2025-02-20T14:07:10+00:00,100.0,CRITICAL,Email: Verify your email address,52b824cedff141013468b340f61c960b5ea459376ada81a6358f854f09c55691</t>
  </si>
  <si>
    <t>EXHIBIT_EMAIL_20250226_1677_d01435ab,EMAIL,2025-02-26T18:05:26+00:00,100.0,CRITICAL,Email: New: Find &amp; replace for faster updates,d01435ab26c7e08acd206a8478ffeff210504b6fa2d1537286d5eef8becfbb97</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</si>
</sst>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mm-dd h:mm am/pm"/>
    <numFmt numFmtId="166" formatCode="yyyy-mm-dd, h:mm am/pm"/>
    <numFmt numFmtId="167" formatCode="yyyy-mm-dd h:mm:ss"/>
    <numFmt numFmtId="168" formatCode="h:mm am/pm"/>
  </numFmts>
  <fonts count="8">
    <font>
      <sz val="10.0"/>
      <color rgb="FF000000"/>
      <name val="Arial"/>
      <scheme val="minor"/>
    </font>
    <font>
      <color theme="1"/>
      <name val="Arial"/>
    </font>
    <font>
      <color theme="1"/>
      <name val="Arial"/>
      <scheme val="minor"/>
    </font>
    <font>
      <b/>
      <color theme="1"/>
      <name val="Arial"/>
    </font>
    <font>
      <color rgb="FF1B1C1D"/>
      <name val="Arial"/>
    </font>
    <font>
      <b/>
      <color rgb="FF1B1C1D"/>
      <name val="Arial"/>
    </font>
    <font>
      <i/>
      <color rgb="FF1B1C1D"/>
      <name val="Arial"/>
    </font>
    <font>
      <b/>
      <i/>
      <color theme="1"/>
      <name val="Arial"/>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535FC1"/>
        <bgColor rgb="FF535FC1"/>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left" shrinkToFit="0" vertical="center" wrapText="0"/>
    </xf>
    <xf borderId="0" fillId="0" fontId="1" numFmtId="0" xfId="0" applyAlignment="1" applyFont="1">
      <alignment horizontal="left" shrinkToFit="0" vertical="center" wrapText="0"/>
    </xf>
    <xf borderId="0" fillId="0" fontId="1" numFmtId="164" xfId="0" applyAlignment="1" applyFont="1" applyNumberFormat="1">
      <alignment horizontal="lef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2" numFmtId="0" xfId="0" applyFont="1"/>
    <xf borderId="0" fillId="0" fontId="1" numFmtId="0" xfId="0" applyAlignment="1" applyFont="1">
      <alignment shrinkToFit="0" vertical="center" wrapText="0"/>
    </xf>
    <xf borderId="0" fillId="0" fontId="1" numFmtId="165"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166" xfId="0" applyAlignment="1" applyFont="1" applyNumberFormat="1">
      <alignment shrinkToFit="0" vertical="center" wrapText="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1" numFmtId="167" xfId="0" applyAlignment="1" applyFont="1" applyNumberFormat="1">
      <alignment horizontal="right" vertical="bottom"/>
    </xf>
    <xf borderId="0" fillId="0" fontId="1" numFmtId="0" xfId="0" applyAlignment="1" applyFont="1">
      <alignment vertical="bottom"/>
    </xf>
    <xf borderId="0" fillId="0" fontId="3" numFmtId="0" xfId="0" applyAlignment="1" applyFont="1">
      <alignment vertical="bottom"/>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center" vertical="bottom"/>
    </xf>
    <xf borderId="0" fillId="2" fontId="1" numFmtId="164" xfId="0" applyAlignment="1" applyFill="1" applyFont="1" applyNumberFormat="1">
      <alignment horizontal="right" vertical="bottom"/>
    </xf>
    <xf borderId="0" fillId="2" fontId="1" numFmtId="0" xfId="0" applyAlignment="1" applyFont="1">
      <alignment vertical="bottom"/>
    </xf>
    <xf borderId="0" fillId="3" fontId="1" numFmtId="164" xfId="0" applyAlignment="1" applyFill="1" applyFont="1" applyNumberFormat="1">
      <alignment horizontal="right" vertical="bottom"/>
    </xf>
    <xf borderId="0" fillId="3" fontId="1" numFmtId="0" xfId="0" applyAlignment="1" applyFont="1">
      <alignment vertical="bottom"/>
    </xf>
    <xf borderId="0" fillId="2" fontId="1" numFmtId="167" xfId="0" applyAlignment="1" applyFont="1" applyNumberFormat="1">
      <alignment vertical="bottom"/>
    </xf>
    <xf borderId="0" fillId="3" fontId="1" numFmtId="167" xfId="0" applyAlignment="1" applyFont="1" applyNumberFormat="1">
      <alignment vertical="bottom"/>
    </xf>
    <xf borderId="0" fillId="3" fontId="1" numFmtId="165" xfId="0" applyAlignment="1" applyFont="1" applyNumberFormat="1">
      <alignment horizontal="right" vertical="bottom"/>
    </xf>
    <xf borderId="0" fillId="2" fontId="1" numFmtId="165" xfId="0" applyAlignment="1" applyFont="1" applyNumberFormat="1">
      <alignment horizontal="right" vertical="bottom"/>
    </xf>
    <xf borderId="0" fillId="2" fontId="1" numFmtId="168" xfId="0" applyAlignment="1" applyFont="1" applyNumberFormat="1">
      <alignment horizontal="right" vertical="bottom"/>
    </xf>
    <xf borderId="0" fillId="3" fontId="1" numFmtId="168" xfId="0" applyAlignment="1" applyFont="1" applyNumberFormat="1">
      <alignment horizontal="right" vertical="bottom"/>
    </xf>
    <xf borderId="0" fillId="3" fontId="1" numFmtId="164" xfId="0" applyAlignment="1" applyFont="1" applyNumberFormat="1">
      <alignment vertical="bottom"/>
    </xf>
    <xf borderId="0" fillId="2" fontId="1" numFmtId="164" xfId="0" applyAlignment="1" applyFont="1" applyNumberFormat="1">
      <alignment vertical="bottom"/>
    </xf>
    <xf borderId="0" fillId="4" fontId="1" numFmtId="0" xfId="0" applyAlignment="1" applyFill="1" applyFont="1">
      <alignment shrinkToFit="0" vertical="bottom" wrapText="1"/>
    </xf>
    <xf borderId="0" fillId="4" fontId="1" numFmtId="164" xfId="0" applyAlignment="1" applyFont="1" applyNumberFormat="1">
      <alignment shrinkToFit="0" vertical="bottom" wrapText="1"/>
    </xf>
    <xf borderId="0" fillId="4" fontId="4" numFmtId="0" xfId="0" applyAlignment="1" applyFont="1">
      <alignment vertical="bottom"/>
    </xf>
    <xf borderId="0" fillId="4" fontId="4" numFmtId="0" xfId="0" applyAlignment="1" applyFont="1">
      <alignment vertical="bottom"/>
    </xf>
    <xf borderId="0" fillId="0" fontId="4" numFmtId="0" xfId="0" applyAlignment="1" applyFont="1">
      <alignment vertical="bottom"/>
    </xf>
    <xf borderId="0" fillId="2" fontId="4" numFmtId="0" xfId="0" applyAlignment="1" applyFont="1">
      <alignment vertical="bottom"/>
    </xf>
    <xf borderId="0" fillId="2" fontId="4" numFmtId="164" xfId="0" applyAlignment="1" applyFont="1" applyNumberFormat="1">
      <alignment vertical="bottom"/>
    </xf>
    <xf borderId="0" fillId="2" fontId="5" numFmtId="0" xfId="0" applyAlignment="1" applyFont="1">
      <alignment vertical="bottom"/>
    </xf>
    <xf borderId="0" fillId="2" fontId="5" numFmtId="164" xfId="0" applyAlignment="1" applyFont="1" applyNumberFormat="1">
      <alignment horizontal="right" vertical="bottom"/>
    </xf>
    <xf borderId="0" fillId="2" fontId="6" numFmtId="0" xfId="0" applyAlignment="1" applyFont="1">
      <alignment vertical="bottom"/>
    </xf>
    <xf borderId="0" fillId="2" fontId="4" numFmtId="0" xfId="0" applyAlignment="1" applyFont="1">
      <alignment vertical="bottom"/>
    </xf>
    <xf borderId="0" fillId="0" fontId="5" numFmtId="0" xfId="0" applyAlignment="1" applyFont="1">
      <alignment vertical="bottom"/>
    </xf>
    <xf borderId="0" fillId="3" fontId="5" numFmtId="0" xfId="0" applyAlignment="1" applyFont="1">
      <alignment vertical="bottom"/>
    </xf>
    <xf borderId="0" fillId="3" fontId="5" numFmtId="164" xfId="0" applyAlignment="1" applyFont="1" applyNumberFormat="1">
      <alignment vertical="bottom"/>
    </xf>
    <xf borderId="0" fillId="3" fontId="5" numFmtId="164" xfId="0" applyAlignment="1" applyFont="1" applyNumberFormat="1">
      <alignment horizontal="right" vertical="bottom"/>
    </xf>
    <xf borderId="0" fillId="3" fontId="6" numFmtId="0" xfId="0" applyAlignment="1" applyFont="1">
      <alignment vertical="bottom"/>
    </xf>
    <xf borderId="0" fillId="3" fontId="4" numFmtId="0" xfId="0" applyAlignment="1" applyFont="1">
      <alignment vertical="bottom"/>
    </xf>
    <xf borderId="0" fillId="2" fontId="5" numFmtId="164" xfId="0" applyAlignment="1" applyFont="1" applyNumberFormat="1">
      <alignment vertical="bottom"/>
    </xf>
    <xf borderId="0" fillId="3" fontId="5" numFmtId="168" xfId="0" applyAlignment="1" applyFont="1" applyNumberFormat="1">
      <alignment horizontal="right" vertical="bottom"/>
    </xf>
    <xf borderId="0" fillId="2" fontId="5" numFmtId="168" xfId="0" applyAlignment="1" applyFont="1" applyNumberFormat="1">
      <alignment horizontal="right" vertical="bottom"/>
    </xf>
    <xf borderId="0" fillId="3" fontId="7" numFmtId="0" xfId="0" applyAlignment="1" applyFont="1">
      <alignment vertical="bottom"/>
    </xf>
    <xf borderId="0" fillId="3" fontId="7" numFmtId="164" xfId="0" applyAlignment="1" applyFont="1" applyNumberFormat="1">
      <alignment vertical="bottom"/>
    </xf>
    <xf borderId="0" fillId="0" fontId="1" numFmtId="164" xfId="0" applyAlignment="1" applyFont="1" applyNumberFormat="1">
      <alignment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S4433"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13"/>
    <col customWidth="1" min="2" max="2" width="22.63"/>
    <col customWidth="1" min="3" max="3" width="22.88"/>
    <col customWidth="1" min="4" max="4" width="21.25"/>
    <col customWidth="1" min="5" max="5" width="58.0"/>
    <col customWidth="1" min="6" max="6" width="79.75"/>
    <col customWidth="1" min="7" max="7" width="29.25"/>
  </cols>
  <sheetData>
    <row r="1" ht="15.75" customHeight="1">
      <c r="A1" s="1" t="s">
        <v>0</v>
      </c>
      <c r="B1" s="2" t="s">
        <v>1</v>
      </c>
      <c r="C1" s="2" t="s">
        <v>2</v>
      </c>
      <c r="D1" s="2" t="s">
        <v>3</v>
      </c>
      <c r="E1" s="2" t="s">
        <v>4</v>
      </c>
      <c r="F1" s="2" t="s">
        <v>5</v>
      </c>
      <c r="G1" s="2" t="s">
        <v>6</v>
      </c>
      <c r="H1" s="3"/>
      <c r="I1" s="3"/>
      <c r="J1" s="3"/>
      <c r="K1" s="3"/>
      <c r="L1" s="3"/>
      <c r="M1" s="3"/>
      <c r="N1" s="3"/>
      <c r="O1" s="3"/>
      <c r="P1" s="3"/>
      <c r="Q1" s="3"/>
      <c r="R1" s="3"/>
      <c r="S1" s="3"/>
    </row>
    <row r="2" ht="15.75" customHeight="1">
      <c r="A2" s="4">
        <v>45615.0</v>
      </c>
      <c r="B2" s="5" t="s">
        <v>7</v>
      </c>
      <c r="C2" s="5" t="s">
        <v>8</v>
      </c>
      <c r="D2" s="5" t="s">
        <v>9</v>
      </c>
      <c r="E2" s="5" t="s">
        <v>10</v>
      </c>
      <c r="F2" s="5" t="s">
        <v>11</v>
      </c>
      <c r="G2" s="5" t="s">
        <v>12</v>
      </c>
      <c r="H2" s="6"/>
      <c r="I2" s="6"/>
      <c r="J2" s="6"/>
      <c r="K2" s="6"/>
      <c r="L2" s="6"/>
      <c r="M2" s="6"/>
      <c r="N2" s="6"/>
      <c r="O2" s="6"/>
      <c r="P2" s="6"/>
      <c r="Q2" s="6"/>
      <c r="R2" s="6"/>
      <c r="S2" s="6"/>
    </row>
    <row r="3" ht="15.75" customHeight="1">
      <c r="A3" s="4">
        <v>45820.0</v>
      </c>
      <c r="B3" s="5" t="s">
        <v>8</v>
      </c>
      <c r="C3" s="5" t="s">
        <v>7</v>
      </c>
      <c r="D3" s="5" t="s">
        <v>9</v>
      </c>
      <c r="E3" s="5" t="s">
        <v>13</v>
      </c>
      <c r="F3" s="5" t="s">
        <v>14</v>
      </c>
      <c r="G3" s="7"/>
      <c r="H3" s="7"/>
      <c r="I3" s="7"/>
      <c r="J3" s="7"/>
      <c r="K3" s="7"/>
      <c r="L3" s="7"/>
      <c r="M3" s="7"/>
      <c r="N3" s="7"/>
      <c r="O3" s="7"/>
      <c r="P3" s="7"/>
      <c r="Q3" s="7"/>
      <c r="R3" s="7"/>
      <c r="S3" s="7"/>
    </row>
    <row r="4" ht="15.75" customHeight="1">
      <c r="A4" s="8" t="s">
        <v>15</v>
      </c>
      <c r="B4" s="5" t="s">
        <v>7</v>
      </c>
      <c r="C4" s="5" t="s">
        <v>8</v>
      </c>
      <c r="D4" s="5" t="s">
        <v>9</v>
      </c>
      <c r="E4" s="5" t="s">
        <v>16</v>
      </c>
      <c r="F4" s="5" t="s">
        <v>17</v>
      </c>
      <c r="G4" s="7"/>
      <c r="H4" s="7"/>
      <c r="I4" s="7"/>
      <c r="J4" s="7"/>
      <c r="K4" s="7"/>
      <c r="L4" s="7"/>
      <c r="M4" s="7"/>
      <c r="N4" s="7"/>
      <c r="O4" s="7"/>
      <c r="P4" s="7"/>
      <c r="Q4" s="7"/>
      <c r="R4" s="7"/>
      <c r="S4" s="7"/>
    </row>
    <row r="5" ht="15.75" customHeight="1">
      <c r="A5" s="8" t="s">
        <v>15</v>
      </c>
      <c r="B5" s="5" t="s">
        <v>7</v>
      </c>
      <c r="C5" s="5" t="s">
        <v>8</v>
      </c>
      <c r="D5" s="5" t="s">
        <v>9</v>
      </c>
      <c r="E5" s="5" t="s">
        <v>18</v>
      </c>
      <c r="F5" s="5" t="s">
        <v>19</v>
      </c>
      <c r="G5" s="7"/>
      <c r="H5" s="7"/>
      <c r="I5" s="7"/>
      <c r="J5" s="7"/>
      <c r="K5" s="7"/>
      <c r="L5" s="7"/>
      <c r="M5" s="7"/>
      <c r="N5" s="7"/>
      <c r="O5" s="7"/>
      <c r="P5" s="7"/>
      <c r="Q5" s="7"/>
      <c r="R5" s="7"/>
      <c r="S5" s="7"/>
    </row>
    <row r="6" ht="15.75" customHeight="1">
      <c r="A6" s="8" t="s">
        <v>15</v>
      </c>
      <c r="B6" s="5" t="s">
        <v>8</v>
      </c>
      <c r="C6" s="5" t="s">
        <v>7</v>
      </c>
      <c r="D6" s="5" t="s">
        <v>9</v>
      </c>
      <c r="E6" s="5" t="s">
        <v>20</v>
      </c>
      <c r="F6" s="5" t="s">
        <v>21</v>
      </c>
      <c r="G6" s="7"/>
      <c r="H6" s="7"/>
      <c r="I6" s="7"/>
      <c r="J6" s="7"/>
      <c r="K6" s="7"/>
      <c r="L6" s="7"/>
      <c r="M6" s="7"/>
      <c r="N6" s="7"/>
      <c r="O6" s="7"/>
      <c r="P6" s="7"/>
      <c r="Q6" s="7"/>
      <c r="R6" s="7"/>
      <c r="S6" s="7"/>
    </row>
    <row r="7" ht="15.75" customHeight="1">
      <c r="A7" s="8" t="s">
        <v>15</v>
      </c>
      <c r="B7" s="5" t="s">
        <v>8</v>
      </c>
      <c r="C7" s="5" t="s">
        <v>7</v>
      </c>
      <c r="D7" s="5" t="s">
        <v>9</v>
      </c>
      <c r="E7" s="5" t="s">
        <v>22</v>
      </c>
      <c r="F7" s="5" t="s">
        <v>23</v>
      </c>
      <c r="G7" s="7"/>
      <c r="H7" s="7"/>
      <c r="I7" s="7"/>
      <c r="J7" s="7"/>
      <c r="K7" s="7"/>
      <c r="L7" s="7"/>
      <c r="M7" s="7"/>
      <c r="N7" s="7"/>
      <c r="O7" s="7"/>
      <c r="P7" s="7"/>
      <c r="Q7" s="7"/>
      <c r="R7" s="7"/>
      <c r="S7" s="7"/>
    </row>
    <row r="8" ht="15.75" customHeight="1">
      <c r="A8" s="8" t="s">
        <v>15</v>
      </c>
      <c r="B8" s="5" t="s">
        <v>7</v>
      </c>
      <c r="C8" s="5" t="s">
        <v>8</v>
      </c>
      <c r="D8" s="5" t="s">
        <v>9</v>
      </c>
      <c r="E8" s="5" t="s">
        <v>24</v>
      </c>
      <c r="F8" s="5" t="s">
        <v>25</v>
      </c>
      <c r="G8" s="7"/>
      <c r="H8" s="7"/>
      <c r="I8" s="7"/>
      <c r="J8" s="7"/>
      <c r="K8" s="7"/>
      <c r="L8" s="7"/>
      <c r="M8" s="7"/>
      <c r="N8" s="7"/>
      <c r="O8" s="7"/>
      <c r="P8" s="7"/>
      <c r="Q8" s="7"/>
      <c r="R8" s="7"/>
      <c r="S8" s="7"/>
    </row>
    <row r="9" ht="15.75" customHeight="1">
      <c r="A9" s="8" t="s">
        <v>15</v>
      </c>
      <c r="B9" s="5" t="s">
        <v>7</v>
      </c>
      <c r="C9" s="5" t="s">
        <v>8</v>
      </c>
      <c r="D9" s="5" t="s">
        <v>9</v>
      </c>
      <c r="E9" s="5" t="s">
        <v>26</v>
      </c>
      <c r="F9" s="5" t="s">
        <v>27</v>
      </c>
      <c r="G9" s="7"/>
      <c r="H9" s="7"/>
      <c r="I9" s="7"/>
      <c r="J9" s="7"/>
      <c r="K9" s="7"/>
      <c r="L9" s="7"/>
      <c r="M9" s="7"/>
      <c r="N9" s="7"/>
      <c r="O9" s="7"/>
      <c r="P9" s="7"/>
      <c r="Q9" s="7"/>
      <c r="R9" s="7"/>
      <c r="S9" s="7"/>
    </row>
    <row r="10" ht="15.75" customHeight="1">
      <c r="A10" s="8" t="s">
        <v>15</v>
      </c>
      <c r="B10" s="5" t="s">
        <v>8</v>
      </c>
      <c r="C10" s="5" t="s">
        <v>7</v>
      </c>
      <c r="D10" s="5" t="s">
        <v>9</v>
      </c>
      <c r="E10" s="5" t="s">
        <v>28</v>
      </c>
      <c r="F10" s="5" t="s">
        <v>29</v>
      </c>
      <c r="G10" s="7"/>
      <c r="H10" s="7"/>
      <c r="I10" s="7"/>
      <c r="J10" s="7"/>
      <c r="K10" s="7"/>
      <c r="L10" s="7"/>
      <c r="M10" s="7"/>
      <c r="N10" s="7"/>
      <c r="O10" s="7"/>
      <c r="P10" s="7"/>
      <c r="Q10" s="7"/>
      <c r="R10" s="7"/>
      <c r="S10" s="7"/>
    </row>
    <row r="11" ht="15.75" customHeight="1">
      <c r="A11" s="8" t="s">
        <v>15</v>
      </c>
      <c r="B11" s="5" t="s">
        <v>7</v>
      </c>
      <c r="C11" s="5" t="s">
        <v>8</v>
      </c>
      <c r="D11" s="5" t="s">
        <v>9</v>
      </c>
      <c r="E11" s="5" t="s">
        <v>30</v>
      </c>
      <c r="F11" s="5" t="s">
        <v>31</v>
      </c>
      <c r="G11" s="7"/>
      <c r="H11" s="7"/>
      <c r="I11" s="7"/>
      <c r="J11" s="7"/>
      <c r="K11" s="7"/>
      <c r="L11" s="7"/>
      <c r="M11" s="7"/>
      <c r="N11" s="7"/>
      <c r="O11" s="7"/>
      <c r="P11" s="7"/>
      <c r="Q11" s="7"/>
      <c r="R11" s="7"/>
      <c r="S11" s="7"/>
    </row>
    <row r="12" ht="15.75" customHeight="1">
      <c r="A12" s="8" t="s">
        <v>15</v>
      </c>
      <c r="B12" s="5" t="s">
        <v>8</v>
      </c>
      <c r="C12" s="5" t="s">
        <v>7</v>
      </c>
      <c r="D12" s="5" t="s">
        <v>9</v>
      </c>
      <c r="E12" s="5" t="s">
        <v>32</v>
      </c>
      <c r="F12" s="5" t="s">
        <v>33</v>
      </c>
      <c r="G12" s="7"/>
      <c r="H12" s="7"/>
      <c r="I12" s="7"/>
      <c r="J12" s="7"/>
      <c r="K12" s="7"/>
      <c r="L12" s="7"/>
      <c r="M12" s="7"/>
      <c r="N12" s="7"/>
      <c r="O12" s="7"/>
      <c r="P12" s="7"/>
      <c r="Q12" s="7"/>
      <c r="R12" s="7"/>
      <c r="S12" s="7"/>
    </row>
    <row r="13" ht="15.75" customHeight="1">
      <c r="A13" s="9">
        <v>45629.84930555556</v>
      </c>
      <c r="B13" s="5" t="s">
        <v>34</v>
      </c>
      <c r="C13" s="5" t="s">
        <v>8</v>
      </c>
      <c r="D13" s="5" t="s">
        <v>9</v>
      </c>
      <c r="E13" s="5" t="s">
        <v>35</v>
      </c>
      <c r="F13" s="5" t="s">
        <v>36</v>
      </c>
      <c r="G13" s="7"/>
      <c r="H13" s="7"/>
      <c r="I13" s="7"/>
      <c r="J13" s="7"/>
      <c r="K13" s="7"/>
      <c r="L13" s="7"/>
      <c r="M13" s="7"/>
      <c r="N13" s="7"/>
      <c r="O13" s="7"/>
      <c r="P13" s="7"/>
      <c r="Q13" s="7"/>
      <c r="R13" s="7"/>
      <c r="S13" s="7"/>
    </row>
    <row r="14" ht="15.75" customHeight="1">
      <c r="A14" s="9">
        <v>45635.618055555555</v>
      </c>
      <c r="B14" s="5" t="s">
        <v>34</v>
      </c>
      <c r="C14" s="5" t="s">
        <v>8</v>
      </c>
      <c r="D14" s="5" t="s">
        <v>9</v>
      </c>
      <c r="E14" s="5" t="s">
        <v>37</v>
      </c>
      <c r="F14" s="5" t="s">
        <v>38</v>
      </c>
      <c r="G14" s="7"/>
      <c r="H14" s="7"/>
      <c r="I14" s="7"/>
      <c r="J14" s="7"/>
      <c r="K14" s="7"/>
      <c r="L14" s="7"/>
      <c r="M14" s="7"/>
      <c r="N14" s="7"/>
      <c r="O14" s="7"/>
      <c r="P14" s="7"/>
      <c r="Q14" s="7"/>
      <c r="R14" s="7"/>
      <c r="S14" s="7"/>
    </row>
    <row r="15" ht="15.75" customHeight="1">
      <c r="A15" s="9">
        <v>45635.618055555555</v>
      </c>
      <c r="B15" s="5" t="s">
        <v>34</v>
      </c>
      <c r="C15" s="5" t="s">
        <v>8</v>
      </c>
      <c r="D15" s="5" t="s">
        <v>9</v>
      </c>
      <c r="E15" s="5" t="s">
        <v>39</v>
      </c>
      <c r="F15" s="5" t="s">
        <v>40</v>
      </c>
      <c r="G15" s="7"/>
      <c r="H15" s="7"/>
      <c r="I15" s="7"/>
      <c r="J15" s="7"/>
      <c r="K15" s="7"/>
      <c r="L15" s="7"/>
      <c r="M15" s="7"/>
      <c r="N15" s="7"/>
      <c r="O15" s="7"/>
      <c r="P15" s="7"/>
      <c r="Q15" s="7"/>
      <c r="R15" s="7"/>
      <c r="S15" s="7"/>
    </row>
    <row r="16" ht="15.75" customHeight="1">
      <c r="A16" s="8" t="s">
        <v>41</v>
      </c>
      <c r="B16" s="5" t="s">
        <v>8</v>
      </c>
      <c r="C16" s="5" t="s">
        <v>7</v>
      </c>
      <c r="D16" s="5" t="s">
        <v>9</v>
      </c>
      <c r="E16" s="5" t="s">
        <v>42</v>
      </c>
      <c r="F16" s="5" t="s">
        <v>43</v>
      </c>
      <c r="G16" s="7"/>
      <c r="H16" s="7"/>
      <c r="I16" s="7"/>
      <c r="J16" s="7"/>
      <c r="K16" s="7"/>
      <c r="L16" s="7"/>
      <c r="M16" s="7"/>
      <c r="N16" s="7"/>
      <c r="O16" s="7"/>
      <c r="P16" s="7"/>
      <c r="Q16" s="7"/>
      <c r="R16" s="7"/>
      <c r="S16" s="7"/>
    </row>
    <row r="17" ht="15.75" customHeight="1">
      <c r="A17" s="8" t="s">
        <v>41</v>
      </c>
      <c r="B17" s="5" t="s">
        <v>8</v>
      </c>
      <c r="C17" s="5" t="s">
        <v>7</v>
      </c>
      <c r="D17" s="5" t="s">
        <v>9</v>
      </c>
      <c r="E17" s="5" t="s">
        <v>44</v>
      </c>
      <c r="F17" s="5" t="s">
        <v>45</v>
      </c>
      <c r="G17" s="7"/>
      <c r="H17" s="7"/>
      <c r="I17" s="7"/>
      <c r="J17" s="7"/>
      <c r="K17" s="7"/>
      <c r="L17" s="7"/>
      <c r="M17" s="7"/>
      <c r="N17" s="7"/>
      <c r="O17" s="7"/>
      <c r="P17" s="7"/>
      <c r="Q17" s="7"/>
      <c r="R17" s="7"/>
      <c r="S17" s="7"/>
    </row>
    <row r="18" ht="15.75" customHeight="1">
      <c r="A18" s="8" t="s">
        <v>41</v>
      </c>
      <c r="B18" s="5" t="s">
        <v>7</v>
      </c>
      <c r="C18" s="5" t="s">
        <v>8</v>
      </c>
      <c r="D18" s="5" t="s">
        <v>9</v>
      </c>
      <c r="E18" s="5" t="s">
        <v>46</v>
      </c>
      <c r="F18" s="5" t="s">
        <v>47</v>
      </c>
      <c r="G18" s="7"/>
      <c r="H18" s="7"/>
      <c r="I18" s="7"/>
      <c r="J18" s="7"/>
      <c r="K18" s="7"/>
      <c r="L18" s="7"/>
      <c r="M18" s="7"/>
      <c r="N18" s="7"/>
      <c r="O18" s="7"/>
      <c r="P18" s="7"/>
      <c r="Q18" s="7"/>
      <c r="R18" s="7"/>
      <c r="S18" s="7"/>
    </row>
    <row r="19" ht="15.75" customHeight="1">
      <c r="A19" s="8" t="s">
        <v>15</v>
      </c>
      <c r="B19" s="5" t="s">
        <v>7</v>
      </c>
      <c r="C19" s="5" t="s">
        <v>8</v>
      </c>
      <c r="D19" s="5" t="s">
        <v>9</v>
      </c>
      <c r="E19" s="5" t="s">
        <v>48</v>
      </c>
      <c r="F19" s="5" t="s">
        <v>49</v>
      </c>
      <c r="G19" s="7"/>
      <c r="H19" s="7"/>
      <c r="I19" s="7"/>
      <c r="J19" s="7"/>
      <c r="K19" s="7"/>
      <c r="L19" s="7"/>
      <c r="M19" s="7"/>
      <c r="N19" s="7"/>
      <c r="O19" s="7"/>
      <c r="P19" s="7"/>
      <c r="Q19" s="7"/>
      <c r="R19" s="7"/>
      <c r="S19" s="7"/>
    </row>
    <row r="20" ht="15.75" customHeight="1">
      <c r="A20" s="8" t="s">
        <v>15</v>
      </c>
      <c r="B20" s="5" t="s">
        <v>8</v>
      </c>
      <c r="C20" s="5" t="s">
        <v>7</v>
      </c>
      <c r="D20" s="5" t="s">
        <v>9</v>
      </c>
      <c r="E20" s="5" t="s">
        <v>50</v>
      </c>
      <c r="F20" s="5" t="s">
        <v>51</v>
      </c>
      <c r="G20" s="7"/>
      <c r="H20" s="7"/>
      <c r="I20" s="7"/>
      <c r="J20" s="7"/>
      <c r="K20" s="7"/>
      <c r="L20" s="7"/>
      <c r="M20" s="7"/>
      <c r="N20" s="7"/>
      <c r="O20" s="7"/>
      <c r="P20" s="7"/>
      <c r="Q20" s="7"/>
      <c r="R20" s="7"/>
      <c r="S20" s="7"/>
    </row>
    <row r="21" ht="15.75" customHeight="1">
      <c r="A21" s="8" t="s">
        <v>15</v>
      </c>
      <c r="B21" s="5" t="s">
        <v>7</v>
      </c>
      <c r="C21" s="5" t="s">
        <v>8</v>
      </c>
      <c r="D21" s="5" t="s">
        <v>9</v>
      </c>
      <c r="E21" s="5" t="s">
        <v>52</v>
      </c>
      <c r="F21" s="5" t="s">
        <v>53</v>
      </c>
      <c r="G21" s="7"/>
      <c r="H21" s="7"/>
      <c r="I21" s="7"/>
      <c r="J21" s="7"/>
      <c r="K21" s="7"/>
      <c r="L21" s="7"/>
      <c r="M21" s="7"/>
      <c r="N21" s="7"/>
      <c r="O21" s="7"/>
      <c r="P21" s="7"/>
      <c r="Q21" s="7"/>
      <c r="R21" s="7"/>
      <c r="S21" s="7"/>
    </row>
    <row r="22" ht="15.75" customHeight="1">
      <c r="A22" s="9">
        <v>45617.308333333334</v>
      </c>
      <c r="B22" s="5" t="s">
        <v>8</v>
      </c>
      <c r="C22" s="5" t="s">
        <v>7</v>
      </c>
      <c r="D22" s="5" t="s">
        <v>9</v>
      </c>
      <c r="E22" s="5" t="s">
        <v>54</v>
      </c>
      <c r="F22" s="5" t="s">
        <v>55</v>
      </c>
      <c r="G22" s="7"/>
      <c r="H22" s="7"/>
      <c r="I22" s="7"/>
      <c r="J22" s="7"/>
      <c r="K22" s="7"/>
      <c r="L22" s="7"/>
      <c r="M22" s="7"/>
      <c r="N22" s="7"/>
      <c r="O22" s="7"/>
      <c r="P22" s="7"/>
      <c r="Q22" s="7"/>
      <c r="R22" s="7"/>
      <c r="S22" s="7"/>
    </row>
    <row r="23" ht="15.75" customHeight="1">
      <c r="A23" s="9">
        <v>45617.308333333334</v>
      </c>
      <c r="B23" s="5" t="s">
        <v>7</v>
      </c>
      <c r="C23" s="5" t="s">
        <v>8</v>
      </c>
      <c r="D23" s="5" t="s">
        <v>9</v>
      </c>
      <c r="E23" s="5" t="s">
        <v>56</v>
      </c>
      <c r="F23" s="5" t="s">
        <v>57</v>
      </c>
      <c r="G23" s="7"/>
      <c r="H23" s="7"/>
      <c r="I23" s="7"/>
      <c r="J23" s="7"/>
      <c r="K23" s="7"/>
      <c r="L23" s="7"/>
      <c r="M23" s="7"/>
      <c r="N23" s="7"/>
      <c r="O23" s="7"/>
      <c r="P23" s="7"/>
      <c r="Q23" s="7"/>
      <c r="R23" s="7"/>
      <c r="S23" s="7"/>
    </row>
    <row r="24" ht="15.75" customHeight="1">
      <c r="A24" s="9">
        <v>45617.308333333334</v>
      </c>
      <c r="B24" s="5" t="s">
        <v>8</v>
      </c>
      <c r="C24" s="5" t="s">
        <v>7</v>
      </c>
      <c r="D24" s="5" t="s">
        <v>9</v>
      </c>
      <c r="E24" s="5" t="s">
        <v>58</v>
      </c>
      <c r="F24" s="5" t="s">
        <v>59</v>
      </c>
      <c r="G24" s="7"/>
      <c r="H24" s="7"/>
      <c r="I24" s="7"/>
      <c r="J24" s="7"/>
      <c r="K24" s="7"/>
      <c r="L24" s="7"/>
      <c r="M24" s="7"/>
      <c r="N24" s="7"/>
      <c r="O24" s="7"/>
      <c r="P24" s="7"/>
      <c r="Q24" s="7"/>
      <c r="R24" s="7"/>
      <c r="S24" s="7"/>
    </row>
    <row r="25" ht="15.75" customHeight="1">
      <c r="A25" s="9">
        <v>45618.413194444445</v>
      </c>
      <c r="B25" s="5" t="s">
        <v>8</v>
      </c>
      <c r="C25" s="5" t="s">
        <v>7</v>
      </c>
      <c r="D25" s="5" t="s">
        <v>9</v>
      </c>
      <c r="E25" s="5" t="s">
        <v>60</v>
      </c>
      <c r="F25" s="5" t="s">
        <v>61</v>
      </c>
      <c r="G25" s="7"/>
      <c r="H25" s="7"/>
      <c r="I25" s="7"/>
      <c r="J25" s="7"/>
      <c r="K25" s="7"/>
      <c r="L25" s="7"/>
      <c r="M25" s="7"/>
      <c r="N25" s="7"/>
      <c r="O25" s="7"/>
      <c r="P25" s="7"/>
      <c r="Q25" s="7"/>
      <c r="R25" s="7"/>
      <c r="S25" s="7"/>
    </row>
    <row r="26" ht="15.75" customHeight="1">
      <c r="A26" s="8" t="s">
        <v>15</v>
      </c>
      <c r="B26" s="5" t="s">
        <v>7</v>
      </c>
      <c r="C26" s="5" t="s">
        <v>8</v>
      </c>
      <c r="D26" s="5" t="s">
        <v>9</v>
      </c>
      <c r="E26" s="5" t="s">
        <v>62</v>
      </c>
      <c r="F26" s="5" t="s">
        <v>63</v>
      </c>
      <c r="G26" s="7"/>
      <c r="H26" s="7"/>
      <c r="I26" s="7"/>
      <c r="J26" s="7"/>
      <c r="K26" s="7"/>
      <c r="L26" s="7"/>
      <c r="M26" s="7"/>
      <c r="N26" s="7"/>
      <c r="O26" s="7"/>
      <c r="P26" s="7"/>
      <c r="Q26" s="7"/>
      <c r="R26" s="7"/>
      <c r="S26" s="7"/>
    </row>
    <row r="27" ht="15.75" customHeight="1">
      <c r="A27" s="8" t="s">
        <v>15</v>
      </c>
      <c r="B27" s="5" t="s">
        <v>7</v>
      </c>
      <c r="C27" s="5" t="s">
        <v>8</v>
      </c>
      <c r="D27" s="5" t="s">
        <v>9</v>
      </c>
      <c r="E27" s="5" t="s">
        <v>64</v>
      </c>
      <c r="F27" s="5" t="s">
        <v>65</v>
      </c>
      <c r="G27" s="7"/>
      <c r="H27" s="7"/>
      <c r="I27" s="7"/>
      <c r="J27" s="7"/>
      <c r="K27" s="7"/>
      <c r="L27" s="7"/>
      <c r="M27" s="7"/>
      <c r="N27" s="7"/>
      <c r="O27" s="7"/>
      <c r="P27" s="7"/>
      <c r="Q27" s="7"/>
      <c r="R27" s="7"/>
      <c r="S27" s="7"/>
    </row>
    <row r="28" ht="15.75" customHeight="1">
      <c r="A28" s="8" t="s">
        <v>15</v>
      </c>
      <c r="B28" s="5" t="s">
        <v>7</v>
      </c>
      <c r="C28" s="5" t="s">
        <v>8</v>
      </c>
      <c r="D28" s="5" t="s">
        <v>9</v>
      </c>
      <c r="E28" s="5" t="s">
        <v>66</v>
      </c>
      <c r="F28" s="5" t="s">
        <v>67</v>
      </c>
      <c r="G28" s="7"/>
      <c r="H28" s="7"/>
      <c r="I28" s="7"/>
      <c r="J28" s="7"/>
      <c r="K28" s="7"/>
      <c r="L28" s="7"/>
      <c r="M28" s="7"/>
      <c r="N28" s="7"/>
      <c r="O28" s="7"/>
      <c r="P28" s="7"/>
      <c r="Q28" s="7"/>
      <c r="R28" s="7"/>
      <c r="S28" s="7"/>
    </row>
    <row r="29" ht="15.75" customHeight="1">
      <c r="A29" s="9">
        <v>45567.79027777778</v>
      </c>
      <c r="B29" s="5" t="s">
        <v>8</v>
      </c>
      <c r="C29" s="5" t="s">
        <v>7</v>
      </c>
      <c r="D29" s="5" t="s">
        <v>9</v>
      </c>
      <c r="E29" s="5" t="s">
        <v>68</v>
      </c>
      <c r="F29" s="5" t="s">
        <v>69</v>
      </c>
      <c r="G29" s="7"/>
      <c r="H29" s="7"/>
      <c r="I29" s="7"/>
      <c r="J29" s="7"/>
      <c r="K29" s="7"/>
      <c r="L29" s="7"/>
      <c r="M29" s="7"/>
      <c r="N29" s="7"/>
      <c r="O29" s="7"/>
      <c r="P29" s="7"/>
      <c r="Q29" s="7"/>
      <c r="R29" s="7"/>
      <c r="S29" s="7"/>
    </row>
    <row r="30" ht="15.75" customHeight="1">
      <c r="A30" s="8" t="s">
        <v>15</v>
      </c>
      <c r="B30" s="5" t="s">
        <v>7</v>
      </c>
      <c r="C30" s="5" t="s">
        <v>8</v>
      </c>
      <c r="D30" s="5" t="s">
        <v>9</v>
      </c>
      <c r="E30" s="5" t="s">
        <v>70</v>
      </c>
      <c r="F30" s="5" t="s">
        <v>71</v>
      </c>
      <c r="G30" s="7"/>
      <c r="H30" s="7"/>
      <c r="I30" s="7"/>
      <c r="J30" s="7"/>
      <c r="K30" s="7"/>
      <c r="L30" s="7"/>
      <c r="M30" s="7"/>
      <c r="N30" s="7"/>
      <c r="O30" s="7"/>
      <c r="P30" s="7"/>
      <c r="Q30" s="7"/>
      <c r="R30" s="7"/>
      <c r="S30" s="7"/>
    </row>
    <row r="31" ht="15.75" customHeight="1">
      <c r="A31" s="8" t="s">
        <v>15</v>
      </c>
      <c r="B31" s="5" t="s">
        <v>34</v>
      </c>
      <c r="C31" s="5" t="s">
        <v>8</v>
      </c>
      <c r="D31" s="5" t="s">
        <v>9</v>
      </c>
      <c r="E31" s="5" t="s">
        <v>72</v>
      </c>
      <c r="F31" s="5" t="s">
        <v>73</v>
      </c>
      <c r="G31" s="7"/>
      <c r="H31" s="7"/>
      <c r="I31" s="7"/>
      <c r="J31" s="7"/>
      <c r="K31" s="7"/>
      <c r="L31" s="7"/>
      <c r="M31" s="7"/>
      <c r="N31" s="7"/>
      <c r="O31" s="7"/>
      <c r="P31" s="7"/>
      <c r="Q31" s="7"/>
      <c r="R31" s="7"/>
      <c r="S31" s="7"/>
    </row>
    <row r="32" ht="15.75" customHeight="1">
      <c r="A32" s="8" t="s">
        <v>74</v>
      </c>
      <c r="B32" s="5" t="s">
        <v>75</v>
      </c>
      <c r="C32" s="5" t="s">
        <v>8</v>
      </c>
      <c r="D32" s="5" t="s">
        <v>76</v>
      </c>
      <c r="E32" s="5" t="s">
        <v>77</v>
      </c>
      <c r="F32" s="5" t="s">
        <v>78</v>
      </c>
      <c r="G32" s="7"/>
      <c r="H32" s="7"/>
      <c r="I32" s="7"/>
      <c r="J32" s="7"/>
      <c r="K32" s="7"/>
      <c r="L32" s="7"/>
      <c r="M32" s="7"/>
      <c r="N32" s="7"/>
      <c r="O32" s="7"/>
      <c r="P32" s="7"/>
      <c r="Q32" s="7"/>
      <c r="R32" s="7"/>
      <c r="S32" s="7"/>
    </row>
    <row r="33" ht="15.75" customHeight="1">
      <c r="A33" s="8" t="s">
        <v>74</v>
      </c>
      <c r="B33" s="5" t="s">
        <v>75</v>
      </c>
      <c r="C33" s="5" t="s">
        <v>8</v>
      </c>
      <c r="D33" s="5" t="s">
        <v>76</v>
      </c>
      <c r="E33" s="5" t="s">
        <v>79</v>
      </c>
      <c r="F33" s="5" t="s">
        <v>80</v>
      </c>
      <c r="G33" s="7"/>
      <c r="H33" s="7"/>
      <c r="I33" s="7"/>
      <c r="J33" s="7"/>
      <c r="K33" s="7"/>
      <c r="L33" s="7"/>
      <c r="M33" s="7"/>
      <c r="N33" s="7"/>
      <c r="O33" s="7"/>
      <c r="P33" s="7"/>
      <c r="Q33" s="7"/>
      <c r="R33" s="7"/>
      <c r="S33" s="7"/>
    </row>
    <row r="34" ht="15.75" customHeight="1">
      <c r="A34" s="8" t="s">
        <v>74</v>
      </c>
      <c r="B34" s="5" t="s">
        <v>75</v>
      </c>
      <c r="C34" s="5" t="s">
        <v>81</v>
      </c>
      <c r="D34" s="5" t="s">
        <v>76</v>
      </c>
      <c r="E34" s="5" t="s">
        <v>82</v>
      </c>
      <c r="F34" s="5" t="s">
        <v>83</v>
      </c>
      <c r="G34" s="7"/>
      <c r="H34" s="7"/>
      <c r="I34" s="7"/>
      <c r="J34" s="7"/>
      <c r="K34" s="7"/>
      <c r="L34" s="7"/>
      <c r="M34" s="7"/>
      <c r="N34" s="7"/>
      <c r="O34" s="7"/>
      <c r="P34" s="7"/>
      <c r="Q34" s="7"/>
      <c r="R34" s="7"/>
      <c r="S34" s="7"/>
    </row>
    <row r="35" ht="15.75" customHeight="1">
      <c r="A35" s="10">
        <v>45813.0</v>
      </c>
      <c r="B35" s="5" t="s">
        <v>75</v>
      </c>
      <c r="C35" s="5" t="s">
        <v>8</v>
      </c>
      <c r="D35" s="5" t="s">
        <v>84</v>
      </c>
      <c r="E35" s="5" t="s">
        <v>85</v>
      </c>
      <c r="F35" s="5" t="s">
        <v>86</v>
      </c>
      <c r="G35" s="7"/>
      <c r="H35" s="7"/>
      <c r="I35" s="7"/>
      <c r="J35" s="7"/>
      <c r="K35" s="7"/>
      <c r="L35" s="7"/>
      <c r="M35" s="7"/>
      <c r="N35" s="7"/>
      <c r="O35" s="7"/>
      <c r="P35" s="7"/>
      <c r="Q35" s="7"/>
      <c r="R35" s="7"/>
      <c r="S35" s="7"/>
    </row>
    <row r="36" ht="15.75" customHeight="1">
      <c r="A36" s="8" t="s">
        <v>87</v>
      </c>
      <c r="B36" s="5" t="s">
        <v>7</v>
      </c>
      <c r="C36" s="5" t="s">
        <v>8</v>
      </c>
      <c r="D36" s="5" t="s">
        <v>76</v>
      </c>
      <c r="E36" s="5" t="s">
        <v>88</v>
      </c>
      <c r="F36" s="5" t="s">
        <v>89</v>
      </c>
      <c r="G36" s="7"/>
      <c r="H36" s="7"/>
      <c r="I36" s="7"/>
      <c r="J36" s="7"/>
      <c r="K36" s="7"/>
      <c r="L36" s="7"/>
      <c r="M36" s="7"/>
      <c r="N36" s="7"/>
      <c r="O36" s="7"/>
      <c r="P36" s="7"/>
      <c r="Q36" s="7"/>
      <c r="R36" s="7"/>
      <c r="S36" s="7"/>
    </row>
    <row r="37" ht="15.75" customHeight="1">
      <c r="A37" s="10">
        <v>45812.0</v>
      </c>
      <c r="B37" s="5" t="s">
        <v>7</v>
      </c>
      <c r="C37" s="5" t="s">
        <v>8</v>
      </c>
      <c r="D37" s="5" t="s">
        <v>90</v>
      </c>
      <c r="E37" s="5" t="s">
        <v>91</v>
      </c>
      <c r="F37" s="5" t="s">
        <v>92</v>
      </c>
      <c r="G37" s="7"/>
      <c r="H37" s="7"/>
      <c r="I37" s="7"/>
      <c r="J37" s="7"/>
      <c r="K37" s="7"/>
      <c r="L37" s="7"/>
      <c r="M37" s="7"/>
      <c r="N37" s="7"/>
      <c r="O37" s="7"/>
      <c r="P37" s="7"/>
      <c r="Q37" s="7"/>
      <c r="R37" s="7"/>
      <c r="S37" s="7"/>
    </row>
    <row r="38" ht="15.75" customHeight="1">
      <c r="A38" s="10">
        <v>45826.0</v>
      </c>
      <c r="B38" s="5" t="s">
        <v>7</v>
      </c>
      <c r="C38" s="5" t="s">
        <v>8</v>
      </c>
      <c r="D38" s="5" t="s">
        <v>90</v>
      </c>
      <c r="E38" s="5" t="s">
        <v>91</v>
      </c>
      <c r="F38" s="5" t="s">
        <v>93</v>
      </c>
      <c r="G38" s="7"/>
      <c r="H38" s="7"/>
      <c r="I38" s="7"/>
      <c r="J38" s="7"/>
      <c r="K38" s="7"/>
      <c r="L38" s="7"/>
      <c r="M38" s="7"/>
      <c r="N38" s="7"/>
      <c r="O38" s="7"/>
      <c r="P38" s="7"/>
      <c r="Q38" s="7"/>
      <c r="R38" s="7"/>
      <c r="S38" s="7"/>
    </row>
    <row r="39" ht="15.75" customHeight="1">
      <c r="A39" s="10">
        <v>45826.0</v>
      </c>
      <c r="B39" s="5" t="s">
        <v>7</v>
      </c>
      <c r="C39" s="5" t="s">
        <v>8</v>
      </c>
      <c r="D39" s="5" t="s">
        <v>76</v>
      </c>
      <c r="E39" s="5" t="s">
        <v>94</v>
      </c>
      <c r="F39" s="5" t="s">
        <v>95</v>
      </c>
      <c r="G39" s="7"/>
      <c r="H39" s="7"/>
      <c r="I39" s="7"/>
      <c r="J39" s="7"/>
      <c r="K39" s="7"/>
      <c r="L39" s="7"/>
      <c r="M39" s="7"/>
      <c r="N39" s="7"/>
      <c r="O39" s="7"/>
      <c r="P39" s="7"/>
      <c r="Q39" s="7"/>
      <c r="R39" s="7"/>
      <c r="S39" s="7"/>
    </row>
    <row r="40" ht="15.75" customHeight="1">
      <c r="A40" s="8" t="s">
        <v>74</v>
      </c>
      <c r="B40" s="5" t="s">
        <v>96</v>
      </c>
      <c r="C40" s="5" t="s">
        <v>7</v>
      </c>
      <c r="D40" s="5" t="s">
        <v>76</v>
      </c>
      <c r="E40" s="5" t="s">
        <v>97</v>
      </c>
      <c r="F40" s="5" t="s">
        <v>98</v>
      </c>
      <c r="G40" s="7"/>
      <c r="H40" s="7"/>
      <c r="I40" s="7"/>
      <c r="J40" s="7"/>
      <c r="K40" s="7"/>
      <c r="L40" s="7"/>
      <c r="M40" s="7"/>
      <c r="N40" s="7"/>
      <c r="O40" s="7"/>
      <c r="P40" s="7"/>
      <c r="Q40" s="7"/>
      <c r="R40" s="7"/>
      <c r="S40" s="7"/>
    </row>
    <row r="41" ht="15.75" customHeight="1">
      <c r="A41" s="8" t="s">
        <v>99</v>
      </c>
      <c r="B41" s="5" t="s">
        <v>100</v>
      </c>
      <c r="C41" s="5" t="s">
        <v>7</v>
      </c>
      <c r="D41" s="5" t="s">
        <v>76</v>
      </c>
      <c r="E41" s="5" t="s">
        <v>101</v>
      </c>
      <c r="F41" s="5" t="s">
        <v>102</v>
      </c>
      <c r="G41" s="7"/>
      <c r="H41" s="7"/>
      <c r="I41" s="7"/>
      <c r="J41" s="7"/>
      <c r="K41" s="7"/>
      <c r="L41" s="7"/>
      <c r="M41" s="7"/>
      <c r="N41" s="7"/>
      <c r="O41" s="7"/>
      <c r="P41" s="7"/>
      <c r="Q41" s="7"/>
      <c r="R41" s="7"/>
      <c r="S41" s="7"/>
    </row>
    <row r="42" ht="15.75" customHeight="1">
      <c r="A42" s="8" t="s">
        <v>103</v>
      </c>
      <c r="B42" s="5" t="s">
        <v>7</v>
      </c>
      <c r="C42" s="5" t="s">
        <v>8</v>
      </c>
      <c r="D42" s="5" t="s">
        <v>9</v>
      </c>
      <c r="E42" s="5" t="s">
        <v>104</v>
      </c>
      <c r="F42" s="5" t="s">
        <v>105</v>
      </c>
      <c r="G42" s="7"/>
      <c r="H42" s="7"/>
      <c r="I42" s="7"/>
      <c r="J42" s="7"/>
      <c r="K42" s="7"/>
      <c r="L42" s="7"/>
      <c r="M42" s="7"/>
      <c r="N42" s="7"/>
      <c r="O42" s="7"/>
      <c r="P42" s="7"/>
      <c r="Q42" s="7"/>
      <c r="R42" s="7"/>
      <c r="S42" s="7"/>
    </row>
    <row r="43" ht="15.75" customHeight="1">
      <c r="A43" s="8" t="s">
        <v>103</v>
      </c>
      <c r="B43" s="5" t="s">
        <v>7</v>
      </c>
      <c r="C43" s="5" t="s">
        <v>106</v>
      </c>
      <c r="D43" s="5" t="s">
        <v>107</v>
      </c>
      <c r="E43" s="5" t="s">
        <v>108</v>
      </c>
      <c r="F43" s="5" t="s">
        <v>109</v>
      </c>
      <c r="G43" s="7"/>
      <c r="H43" s="7"/>
      <c r="I43" s="7"/>
      <c r="J43" s="7"/>
      <c r="K43" s="7"/>
      <c r="L43" s="7"/>
      <c r="M43" s="7"/>
      <c r="N43" s="7"/>
      <c r="O43" s="7"/>
      <c r="P43" s="7"/>
      <c r="Q43" s="7"/>
      <c r="R43" s="7"/>
      <c r="S43" s="7"/>
    </row>
    <row r="44" ht="15.75" customHeight="1">
      <c r="A44" s="8" t="s">
        <v>15</v>
      </c>
      <c r="B44" s="5" t="s">
        <v>7</v>
      </c>
      <c r="C44" s="5" t="s">
        <v>8</v>
      </c>
      <c r="D44" s="5" t="s">
        <v>110</v>
      </c>
      <c r="E44" s="5" t="s">
        <v>111</v>
      </c>
      <c r="F44" s="5" t="s">
        <v>112</v>
      </c>
      <c r="G44" s="7"/>
      <c r="H44" s="7"/>
      <c r="I44" s="7"/>
      <c r="J44" s="7"/>
      <c r="K44" s="7"/>
      <c r="L44" s="7"/>
      <c r="M44" s="7"/>
      <c r="N44" s="7"/>
      <c r="O44" s="7"/>
      <c r="P44" s="7"/>
      <c r="Q44" s="7"/>
      <c r="R44" s="7"/>
      <c r="S44" s="7"/>
    </row>
    <row r="45" ht="15.75" customHeight="1">
      <c r="A45" s="8" t="s">
        <v>15</v>
      </c>
      <c r="B45" s="5" t="s">
        <v>8</v>
      </c>
      <c r="C45" s="5" t="s">
        <v>7</v>
      </c>
      <c r="D45" s="5" t="s">
        <v>9</v>
      </c>
      <c r="E45" s="5" t="s">
        <v>113</v>
      </c>
      <c r="F45" s="5" t="s">
        <v>114</v>
      </c>
      <c r="G45" s="7"/>
      <c r="H45" s="7"/>
      <c r="I45" s="7"/>
      <c r="J45" s="7"/>
      <c r="K45" s="7"/>
      <c r="L45" s="7"/>
      <c r="M45" s="7"/>
      <c r="N45" s="7"/>
      <c r="O45" s="7"/>
      <c r="P45" s="7"/>
      <c r="Q45" s="7"/>
      <c r="R45" s="7"/>
      <c r="S45" s="7"/>
    </row>
    <row r="46" ht="15.75" customHeight="1">
      <c r="A46" s="8" t="s">
        <v>15</v>
      </c>
      <c r="B46" s="5" t="s">
        <v>7</v>
      </c>
      <c r="C46" s="5" t="s">
        <v>8</v>
      </c>
      <c r="D46" s="5" t="s">
        <v>9</v>
      </c>
      <c r="E46" s="5" t="s">
        <v>115</v>
      </c>
      <c r="F46" s="5" t="s">
        <v>116</v>
      </c>
      <c r="G46" s="7"/>
      <c r="H46" s="7"/>
      <c r="I46" s="7"/>
      <c r="J46" s="7"/>
      <c r="K46" s="7"/>
      <c r="L46" s="7"/>
      <c r="M46" s="7"/>
      <c r="N46" s="7"/>
      <c r="O46" s="7"/>
      <c r="P46" s="7"/>
      <c r="Q46" s="7"/>
      <c r="R46" s="7"/>
      <c r="S46" s="7"/>
    </row>
    <row r="47" ht="15.75" customHeight="1">
      <c r="A47" s="8" t="s">
        <v>15</v>
      </c>
      <c r="B47" s="5" t="s">
        <v>7</v>
      </c>
      <c r="C47" s="5" t="s">
        <v>8</v>
      </c>
      <c r="D47" s="5" t="s">
        <v>9</v>
      </c>
      <c r="E47" s="5" t="s">
        <v>117</v>
      </c>
      <c r="F47" s="5" t="s">
        <v>118</v>
      </c>
      <c r="G47" s="7"/>
      <c r="H47" s="7"/>
      <c r="I47" s="7"/>
      <c r="J47" s="7"/>
      <c r="K47" s="7"/>
      <c r="L47" s="7"/>
      <c r="M47" s="7"/>
      <c r="N47" s="7"/>
      <c r="O47" s="7"/>
      <c r="P47" s="7"/>
      <c r="Q47" s="7"/>
      <c r="R47" s="7"/>
      <c r="S47" s="7"/>
    </row>
    <row r="48" ht="15.75" customHeight="1">
      <c r="A48" s="8" t="s">
        <v>87</v>
      </c>
      <c r="B48" s="5" t="s">
        <v>119</v>
      </c>
      <c r="C48" s="7"/>
      <c r="D48" s="5" t="s">
        <v>120</v>
      </c>
      <c r="E48" s="5" t="s">
        <v>121</v>
      </c>
      <c r="F48" s="5" t="s">
        <v>122</v>
      </c>
      <c r="G48" s="7"/>
      <c r="H48" s="7"/>
      <c r="I48" s="7"/>
      <c r="J48" s="7"/>
      <c r="K48" s="7"/>
      <c r="L48" s="7"/>
      <c r="M48" s="7"/>
      <c r="N48" s="7"/>
      <c r="O48" s="7"/>
      <c r="P48" s="7"/>
      <c r="Q48" s="7"/>
      <c r="R48" s="7"/>
      <c r="S48" s="7"/>
    </row>
    <row r="49" ht="15.75" customHeight="1">
      <c r="A49" s="8" t="s">
        <v>87</v>
      </c>
      <c r="B49" s="5" t="s">
        <v>7</v>
      </c>
      <c r="C49" s="5" t="s">
        <v>8</v>
      </c>
      <c r="D49" s="5" t="s">
        <v>76</v>
      </c>
      <c r="E49" s="5" t="s">
        <v>123</v>
      </c>
      <c r="F49" s="5" t="s">
        <v>124</v>
      </c>
      <c r="G49" s="7"/>
      <c r="H49" s="7"/>
      <c r="I49" s="7"/>
      <c r="J49" s="7"/>
      <c r="K49" s="7"/>
      <c r="L49" s="7"/>
      <c r="M49" s="7"/>
      <c r="N49" s="7"/>
      <c r="O49" s="7"/>
      <c r="P49" s="7"/>
      <c r="Q49" s="7"/>
      <c r="R49" s="7"/>
      <c r="S49" s="7"/>
    </row>
    <row r="50" ht="15.75" customHeight="1">
      <c r="A50" s="10">
        <v>45831.0</v>
      </c>
      <c r="B50" s="5" t="s">
        <v>7</v>
      </c>
      <c r="C50" s="5" t="s">
        <v>8</v>
      </c>
      <c r="D50" s="5" t="s">
        <v>90</v>
      </c>
      <c r="E50" s="5" t="s">
        <v>91</v>
      </c>
      <c r="F50" s="5" t="s">
        <v>125</v>
      </c>
      <c r="G50" s="7"/>
      <c r="H50" s="7"/>
      <c r="I50" s="7"/>
      <c r="J50" s="7"/>
      <c r="K50" s="7"/>
      <c r="L50" s="7"/>
      <c r="M50" s="7"/>
      <c r="N50" s="7"/>
      <c r="O50" s="7"/>
      <c r="P50" s="7"/>
      <c r="Q50" s="7"/>
      <c r="R50" s="7"/>
      <c r="S50" s="7"/>
    </row>
    <row r="51" ht="15.75" customHeight="1">
      <c r="A51" s="10">
        <v>45828.0</v>
      </c>
      <c r="B51" s="5" t="s">
        <v>7</v>
      </c>
      <c r="C51" s="5" t="s">
        <v>8</v>
      </c>
      <c r="D51" s="5" t="s">
        <v>126</v>
      </c>
      <c r="E51" s="5" t="s">
        <v>94</v>
      </c>
      <c r="F51" s="5" t="s">
        <v>127</v>
      </c>
      <c r="G51" s="7"/>
      <c r="H51" s="7"/>
      <c r="I51" s="7"/>
      <c r="J51" s="7"/>
      <c r="K51" s="7"/>
      <c r="L51" s="7"/>
      <c r="M51" s="7"/>
      <c r="N51" s="7"/>
      <c r="O51" s="7"/>
      <c r="P51" s="7"/>
      <c r="Q51" s="7"/>
      <c r="R51" s="7"/>
      <c r="S51" s="7"/>
    </row>
    <row r="52" ht="15.75" customHeight="1">
      <c r="A52" s="8" t="s">
        <v>74</v>
      </c>
      <c r="B52" s="5" t="s">
        <v>128</v>
      </c>
      <c r="C52" s="5" t="s">
        <v>8</v>
      </c>
      <c r="D52" s="5" t="s">
        <v>76</v>
      </c>
      <c r="E52" s="5" t="s">
        <v>129</v>
      </c>
      <c r="F52" s="5" t="s">
        <v>130</v>
      </c>
      <c r="G52" s="7"/>
      <c r="H52" s="7"/>
      <c r="I52" s="7"/>
      <c r="J52" s="7"/>
      <c r="K52" s="7"/>
      <c r="L52" s="7"/>
      <c r="M52" s="7"/>
      <c r="N52" s="7"/>
      <c r="O52" s="7"/>
      <c r="P52" s="7"/>
      <c r="Q52" s="7"/>
      <c r="R52" s="7"/>
      <c r="S52" s="7"/>
    </row>
    <row r="53" ht="15.75" customHeight="1">
      <c r="A53" s="10">
        <v>45613.0</v>
      </c>
      <c r="B53" s="5" t="s">
        <v>34</v>
      </c>
      <c r="C53" s="5" t="s">
        <v>131</v>
      </c>
      <c r="D53" s="5" t="s">
        <v>132</v>
      </c>
      <c r="E53" s="5" t="s">
        <v>133</v>
      </c>
      <c r="F53" s="5" t="s">
        <v>134</v>
      </c>
      <c r="G53" s="7"/>
      <c r="H53" s="7"/>
      <c r="I53" s="7"/>
      <c r="J53" s="7"/>
      <c r="K53" s="7"/>
      <c r="L53" s="7"/>
      <c r="M53" s="7"/>
      <c r="N53" s="7"/>
      <c r="O53" s="7"/>
      <c r="P53" s="7"/>
      <c r="Q53" s="7"/>
      <c r="R53" s="7"/>
      <c r="S53" s="7"/>
    </row>
    <row r="54" ht="15.75" customHeight="1">
      <c r="A54" s="10">
        <v>45621.0</v>
      </c>
      <c r="B54" s="5" t="s">
        <v>34</v>
      </c>
      <c r="C54" s="5" t="s">
        <v>131</v>
      </c>
      <c r="D54" s="5" t="s">
        <v>132</v>
      </c>
      <c r="E54" s="5" t="s">
        <v>135</v>
      </c>
      <c r="F54" s="5" t="s">
        <v>134</v>
      </c>
      <c r="G54" s="7"/>
      <c r="H54" s="7"/>
      <c r="I54" s="7"/>
      <c r="J54" s="7"/>
      <c r="K54" s="7"/>
      <c r="L54" s="7"/>
      <c r="M54" s="7"/>
      <c r="N54" s="7"/>
      <c r="O54" s="7"/>
      <c r="P54" s="7"/>
      <c r="Q54" s="7"/>
      <c r="R54" s="7"/>
      <c r="S54" s="7"/>
    </row>
    <row r="55" ht="15.75" customHeight="1">
      <c r="A55" s="10">
        <v>45621.0</v>
      </c>
      <c r="B55" s="5" t="s">
        <v>136</v>
      </c>
      <c r="C55" s="5" t="s">
        <v>137</v>
      </c>
      <c r="D55" s="5" t="s">
        <v>138</v>
      </c>
      <c r="E55" s="5" t="s">
        <v>139</v>
      </c>
      <c r="F55" s="5" t="s">
        <v>140</v>
      </c>
      <c r="G55" s="7"/>
      <c r="H55" s="7"/>
      <c r="I55" s="7"/>
      <c r="J55" s="7"/>
      <c r="K55" s="7"/>
      <c r="L55" s="7"/>
      <c r="M55" s="7"/>
      <c r="N55" s="7"/>
      <c r="O55" s="7"/>
      <c r="P55" s="7"/>
      <c r="Q55" s="7"/>
      <c r="R55" s="7"/>
      <c r="S55" s="7"/>
    </row>
    <row r="56" ht="15.75" customHeight="1">
      <c r="A56" s="8" t="s">
        <v>99</v>
      </c>
      <c r="B56" s="5" t="s">
        <v>141</v>
      </c>
      <c r="C56" s="5" t="s">
        <v>137</v>
      </c>
      <c r="D56" s="5" t="s">
        <v>138</v>
      </c>
      <c r="E56" s="5" t="s">
        <v>142</v>
      </c>
      <c r="F56" s="5" t="s">
        <v>143</v>
      </c>
      <c r="G56" s="7"/>
      <c r="H56" s="7"/>
      <c r="I56" s="7"/>
      <c r="J56" s="7"/>
      <c r="K56" s="7"/>
      <c r="L56" s="7"/>
      <c r="M56" s="7"/>
      <c r="N56" s="7"/>
      <c r="O56" s="7"/>
      <c r="P56" s="7"/>
      <c r="Q56" s="7"/>
      <c r="R56" s="7"/>
      <c r="S56" s="7"/>
    </row>
    <row r="57" ht="15.75" customHeight="1">
      <c r="A57" s="10">
        <v>45838.0</v>
      </c>
      <c r="B57" s="5" t="s">
        <v>137</v>
      </c>
      <c r="C57" s="5" t="s">
        <v>34</v>
      </c>
      <c r="D57" s="5" t="s">
        <v>144</v>
      </c>
      <c r="E57" s="5" t="s">
        <v>145</v>
      </c>
      <c r="F57" s="5" t="s">
        <v>146</v>
      </c>
      <c r="G57" s="7"/>
      <c r="H57" s="7"/>
      <c r="I57" s="7"/>
      <c r="J57" s="7"/>
      <c r="K57" s="7"/>
      <c r="L57" s="7"/>
      <c r="M57" s="7"/>
      <c r="N57" s="7"/>
      <c r="O57" s="7"/>
      <c r="P57" s="7"/>
      <c r="Q57" s="7"/>
      <c r="R57" s="7"/>
      <c r="S57" s="7"/>
    </row>
    <row r="58" ht="15.75" customHeight="1">
      <c r="A58" s="10">
        <v>45838.0</v>
      </c>
      <c r="B58" s="5" t="s">
        <v>137</v>
      </c>
      <c r="C58" s="5" t="s">
        <v>34</v>
      </c>
      <c r="D58" s="5" t="s">
        <v>9</v>
      </c>
      <c r="E58" s="5" t="s">
        <v>147</v>
      </c>
      <c r="F58" s="5" t="s">
        <v>146</v>
      </c>
      <c r="G58" s="7"/>
      <c r="H58" s="7"/>
      <c r="I58" s="7"/>
      <c r="J58" s="7"/>
      <c r="K58" s="7"/>
      <c r="L58" s="7"/>
      <c r="M58" s="7"/>
      <c r="N58" s="7"/>
      <c r="O58" s="7"/>
      <c r="P58" s="7"/>
      <c r="Q58" s="7"/>
      <c r="R58" s="7"/>
      <c r="S58" s="7"/>
    </row>
    <row r="59" ht="15.75" customHeight="1">
      <c r="A59" s="8" t="s">
        <v>15</v>
      </c>
      <c r="B59" s="5" t="s">
        <v>34</v>
      </c>
      <c r="C59" s="5" t="s">
        <v>148</v>
      </c>
      <c r="D59" s="5" t="s">
        <v>149</v>
      </c>
      <c r="E59" s="5" t="s">
        <v>150</v>
      </c>
      <c r="F59" s="5" t="s">
        <v>151</v>
      </c>
      <c r="G59" s="7"/>
      <c r="H59" s="7"/>
      <c r="I59" s="7"/>
      <c r="J59" s="7"/>
      <c r="K59" s="7"/>
      <c r="L59" s="7"/>
      <c r="M59" s="7"/>
      <c r="N59" s="7"/>
      <c r="O59" s="7"/>
      <c r="P59" s="7"/>
      <c r="Q59" s="7"/>
      <c r="R59" s="7"/>
      <c r="S59" s="7"/>
    </row>
    <row r="60" ht="15.75" customHeight="1">
      <c r="A60" s="8" t="s">
        <v>41</v>
      </c>
      <c r="B60" s="5" t="s">
        <v>34</v>
      </c>
      <c r="C60" s="5" t="s">
        <v>152</v>
      </c>
      <c r="D60" s="5" t="s">
        <v>153</v>
      </c>
      <c r="E60" s="5" t="s">
        <v>154</v>
      </c>
      <c r="F60" s="5" t="s">
        <v>155</v>
      </c>
      <c r="G60" s="7"/>
      <c r="H60" s="7"/>
      <c r="I60" s="7"/>
      <c r="J60" s="7"/>
      <c r="K60" s="7"/>
      <c r="L60" s="7"/>
      <c r="M60" s="7"/>
      <c r="N60" s="7"/>
      <c r="O60" s="7"/>
      <c r="P60" s="7"/>
      <c r="Q60" s="7"/>
      <c r="R60" s="7"/>
      <c r="S60" s="7"/>
    </row>
    <row r="61" ht="15.75" customHeight="1">
      <c r="A61" s="8" t="s">
        <v>41</v>
      </c>
      <c r="B61" s="5" t="s">
        <v>34</v>
      </c>
      <c r="C61" s="5" t="s">
        <v>137</v>
      </c>
      <c r="D61" s="5" t="s">
        <v>156</v>
      </c>
      <c r="E61" s="5" t="s">
        <v>157</v>
      </c>
      <c r="F61" s="5" t="s">
        <v>158</v>
      </c>
      <c r="G61" s="7"/>
      <c r="H61" s="7"/>
      <c r="I61" s="7"/>
      <c r="J61" s="7"/>
      <c r="K61" s="7"/>
      <c r="L61" s="7"/>
      <c r="M61" s="7"/>
      <c r="N61" s="7"/>
      <c r="O61" s="7"/>
      <c r="P61" s="7"/>
      <c r="Q61" s="7"/>
      <c r="R61" s="7"/>
      <c r="S61" s="7"/>
    </row>
    <row r="62" ht="15.75" customHeight="1">
      <c r="A62" s="11">
        <v>45506.50347222222</v>
      </c>
      <c r="B62" s="5" t="s">
        <v>159</v>
      </c>
      <c r="C62" s="5" t="s">
        <v>160</v>
      </c>
      <c r="D62" s="5" t="s">
        <v>161</v>
      </c>
      <c r="E62" s="5" t="s">
        <v>162</v>
      </c>
      <c r="F62" s="5" t="s">
        <v>163</v>
      </c>
      <c r="G62" s="5" t="s">
        <v>164</v>
      </c>
      <c r="H62" s="6"/>
      <c r="I62" s="6"/>
      <c r="J62" s="6"/>
      <c r="K62" s="6"/>
      <c r="L62" s="6"/>
      <c r="M62" s="6"/>
      <c r="N62" s="6"/>
      <c r="O62" s="6"/>
      <c r="P62" s="6"/>
      <c r="Q62" s="6"/>
      <c r="R62" s="6"/>
      <c r="S62" s="6"/>
    </row>
    <row r="63" ht="15.75" customHeight="1">
      <c r="A63" s="11">
        <v>45517.59722222222</v>
      </c>
      <c r="B63" s="5" t="s">
        <v>159</v>
      </c>
      <c r="C63" s="5" t="s">
        <v>160</v>
      </c>
      <c r="D63" s="5" t="s">
        <v>161</v>
      </c>
      <c r="E63" s="5" t="s">
        <v>165</v>
      </c>
      <c r="F63" s="5" t="s">
        <v>166</v>
      </c>
      <c r="G63" s="5" t="s">
        <v>167</v>
      </c>
      <c r="H63" s="6"/>
      <c r="I63" s="6"/>
      <c r="J63" s="6"/>
      <c r="K63" s="6"/>
      <c r="L63" s="6"/>
      <c r="M63" s="6"/>
      <c r="N63" s="6"/>
      <c r="O63" s="6"/>
      <c r="P63" s="6"/>
      <c r="Q63" s="6"/>
      <c r="R63" s="6"/>
      <c r="S63" s="6"/>
    </row>
    <row r="64" ht="15.75" customHeight="1">
      <c r="A64" s="11">
        <v>45529.631944444445</v>
      </c>
      <c r="B64" s="5" t="s">
        <v>159</v>
      </c>
      <c r="C64" s="5" t="s">
        <v>160</v>
      </c>
      <c r="D64" s="5" t="s">
        <v>161</v>
      </c>
      <c r="E64" s="5" t="s">
        <v>168</v>
      </c>
      <c r="F64" s="5" t="s">
        <v>169</v>
      </c>
      <c r="G64" s="5" t="s">
        <v>167</v>
      </c>
      <c r="H64" s="6"/>
      <c r="I64" s="6"/>
      <c r="J64" s="6"/>
      <c r="K64" s="6"/>
      <c r="L64" s="6"/>
      <c r="M64" s="6"/>
      <c r="N64" s="6"/>
      <c r="O64" s="6"/>
      <c r="P64" s="6"/>
      <c r="Q64" s="6"/>
      <c r="R64" s="6"/>
      <c r="S64" s="6"/>
    </row>
    <row r="65" ht="15.75" customHeight="1">
      <c r="A65" s="11">
        <v>45536.88888888889</v>
      </c>
      <c r="B65" s="5" t="s">
        <v>159</v>
      </c>
      <c r="C65" s="5" t="s">
        <v>160</v>
      </c>
      <c r="D65" s="5" t="s">
        <v>161</v>
      </c>
      <c r="E65" s="5" t="s">
        <v>170</v>
      </c>
      <c r="F65" s="5" t="s">
        <v>171</v>
      </c>
      <c r="G65" s="5" t="s">
        <v>167</v>
      </c>
      <c r="H65" s="6"/>
      <c r="I65" s="6"/>
      <c r="J65" s="6"/>
      <c r="K65" s="6"/>
      <c r="L65" s="6"/>
      <c r="M65" s="6"/>
      <c r="N65" s="6"/>
      <c r="O65" s="6"/>
      <c r="P65" s="6"/>
      <c r="Q65" s="6"/>
      <c r="R65" s="6"/>
      <c r="S65" s="6"/>
    </row>
    <row r="66" ht="15.75" customHeight="1">
      <c r="A66" s="11">
        <v>45536.9</v>
      </c>
      <c r="B66" s="5" t="s">
        <v>159</v>
      </c>
      <c r="C66" s="5" t="s">
        <v>160</v>
      </c>
      <c r="D66" s="5" t="s">
        <v>161</v>
      </c>
      <c r="E66" s="5" t="s">
        <v>172</v>
      </c>
      <c r="F66" s="5" t="s">
        <v>173</v>
      </c>
      <c r="G66" s="5" t="s">
        <v>167</v>
      </c>
      <c r="H66" s="6"/>
      <c r="I66" s="6"/>
      <c r="J66" s="6"/>
      <c r="K66" s="6"/>
      <c r="L66" s="6"/>
      <c r="M66" s="6"/>
      <c r="N66" s="6"/>
      <c r="O66" s="6"/>
      <c r="P66" s="6"/>
      <c r="Q66" s="6"/>
      <c r="R66" s="6"/>
      <c r="S66" s="6"/>
    </row>
    <row r="67" ht="15.75" customHeight="1">
      <c r="A67" s="11">
        <v>45567.79027777778</v>
      </c>
      <c r="B67" s="5" t="s">
        <v>159</v>
      </c>
      <c r="C67" s="5" t="s">
        <v>160</v>
      </c>
      <c r="D67" s="5" t="s">
        <v>161</v>
      </c>
      <c r="E67" s="5" t="s">
        <v>174</v>
      </c>
      <c r="F67" s="5" t="s">
        <v>175</v>
      </c>
      <c r="G67" s="5" t="s">
        <v>164</v>
      </c>
      <c r="H67" s="6"/>
      <c r="I67" s="6"/>
      <c r="J67" s="6"/>
      <c r="K67" s="6"/>
      <c r="L67" s="6"/>
      <c r="M67" s="6"/>
      <c r="N67" s="6"/>
      <c r="O67" s="6"/>
      <c r="P67" s="6"/>
      <c r="Q67" s="6"/>
      <c r="R67" s="6"/>
      <c r="S67" s="6"/>
    </row>
    <row r="68" ht="15.75" customHeight="1">
      <c r="A68" s="11">
        <v>45571.79375</v>
      </c>
      <c r="B68" s="5" t="s">
        <v>176</v>
      </c>
      <c r="C68" s="5" t="s">
        <v>177</v>
      </c>
      <c r="D68" s="5" t="s">
        <v>9</v>
      </c>
      <c r="E68" s="5" t="s">
        <v>178</v>
      </c>
      <c r="F68" s="5" t="s">
        <v>179</v>
      </c>
      <c r="G68" s="5" t="s">
        <v>180</v>
      </c>
      <c r="H68" s="6"/>
      <c r="I68" s="6"/>
      <c r="J68" s="6"/>
      <c r="K68" s="6"/>
      <c r="L68" s="6"/>
      <c r="M68" s="6"/>
      <c r="N68" s="6"/>
      <c r="O68" s="6"/>
      <c r="P68" s="6"/>
      <c r="Q68" s="6"/>
      <c r="R68" s="6"/>
      <c r="S68" s="6"/>
    </row>
    <row r="69" ht="15.75" customHeight="1">
      <c r="A69" s="8" t="s">
        <v>181</v>
      </c>
      <c r="B69" s="5" t="s">
        <v>177</v>
      </c>
      <c r="C69" s="5" t="s">
        <v>176</v>
      </c>
      <c r="D69" s="5" t="s">
        <v>9</v>
      </c>
      <c r="E69" s="5" t="s">
        <v>182</v>
      </c>
      <c r="F69" s="5" t="s">
        <v>183</v>
      </c>
      <c r="G69" s="5" t="s">
        <v>180</v>
      </c>
      <c r="H69" s="6"/>
      <c r="I69" s="6"/>
      <c r="J69" s="6"/>
      <c r="K69" s="6"/>
      <c r="L69" s="6"/>
      <c r="M69" s="6"/>
      <c r="N69" s="6"/>
      <c r="O69" s="6"/>
      <c r="P69" s="6"/>
      <c r="Q69" s="6"/>
      <c r="R69" s="6"/>
      <c r="S69" s="6"/>
    </row>
    <row r="70" ht="15.75" customHeight="1">
      <c r="A70" s="10">
        <v>45576.0</v>
      </c>
      <c r="B70" s="5" t="s">
        <v>7</v>
      </c>
      <c r="C70" s="5" t="s">
        <v>184</v>
      </c>
      <c r="D70" s="5" t="s">
        <v>185</v>
      </c>
      <c r="E70" s="5" t="s">
        <v>186</v>
      </c>
      <c r="F70" s="5" t="s">
        <v>187</v>
      </c>
      <c r="G70" s="5" t="s">
        <v>188</v>
      </c>
      <c r="H70" s="6"/>
      <c r="I70" s="6"/>
      <c r="J70" s="6"/>
      <c r="K70" s="6"/>
      <c r="L70" s="6"/>
      <c r="M70" s="6"/>
      <c r="N70" s="6"/>
      <c r="O70" s="6"/>
      <c r="P70" s="6"/>
      <c r="Q70" s="6"/>
      <c r="R70" s="6"/>
      <c r="S70" s="6"/>
    </row>
    <row r="71" ht="15.75" customHeight="1">
      <c r="A71" s="8" t="s">
        <v>189</v>
      </c>
      <c r="B71" s="5" t="s">
        <v>190</v>
      </c>
      <c r="C71" s="5" t="s">
        <v>191</v>
      </c>
      <c r="D71" s="5" t="s">
        <v>161</v>
      </c>
      <c r="E71" s="5" t="s">
        <v>192</v>
      </c>
      <c r="F71" s="5" t="s">
        <v>193</v>
      </c>
      <c r="G71" s="5" t="s">
        <v>194</v>
      </c>
      <c r="H71" s="6"/>
      <c r="I71" s="6"/>
      <c r="J71" s="6"/>
      <c r="K71" s="6"/>
      <c r="L71" s="6"/>
      <c r="M71" s="6"/>
      <c r="N71" s="6"/>
      <c r="O71" s="6"/>
      <c r="P71" s="6"/>
      <c r="Q71" s="6"/>
      <c r="R71" s="6"/>
      <c r="S71" s="6"/>
    </row>
    <row r="72" ht="15.75" customHeight="1">
      <c r="A72" s="8" t="s">
        <v>195</v>
      </c>
      <c r="B72" s="5" t="s">
        <v>191</v>
      </c>
      <c r="C72" s="5" t="s">
        <v>190</v>
      </c>
      <c r="D72" s="5" t="s">
        <v>161</v>
      </c>
      <c r="E72" s="5" t="s">
        <v>196</v>
      </c>
      <c r="F72" s="5" t="s">
        <v>197</v>
      </c>
      <c r="G72" s="5" t="s">
        <v>194</v>
      </c>
      <c r="H72" s="6"/>
      <c r="I72" s="6"/>
      <c r="J72" s="6"/>
      <c r="K72" s="6"/>
      <c r="L72" s="6"/>
      <c r="M72" s="6"/>
      <c r="N72" s="6"/>
      <c r="O72" s="6"/>
      <c r="P72" s="6"/>
      <c r="Q72" s="6"/>
      <c r="R72" s="6"/>
      <c r="S72" s="6"/>
    </row>
    <row r="73" ht="15.75" customHeight="1">
      <c r="A73" s="8" t="s">
        <v>195</v>
      </c>
      <c r="B73" s="5" t="s">
        <v>191</v>
      </c>
      <c r="C73" s="5" t="s">
        <v>190</v>
      </c>
      <c r="D73" s="5" t="s">
        <v>161</v>
      </c>
      <c r="E73" s="5" t="s">
        <v>198</v>
      </c>
      <c r="F73" s="5" t="s">
        <v>199</v>
      </c>
      <c r="G73" s="5" t="s">
        <v>194</v>
      </c>
      <c r="H73" s="6"/>
      <c r="I73" s="6"/>
      <c r="J73" s="6"/>
      <c r="K73" s="6"/>
      <c r="L73" s="6"/>
      <c r="M73" s="6"/>
      <c r="N73" s="6"/>
      <c r="O73" s="6"/>
      <c r="P73" s="6"/>
      <c r="Q73" s="6"/>
      <c r="R73" s="6"/>
      <c r="S73" s="6"/>
    </row>
    <row r="74" ht="15.75" customHeight="1">
      <c r="A74" s="11">
        <v>45591.61319444444</v>
      </c>
      <c r="B74" s="5" t="s">
        <v>190</v>
      </c>
      <c r="C74" s="5" t="s">
        <v>191</v>
      </c>
      <c r="D74" s="5" t="s">
        <v>161</v>
      </c>
      <c r="E74" s="5" t="s">
        <v>200</v>
      </c>
      <c r="F74" s="5" t="s">
        <v>201</v>
      </c>
      <c r="G74" s="5" t="s">
        <v>194</v>
      </c>
      <c r="H74" s="6"/>
      <c r="I74" s="6"/>
      <c r="J74" s="6"/>
      <c r="K74" s="6"/>
      <c r="L74" s="6"/>
      <c r="M74" s="6"/>
      <c r="N74" s="6"/>
      <c r="O74" s="6"/>
      <c r="P74" s="6"/>
      <c r="Q74" s="6"/>
      <c r="R74" s="6"/>
      <c r="S74" s="6"/>
    </row>
    <row r="75" ht="15.75" customHeight="1">
      <c r="A75" s="8" t="s">
        <v>202</v>
      </c>
      <c r="B75" s="5" t="s">
        <v>190</v>
      </c>
      <c r="C75" s="5" t="s">
        <v>191</v>
      </c>
      <c r="D75" s="5" t="s">
        <v>161</v>
      </c>
      <c r="E75" s="5" t="s">
        <v>203</v>
      </c>
      <c r="F75" s="5" t="s">
        <v>204</v>
      </c>
      <c r="G75" s="5" t="s">
        <v>194</v>
      </c>
      <c r="H75" s="6"/>
      <c r="I75" s="6"/>
      <c r="J75" s="6"/>
      <c r="K75" s="6"/>
      <c r="L75" s="6"/>
      <c r="M75" s="6"/>
      <c r="N75" s="6"/>
      <c r="O75" s="6"/>
      <c r="P75" s="6"/>
      <c r="Q75" s="6"/>
      <c r="R75" s="6"/>
      <c r="S75" s="6"/>
    </row>
    <row r="76" ht="15.75" customHeight="1">
      <c r="A76" s="8" t="s">
        <v>202</v>
      </c>
      <c r="B76" s="5" t="s">
        <v>190</v>
      </c>
      <c r="C76" s="5" t="s">
        <v>191</v>
      </c>
      <c r="D76" s="5" t="s">
        <v>161</v>
      </c>
      <c r="E76" s="5" t="s">
        <v>205</v>
      </c>
      <c r="F76" s="5" t="s">
        <v>206</v>
      </c>
      <c r="G76" s="5" t="s">
        <v>194</v>
      </c>
      <c r="H76" s="6"/>
      <c r="I76" s="6"/>
      <c r="J76" s="6"/>
      <c r="K76" s="6"/>
      <c r="L76" s="6"/>
      <c r="M76" s="6"/>
      <c r="N76" s="6"/>
      <c r="O76" s="6"/>
      <c r="P76" s="6"/>
      <c r="Q76" s="6"/>
      <c r="R76" s="6"/>
      <c r="S76" s="6"/>
    </row>
    <row r="77" ht="15.75" customHeight="1">
      <c r="A77" s="11">
        <v>45596.84305555555</v>
      </c>
      <c r="B77" s="5" t="s">
        <v>207</v>
      </c>
      <c r="C77" s="5" t="s">
        <v>190</v>
      </c>
      <c r="D77" s="5" t="s">
        <v>208</v>
      </c>
      <c r="E77" s="5" t="s">
        <v>209</v>
      </c>
      <c r="F77" s="5" t="s">
        <v>210</v>
      </c>
      <c r="G77" s="5" t="s">
        <v>211</v>
      </c>
      <c r="H77" s="6"/>
      <c r="I77" s="6"/>
      <c r="J77" s="6"/>
      <c r="K77" s="6"/>
      <c r="L77" s="6"/>
      <c r="M77" s="6"/>
      <c r="N77" s="6"/>
      <c r="O77" s="6"/>
      <c r="P77" s="6"/>
      <c r="Q77" s="6"/>
      <c r="R77" s="6"/>
      <c r="S77" s="6"/>
    </row>
    <row r="78" ht="15.75" customHeight="1">
      <c r="A78" s="11">
        <v>45596.856944444444</v>
      </c>
      <c r="B78" s="5" t="s">
        <v>190</v>
      </c>
      <c r="C78" s="5" t="s">
        <v>207</v>
      </c>
      <c r="D78" s="5" t="s">
        <v>208</v>
      </c>
      <c r="E78" s="5" t="s">
        <v>212</v>
      </c>
      <c r="F78" s="5" t="s">
        <v>213</v>
      </c>
      <c r="G78" s="5" t="s">
        <v>211</v>
      </c>
      <c r="H78" s="6"/>
      <c r="I78" s="6"/>
      <c r="J78" s="6"/>
      <c r="K78" s="6"/>
      <c r="L78" s="6"/>
      <c r="M78" s="6"/>
      <c r="N78" s="6"/>
      <c r="O78" s="6"/>
      <c r="P78" s="6"/>
      <c r="Q78" s="6"/>
      <c r="R78" s="6"/>
      <c r="S78" s="6"/>
    </row>
    <row r="79" ht="15.75" customHeight="1">
      <c r="A79" s="8" t="s">
        <v>214</v>
      </c>
      <c r="B79" s="5" t="s">
        <v>190</v>
      </c>
      <c r="C79" s="5" t="s">
        <v>191</v>
      </c>
      <c r="D79" s="5" t="s">
        <v>161</v>
      </c>
      <c r="E79" s="5" t="s">
        <v>215</v>
      </c>
      <c r="F79" s="5" t="s">
        <v>216</v>
      </c>
      <c r="G79" s="5" t="s">
        <v>194</v>
      </c>
      <c r="H79" s="6"/>
      <c r="I79" s="6"/>
      <c r="J79" s="6"/>
      <c r="K79" s="6"/>
      <c r="L79" s="6"/>
      <c r="M79" s="6"/>
      <c r="N79" s="6"/>
      <c r="O79" s="6"/>
      <c r="P79" s="6"/>
      <c r="Q79" s="6"/>
      <c r="R79" s="6"/>
      <c r="S79" s="6"/>
    </row>
    <row r="80" ht="15.75" customHeight="1">
      <c r="A80" s="8" t="s">
        <v>214</v>
      </c>
      <c r="B80" s="5" t="s">
        <v>190</v>
      </c>
      <c r="C80" s="5" t="s">
        <v>191</v>
      </c>
      <c r="D80" s="5" t="s">
        <v>161</v>
      </c>
      <c r="E80" s="5" t="s">
        <v>217</v>
      </c>
      <c r="F80" s="5" t="s">
        <v>218</v>
      </c>
      <c r="G80" s="5" t="s">
        <v>194</v>
      </c>
      <c r="H80" s="6"/>
      <c r="I80" s="6"/>
      <c r="J80" s="6"/>
      <c r="K80" s="6"/>
      <c r="L80" s="6"/>
      <c r="M80" s="6"/>
      <c r="N80" s="6"/>
      <c r="O80" s="6"/>
      <c r="P80" s="6"/>
      <c r="Q80" s="6"/>
      <c r="R80" s="6"/>
      <c r="S80" s="6"/>
    </row>
    <row r="81" ht="15.75" customHeight="1">
      <c r="A81" s="11">
        <v>45604.56736111111</v>
      </c>
      <c r="B81" s="5" t="s">
        <v>191</v>
      </c>
      <c r="C81" s="5" t="s">
        <v>190</v>
      </c>
      <c r="D81" s="5" t="s">
        <v>161</v>
      </c>
      <c r="E81" s="5" t="s">
        <v>219</v>
      </c>
      <c r="F81" s="5" t="s">
        <v>220</v>
      </c>
      <c r="G81" s="5" t="s">
        <v>221</v>
      </c>
      <c r="H81" s="6"/>
      <c r="I81" s="6"/>
      <c r="J81" s="6"/>
      <c r="K81" s="6"/>
      <c r="L81" s="6"/>
      <c r="M81" s="6"/>
      <c r="N81" s="6"/>
      <c r="O81" s="6"/>
      <c r="P81" s="6"/>
      <c r="Q81" s="6"/>
      <c r="R81" s="6"/>
      <c r="S81" s="6"/>
    </row>
    <row r="82" ht="15.75" customHeight="1">
      <c r="A82" s="11">
        <v>45605.211805555555</v>
      </c>
      <c r="B82" s="5" t="s">
        <v>190</v>
      </c>
      <c r="C82" s="5" t="s">
        <v>191</v>
      </c>
      <c r="D82" s="5" t="s">
        <v>161</v>
      </c>
      <c r="E82" s="5" t="s">
        <v>222</v>
      </c>
      <c r="F82" s="5" t="s">
        <v>223</v>
      </c>
      <c r="G82" s="5" t="s">
        <v>221</v>
      </c>
      <c r="H82" s="6"/>
      <c r="I82" s="6"/>
      <c r="J82" s="6"/>
      <c r="K82" s="6"/>
      <c r="L82" s="6"/>
      <c r="M82" s="6"/>
      <c r="N82" s="6"/>
      <c r="O82" s="6"/>
      <c r="P82" s="6"/>
      <c r="Q82" s="6"/>
      <c r="R82" s="6"/>
      <c r="S82" s="6"/>
    </row>
    <row r="83" ht="15.75" customHeight="1">
      <c r="A83" s="8" t="s">
        <v>224</v>
      </c>
      <c r="B83" s="5" t="s">
        <v>190</v>
      </c>
      <c r="C83" s="5" t="s">
        <v>191</v>
      </c>
      <c r="D83" s="5" t="s">
        <v>225</v>
      </c>
      <c r="E83" s="5" t="s">
        <v>226</v>
      </c>
      <c r="F83" s="5" t="s">
        <v>227</v>
      </c>
      <c r="G83" s="5" t="s">
        <v>221</v>
      </c>
      <c r="H83" s="6"/>
      <c r="I83" s="6"/>
      <c r="J83" s="6"/>
      <c r="K83" s="6"/>
      <c r="L83" s="6"/>
      <c r="M83" s="6"/>
      <c r="N83" s="6"/>
      <c r="O83" s="6"/>
      <c r="P83" s="6"/>
      <c r="Q83" s="6"/>
      <c r="R83" s="6"/>
      <c r="S83" s="6"/>
    </row>
    <row r="84" ht="15.75" customHeight="1">
      <c r="A84" s="11">
        <v>45629.81736111111</v>
      </c>
      <c r="B84" s="5" t="s">
        <v>159</v>
      </c>
      <c r="C84" s="5" t="s">
        <v>191</v>
      </c>
      <c r="D84" s="5" t="s">
        <v>161</v>
      </c>
      <c r="E84" s="5" t="s">
        <v>228</v>
      </c>
      <c r="F84" s="5" t="s">
        <v>229</v>
      </c>
      <c r="G84" s="5" t="s">
        <v>230</v>
      </c>
      <c r="H84" s="6"/>
      <c r="I84" s="6"/>
      <c r="J84" s="6"/>
      <c r="K84" s="6"/>
      <c r="L84" s="6"/>
      <c r="M84" s="6"/>
      <c r="N84" s="6"/>
      <c r="O84" s="6"/>
      <c r="P84" s="6"/>
      <c r="Q84" s="6"/>
      <c r="R84" s="6"/>
      <c r="S84" s="6"/>
    </row>
    <row r="85" ht="15.75" customHeight="1">
      <c r="A85" s="11">
        <v>45629.84930555556</v>
      </c>
      <c r="B85" s="5" t="s">
        <v>159</v>
      </c>
      <c r="C85" s="5" t="s">
        <v>191</v>
      </c>
      <c r="D85" s="5" t="s">
        <v>161</v>
      </c>
      <c r="E85" s="5" t="s">
        <v>231</v>
      </c>
      <c r="F85" s="5" t="s">
        <v>232</v>
      </c>
      <c r="G85" s="5" t="s">
        <v>164</v>
      </c>
      <c r="H85" s="6"/>
      <c r="I85" s="6"/>
      <c r="J85" s="6"/>
      <c r="K85" s="6"/>
      <c r="L85" s="6"/>
      <c r="M85" s="6"/>
      <c r="N85" s="6"/>
      <c r="O85" s="6"/>
      <c r="P85" s="6"/>
      <c r="Q85" s="6"/>
      <c r="R85" s="6"/>
      <c r="S85" s="6"/>
    </row>
    <row r="86" ht="15.75" customHeight="1">
      <c r="A86" s="11">
        <v>45630.5</v>
      </c>
      <c r="B86" s="5" t="s">
        <v>159</v>
      </c>
      <c r="C86" s="5" t="s">
        <v>191</v>
      </c>
      <c r="D86" s="5" t="s">
        <v>161</v>
      </c>
      <c r="E86" s="5" t="s">
        <v>233</v>
      </c>
      <c r="F86" s="5" t="s">
        <v>234</v>
      </c>
      <c r="G86" s="5" t="s">
        <v>164</v>
      </c>
      <c r="H86" s="6"/>
      <c r="I86" s="6"/>
      <c r="J86" s="6"/>
      <c r="K86" s="6"/>
      <c r="L86" s="6"/>
      <c r="M86" s="6"/>
      <c r="N86" s="6"/>
      <c r="O86" s="6"/>
      <c r="P86" s="6"/>
      <c r="Q86" s="6"/>
      <c r="R86" s="6"/>
      <c r="S86" s="6"/>
    </row>
    <row r="87" ht="15.75" customHeight="1">
      <c r="A87" s="11">
        <v>45630.618055555555</v>
      </c>
      <c r="B87" s="5" t="s">
        <v>159</v>
      </c>
      <c r="C87" s="5" t="s">
        <v>191</v>
      </c>
      <c r="D87" s="5" t="s">
        <v>161</v>
      </c>
      <c r="E87" s="5" t="s">
        <v>235</v>
      </c>
      <c r="F87" s="5" t="s">
        <v>236</v>
      </c>
      <c r="G87" s="5" t="s">
        <v>164</v>
      </c>
      <c r="H87" s="6"/>
      <c r="I87" s="6"/>
      <c r="J87" s="6"/>
      <c r="K87" s="6"/>
      <c r="L87" s="6"/>
      <c r="M87" s="6"/>
      <c r="N87" s="6"/>
      <c r="O87" s="6"/>
      <c r="P87" s="6"/>
      <c r="Q87" s="6"/>
      <c r="R87" s="6"/>
      <c r="S87" s="6"/>
    </row>
    <row r="88" ht="15.75" customHeight="1">
      <c r="A88" s="11">
        <v>45632.50208333333</v>
      </c>
      <c r="B88" s="5" t="s">
        <v>159</v>
      </c>
      <c r="C88" s="5" t="s">
        <v>191</v>
      </c>
      <c r="D88" s="5" t="s">
        <v>161</v>
      </c>
      <c r="E88" s="5" t="s">
        <v>237</v>
      </c>
      <c r="F88" s="5" t="s">
        <v>238</v>
      </c>
      <c r="G88" s="5" t="s">
        <v>164</v>
      </c>
      <c r="H88" s="6"/>
      <c r="I88" s="6"/>
      <c r="J88" s="6"/>
      <c r="K88" s="6"/>
      <c r="L88" s="6"/>
      <c r="M88" s="6"/>
      <c r="N88" s="6"/>
      <c r="O88" s="6"/>
      <c r="P88" s="6"/>
      <c r="Q88" s="6"/>
      <c r="R88" s="6"/>
      <c r="S88" s="6"/>
    </row>
    <row r="89" ht="15.75" customHeight="1">
      <c r="A89" s="11">
        <v>45632.64722222222</v>
      </c>
      <c r="B89" s="5" t="s">
        <v>191</v>
      </c>
      <c r="C89" s="5" t="s">
        <v>159</v>
      </c>
      <c r="D89" s="5" t="s">
        <v>161</v>
      </c>
      <c r="E89" s="5" t="s">
        <v>239</v>
      </c>
      <c r="F89" s="5" t="s">
        <v>240</v>
      </c>
      <c r="G89" s="5" t="s">
        <v>164</v>
      </c>
      <c r="H89" s="6"/>
      <c r="I89" s="6"/>
      <c r="J89" s="6"/>
      <c r="K89" s="6"/>
      <c r="L89" s="6"/>
      <c r="M89" s="6"/>
      <c r="N89" s="6"/>
      <c r="O89" s="6"/>
      <c r="P89" s="6"/>
      <c r="Q89" s="6"/>
      <c r="R89" s="6"/>
      <c r="S89" s="6"/>
    </row>
    <row r="90" ht="15.75" customHeight="1">
      <c r="A90" s="11">
        <v>45632.68680555555</v>
      </c>
      <c r="B90" s="5" t="s">
        <v>207</v>
      </c>
      <c r="C90" s="5" t="s">
        <v>190</v>
      </c>
      <c r="D90" s="5" t="s">
        <v>208</v>
      </c>
      <c r="E90" s="5" t="s">
        <v>241</v>
      </c>
      <c r="F90" s="5" t="s">
        <v>242</v>
      </c>
      <c r="G90" s="5" t="s">
        <v>211</v>
      </c>
      <c r="H90" s="6"/>
      <c r="I90" s="6"/>
      <c r="J90" s="6"/>
      <c r="K90" s="6"/>
      <c r="L90" s="6"/>
      <c r="M90" s="6"/>
      <c r="N90" s="6"/>
      <c r="O90" s="6"/>
      <c r="P90" s="6"/>
      <c r="Q90" s="6"/>
      <c r="R90" s="6"/>
      <c r="S90" s="6"/>
    </row>
    <row r="91" ht="15.75" customHeight="1">
      <c r="A91" s="8" t="s">
        <v>243</v>
      </c>
      <c r="B91" s="5" t="s">
        <v>190</v>
      </c>
      <c r="C91" s="5" t="s">
        <v>207</v>
      </c>
      <c r="D91" s="5" t="s">
        <v>208</v>
      </c>
      <c r="E91" s="5" t="s">
        <v>244</v>
      </c>
      <c r="F91" s="5" t="s">
        <v>245</v>
      </c>
      <c r="G91" s="5" t="s">
        <v>211</v>
      </c>
      <c r="H91" s="6"/>
      <c r="I91" s="6"/>
      <c r="J91" s="6"/>
      <c r="K91" s="6"/>
      <c r="L91" s="6"/>
      <c r="M91" s="6"/>
      <c r="N91" s="6"/>
      <c r="O91" s="6"/>
      <c r="P91" s="6"/>
      <c r="Q91" s="6"/>
      <c r="R91" s="6"/>
      <c r="S91" s="6"/>
    </row>
    <row r="92" ht="15.75" customHeight="1">
      <c r="A92" s="11">
        <v>45635.618055555555</v>
      </c>
      <c r="B92" s="5" t="s">
        <v>34</v>
      </c>
      <c r="C92" s="5" t="s">
        <v>160</v>
      </c>
      <c r="D92" s="5" t="s">
        <v>161</v>
      </c>
      <c r="E92" s="5" t="s">
        <v>246</v>
      </c>
      <c r="F92" s="5" t="s">
        <v>247</v>
      </c>
      <c r="G92" s="5" t="s">
        <v>164</v>
      </c>
      <c r="H92" s="6"/>
      <c r="I92" s="6"/>
      <c r="J92" s="6"/>
      <c r="K92" s="6"/>
      <c r="L92" s="6"/>
      <c r="M92" s="6"/>
      <c r="N92" s="6"/>
      <c r="O92" s="6"/>
      <c r="P92" s="6"/>
      <c r="Q92" s="6"/>
      <c r="R92" s="6"/>
      <c r="S92" s="6"/>
    </row>
    <row r="93" ht="15.75" customHeight="1">
      <c r="A93" s="11">
        <v>45635.743055555555</v>
      </c>
      <c r="B93" s="5" t="s">
        <v>34</v>
      </c>
      <c r="C93" s="5" t="s">
        <v>160</v>
      </c>
      <c r="D93" s="5" t="s">
        <v>161</v>
      </c>
      <c r="E93" s="5" t="s">
        <v>248</v>
      </c>
      <c r="F93" s="5" t="s">
        <v>249</v>
      </c>
      <c r="G93" s="5" t="s">
        <v>164</v>
      </c>
      <c r="H93" s="6"/>
      <c r="I93" s="6"/>
      <c r="J93" s="6"/>
      <c r="K93" s="6"/>
      <c r="L93" s="6"/>
      <c r="M93" s="6"/>
      <c r="N93" s="6"/>
      <c r="O93" s="6"/>
      <c r="P93" s="6"/>
      <c r="Q93" s="6"/>
      <c r="R93" s="6"/>
      <c r="S93" s="6"/>
    </row>
    <row r="94" ht="15.75" customHeight="1">
      <c r="A94" s="8" t="s">
        <v>250</v>
      </c>
      <c r="B94" s="5" t="s">
        <v>160</v>
      </c>
      <c r="C94" s="5" t="s">
        <v>34</v>
      </c>
      <c r="D94" s="5" t="s">
        <v>161</v>
      </c>
      <c r="E94" s="5" t="s">
        <v>251</v>
      </c>
      <c r="F94" s="5" t="s">
        <v>252</v>
      </c>
      <c r="G94" s="5" t="s">
        <v>164</v>
      </c>
      <c r="H94" s="6"/>
      <c r="I94" s="6"/>
      <c r="J94" s="6"/>
      <c r="K94" s="6"/>
      <c r="L94" s="6"/>
      <c r="M94" s="6"/>
      <c r="N94" s="6"/>
      <c r="O94" s="6"/>
      <c r="P94" s="6"/>
      <c r="Q94" s="6"/>
      <c r="R94" s="6"/>
      <c r="S94" s="6"/>
    </row>
    <row r="95" ht="15.75" customHeight="1">
      <c r="A95" s="11">
        <v>45635.75555555556</v>
      </c>
      <c r="B95" s="5" t="s">
        <v>160</v>
      </c>
      <c r="C95" s="5" t="s">
        <v>34</v>
      </c>
      <c r="D95" s="5" t="s">
        <v>161</v>
      </c>
      <c r="E95" s="5" t="s">
        <v>253</v>
      </c>
      <c r="F95" s="5" t="s">
        <v>254</v>
      </c>
      <c r="G95" s="5" t="s">
        <v>164</v>
      </c>
      <c r="H95" s="6"/>
      <c r="I95" s="6"/>
      <c r="J95" s="6"/>
      <c r="K95" s="6"/>
      <c r="L95" s="6"/>
      <c r="M95" s="6"/>
      <c r="N95" s="6"/>
      <c r="O95" s="6"/>
      <c r="P95" s="6"/>
      <c r="Q95" s="6"/>
      <c r="R95" s="6"/>
      <c r="S95" s="6"/>
    </row>
    <row r="96" ht="15.75" customHeight="1">
      <c r="A96" s="11">
        <v>45635.785416666666</v>
      </c>
      <c r="B96" s="5" t="s">
        <v>34</v>
      </c>
      <c r="C96" s="5" t="s">
        <v>160</v>
      </c>
      <c r="D96" s="5" t="s">
        <v>161</v>
      </c>
      <c r="E96" s="5" t="s">
        <v>255</v>
      </c>
      <c r="F96" s="5" t="s">
        <v>256</v>
      </c>
      <c r="G96" s="5" t="s">
        <v>164</v>
      </c>
      <c r="H96" s="6"/>
      <c r="I96" s="6"/>
      <c r="J96" s="6"/>
      <c r="K96" s="6"/>
      <c r="L96" s="6"/>
      <c r="M96" s="6"/>
      <c r="N96" s="6"/>
      <c r="O96" s="6"/>
      <c r="P96" s="6"/>
      <c r="Q96" s="6"/>
      <c r="R96" s="6"/>
      <c r="S96" s="6"/>
    </row>
    <row r="97" ht="15.75" customHeight="1">
      <c r="A97" s="8" t="s">
        <v>257</v>
      </c>
      <c r="B97" s="5" t="s">
        <v>34</v>
      </c>
      <c r="C97" s="5" t="s">
        <v>160</v>
      </c>
      <c r="D97" s="5" t="s">
        <v>161</v>
      </c>
      <c r="E97" s="5" t="s">
        <v>258</v>
      </c>
      <c r="F97" s="5" t="s">
        <v>259</v>
      </c>
      <c r="G97" s="5" t="s">
        <v>164</v>
      </c>
      <c r="H97" s="6"/>
      <c r="I97" s="6"/>
      <c r="J97" s="6"/>
      <c r="K97" s="6"/>
      <c r="L97" s="6"/>
      <c r="M97" s="6"/>
      <c r="N97" s="6"/>
      <c r="O97" s="6"/>
      <c r="P97" s="6"/>
      <c r="Q97" s="6"/>
      <c r="R97" s="6"/>
      <c r="S97" s="6"/>
    </row>
    <row r="98" ht="15.75" customHeight="1">
      <c r="A98" s="8" t="s">
        <v>257</v>
      </c>
      <c r="B98" s="5" t="s">
        <v>160</v>
      </c>
      <c r="C98" s="5" t="s">
        <v>34</v>
      </c>
      <c r="D98" s="5" t="s">
        <v>161</v>
      </c>
      <c r="E98" s="5" t="s">
        <v>260</v>
      </c>
      <c r="F98" s="5" t="s">
        <v>261</v>
      </c>
      <c r="G98" s="5" t="s">
        <v>164</v>
      </c>
      <c r="H98" s="6"/>
      <c r="I98" s="6"/>
      <c r="J98" s="6"/>
      <c r="K98" s="6"/>
      <c r="L98" s="6"/>
      <c r="M98" s="6"/>
      <c r="N98" s="6"/>
      <c r="O98" s="6"/>
      <c r="P98" s="6"/>
      <c r="Q98" s="6"/>
      <c r="R98" s="6"/>
      <c r="S98" s="6"/>
    </row>
    <row r="99" ht="15.75" customHeight="1">
      <c r="A99" s="8" t="s">
        <v>257</v>
      </c>
      <c r="B99" s="5" t="s">
        <v>34</v>
      </c>
      <c r="C99" s="5" t="s">
        <v>160</v>
      </c>
      <c r="D99" s="5" t="s">
        <v>161</v>
      </c>
      <c r="E99" s="5" t="s">
        <v>262</v>
      </c>
      <c r="F99" s="5" t="s">
        <v>263</v>
      </c>
      <c r="G99" s="5" t="s">
        <v>164</v>
      </c>
      <c r="H99" s="6"/>
      <c r="I99" s="6"/>
      <c r="J99" s="6"/>
      <c r="K99" s="6"/>
      <c r="L99" s="6"/>
      <c r="M99" s="6"/>
      <c r="N99" s="6"/>
      <c r="O99" s="6"/>
      <c r="P99" s="6"/>
      <c r="Q99" s="6"/>
      <c r="R99" s="6"/>
      <c r="S99" s="6"/>
    </row>
    <row r="100" ht="15.75" customHeight="1">
      <c r="A100" s="11">
        <v>45636.35763888889</v>
      </c>
      <c r="B100" s="5" t="s">
        <v>160</v>
      </c>
      <c r="C100" s="5" t="s">
        <v>264</v>
      </c>
      <c r="D100" s="5" t="s">
        <v>9</v>
      </c>
      <c r="E100" s="5" t="s">
        <v>265</v>
      </c>
      <c r="F100" s="5" t="s">
        <v>266</v>
      </c>
      <c r="G100" s="5" t="s">
        <v>267</v>
      </c>
      <c r="H100" s="6"/>
      <c r="I100" s="6"/>
      <c r="J100" s="6"/>
      <c r="K100" s="6"/>
      <c r="L100" s="6"/>
      <c r="M100" s="6"/>
      <c r="N100" s="6"/>
      <c r="O100" s="6"/>
      <c r="P100" s="6"/>
      <c r="Q100" s="6"/>
      <c r="R100" s="6"/>
      <c r="S100" s="6"/>
    </row>
    <row r="101" ht="15.75" customHeight="1">
      <c r="A101" s="11">
        <v>45636.38611111111</v>
      </c>
      <c r="B101" s="5" t="s">
        <v>34</v>
      </c>
      <c r="C101" s="5" t="s">
        <v>160</v>
      </c>
      <c r="D101" s="5" t="s">
        <v>161</v>
      </c>
      <c r="E101" s="5" t="s">
        <v>268</v>
      </c>
      <c r="F101" s="5" t="s">
        <v>269</v>
      </c>
      <c r="G101" s="5" t="s">
        <v>164</v>
      </c>
      <c r="H101" s="6"/>
      <c r="I101" s="6"/>
      <c r="J101" s="6"/>
      <c r="K101" s="6"/>
      <c r="L101" s="6"/>
      <c r="M101" s="6"/>
      <c r="N101" s="6"/>
      <c r="O101" s="6"/>
      <c r="P101" s="6"/>
      <c r="Q101" s="6"/>
      <c r="R101" s="6"/>
      <c r="S101" s="6"/>
    </row>
    <row r="102" ht="15.75" customHeight="1">
      <c r="A102" s="11">
        <v>45636.40069444444</v>
      </c>
      <c r="B102" s="5" t="s">
        <v>264</v>
      </c>
      <c r="C102" s="5" t="s">
        <v>160</v>
      </c>
      <c r="D102" s="5" t="s">
        <v>9</v>
      </c>
      <c r="E102" s="5" t="s">
        <v>270</v>
      </c>
      <c r="F102" s="5" t="s">
        <v>271</v>
      </c>
      <c r="G102" s="5" t="s">
        <v>267</v>
      </c>
      <c r="H102" s="6"/>
      <c r="I102" s="6"/>
      <c r="J102" s="6"/>
      <c r="K102" s="6"/>
      <c r="L102" s="6"/>
      <c r="M102" s="6"/>
      <c r="N102" s="6"/>
      <c r="O102" s="6"/>
      <c r="P102" s="6"/>
      <c r="Q102" s="6"/>
      <c r="R102" s="6"/>
      <c r="S102" s="6"/>
    </row>
    <row r="103" ht="15.75" customHeight="1">
      <c r="A103" s="11">
        <v>45636.680555555555</v>
      </c>
      <c r="B103" s="5" t="s">
        <v>160</v>
      </c>
      <c r="C103" s="5" t="s">
        <v>264</v>
      </c>
      <c r="D103" s="5" t="s">
        <v>9</v>
      </c>
      <c r="E103" s="5" t="s">
        <v>272</v>
      </c>
      <c r="F103" s="5" t="s">
        <v>273</v>
      </c>
      <c r="G103" s="5" t="s">
        <v>267</v>
      </c>
      <c r="H103" s="6"/>
      <c r="I103" s="6"/>
      <c r="J103" s="6"/>
      <c r="K103" s="6"/>
      <c r="L103" s="6"/>
      <c r="M103" s="6"/>
      <c r="N103" s="6"/>
      <c r="O103" s="6"/>
      <c r="P103" s="6"/>
      <c r="Q103" s="6"/>
      <c r="R103" s="6"/>
      <c r="S103" s="6"/>
    </row>
    <row r="104" ht="15.75" customHeight="1">
      <c r="A104" s="11">
        <v>45636.69861111111</v>
      </c>
      <c r="B104" s="5" t="s">
        <v>264</v>
      </c>
      <c r="C104" s="5" t="s">
        <v>160</v>
      </c>
      <c r="D104" s="5" t="s">
        <v>9</v>
      </c>
      <c r="E104" s="5" t="s">
        <v>274</v>
      </c>
      <c r="F104" s="5" t="s">
        <v>275</v>
      </c>
      <c r="G104" s="5" t="s">
        <v>267</v>
      </c>
      <c r="H104" s="6"/>
      <c r="I104" s="6"/>
      <c r="J104" s="6"/>
      <c r="K104" s="6"/>
      <c r="L104" s="6"/>
      <c r="M104" s="6"/>
      <c r="N104" s="6"/>
      <c r="O104" s="6"/>
      <c r="P104" s="6"/>
      <c r="Q104" s="6"/>
      <c r="R104" s="6"/>
      <c r="S104" s="6"/>
    </row>
    <row r="105" ht="15.75" customHeight="1">
      <c r="A105" s="11">
        <v>45636.72083333333</v>
      </c>
      <c r="B105" s="5" t="s">
        <v>160</v>
      </c>
      <c r="C105" s="5" t="s">
        <v>264</v>
      </c>
      <c r="D105" s="5" t="s">
        <v>9</v>
      </c>
      <c r="E105" s="5" t="s">
        <v>276</v>
      </c>
      <c r="F105" s="5" t="s">
        <v>277</v>
      </c>
      <c r="G105" s="5" t="s">
        <v>267</v>
      </c>
      <c r="H105" s="6"/>
      <c r="I105" s="6"/>
      <c r="J105" s="6"/>
      <c r="K105" s="6"/>
      <c r="L105" s="6"/>
      <c r="M105" s="6"/>
      <c r="N105" s="6"/>
      <c r="O105" s="6"/>
      <c r="P105" s="6"/>
      <c r="Q105" s="6"/>
      <c r="R105" s="6"/>
      <c r="S105" s="6"/>
    </row>
    <row r="106" ht="15.75" customHeight="1">
      <c r="A106" s="11">
        <v>45636.83125</v>
      </c>
      <c r="B106" s="5" t="s">
        <v>34</v>
      </c>
      <c r="C106" s="5" t="s">
        <v>160</v>
      </c>
      <c r="D106" s="5" t="s">
        <v>161</v>
      </c>
      <c r="E106" s="5" t="s">
        <v>278</v>
      </c>
      <c r="F106" s="5" t="s">
        <v>279</v>
      </c>
      <c r="G106" s="5" t="s">
        <v>164</v>
      </c>
      <c r="H106" s="6"/>
      <c r="I106" s="6"/>
      <c r="J106" s="6"/>
      <c r="K106" s="6"/>
      <c r="L106" s="6"/>
      <c r="M106" s="6"/>
      <c r="N106" s="6"/>
      <c r="O106" s="6"/>
      <c r="P106" s="6"/>
      <c r="Q106" s="6"/>
      <c r="R106" s="6"/>
      <c r="S106" s="6"/>
    </row>
    <row r="107" ht="15.75" customHeight="1">
      <c r="A107" s="8" t="s">
        <v>280</v>
      </c>
      <c r="B107" s="5" t="s">
        <v>264</v>
      </c>
      <c r="C107" s="5" t="s">
        <v>160</v>
      </c>
      <c r="D107" s="5" t="s">
        <v>9</v>
      </c>
      <c r="E107" s="5" t="s">
        <v>281</v>
      </c>
      <c r="F107" s="5" t="s">
        <v>282</v>
      </c>
      <c r="G107" s="5" t="s">
        <v>267</v>
      </c>
      <c r="H107" s="6"/>
      <c r="I107" s="6"/>
      <c r="J107" s="6"/>
      <c r="K107" s="6"/>
      <c r="L107" s="6"/>
      <c r="M107" s="6"/>
      <c r="N107" s="6"/>
      <c r="O107" s="6"/>
      <c r="P107" s="6"/>
      <c r="Q107" s="6"/>
      <c r="R107" s="6"/>
      <c r="S107" s="6"/>
    </row>
    <row r="108" ht="15.75" customHeight="1">
      <c r="A108" s="11">
        <v>45637.020833333336</v>
      </c>
      <c r="B108" s="5" t="s">
        <v>34</v>
      </c>
      <c r="C108" s="5" t="s">
        <v>160</v>
      </c>
      <c r="D108" s="5" t="s">
        <v>161</v>
      </c>
      <c r="E108" s="5" t="s">
        <v>283</v>
      </c>
      <c r="F108" s="5" t="s">
        <v>284</v>
      </c>
      <c r="G108" s="5" t="s">
        <v>164</v>
      </c>
      <c r="H108" s="6"/>
      <c r="I108" s="6"/>
      <c r="J108" s="6"/>
      <c r="K108" s="6"/>
      <c r="L108" s="6"/>
      <c r="M108" s="6"/>
      <c r="N108" s="6"/>
      <c r="O108" s="6"/>
      <c r="P108" s="6"/>
      <c r="Q108" s="6"/>
      <c r="R108" s="6"/>
      <c r="S108" s="6"/>
    </row>
    <row r="109" ht="15.75" customHeight="1">
      <c r="A109" s="11">
        <v>45637.061111111114</v>
      </c>
      <c r="B109" s="5" t="s">
        <v>34</v>
      </c>
      <c r="C109" s="5" t="s">
        <v>160</v>
      </c>
      <c r="D109" s="5" t="s">
        <v>161</v>
      </c>
      <c r="E109" s="5" t="s">
        <v>285</v>
      </c>
      <c r="F109" s="5" t="s">
        <v>286</v>
      </c>
      <c r="G109" s="5" t="s">
        <v>164</v>
      </c>
      <c r="H109" s="6"/>
      <c r="I109" s="6"/>
      <c r="J109" s="6"/>
      <c r="K109" s="6"/>
      <c r="L109" s="6"/>
      <c r="M109" s="6"/>
      <c r="N109" s="6"/>
      <c r="O109" s="6"/>
      <c r="P109" s="6"/>
      <c r="Q109" s="6"/>
      <c r="R109" s="6"/>
      <c r="S109" s="6"/>
    </row>
    <row r="110" ht="15.75" customHeight="1">
      <c r="A110" s="11">
        <v>45637.34930555556</v>
      </c>
      <c r="B110" s="5" t="s">
        <v>34</v>
      </c>
      <c r="C110" s="5" t="s">
        <v>287</v>
      </c>
      <c r="D110" s="5" t="s">
        <v>161</v>
      </c>
      <c r="E110" s="5" t="s">
        <v>288</v>
      </c>
      <c r="F110" s="5" t="s">
        <v>289</v>
      </c>
      <c r="G110" s="5" t="s">
        <v>164</v>
      </c>
      <c r="H110" s="6"/>
      <c r="I110" s="6"/>
      <c r="J110" s="6"/>
      <c r="K110" s="6"/>
      <c r="L110" s="6"/>
      <c r="M110" s="6"/>
      <c r="N110" s="6"/>
      <c r="O110" s="6"/>
      <c r="P110" s="6"/>
      <c r="Q110" s="6"/>
      <c r="R110" s="6"/>
      <c r="S110" s="6"/>
    </row>
    <row r="111" ht="15.75" customHeight="1">
      <c r="A111" s="11">
        <v>45637.544444444444</v>
      </c>
      <c r="B111" s="5" t="s">
        <v>34</v>
      </c>
      <c r="C111" s="5" t="s">
        <v>160</v>
      </c>
      <c r="D111" s="5" t="s">
        <v>161</v>
      </c>
      <c r="E111" s="5" t="s">
        <v>290</v>
      </c>
      <c r="F111" s="5" t="s">
        <v>291</v>
      </c>
      <c r="G111" s="5" t="s">
        <v>164</v>
      </c>
      <c r="H111" s="6"/>
      <c r="I111" s="6"/>
      <c r="J111" s="6"/>
      <c r="K111" s="6"/>
      <c r="L111" s="6"/>
      <c r="M111" s="6"/>
      <c r="N111" s="6"/>
      <c r="O111" s="6"/>
      <c r="P111" s="6"/>
      <c r="Q111" s="6"/>
      <c r="R111" s="6"/>
      <c r="S111" s="6"/>
    </row>
    <row r="112" ht="15.75" customHeight="1">
      <c r="A112" s="11">
        <v>45637.57361111111</v>
      </c>
      <c r="B112" s="5" t="s">
        <v>34</v>
      </c>
      <c r="C112" s="5" t="s">
        <v>160</v>
      </c>
      <c r="D112" s="5" t="s">
        <v>161</v>
      </c>
      <c r="E112" s="5" t="s">
        <v>292</v>
      </c>
      <c r="F112" s="5" t="s">
        <v>293</v>
      </c>
      <c r="G112" s="5" t="s">
        <v>164</v>
      </c>
      <c r="H112" s="6"/>
      <c r="I112" s="6"/>
      <c r="J112" s="6"/>
      <c r="K112" s="6"/>
      <c r="L112" s="6"/>
      <c r="M112" s="6"/>
      <c r="N112" s="6"/>
      <c r="O112" s="6"/>
      <c r="P112" s="6"/>
      <c r="Q112" s="6"/>
      <c r="R112" s="6"/>
      <c r="S112" s="6"/>
    </row>
    <row r="113" ht="15.75" customHeight="1">
      <c r="A113" s="11">
        <v>45637.60277777778</v>
      </c>
      <c r="B113" s="5" t="s">
        <v>34</v>
      </c>
      <c r="C113" s="5" t="s">
        <v>160</v>
      </c>
      <c r="D113" s="5" t="s">
        <v>161</v>
      </c>
      <c r="E113" s="5" t="s">
        <v>294</v>
      </c>
      <c r="F113" s="5" t="s">
        <v>295</v>
      </c>
      <c r="G113" s="5" t="s">
        <v>164</v>
      </c>
      <c r="H113" s="6"/>
      <c r="I113" s="6"/>
      <c r="J113" s="6"/>
      <c r="K113" s="6"/>
      <c r="L113" s="6"/>
      <c r="M113" s="6"/>
      <c r="N113" s="6"/>
      <c r="O113" s="6"/>
      <c r="P113" s="6"/>
      <c r="Q113" s="6"/>
      <c r="R113" s="6"/>
      <c r="S113" s="6"/>
    </row>
    <row r="114" ht="15.75" customHeight="1">
      <c r="A114" s="11">
        <v>45638.86111111111</v>
      </c>
      <c r="B114" s="5" t="s">
        <v>160</v>
      </c>
      <c r="C114" s="5" t="s">
        <v>264</v>
      </c>
      <c r="D114" s="5" t="s">
        <v>9</v>
      </c>
      <c r="E114" s="5" t="s">
        <v>296</v>
      </c>
      <c r="F114" s="5" t="s">
        <v>297</v>
      </c>
      <c r="G114" s="5" t="s">
        <v>267</v>
      </c>
      <c r="H114" s="6"/>
      <c r="I114" s="6"/>
      <c r="J114" s="6"/>
      <c r="K114" s="6"/>
      <c r="L114" s="6"/>
      <c r="M114" s="6"/>
      <c r="N114" s="6"/>
      <c r="O114" s="6"/>
      <c r="P114" s="6"/>
      <c r="Q114" s="6"/>
      <c r="R114" s="6"/>
      <c r="S114" s="6"/>
    </row>
    <row r="115" ht="15.75" customHeight="1">
      <c r="A115" s="8" t="s">
        <v>298</v>
      </c>
      <c r="B115" s="5" t="s">
        <v>264</v>
      </c>
      <c r="C115" s="5" t="s">
        <v>160</v>
      </c>
      <c r="D115" s="5" t="s">
        <v>9</v>
      </c>
      <c r="E115" s="5" t="s">
        <v>299</v>
      </c>
      <c r="F115" s="5" t="s">
        <v>300</v>
      </c>
      <c r="G115" s="5" t="s">
        <v>267</v>
      </c>
      <c r="H115" s="6"/>
      <c r="I115" s="6"/>
      <c r="J115" s="6"/>
      <c r="K115" s="6"/>
      <c r="L115" s="6"/>
      <c r="M115" s="6"/>
      <c r="N115" s="6"/>
      <c r="O115" s="6"/>
      <c r="P115" s="6"/>
      <c r="Q115" s="6"/>
      <c r="R115" s="6"/>
      <c r="S115" s="6"/>
    </row>
    <row r="116" ht="15.75" customHeight="1">
      <c r="A116" s="11">
        <v>45639.270833333336</v>
      </c>
      <c r="B116" s="5" t="s">
        <v>264</v>
      </c>
      <c r="C116" s="5" t="s">
        <v>160</v>
      </c>
      <c r="D116" s="5" t="s">
        <v>9</v>
      </c>
      <c r="E116" s="5" t="s">
        <v>301</v>
      </c>
      <c r="F116" s="5" t="s">
        <v>302</v>
      </c>
      <c r="G116" s="5" t="s">
        <v>267</v>
      </c>
      <c r="H116" s="6"/>
      <c r="I116" s="6"/>
      <c r="J116" s="6"/>
      <c r="K116" s="6"/>
      <c r="L116" s="6"/>
      <c r="M116" s="6"/>
      <c r="N116" s="6"/>
      <c r="O116" s="6"/>
      <c r="P116" s="6"/>
      <c r="Q116" s="6"/>
      <c r="R116" s="6"/>
      <c r="S116" s="6"/>
    </row>
    <row r="117" ht="15.75" customHeight="1">
      <c r="A117" s="11">
        <v>45639.2875</v>
      </c>
      <c r="B117" s="5" t="s">
        <v>160</v>
      </c>
      <c r="C117" s="5" t="s">
        <v>264</v>
      </c>
      <c r="D117" s="5" t="s">
        <v>9</v>
      </c>
      <c r="E117" s="5" t="s">
        <v>303</v>
      </c>
      <c r="F117" s="5" t="s">
        <v>304</v>
      </c>
      <c r="G117" s="5" t="s">
        <v>267</v>
      </c>
      <c r="H117" s="6"/>
      <c r="I117" s="6"/>
      <c r="J117" s="6"/>
      <c r="K117" s="6"/>
      <c r="L117" s="6"/>
      <c r="M117" s="6"/>
      <c r="N117" s="6"/>
      <c r="O117" s="6"/>
      <c r="P117" s="6"/>
      <c r="Q117" s="6"/>
      <c r="R117" s="6"/>
      <c r="S117" s="6"/>
    </row>
    <row r="118" ht="15.75" customHeight="1">
      <c r="A118" s="8" t="s">
        <v>305</v>
      </c>
      <c r="B118" s="5" t="s">
        <v>264</v>
      </c>
      <c r="C118" s="5" t="s">
        <v>160</v>
      </c>
      <c r="D118" s="5" t="s">
        <v>9</v>
      </c>
      <c r="E118" s="5" t="s">
        <v>306</v>
      </c>
      <c r="F118" s="5" t="s">
        <v>307</v>
      </c>
      <c r="G118" s="5" t="s">
        <v>267</v>
      </c>
      <c r="H118" s="6"/>
      <c r="I118" s="6"/>
      <c r="J118" s="6"/>
      <c r="K118" s="6"/>
      <c r="L118" s="6"/>
      <c r="M118" s="6"/>
      <c r="N118" s="6"/>
      <c r="O118" s="6"/>
      <c r="P118" s="6"/>
      <c r="Q118" s="6"/>
      <c r="R118" s="6"/>
      <c r="S118" s="6"/>
    </row>
    <row r="119" ht="15.75" customHeight="1">
      <c r="A119" s="11">
        <v>45639.88958333333</v>
      </c>
      <c r="B119" s="5" t="s">
        <v>160</v>
      </c>
      <c r="C119" s="5" t="s">
        <v>264</v>
      </c>
      <c r="D119" s="5" t="s">
        <v>9</v>
      </c>
      <c r="E119" s="5" t="s">
        <v>308</v>
      </c>
      <c r="F119" s="5" t="s">
        <v>309</v>
      </c>
      <c r="G119" s="5" t="s">
        <v>267</v>
      </c>
      <c r="H119" s="6"/>
      <c r="I119" s="6"/>
      <c r="J119" s="6"/>
      <c r="K119" s="6"/>
      <c r="L119" s="6"/>
      <c r="M119" s="6"/>
      <c r="N119" s="6"/>
      <c r="O119" s="6"/>
      <c r="P119" s="6"/>
      <c r="Q119" s="6"/>
      <c r="R119" s="6"/>
      <c r="S119" s="6"/>
    </row>
    <row r="120" ht="15.75" customHeight="1">
      <c r="A120" s="8" t="s">
        <v>310</v>
      </c>
      <c r="B120" s="5" t="s">
        <v>7</v>
      </c>
      <c r="C120" s="5" t="s">
        <v>160</v>
      </c>
      <c r="D120" s="5" t="s">
        <v>311</v>
      </c>
      <c r="E120" s="5" t="s">
        <v>312</v>
      </c>
      <c r="F120" s="5" t="s">
        <v>313</v>
      </c>
      <c r="G120" s="7"/>
      <c r="H120" s="7"/>
      <c r="I120" s="7"/>
      <c r="J120" s="7"/>
      <c r="K120" s="7"/>
      <c r="L120" s="7"/>
      <c r="M120" s="7"/>
      <c r="N120" s="7"/>
      <c r="O120" s="7"/>
      <c r="P120" s="7"/>
      <c r="Q120" s="7"/>
      <c r="R120" s="7"/>
      <c r="S120" s="7"/>
    </row>
    <row r="121" ht="15.75" customHeight="1">
      <c r="A121" s="12" t="s">
        <v>314</v>
      </c>
      <c r="H121" s="7"/>
      <c r="I121" s="7"/>
      <c r="J121" s="7"/>
      <c r="K121" s="7"/>
      <c r="L121" s="7"/>
      <c r="M121" s="7"/>
      <c r="N121" s="7"/>
      <c r="O121" s="7"/>
      <c r="P121" s="7"/>
      <c r="Q121" s="7"/>
      <c r="R121" s="7"/>
      <c r="S121" s="7"/>
    </row>
    <row r="122" ht="15.75" customHeight="1">
      <c r="A122" s="12" t="s">
        <v>315</v>
      </c>
      <c r="B122" s="12" t="s">
        <v>316</v>
      </c>
      <c r="C122" s="12" t="s">
        <v>317</v>
      </c>
      <c r="D122" s="12">
        <v>95.0</v>
      </c>
      <c r="E122" s="12" t="s">
        <v>318</v>
      </c>
      <c r="F122" s="12" t="s">
        <v>319</v>
      </c>
      <c r="G122" s="12" t="s">
        <v>320</v>
      </c>
      <c r="H122" s="13"/>
      <c r="I122" s="13"/>
      <c r="J122" s="13"/>
      <c r="K122" s="13"/>
      <c r="L122" s="13"/>
      <c r="M122" s="13"/>
      <c r="N122" s="13"/>
      <c r="O122" s="13"/>
      <c r="P122" s="13"/>
      <c r="Q122" s="13"/>
      <c r="R122" s="13"/>
      <c r="S122" s="13"/>
    </row>
    <row r="123" ht="15.75" customHeight="1">
      <c r="A123" s="12" t="s">
        <v>321</v>
      </c>
      <c r="B123" s="12" t="s">
        <v>316</v>
      </c>
      <c r="C123" s="12" t="s">
        <v>322</v>
      </c>
      <c r="D123" s="12">
        <v>95.0</v>
      </c>
      <c r="E123" s="12" t="s">
        <v>318</v>
      </c>
      <c r="F123" s="12" t="s">
        <v>323</v>
      </c>
      <c r="G123" s="12" t="s">
        <v>324</v>
      </c>
      <c r="H123" s="13"/>
      <c r="I123" s="13"/>
      <c r="J123" s="13"/>
      <c r="K123" s="13"/>
      <c r="L123" s="13"/>
      <c r="M123" s="13"/>
      <c r="N123" s="13"/>
      <c r="O123" s="13"/>
      <c r="P123" s="13"/>
      <c r="Q123" s="13"/>
      <c r="R123" s="13"/>
      <c r="S123" s="13"/>
    </row>
    <row r="124" ht="15.75" customHeight="1">
      <c r="A124" s="12" t="s">
        <v>325</v>
      </c>
      <c r="B124" s="12" t="s">
        <v>316</v>
      </c>
      <c r="C124" s="12" t="s">
        <v>326</v>
      </c>
      <c r="D124" s="12">
        <v>96.0</v>
      </c>
      <c r="E124" s="12" t="s">
        <v>318</v>
      </c>
      <c r="F124" s="12" t="s">
        <v>327</v>
      </c>
      <c r="G124" s="12" t="s">
        <v>328</v>
      </c>
      <c r="H124" s="13"/>
      <c r="I124" s="13"/>
      <c r="J124" s="13"/>
      <c r="K124" s="13"/>
      <c r="L124" s="13"/>
      <c r="M124" s="13"/>
      <c r="N124" s="13"/>
      <c r="O124" s="13"/>
      <c r="P124" s="13"/>
      <c r="Q124" s="13"/>
      <c r="R124" s="13"/>
      <c r="S124" s="13"/>
    </row>
    <row r="125" ht="15.75" customHeight="1">
      <c r="A125" s="12" t="s">
        <v>329</v>
      </c>
      <c r="B125" s="12" t="s">
        <v>316</v>
      </c>
      <c r="C125" s="12" t="s">
        <v>330</v>
      </c>
      <c r="D125" s="12">
        <v>100.0</v>
      </c>
      <c r="E125" s="12" t="s">
        <v>318</v>
      </c>
      <c r="F125" s="12" t="s">
        <v>331</v>
      </c>
      <c r="G125" s="12" t="s">
        <v>332</v>
      </c>
      <c r="H125" s="13"/>
      <c r="I125" s="13"/>
      <c r="J125" s="13"/>
      <c r="K125" s="13"/>
      <c r="L125" s="13"/>
      <c r="M125" s="13"/>
      <c r="N125" s="13"/>
      <c r="O125" s="13"/>
      <c r="P125" s="13"/>
      <c r="Q125" s="13"/>
      <c r="R125" s="13"/>
      <c r="S125" s="13"/>
    </row>
    <row r="126" ht="15.75" customHeight="1">
      <c r="A126" s="12" t="s">
        <v>333</v>
      </c>
      <c r="B126" s="12" t="s">
        <v>316</v>
      </c>
      <c r="C126" s="12" t="s">
        <v>334</v>
      </c>
      <c r="D126" s="12">
        <v>100.0</v>
      </c>
      <c r="E126" s="12" t="s">
        <v>318</v>
      </c>
      <c r="F126" s="12" t="s">
        <v>331</v>
      </c>
      <c r="G126" s="12" t="s">
        <v>335</v>
      </c>
      <c r="H126" s="13"/>
      <c r="I126" s="13"/>
      <c r="J126" s="13"/>
      <c r="K126" s="13"/>
      <c r="L126" s="13"/>
      <c r="M126" s="13"/>
      <c r="N126" s="13"/>
      <c r="O126" s="13"/>
      <c r="P126" s="13"/>
      <c r="Q126" s="13"/>
      <c r="R126" s="13"/>
      <c r="S126" s="13"/>
    </row>
    <row r="127" ht="15.75" customHeight="1">
      <c r="A127" s="12" t="s">
        <v>336</v>
      </c>
      <c r="B127" s="12" t="s">
        <v>316</v>
      </c>
      <c r="C127" s="12" t="s">
        <v>337</v>
      </c>
      <c r="D127" s="12">
        <v>100.0</v>
      </c>
      <c r="E127" s="12" t="s">
        <v>318</v>
      </c>
      <c r="F127" s="12" t="s">
        <v>331</v>
      </c>
      <c r="G127" s="12" t="s">
        <v>338</v>
      </c>
      <c r="H127" s="13"/>
      <c r="I127" s="13"/>
      <c r="J127" s="13"/>
      <c r="K127" s="13"/>
      <c r="L127" s="13"/>
      <c r="M127" s="13"/>
      <c r="N127" s="13"/>
      <c r="O127" s="13"/>
      <c r="P127" s="13"/>
      <c r="Q127" s="13"/>
      <c r="R127" s="13"/>
      <c r="S127" s="13"/>
    </row>
    <row r="128" ht="15.75" customHeight="1">
      <c r="A128" s="12" t="s">
        <v>339</v>
      </c>
      <c r="B128" s="12" t="s">
        <v>316</v>
      </c>
      <c r="C128" s="12" t="s">
        <v>340</v>
      </c>
      <c r="D128" s="12">
        <v>100.0</v>
      </c>
      <c r="E128" s="12" t="s">
        <v>318</v>
      </c>
      <c r="F128" s="12" t="s">
        <v>341</v>
      </c>
      <c r="G128" s="12" t="s">
        <v>342</v>
      </c>
      <c r="H128" s="13"/>
      <c r="I128" s="13"/>
      <c r="J128" s="13"/>
      <c r="K128" s="13"/>
      <c r="L128" s="13"/>
      <c r="M128" s="13"/>
      <c r="N128" s="13"/>
      <c r="O128" s="13"/>
      <c r="P128" s="13"/>
      <c r="Q128" s="13"/>
      <c r="R128" s="13"/>
      <c r="S128" s="13"/>
    </row>
    <row r="129" ht="15.75" customHeight="1">
      <c r="A129" s="12" t="s">
        <v>343</v>
      </c>
      <c r="B129" s="12" t="s">
        <v>316</v>
      </c>
      <c r="C129" s="12" t="s">
        <v>344</v>
      </c>
      <c r="D129" s="12">
        <v>96.0</v>
      </c>
      <c r="E129" s="12" t="s">
        <v>318</v>
      </c>
      <c r="F129" s="12" t="s">
        <v>345</v>
      </c>
      <c r="G129" s="12" t="s">
        <v>346</v>
      </c>
      <c r="H129" s="13"/>
      <c r="I129" s="13"/>
      <c r="J129" s="13"/>
      <c r="K129" s="13"/>
      <c r="L129" s="13"/>
      <c r="M129" s="13"/>
      <c r="N129" s="13"/>
      <c r="O129" s="13"/>
      <c r="P129" s="13"/>
      <c r="Q129" s="13"/>
      <c r="R129" s="13"/>
      <c r="S129" s="13"/>
    </row>
    <row r="130" ht="15.75" customHeight="1">
      <c r="A130" s="12" t="s">
        <v>347</v>
      </c>
      <c r="B130" s="12" t="s">
        <v>316</v>
      </c>
      <c r="C130" s="12" t="s">
        <v>348</v>
      </c>
      <c r="D130" s="12">
        <v>96.0</v>
      </c>
      <c r="E130" s="12" t="s">
        <v>318</v>
      </c>
      <c r="F130" s="12" t="s">
        <v>349</v>
      </c>
      <c r="G130" s="12" t="s">
        <v>350</v>
      </c>
      <c r="H130" s="13"/>
      <c r="I130" s="13"/>
      <c r="J130" s="13"/>
      <c r="K130" s="13"/>
      <c r="L130" s="13"/>
      <c r="M130" s="13"/>
      <c r="N130" s="13"/>
      <c r="O130" s="13"/>
      <c r="P130" s="13"/>
      <c r="Q130" s="13"/>
      <c r="R130" s="13"/>
      <c r="S130" s="13"/>
    </row>
    <row r="131" ht="15.75" customHeight="1">
      <c r="A131" s="12" t="s">
        <v>351</v>
      </c>
      <c r="B131" s="12" t="s">
        <v>316</v>
      </c>
      <c r="C131" s="12" t="s">
        <v>352</v>
      </c>
      <c r="D131" s="12">
        <v>96.0</v>
      </c>
      <c r="E131" s="12" t="s">
        <v>318</v>
      </c>
      <c r="F131" s="12" t="s">
        <v>353</v>
      </c>
      <c r="G131" s="12" t="s">
        <v>354</v>
      </c>
      <c r="H131" s="13"/>
      <c r="I131" s="13"/>
      <c r="J131" s="13"/>
      <c r="K131" s="13"/>
      <c r="L131" s="13"/>
      <c r="M131" s="13"/>
      <c r="N131" s="13"/>
      <c r="O131" s="13"/>
      <c r="P131" s="13"/>
      <c r="Q131" s="13"/>
      <c r="R131" s="13"/>
      <c r="S131" s="13"/>
    </row>
    <row r="132" ht="15.75" customHeight="1">
      <c r="A132" s="12" t="s">
        <v>355</v>
      </c>
      <c r="B132" s="12" t="s">
        <v>316</v>
      </c>
      <c r="C132" s="12" t="s">
        <v>356</v>
      </c>
      <c r="D132" s="12">
        <v>100.0</v>
      </c>
      <c r="E132" s="12" t="s">
        <v>318</v>
      </c>
      <c r="F132" s="12" t="s">
        <v>357</v>
      </c>
      <c r="G132" s="12" t="s">
        <v>358</v>
      </c>
      <c r="H132" s="13"/>
      <c r="I132" s="13"/>
      <c r="J132" s="13"/>
      <c r="K132" s="13"/>
      <c r="L132" s="13"/>
      <c r="M132" s="13"/>
      <c r="N132" s="13"/>
      <c r="O132" s="13"/>
      <c r="P132" s="13"/>
      <c r="Q132" s="13"/>
      <c r="R132" s="13"/>
      <c r="S132" s="13"/>
    </row>
    <row r="133" ht="15.75" customHeight="1">
      <c r="A133" s="12" t="s">
        <v>359</v>
      </c>
      <c r="B133" s="12" t="s">
        <v>316</v>
      </c>
      <c r="C133" s="12" t="s">
        <v>360</v>
      </c>
      <c r="D133" s="12">
        <v>100.0</v>
      </c>
      <c r="E133" s="12" t="s">
        <v>318</v>
      </c>
      <c r="F133" s="12" t="s">
        <v>357</v>
      </c>
      <c r="G133" s="12" t="s">
        <v>361</v>
      </c>
      <c r="H133" s="13"/>
      <c r="I133" s="13"/>
      <c r="J133" s="13"/>
      <c r="K133" s="13"/>
      <c r="L133" s="13"/>
      <c r="M133" s="13"/>
      <c r="N133" s="13"/>
      <c r="O133" s="13"/>
      <c r="P133" s="13"/>
      <c r="Q133" s="13"/>
      <c r="R133" s="13"/>
      <c r="S133" s="13"/>
    </row>
    <row r="134" ht="15.75" customHeight="1">
      <c r="A134" s="12" t="s">
        <v>362</v>
      </c>
      <c r="B134" s="12" t="s">
        <v>316</v>
      </c>
      <c r="C134" s="12" t="s">
        <v>363</v>
      </c>
      <c r="D134" s="12">
        <v>100.0</v>
      </c>
      <c r="E134" s="12" t="s">
        <v>318</v>
      </c>
      <c r="F134" s="12" t="s">
        <v>364</v>
      </c>
      <c r="G134" s="12" t="s">
        <v>365</v>
      </c>
      <c r="H134" s="13"/>
      <c r="I134" s="13"/>
      <c r="J134" s="13"/>
      <c r="K134" s="13"/>
      <c r="L134" s="13"/>
      <c r="M134" s="13"/>
      <c r="N134" s="13"/>
      <c r="O134" s="13"/>
      <c r="P134" s="13"/>
      <c r="Q134" s="13"/>
      <c r="R134" s="13"/>
      <c r="S134" s="13"/>
    </row>
    <row r="135" ht="15.75" customHeight="1">
      <c r="A135" s="12" t="s">
        <v>366</v>
      </c>
      <c r="B135" s="12" t="s">
        <v>316</v>
      </c>
      <c r="C135" s="12" t="s">
        <v>367</v>
      </c>
      <c r="D135" s="12">
        <v>95.0</v>
      </c>
      <c r="E135" s="12" t="s">
        <v>318</v>
      </c>
      <c r="F135" s="12" t="s">
        <v>368</v>
      </c>
      <c r="G135" s="12"/>
      <c r="H135" s="13"/>
      <c r="I135" s="13"/>
      <c r="J135" s="13"/>
      <c r="K135" s="13"/>
      <c r="L135" s="13"/>
      <c r="M135" s="13"/>
      <c r="N135" s="13"/>
      <c r="O135" s="13"/>
      <c r="P135" s="13"/>
      <c r="Q135" s="13"/>
      <c r="R135" s="13"/>
      <c r="S135" s="13"/>
    </row>
    <row r="136" ht="15.75" customHeight="1">
      <c r="A136" s="12" t="s">
        <v>369</v>
      </c>
      <c r="B136" s="12" t="s">
        <v>370</v>
      </c>
      <c r="C136" s="12"/>
      <c r="D136" s="12"/>
      <c r="E136" s="12"/>
      <c r="F136" s="12"/>
      <c r="G136" s="12"/>
      <c r="H136" s="13"/>
      <c r="I136" s="13"/>
      <c r="J136" s="13"/>
      <c r="K136" s="13"/>
      <c r="L136" s="13"/>
      <c r="M136" s="13"/>
      <c r="N136" s="13"/>
      <c r="O136" s="13"/>
      <c r="P136" s="13"/>
      <c r="Q136" s="13"/>
      <c r="R136" s="13"/>
      <c r="S136" s="13"/>
    </row>
    <row r="137" ht="15.75" customHeight="1">
      <c r="A137" s="12" t="s">
        <v>371</v>
      </c>
      <c r="B137" s="12" t="s">
        <v>316</v>
      </c>
      <c r="C137" s="12" t="s">
        <v>372</v>
      </c>
      <c r="D137" s="12">
        <v>95.0</v>
      </c>
      <c r="E137" s="12" t="s">
        <v>318</v>
      </c>
      <c r="F137" s="12" t="s">
        <v>373</v>
      </c>
      <c r="G137" s="12"/>
      <c r="H137" s="13"/>
      <c r="I137" s="13"/>
      <c r="J137" s="13"/>
      <c r="K137" s="13"/>
      <c r="L137" s="13"/>
      <c r="M137" s="13"/>
      <c r="N137" s="13"/>
      <c r="O137" s="13"/>
      <c r="P137" s="13"/>
      <c r="Q137" s="13"/>
      <c r="R137" s="13"/>
      <c r="S137" s="13"/>
    </row>
    <row r="138" ht="15.75" customHeight="1">
      <c r="A138" s="12" t="s">
        <v>374</v>
      </c>
      <c r="B138" s="12" t="s">
        <v>375</v>
      </c>
      <c r="C138" s="12"/>
      <c r="D138" s="12"/>
      <c r="E138" s="12"/>
      <c r="F138" s="12"/>
      <c r="G138" s="12"/>
      <c r="H138" s="13"/>
      <c r="I138" s="13"/>
      <c r="J138" s="13"/>
      <c r="K138" s="13"/>
      <c r="L138" s="13"/>
      <c r="M138" s="13"/>
      <c r="N138" s="13"/>
      <c r="O138" s="13"/>
      <c r="P138" s="13"/>
      <c r="Q138" s="13"/>
      <c r="R138" s="13"/>
      <c r="S138" s="13"/>
    </row>
    <row r="139" ht="15.75" customHeight="1">
      <c r="A139" s="12" t="s">
        <v>376</v>
      </c>
      <c r="B139" s="12" t="s">
        <v>316</v>
      </c>
      <c r="C139" s="12" t="s">
        <v>377</v>
      </c>
      <c r="D139" s="12">
        <v>96.0</v>
      </c>
      <c r="E139" s="12" t="s">
        <v>318</v>
      </c>
      <c r="F139" s="12" t="s">
        <v>378</v>
      </c>
      <c r="G139" s="12" t="s">
        <v>379</v>
      </c>
      <c r="H139" s="13"/>
      <c r="I139" s="13"/>
      <c r="J139" s="13"/>
      <c r="K139" s="13"/>
      <c r="L139" s="13"/>
      <c r="M139" s="13"/>
      <c r="N139" s="13"/>
      <c r="O139" s="13"/>
      <c r="P139" s="13"/>
      <c r="Q139" s="13"/>
      <c r="R139" s="13"/>
      <c r="S139" s="13"/>
    </row>
    <row r="140" ht="15.75" customHeight="1">
      <c r="A140" s="12" t="s">
        <v>380</v>
      </c>
      <c r="B140" s="12" t="s">
        <v>316</v>
      </c>
      <c r="C140" s="12" t="s">
        <v>381</v>
      </c>
      <c r="D140" s="12">
        <v>95.0</v>
      </c>
      <c r="E140" s="12" t="s">
        <v>318</v>
      </c>
      <c r="F140" s="12" t="s">
        <v>382</v>
      </c>
      <c r="G140" s="12" t="s">
        <v>383</v>
      </c>
      <c r="H140" s="13"/>
      <c r="I140" s="13"/>
      <c r="J140" s="13"/>
      <c r="K140" s="13"/>
      <c r="L140" s="13"/>
      <c r="M140" s="13"/>
      <c r="N140" s="13"/>
      <c r="O140" s="13"/>
      <c r="P140" s="13"/>
      <c r="Q140" s="13"/>
      <c r="R140" s="13"/>
      <c r="S140" s="13"/>
    </row>
    <row r="141" ht="15.75" customHeight="1">
      <c r="A141" s="12" t="s">
        <v>384</v>
      </c>
      <c r="B141" s="12" t="s">
        <v>316</v>
      </c>
      <c r="C141" s="12" t="s">
        <v>385</v>
      </c>
      <c r="D141" s="12">
        <v>95.0</v>
      </c>
      <c r="E141" s="12" t="s">
        <v>318</v>
      </c>
      <c r="F141" s="12" t="s">
        <v>386</v>
      </c>
      <c r="G141" s="12" t="s">
        <v>387</v>
      </c>
      <c r="H141" s="13"/>
      <c r="I141" s="13"/>
      <c r="J141" s="13"/>
      <c r="K141" s="13"/>
      <c r="L141" s="13"/>
      <c r="M141" s="13"/>
      <c r="N141" s="13"/>
      <c r="O141" s="13"/>
      <c r="P141" s="13"/>
      <c r="Q141" s="13"/>
      <c r="R141" s="13"/>
      <c r="S141" s="13"/>
    </row>
    <row r="142" ht="15.75" customHeight="1">
      <c r="A142" s="12" t="s">
        <v>388</v>
      </c>
      <c r="B142" s="12" t="s">
        <v>316</v>
      </c>
      <c r="C142" s="12" t="s">
        <v>389</v>
      </c>
      <c r="D142" s="12">
        <v>95.0</v>
      </c>
      <c r="E142" s="12" t="s">
        <v>318</v>
      </c>
      <c r="F142" s="12" t="s">
        <v>390</v>
      </c>
      <c r="G142" s="12" t="s">
        <v>391</v>
      </c>
      <c r="H142" s="13"/>
      <c r="I142" s="13"/>
      <c r="J142" s="13"/>
      <c r="K142" s="13"/>
      <c r="L142" s="13"/>
      <c r="M142" s="13"/>
      <c r="N142" s="13"/>
      <c r="O142" s="13"/>
      <c r="P142" s="13"/>
      <c r="Q142" s="13"/>
      <c r="R142" s="13"/>
      <c r="S142" s="13"/>
    </row>
    <row r="143" ht="15.75" customHeight="1">
      <c r="A143" s="12" t="s">
        <v>392</v>
      </c>
      <c r="B143" s="12" t="s">
        <v>316</v>
      </c>
      <c r="C143" s="12" t="s">
        <v>393</v>
      </c>
      <c r="D143" s="12">
        <v>95.0</v>
      </c>
      <c r="E143" s="12" t="s">
        <v>318</v>
      </c>
      <c r="F143" s="12" t="s">
        <v>386</v>
      </c>
      <c r="G143" s="12" t="s">
        <v>394</v>
      </c>
      <c r="H143" s="13"/>
      <c r="I143" s="13"/>
      <c r="J143" s="13"/>
      <c r="K143" s="13"/>
      <c r="L143" s="13"/>
      <c r="M143" s="13"/>
      <c r="N143" s="13"/>
      <c r="O143" s="13"/>
      <c r="P143" s="13"/>
      <c r="Q143" s="13"/>
      <c r="R143" s="13"/>
      <c r="S143" s="13"/>
    </row>
    <row r="144" ht="15.75" customHeight="1">
      <c r="A144" s="12" t="s">
        <v>395</v>
      </c>
      <c r="B144" s="12" t="s">
        <v>316</v>
      </c>
      <c r="C144" s="12" t="s">
        <v>396</v>
      </c>
      <c r="D144" s="12">
        <v>95.0</v>
      </c>
      <c r="E144" s="12" t="s">
        <v>318</v>
      </c>
      <c r="F144" s="12" t="s">
        <v>386</v>
      </c>
      <c r="G144" s="12" t="s">
        <v>397</v>
      </c>
      <c r="H144" s="13"/>
      <c r="I144" s="13"/>
      <c r="J144" s="13"/>
      <c r="K144" s="13"/>
      <c r="L144" s="13"/>
      <c r="M144" s="13"/>
      <c r="N144" s="13"/>
      <c r="O144" s="13"/>
      <c r="P144" s="13"/>
      <c r="Q144" s="13"/>
      <c r="R144" s="13"/>
      <c r="S144" s="13"/>
    </row>
    <row r="145" ht="15.75" customHeight="1">
      <c r="A145" s="12" t="s">
        <v>398</v>
      </c>
      <c r="B145" s="12" t="s">
        <v>316</v>
      </c>
      <c r="C145" s="12" t="s">
        <v>399</v>
      </c>
      <c r="D145" s="12">
        <v>95.0</v>
      </c>
      <c r="E145" s="12" t="s">
        <v>318</v>
      </c>
      <c r="F145" s="12" t="s">
        <v>382</v>
      </c>
      <c r="G145" s="12" t="s">
        <v>400</v>
      </c>
      <c r="H145" s="13"/>
      <c r="I145" s="13"/>
      <c r="J145" s="13"/>
      <c r="K145" s="13"/>
      <c r="L145" s="13"/>
      <c r="M145" s="13"/>
      <c r="N145" s="13"/>
      <c r="O145" s="13"/>
      <c r="P145" s="13"/>
      <c r="Q145" s="13"/>
      <c r="R145" s="13"/>
      <c r="S145" s="13"/>
    </row>
    <row r="146" ht="15.75" customHeight="1">
      <c r="A146" s="12" t="s">
        <v>401</v>
      </c>
      <c r="B146" s="12" t="s">
        <v>316</v>
      </c>
      <c r="C146" s="12" t="s">
        <v>402</v>
      </c>
      <c r="D146" s="12">
        <v>90.0</v>
      </c>
      <c r="E146" s="12" t="s">
        <v>318</v>
      </c>
      <c r="F146" s="12" t="s">
        <v>403</v>
      </c>
      <c r="G146" s="12" t="s">
        <v>404</v>
      </c>
      <c r="H146" s="13"/>
      <c r="I146" s="13"/>
      <c r="J146" s="13"/>
      <c r="K146" s="13"/>
      <c r="L146" s="13"/>
      <c r="M146" s="13"/>
      <c r="N146" s="13"/>
      <c r="O146" s="13"/>
      <c r="P146" s="13"/>
      <c r="Q146" s="13"/>
      <c r="R146" s="13"/>
      <c r="S146" s="13"/>
    </row>
    <row r="147" ht="15.75" customHeight="1">
      <c r="A147" s="12" t="s">
        <v>405</v>
      </c>
      <c r="B147" s="12" t="s">
        <v>316</v>
      </c>
      <c r="C147" s="12" t="s">
        <v>406</v>
      </c>
      <c r="D147" s="12">
        <v>85.0</v>
      </c>
      <c r="E147" s="12" t="s">
        <v>318</v>
      </c>
      <c r="F147" s="12" t="s">
        <v>407</v>
      </c>
      <c r="G147" s="12" t="s">
        <v>408</v>
      </c>
      <c r="H147" s="13"/>
      <c r="I147" s="13"/>
      <c r="J147" s="13"/>
      <c r="K147" s="13"/>
      <c r="L147" s="13"/>
      <c r="M147" s="13"/>
      <c r="N147" s="13"/>
      <c r="O147" s="13"/>
      <c r="P147" s="13"/>
      <c r="Q147" s="13"/>
      <c r="R147" s="13"/>
      <c r="S147" s="13"/>
    </row>
    <row r="148" ht="15.75" customHeight="1">
      <c r="A148" s="12" t="s">
        <v>409</v>
      </c>
      <c r="B148" s="12" t="s">
        <v>316</v>
      </c>
      <c r="C148" s="12" t="s">
        <v>410</v>
      </c>
      <c r="D148" s="12">
        <v>96.0</v>
      </c>
      <c r="E148" s="12" t="s">
        <v>318</v>
      </c>
      <c r="F148" s="12" t="s">
        <v>411</v>
      </c>
      <c r="G148" s="12" t="s">
        <v>412</v>
      </c>
      <c r="H148" s="13"/>
      <c r="I148" s="13"/>
      <c r="J148" s="13"/>
      <c r="K148" s="13"/>
      <c r="L148" s="13"/>
      <c r="M148" s="13"/>
      <c r="N148" s="13"/>
      <c r="O148" s="13"/>
      <c r="P148" s="13"/>
      <c r="Q148" s="13"/>
      <c r="R148" s="13"/>
      <c r="S148" s="13"/>
    </row>
    <row r="149" ht="15.75" customHeight="1">
      <c r="A149" s="12" t="s">
        <v>413</v>
      </c>
      <c r="B149" s="12" t="s">
        <v>316</v>
      </c>
      <c r="C149" s="12" t="s">
        <v>414</v>
      </c>
      <c r="D149" s="12">
        <v>90.0</v>
      </c>
      <c r="E149" s="12" t="s">
        <v>318</v>
      </c>
      <c r="F149" s="12" t="s">
        <v>415</v>
      </c>
      <c r="G149" s="12" t="s">
        <v>416</v>
      </c>
      <c r="H149" s="13"/>
      <c r="I149" s="13"/>
      <c r="J149" s="13"/>
      <c r="K149" s="13"/>
      <c r="L149" s="13"/>
      <c r="M149" s="13"/>
      <c r="N149" s="13"/>
      <c r="O149" s="13"/>
      <c r="P149" s="13"/>
      <c r="Q149" s="13"/>
      <c r="R149" s="13"/>
      <c r="S149" s="13"/>
    </row>
    <row r="150" ht="15.75" customHeight="1">
      <c r="A150" s="12" t="s">
        <v>417</v>
      </c>
      <c r="B150" s="12" t="s">
        <v>316</v>
      </c>
      <c r="C150" s="12" t="s">
        <v>418</v>
      </c>
      <c r="D150" s="12">
        <v>100.0</v>
      </c>
      <c r="E150" s="12" t="s">
        <v>318</v>
      </c>
      <c r="F150" s="12" t="s">
        <v>419</v>
      </c>
      <c r="G150" s="12" t="s">
        <v>420</v>
      </c>
      <c r="H150" s="13"/>
      <c r="I150" s="13"/>
      <c r="J150" s="13"/>
      <c r="K150" s="13"/>
      <c r="L150" s="13"/>
      <c r="M150" s="13"/>
      <c r="N150" s="13"/>
      <c r="O150" s="13"/>
      <c r="P150" s="13"/>
      <c r="Q150" s="13"/>
      <c r="R150" s="13"/>
      <c r="S150" s="13"/>
    </row>
    <row r="151" ht="15.75" customHeight="1">
      <c r="A151" s="12" t="s">
        <v>421</v>
      </c>
      <c r="B151" s="12" t="s">
        <v>316</v>
      </c>
      <c r="C151" s="12" t="s">
        <v>422</v>
      </c>
      <c r="D151" s="12">
        <v>100.0</v>
      </c>
      <c r="E151" s="12" t="s">
        <v>318</v>
      </c>
      <c r="F151" s="12" t="s">
        <v>423</v>
      </c>
      <c r="G151" s="12" t="s">
        <v>424</v>
      </c>
      <c r="H151" s="13"/>
      <c r="I151" s="13"/>
      <c r="J151" s="13"/>
      <c r="K151" s="13"/>
      <c r="L151" s="13"/>
      <c r="M151" s="13"/>
      <c r="N151" s="13"/>
      <c r="O151" s="13"/>
      <c r="P151" s="13"/>
      <c r="Q151" s="13"/>
      <c r="R151" s="13"/>
      <c r="S151" s="13"/>
    </row>
    <row r="152" ht="15.75" customHeight="1">
      <c r="A152" s="12" t="s">
        <v>425</v>
      </c>
      <c r="B152" s="12" t="s">
        <v>316</v>
      </c>
      <c r="C152" s="12" t="s">
        <v>426</v>
      </c>
      <c r="D152" s="12">
        <v>100.0</v>
      </c>
      <c r="E152" s="12" t="s">
        <v>318</v>
      </c>
      <c r="F152" s="12" t="s">
        <v>427</v>
      </c>
      <c r="G152" s="12" t="s">
        <v>428</v>
      </c>
      <c r="H152" s="13"/>
      <c r="I152" s="13"/>
      <c r="J152" s="13"/>
      <c r="K152" s="13"/>
      <c r="L152" s="13"/>
      <c r="M152" s="13"/>
      <c r="N152" s="13"/>
      <c r="O152" s="13"/>
      <c r="P152" s="13"/>
      <c r="Q152" s="13"/>
      <c r="R152" s="13"/>
      <c r="S152" s="13"/>
    </row>
    <row r="153" ht="15.75" customHeight="1">
      <c r="A153" s="12" t="s">
        <v>429</v>
      </c>
      <c r="B153" s="12" t="s">
        <v>316</v>
      </c>
      <c r="C153" s="12" t="s">
        <v>430</v>
      </c>
      <c r="D153" s="12">
        <v>100.0</v>
      </c>
      <c r="E153" s="12" t="s">
        <v>318</v>
      </c>
      <c r="F153" s="12" t="s">
        <v>431</v>
      </c>
      <c r="G153" s="12" t="s">
        <v>432</v>
      </c>
      <c r="H153" s="13"/>
      <c r="I153" s="13"/>
      <c r="J153" s="13"/>
      <c r="K153" s="13"/>
      <c r="L153" s="13"/>
      <c r="M153" s="13"/>
      <c r="N153" s="13"/>
      <c r="O153" s="13"/>
      <c r="P153" s="13"/>
      <c r="Q153" s="13"/>
      <c r="R153" s="13"/>
      <c r="S153" s="13"/>
    </row>
    <row r="154" ht="15.75" customHeight="1">
      <c r="A154" s="12" t="s">
        <v>433</v>
      </c>
      <c r="B154" s="12" t="s">
        <v>316</v>
      </c>
      <c r="C154" s="12" t="s">
        <v>434</v>
      </c>
      <c r="D154" s="12">
        <v>100.0</v>
      </c>
      <c r="E154" s="12" t="s">
        <v>318</v>
      </c>
      <c r="F154" s="12" t="s">
        <v>435</v>
      </c>
      <c r="G154" s="12" t="s">
        <v>436</v>
      </c>
      <c r="H154" s="13"/>
      <c r="I154" s="13"/>
      <c r="J154" s="13"/>
      <c r="K154" s="13"/>
      <c r="L154" s="13"/>
      <c r="M154" s="13"/>
      <c r="N154" s="13"/>
      <c r="O154" s="13"/>
      <c r="P154" s="13"/>
      <c r="Q154" s="13"/>
      <c r="R154" s="13"/>
      <c r="S154" s="13"/>
    </row>
    <row r="155" ht="15.75" customHeight="1">
      <c r="A155" s="12" t="s">
        <v>437</v>
      </c>
      <c r="B155" s="12" t="s">
        <v>316</v>
      </c>
      <c r="C155" s="12" t="s">
        <v>438</v>
      </c>
      <c r="D155" s="12">
        <v>100.0</v>
      </c>
      <c r="E155" s="12" t="s">
        <v>318</v>
      </c>
      <c r="F155" s="12" t="s">
        <v>439</v>
      </c>
      <c r="G155" s="12" t="s">
        <v>440</v>
      </c>
      <c r="H155" s="13"/>
      <c r="I155" s="13"/>
      <c r="J155" s="13"/>
      <c r="K155" s="13"/>
      <c r="L155" s="13"/>
      <c r="M155" s="13"/>
      <c r="N155" s="13"/>
      <c r="O155" s="13"/>
      <c r="P155" s="13"/>
      <c r="Q155" s="13"/>
      <c r="R155" s="13"/>
      <c r="S155" s="13"/>
    </row>
    <row r="156" ht="15.75" customHeight="1">
      <c r="A156" s="12" t="s">
        <v>441</v>
      </c>
      <c r="B156" s="12" t="s">
        <v>316</v>
      </c>
      <c r="C156" s="12" t="s">
        <v>442</v>
      </c>
      <c r="D156" s="12">
        <v>100.0</v>
      </c>
      <c r="E156" s="12" t="s">
        <v>318</v>
      </c>
      <c r="F156" s="12" t="s">
        <v>443</v>
      </c>
      <c r="G156" s="12" t="s">
        <v>444</v>
      </c>
      <c r="H156" s="13"/>
      <c r="I156" s="13"/>
      <c r="J156" s="13"/>
      <c r="K156" s="13"/>
      <c r="L156" s="13"/>
      <c r="M156" s="13"/>
      <c r="N156" s="13"/>
      <c r="O156" s="13"/>
      <c r="P156" s="13"/>
      <c r="Q156" s="13"/>
      <c r="R156" s="13"/>
      <c r="S156" s="13"/>
    </row>
    <row r="157" ht="15.75" customHeight="1">
      <c r="A157" s="12" t="s">
        <v>445</v>
      </c>
      <c r="B157" s="12" t="s">
        <v>316</v>
      </c>
      <c r="C157" s="12" t="s">
        <v>446</v>
      </c>
      <c r="D157" s="12">
        <v>100.0</v>
      </c>
      <c r="E157" s="12" t="s">
        <v>318</v>
      </c>
      <c r="F157" s="12" t="s">
        <v>447</v>
      </c>
      <c r="G157" s="12" t="s">
        <v>448</v>
      </c>
      <c r="H157" s="13"/>
      <c r="I157" s="13"/>
      <c r="J157" s="13"/>
      <c r="K157" s="13"/>
      <c r="L157" s="13"/>
      <c r="M157" s="13"/>
      <c r="N157" s="13"/>
      <c r="O157" s="13"/>
      <c r="P157" s="13"/>
      <c r="Q157" s="13"/>
      <c r="R157" s="13"/>
      <c r="S157" s="13"/>
    </row>
    <row r="158" ht="15.75" customHeight="1">
      <c r="A158" s="12" t="s">
        <v>449</v>
      </c>
      <c r="B158" s="12" t="s">
        <v>316</v>
      </c>
      <c r="C158" s="12" t="s">
        <v>450</v>
      </c>
      <c r="D158" s="12">
        <v>100.0</v>
      </c>
      <c r="E158" s="12" t="s">
        <v>318</v>
      </c>
      <c r="F158" s="12" t="s">
        <v>451</v>
      </c>
      <c r="G158" s="12" t="s">
        <v>452</v>
      </c>
      <c r="H158" s="13"/>
      <c r="I158" s="13"/>
      <c r="J158" s="13"/>
      <c r="K158" s="13"/>
      <c r="L158" s="13"/>
      <c r="M158" s="13"/>
      <c r="N158" s="13"/>
      <c r="O158" s="13"/>
      <c r="P158" s="13"/>
      <c r="Q158" s="13"/>
      <c r="R158" s="13"/>
      <c r="S158" s="13"/>
    </row>
    <row r="159" ht="15.75" customHeight="1">
      <c r="A159" s="12" t="s">
        <v>453</v>
      </c>
      <c r="B159" s="12" t="s">
        <v>316</v>
      </c>
      <c r="C159" s="12" t="s">
        <v>454</v>
      </c>
      <c r="D159" s="12">
        <v>100.0</v>
      </c>
      <c r="E159" s="12" t="s">
        <v>318</v>
      </c>
      <c r="F159" s="12" t="s">
        <v>455</v>
      </c>
      <c r="G159" s="12" t="s">
        <v>456</v>
      </c>
      <c r="H159" s="13"/>
      <c r="I159" s="13"/>
      <c r="J159" s="13"/>
      <c r="K159" s="13"/>
      <c r="L159" s="13"/>
      <c r="M159" s="13"/>
      <c r="N159" s="13"/>
      <c r="O159" s="13"/>
      <c r="P159" s="13"/>
      <c r="Q159" s="13"/>
      <c r="R159" s="13"/>
      <c r="S159" s="13"/>
    </row>
    <row r="160" ht="15.75" customHeight="1">
      <c r="A160" s="12" t="s">
        <v>457</v>
      </c>
      <c r="B160" s="12" t="s">
        <v>316</v>
      </c>
      <c r="C160" s="12" t="s">
        <v>458</v>
      </c>
      <c r="D160" s="12">
        <v>100.0</v>
      </c>
      <c r="E160" s="12" t="s">
        <v>318</v>
      </c>
      <c r="F160" s="12" t="s">
        <v>459</v>
      </c>
      <c r="G160" s="12" t="s">
        <v>460</v>
      </c>
      <c r="H160" s="13"/>
      <c r="I160" s="13"/>
      <c r="J160" s="13"/>
      <c r="K160" s="13"/>
      <c r="L160" s="13"/>
      <c r="M160" s="13"/>
      <c r="N160" s="13"/>
      <c r="O160" s="13"/>
      <c r="P160" s="13"/>
      <c r="Q160" s="13"/>
      <c r="R160" s="13"/>
      <c r="S160" s="13"/>
    </row>
    <row r="161" ht="15.75" customHeight="1">
      <c r="A161" s="12" t="s">
        <v>461</v>
      </c>
      <c r="B161" s="12" t="s">
        <v>316</v>
      </c>
      <c r="C161" s="12" t="s">
        <v>462</v>
      </c>
      <c r="D161" s="12">
        <v>100.0</v>
      </c>
      <c r="E161" s="12" t="s">
        <v>318</v>
      </c>
      <c r="F161" s="12" t="s">
        <v>463</v>
      </c>
      <c r="G161" s="12" t="s">
        <v>464</v>
      </c>
      <c r="H161" s="13"/>
      <c r="I161" s="13"/>
      <c r="J161" s="13"/>
      <c r="K161" s="13"/>
      <c r="L161" s="13"/>
      <c r="M161" s="13"/>
      <c r="N161" s="13"/>
      <c r="O161" s="13"/>
      <c r="P161" s="13"/>
      <c r="Q161" s="13"/>
      <c r="R161" s="13"/>
      <c r="S161" s="13"/>
    </row>
    <row r="162" ht="15.75" customHeight="1">
      <c r="A162" s="12" t="s">
        <v>465</v>
      </c>
      <c r="B162" s="12" t="s">
        <v>316</v>
      </c>
      <c r="C162" s="12" t="s">
        <v>466</v>
      </c>
      <c r="D162" s="12">
        <v>100.0</v>
      </c>
      <c r="E162" s="12" t="s">
        <v>318</v>
      </c>
      <c r="F162" s="12" t="s">
        <v>467</v>
      </c>
      <c r="G162" s="12" t="s">
        <v>468</v>
      </c>
      <c r="H162" s="13"/>
      <c r="I162" s="13"/>
      <c r="J162" s="13"/>
      <c r="K162" s="13"/>
      <c r="L162" s="13"/>
      <c r="M162" s="13"/>
      <c r="N162" s="13"/>
      <c r="O162" s="13"/>
      <c r="P162" s="13"/>
      <c r="Q162" s="13"/>
      <c r="R162" s="13"/>
      <c r="S162" s="13"/>
    </row>
    <row r="163" ht="15.75" customHeight="1">
      <c r="A163" s="12" t="s">
        <v>469</v>
      </c>
      <c r="B163" s="12" t="s">
        <v>316</v>
      </c>
      <c r="C163" s="12" t="s">
        <v>470</v>
      </c>
      <c r="D163" s="12">
        <v>100.0</v>
      </c>
      <c r="E163" s="12" t="s">
        <v>318</v>
      </c>
      <c r="F163" s="12" t="s">
        <v>471</v>
      </c>
      <c r="G163" s="12" t="s">
        <v>472</v>
      </c>
      <c r="H163" s="13"/>
      <c r="I163" s="13"/>
      <c r="J163" s="13"/>
      <c r="K163" s="13"/>
      <c r="L163" s="13"/>
      <c r="M163" s="13"/>
      <c r="N163" s="13"/>
      <c r="O163" s="13"/>
      <c r="P163" s="13"/>
      <c r="Q163" s="13"/>
      <c r="R163" s="13"/>
      <c r="S163" s="13"/>
    </row>
    <row r="164" ht="15.75" customHeight="1">
      <c r="A164" s="12" t="s">
        <v>473</v>
      </c>
      <c r="B164" s="12" t="s">
        <v>316</v>
      </c>
      <c r="C164" s="12" t="s">
        <v>474</v>
      </c>
      <c r="D164" s="12">
        <v>100.0</v>
      </c>
      <c r="E164" s="12" t="s">
        <v>318</v>
      </c>
      <c r="F164" s="12" t="s">
        <v>475</v>
      </c>
      <c r="G164" s="12" t="s">
        <v>476</v>
      </c>
      <c r="H164" s="13"/>
      <c r="I164" s="13"/>
      <c r="J164" s="13"/>
      <c r="K164" s="13"/>
      <c r="L164" s="13"/>
      <c r="M164" s="13"/>
      <c r="N164" s="13"/>
      <c r="O164" s="13"/>
      <c r="P164" s="13"/>
      <c r="Q164" s="13"/>
      <c r="R164" s="13"/>
      <c r="S164" s="13"/>
    </row>
    <row r="165" ht="15.75" customHeight="1">
      <c r="A165" s="12" t="s">
        <v>477</v>
      </c>
      <c r="B165" s="12" t="s">
        <v>316</v>
      </c>
      <c r="C165" s="12" t="s">
        <v>478</v>
      </c>
      <c r="D165" s="12">
        <v>100.0</v>
      </c>
      <c r="E165" s="12" t="s">
        <v>318</v>
      </c>
      <c r="F165" s="12" t="s">
        <v>479</v>
      </c>
      <c r="G165" s="12" t="s">
        <v>480</v>
      </c>
      <c r="H165" s="13"/>
      <c r="I165" s="13"/>
      <c r="J165" s="13"/>
      <c r="K165" s="13"/>
      <c r="L165" s="13"/>
      <c r="M165" s="13"/>
      <c r="N165" s="13"/>
      <c r="O165" s="13"/>
      <c r="P165" s="13"/>
      <c r="Q165" s="13"/>
      <c r="R165" s="13"/>
      <c r="S165" s="13"/>
    </row>
    <row r="166" ht="15.75" customHeight="1">
      <c r="A166" s="12" t="s">
        <v>481</v>
      </c>
      <c r="B166" s="12" t="s">
        <v>316</v>
      </c>
      <c r="C166" s="12" t="s">
        <v>482</v>
      </c>
      <c r="D166" s="12">
        <v>100.0</v>
      </c>
      <c r="E166" s="12" t="s">
        <v>318</v>
      </c>
      <c r="F166" s="12" t="s">
        <v>483</v>
      </c>
      <c r="G166" s="12" t="s">
        <v>484</v>
      </c>
      <c r="H166" s="13"/>
      <c r="I166" s="13"/>
      <c r="J166" s="13"/>
      <c r="K166" s="13"/>
      <c r="L166" s="13"/>
      <c r="M166" s="13"/>
      <c r="N166" s="13"/>
      <c r="O166" s="13"/>
      <c r="P166" s="13"/>
      <c r="Q166" s="13"/>
      <c r="R166" s="13"/>
      <c r="S166" s="13"/>
    </row>
    <row r="167" ht="15.75" customHeight="1">
      <c r="A167" s="12" t="s">
        <v>485</v>
      </c>
      <c r="B167" s="12" t="s">
        <v>316</v>
      </c>
      <c r="C167" s="12" t="s">
        <v>486</v>
      </c>
      <c r="D167" s="12">
        <v>100.0</v>
      </c>
      <c r="E167" s="12" t="s">
        <v>318</v>
      </c>
      <c r="F167" s="12" t="s">
        <v>487</v>
      </c>
      <c r="G167" s="12" t="s">
        <v>488</v>
      </c>
      <c r="H167" s="13"/>
      <c r="I167" s="13"/>
      <c r="J167" s="13"/>
      <c r="K167" s="13"/>
      <c r="L167" s="13"/>
      <c r="M167" s="13"/>
      <c r="N167" s="13"/>
      <c r="O167" s="13"/>
      <c r="P167" s="13"/>
      <c r="Q167" s="13"/>
      <c r="R167" s="13"/>
      <c r="S167" s="13"/>
    </row>
    <row r="168" ht="15.75" customHeight="1">
      <c r="A168" s="12" t="s">
        <v>489</v>
      </c>
      <c r="B168" s="12" t="s">
        <v>316</v>
      </c>
      <c r="C168" s="12" t="s">
        <v>490</v>
      </c>
      <c r="D168" s="12">
        <v>100.0</v>
      </c>
      <c r="E168" s="12" t="s">
        <v>318</v>
      </c>
      <c r="F168" s="12" t="s">
        <v>491</v>
      </c>
      <c r="G168" s="12" t="s">
        <v>492</v>
      </c>
      <c r="H168" s="13"/>
      <c r="I168" s="13"/>
      <c r="J168" s="13"/>
      <c r="K168" s="13"/>
      <c r="L168" s="13"/>
      <c r="M168" s="13"/>
      <c r="N168" s="13"/>
      <c r="O168" s="13"/>
      <c r="P168" s="13"/>
      <c r="Q168" s="13"/>
      <c r="R168" s="13"/>
      <c r="S168" s="13"/>
    </row>
    <row r="169" ht="15.75" customHeight="1">
      <c r="A169" s="12" t="s">
        <v>493</v>
      </c>
      <c r="B169" s="12" t="s">
        <v>316</v>
      </c>
      <c r="C169" s="12" t="s">
        <v>494</v>
      </c>
      <c r="D169" s="12">
        <v>100.0</v>
      </c>
      <c r="E169" s="12" t="s">
        <v>318</v>
      </c>
      <c r="F169" s="12" t="s">
        <v>495</v>
      </c>
      <c r="G169" s="12" t="s">
        <v>496</v>
      </c>
      <c r="H169" s="13"/>
      <c r="I169" s="13"/>
      <c r="J169" s="13"/>
      <c r="K169" s="13"/>
      <c r="L169" s="13"/>
      <c r="M169" s="13"/>
      <c r="N169" s="13"/>
      <c r="O169" s="13"/>
      <c r="P169" s="13"/>
      <c r="Q169" s="13"/>
      <c r="R169" s="13"/>
      <c r="S169" s="13"/>
    </row>
    <row r="170" ht="15.75" customHeight="1">
      <c r="A170" s="12" t="s">
        <v>497</v>
      </c>
      <c r="B170" s="12" t="s">
        <v>316</v>
      </c>
      <c r="C170" s="12" t="s">
        <v>498</v>
      </c>
      <c r="D170" s="12">
        <v>100.0</v>
      </c>
      <c r="E170" s="12" t="s">
        <v>318</v>
      </c>
      <c r="F170" s="12" t="s">
        <v>499</v>
      </c>
      <c r="G170" s="12" t="s">
        <v>500</v>
      </c>
      <c r="H170" s="13"/>
      <c r="I170" s="13"/>
      <c r="J170" s="13"/>
      <c r="K170" s="13"/>
      <c r="L170" s="13"/>
      <c r="M170" s="13"/>
      <c r="N170" s="13"/>
      <c r="O170" s="13"/>
      <c r="P170" s="13"/>
      <c r="Q170" s="13"/>
      <c r="R170" s="13"/>
      <c r="S170" s="13"/>
    </row>
    <row r="171" ht="15.75" customHeight="1">
      <c r="A171" s="12" t="s">
        <v>501</v>
      </c>
      <c r="B171" s="12" t="s">
        <v>316</v>
      </c>
      <c r="C171" s="12" t="s">
        <v>502</v>
      </c>
      <c r="D171" s="12">
        <v>100.0</v>
      </c>
      <c r="E171" s="12" t="s">
        <v>318</v>
      </c>
      <c r="F171" s="12" t="s">
        <v>503</v>
      </c>
      <c r="G171" s="12" t="s">
        <v>504</v>
      </c>
      <c r="H171" s="13"/>
      <c r="I171" s="13"/>
      <c r="J171" s="13"/>
      <c r="K171" s="13"/>
      <c r="L171" s="13"/>
      <c r="M171" s="13"/>
      <c r="N171" s="13"/>
      <c r="O171" s="13"/>
      <c r="P171" s="13"/>
      <c r="Q171" s="13"/>
      <c r="R171" s="13"/>
      <c r="S171" s="13"/>
    </row>
    <row r="172" ht="15.75" customHeight="1">
      <c r="A172" s="12" t="s">
        <v>505</v>
      </c>
      <c r="B172" s="12" t="s">
        <v>316</v>
      </c>
      <c r="C172" s="12" t="s">
        <v>506</v>
      </c>
      <c r="D172" s="12">
        <v>100.0</v>
      </c>
      <c r="E172" s="12" t="s">
        <v>318</v>
      </c>
      <c r="F172" s="12" t="s">
        <v>503</v>
      </c>
      <c r="G172" s="12" t="s">
        <v>507</v>
      </c>
      <c r="H172" s="13"/>
      <c r="I172" s="13"/>
      <c r="J172" s="13"/>
      <c r="K172" s="13"/>
      <c r="L172" s="13"/>
      <c r="M172" s="13"/>
      <c r="N172" s="13"/>
      <c r="O172" s="13"/>
      <c r="P172" s="13"/>
      <c r="Q172" s="13"/>
      <c r="R172" s="13"/>
      <c r="S172" s="13"/>
    </row>
    <row r="173" ht="15.75" customHeight="1">
      <c r="A173" s="12" t="s">
        <v>508</v>
      </c>
      <c r="B173" s="12" t="s">
        <v>316</v>
      </c>
      <c r="C173" s="12" t="s">
        <v>509</v>
      </c>
      <c r="D173" s="12">
        <v>100.0</v>
      </c>
      <c r="E173" s="12" t="s">
        <v>318</v>
      </c>
      <c r="F173" s="12" t="s">
        <v>503</v>
      </c>
      <c r="G173" s="12" t="s">
        <v>510</v>
      </c>
      <c r="H173" s="13"/>
      <c r="I173" s="13"/>
      <c r="J173" s="13"/>
      <c r="K173" s="13"/>
      <c r="L173" s="13"/>
      <c r="M173" s="13"/>
      <c r="N173" s="13"/>
      <c r="O173" s="13"/>
      <c r="P173" s="13"/>
      <c r="Q173" s="13"/>
      <c r="R173" s="13"/>
      <c r="S173" s="13"/>
    </row>
    <row r="174" ht="15.75" customHeight="1">
      <c r="A174" s="12" t="s">
        <v>511</v>
      </c>
      <c r="B174" s="12" t="s">
        <v>316</v>
      </c>
      <c r="C174" s="12" t="s">
        <v>512</v>
      </c>
      <c r="D174" s="12">
        <v>100.0</v>
      </c>
      <c r="E174" s="12" t="s">
        <v>318</v>
      </c>
      <c r="F174" s="12" t="s">
        <v>503</v>
      </c>
      <c r="G174" s="12" t="s">
        <v>513</v>
      </c>
      <c r="H174" s="13"/>
      <c r="I174" s="13"/>
      <c r="J174" s="13"/>
      <c r="K174" s="13"/>
      <c r="L174" s="13"/>
      <c r="M174" s="13"/>
      <c r="N174" s="13"/>
      <c r="O174" s="13"/>
      <c r="P174" s="13"/>
      <c r="Q174" s="13"/>
      <c r="R174" s="13"/>
      <c r="S174" s="13"/>
    </row>
    <row r="175" ht="15.75" customHeight="1">
      <c r="A175" s="12" t="s">
        <v>514</v>
      </c>
      <c r="B175" s="12" t="s">
        <v>316</v>
      </c>
      <c r="C175" s="12" t="s">
        <v>515</v>
      </c>
      <c r="D175" s="12">
        <v>100.0</v>
      </c>
      <c r="E175" s="12" t="s">
        <v>318</v>
      </c>
      <c r="F175" s="12" t="s">
        <v>516</v>
      </c>
      <c r="G175" s="12" t="s">
        <v>517</v>
      </c>
      <c r="H175" s="13"/>
      <c r="I175" s="13"/>
      <c r="J175" s="13"/>
      <c r="K175" s="13"/>
      <c r="L175" s="13"/>
      <c r="M175" s="13"/>
      <c r="N175" s="13"/>
      <c r="O175" s="13"/>
      <c r="P175" s="13"/>
      <c r="Q175" s="13"/>
      <c r="R175" s="13"/>
      <c r="S175" s="13"/>
    </row>
    <row r="176" ht="15.75" customHeight="1">
      <c r="A176" s="12" t="s">
        <v>518</v>
      </c>
      <c r="B176" s="12" t="s">
        <v>316</v>
      </c>
      <c r="C176" s="12" t="s">
        <v>519</v>
      </c>
      <c r="D176" s="12">
        <v>100.0</v>
      </c>
      <c r="E176" s="12" t="s">
        <v>318</v>
      </c>
      <c r="F176" s="12" t="s">
        <v>520</v>
      </c>
      <c r="G176" s="12" t="s">
        <v>521</v>
      </c>
      <c r="H176" s="13"/>
      <c r="I176" s="13"/>
      <c r="J176" s="13"/>
      <c r="K176" s="13"/>
      <c r="L176" s="13"/>
      <c r="M176" s="13"/>
      <c r="N176" s="13"/>
      <c r="O176" s="13"/>
      <c r="P176" s="13"/>
      <c r="Q176" s="13"/>
      <c r="R176" s="13"/>
      <c r="S176" s="13"/>
    </row>
    <row r="177" ht="15.75" customHeight="1">
      <c r="A177" s="12" t="s">
        <v>522</v>
      </c>
      <c r="B177" s="12" t="s">
        <v>316</v>
      </c>
      <c r="C177" s="12" t="s">
        <v>523</v>
      </c>
      <c r="D177" s="12">
        <v>100.0</v>
      </c>
      <c r="E177" s="12" t="s">
        <v>318</v>
      </c>
      <c r="F177" s="12" t="s">
        <v>524</v>
      </c>
      <c r="G177" s="12" t="s">
        <v>525</v>
      </c>
      <c r="H177" s="13"/>
      <c r="I177" s="13"/>
      <c r="J177" s="13"/>
      <c r="K177" s="13"/>
      <c r="L177" s="13"/>
      <c r="M177" s="13"/>
      <c r="N177" s="13"/>
      <c r="O177" s="13"/>
      <c r="P177" s="13"/>
      <c r="Q177" s="13"/>
      <c r="R177" s="13"/>
      <c r="S177" s="13"/>
    </row>
    <row r="178" ht="15.75" customHeight="1">
      <c r="A178" s="12" t="s">
        <v>526</v>
      </c>
      <c r="B178" s="12" t="s">
        <v>316</v>
      </c>
      <c r="C178" s="12" t="s">
        <v>527</v>
      </c>
      <c r="D178" s="12">
        <v>100.0</v>
      </c>
      <c r="E178" s="12" t="s">
        <v>318</v>
      </c>
      <c r="F178" s="12" t="s">
        <v>528</v>
      </c>
      <c r="G178" s="12" t="s">
        <v>529</v>
      </c>
      <c r="H178" s="13"/>
      <c r="I178" s="13"/>
      <c r="J178" s="13"/>
      <c r="K178" s="13"/>
      <c r="L178" s="13"/>
      <c r="M178" s="13"/>
      <c r="N178" s="13"/>
      <c r="O178" s="13"/>
      <c r="P178" s="13"/>
      <c r="Q178" s="13"/>
      <c r="R178" s="13"/>
      <c r="S178" s="13"/>
    </row>
    <row r="179" ht="15.75" customHeight="1">
      <c r="A179" s="12" t="s">
        <v>530</v>
      </c>
      <c r="B179" s="12" t="s">
        <v>316</v>
      </c>
      <c r="C179" s="12" t="s">
        <v>531</v>
      </c>
      <c r="D179" s="12">
        <v>100.0</v>
      </c>
      <c r="E179" s="12" t="s">
        <v>318</v>
      </c>
      <c r="F179" s="12" t="s">
        <v>532</v>
      </c>
      <c r="G179" s="12" t="s">
        <v>533</v>
      </c>
      <c r="H179" s="13"/>
      <c r="I179" s="13"/>
      <c r="J179" s="13"/>
      <c r="K179" s="13"/>
      <c r="L179" s="13"/>
      <c r="M179" s="13"/>
      <c r="N179" s="13"/>
      <c r="O179" s="13"/>
      <c r="P179" s="13"/>
      <c r="Q179" s="13"/>
      <c r="R179" s="13"/>
      <c r="S179" s="13"/>
    </row>
    <row r="180" ht="15.75" customHeight="1">
      <c r="A180" s="12" t="s">
        <v>534</v>
      </c>
      <c r="B180" s="12" t="s">
        <v>316</v>
      </c>
      <c r="C180" s="12" t="s">
        <v>535</v>
      </c>
      <c r="D180" s="12">
        <v>100.0</v>
      </c>
      <c r="E180" s="12" t="s">
        <v>318</v>
      </c>
      <c r="F180" s="12" t="s">
        <v>536</v>
      </c>
      <c r="G180" s="12" t="s">
        <v>537</v>
      </c>
      <c r="H180" s="13"/>
      <c r="I180" s="13"/>
      <c r="J180" s="13"/>
      <c r="K180" s="13"/>
      <c r="L180" s="13"/>
      <c r="M180" s="13"/>
      <c r="N180" s="13"/>
      <c r="O180" s="13"/>
      <c r="P180" s="13"/>
      <c r="Q180" s="13"/>
      <c r="R180" s="13"/>
      <c r="S180" s="13"/>
    </row>
    <row r="181" ht="15.75" customHeight="1">
      <c r="A181" s="12" t="s">
        <v>538</v>
      </c>
      <c r="B181" s="12" t="s">
        <v>316</v>
      </c>
      <c r="C181" s="12" t="s">
        <v>539</v>
      </c>
      <c r="D181" s="12">
        <v>100.0</v>
      </c>
      <c r="E181" s="12" t="s">
        <v>318</v>
      </c>
      <c r="F181" s="12" t="s">
        <v>540</v>
      </c>
      <c r="G181" s="12" t="s">
        <v>541</v>
      </c>
      <c r="H181" s="13"/>
      <c r="I181" s="13"/>
      <c r="J181" s="13"/>
      <c r="K181" s="13"/>
      <c r="L181" s="13"/>
      <c r="M181" s="13"/>
      <c r="N181" s="13"/>
      <c r="O181" s="13"/>
      <c r="P181" s="13"/>
      <c r="Q181" s="13"/>
      <c r="R181" s="13"/>
      <c r="S181" s="13"/>
    </row>
    <row r="182" ht="15.75" customHeight="1">
      <c r="A182" s="12" t="s">
        <v>542</v>
      </c>
      <c r="B182" s="12" t="s">
        <v>316</v>
      </c>
      <c r="C182" s="12" t="s">
        <v>543</v>
      </c>
      <c r="D182" s="12">
        <v>100.0</v>
      </c>
      <c r="E182" s="12" t="s">
        <v>318</v>
      </c>
      <c r="F182" s="12" t="s">
        <v>544</v>
      </c>
      <c r="G182" s="12" t="s">
        <v>545</v>
      </c>
      <c r="H182" s="13"/>
      <c r="I182" s="13"/>
      <c r="J182" s="13"/>
      <c r="K182" s="13"/>
      <c r="L182" s="13"/>
      <c r="M182" s="13"/>
      <c r="N182" s="13"/>
      <c r="O182" s="13"/>
      <c r="P182" s="13"/>
      <c r="Q182" s="13"/>
      <c r="R182" s="13"/>
      <c r="S182" s="13"/>
    </row>
    <row r="183" ht="15.75" customHeight="1">
      <c r="A183" s="12" t="s">
        <v>546</v>
      </c>
      <c r="B183" s="12" t="s">
        <v>316</v>
      </c>
      <c r="C183" s="12" t="s">
        <v>547</v>
      </c>
      <c r="D183" s="12">
        <v>100.0</v>
      </c>
      <c r="E183" s="12" t="s">
        <v>318</v>
      </c>
      <c r="F183" s="12" t="s">
        <v>544</v>
      </c>
      <c r="G183" s="12" t="s">
        <v>548</v>
      </c>
      <c r="H183" s="13"/>
      <c r="I183" s="13"/>
      <c r="J183" s="13"/>
      <c r="K183" s="13"/>
      <c r="L183" s="13"/>
      <c r="M183" s="13"/>
      <c r="N183" s="13"/>
      <c r="O183" s="13"/>
      <c r="P183" s="13"/>
      <c r="Q183" s="13"/>
      <c r="R183" s="13"/>
      <c r="S183" s="13"/>
    </row>
    <row r="184" ht="15.75" customHeight="1">
      <c r="A184" s="12" t="s">
        <v>549</v>
      </c>
      <c r="B184" s="12" t="s">
        <v>316</v>
      </c>
      <c r="C184" s="12" t="s">
        <v>550</v>
      </c>
      <c r="D184" s="12">
        <v>100.0</v>
      </c>
      <c r="E184" s="12" t="s">
        <v>318</v>
      </c>
      <c r="F184" s="12" t="s">
        <v>551</v>
      </c>
      <c r="G184" s="12" t="s">
        <v>552</v>
      </c>
      <c r="H184" s="13"/>
      <c r="I184" s="13"/>
      <c r="J184" s="13"/>
      <c r="K184" s="13"/>
      <c r="L184" s="13"/>
      <c r="M184" s="13"/>
      <c r="N184" s="13"/>
      <c r="O184" s="13"/>
      <c r="P184" s="13"/>
      <c r="Q184" s="13"/>
      <c r="R184" s="13"/>
      <c r="S184" s="13"/>
    </row>
    <row r="185" ht="15.75" customHeight="1">
      <c r="A185" s="12" t="s">
        <v>553</v>
      </c>
      <c r="B185" s="12" t="s">
        <v>316</v>
      </c>
      <c r="C185" s="12" t="s">
        <v>554</v>
      </c>
      <c r="D185" s="12">
        <v>100.0</v>
      </c>
      <c r="E185" s="12" t="s">
        <v>318</v>
      </c>
      <c r="F185" s="12" t="s">
        <v>555</v>
      </c>
      <c r="G185" s="12" t="s">
        <v>556</v>
      </c>
      <c r="H185" s="13"/>
      <c r="I185" s="13"/>
      <c r="J185" s="13"/>
      <c r="K185" s="13"/>
      <c r="L185" s="13"/>
      <c r="M185" s="13"/>
      <c r="N185" s="13"/>
      <c r="O185" s="13"/>
      <c r="P185" s="13"/>
      <c r="Q185" s="13"/>
      <c r="R185" s="13"/>
      <c r="S185" s="13"/>
    </row>
    <row r="186" ht="15.75" customHeight="1">
      <c r="A186" s="12" t="s">
        <v>557</v>
      </c>
      <c r="B186" s="12" t="s">
        <v>316</v>
      </c>
      <c r="C186" s="12" t="s">
        <v>558</v>
      </c>
      <c r="D186" s="12">
        <v>100.0</v>
      </c>
      <c r="E186" s="12" t="s">
        <v>318</v>
      </c>
      <c r="F186" s="12" t="s">
        <v>559</v>
      </c>
      <c r="G186" s="12" t="s">
        <v>560</v>
      </c>
      <c r="H186" s="13"/>
      <c r="I186" s="13"/>
      <c r="J186" s="13"/>
      <c r="K186" s="13"/>
      <c r="L186" s="13"/>
      <c r="M186" s="13"/>
      <c r="N186" s="13"/>
      <c r="O186" s="13"/>
      <c r="P186" s="13"/>
      <c r="Q186" s="13"/>
      <c r="R186" s="13"/>
      <c r="S186" s="13"/>
    </row>
    <row r="187" ht="15.75" customHeight="1">
      <c r="A187" s="12" t="s">
        <v>561</v>
      </c>
      <c r="B187" s="12" t="s">
        <v>316</v>
      </c>
      <c r="C187" s="12" t="s">
        <v>562</v>
      </c>
      <c r="D187" s="12">
        <v>100.0</v>
      </c>
      <c r="E187" s="12" t="s">
        <v>318</v>
      </c>
      <c r="F187" s="12" t="s">
        <v>563</v>
      </c>
      <c r="G187" s="12" t="s">
        <v>564</v>
      </c>
      <c r="H187" s="13"/>
      <c r="I187" s="13"/>
      <c r="J187" s="13"/>
      <c r="K187" s="13"/>
      <c r="L187" s="13"/>
      <c r="M187" s="13"/>
      <c r="N187" s="13"/>
      <c r="O187" s="13"/>
      <c r="P187" s="13"/>
      <c r="Q187" s="13"/>
      <c r="R187" s="13"/>
      <c r="S187" s="13"/>
    </row>
    <row r="188" ht="15.75" customHeight="1">
      <c r="A188" s="12" t="s">
        <v>565</v>
      </c>
      <c r="B188" s="12" t="s">
        <v>316</v>
      </c>
      <c r="C188" s="12" t="s">
        <v>566</v>
      </c>
      <c r="D188" s="12">
        <v>100.0</v>
      </c>
      <c r="E188" s="12" t="s">
        <v>318</v>
      </c>
      <c r="F188" s="12" t="s">
        <v>567</v>
      </c>
      <c r="G188" s="12" t="s">
        <v>568</v>
      </c>
      <c r="H188" s="13"/>
      <c r="I188" s="13"/>
      <c r="J188" s="13"/>
      <c r="K188" s="13"/>
      <c r="L188" s="13"/>
      <c r="M188" s="13"/>
      <c r="N188" s="13"/>
      <c r="O188" s="13"/>
      <c r="P188" s="13"/>
      <c r="Q188" s="13"/>
      <c r="R188" s="13"/>
      <c r="S188" s="13"/>
    </row>
    <row r="189" ht="15.75" customHeight="1">
      <c r="A189" s="12" t="s">
        <v>569</v>
      </c>
      <c r="B189" s="12" t="s">
        <v>316</v>
      </c>
      <c r="C189" s="12" t="s">
        <v>570</v>
      </c>
      <c r="D189" s="12">
        <v>100.0</v>
      </c>
      <c r="E189" s="12" t="s">
        <v>318</v>
      </c>
      <c r="F189" s="12" t="s">
        <v>571</v>
      </c>
      <c r="G189" s="12" t="s">
        <v>572</v>
      </c>
      <c r="H189" s="13"/>
      <c r="I189" s="13"/>
      <c r="J189" s="13"/>
      <c r="K189" s="13"/>
      <c r="L189" s="13"/>
      <c r="M189" s="13"/>
      <c r="N189" s="13"/>
      <c r="O189" s="13"/>
      <c r="P189" s="13"/>
      <c r="Q189" s="13"/>
      <c r="R189" s="13"/>
      <c r="S189" s="13"/>
    </row>
    <row r="190" ht="15.75" customHeight="1">
      <c r="A190" s="12" t="s">
        <v>573</v>
      </c>
      <c r="B190" s="12" t="s">
        <v>316</v>
      </c>
      <c r="C190" s="12" t="s">
        <v>574</v>
      </c>
      <c r="D190" s="12">
        <v>100.0</v>
      </c>
      <c r="E190" s="12" t="s">
        <v>318</v>
      </c>
      <c r="F190" s="12" t="s">
        <v>575</v>
      </c>
      <c r="G190" s="12" t="s">
        <v>576</v>
      </c>
      <c r="H190" s="13"/>
      <c r="I190" s="13"/>
      <c r="J190" s="13"/>
      <c r="K190" s="13"/>
      <c r="L190" s="13"/>
      <c r="M190" s="13"/>
      <c r="N190" s="13"/>
      <c r="O190" s="13"/>
      <c r="P190" s="13"/>
      <c r="Q190" s="13"/>
      <c r="R190" s="13"/>
      <c r="S190" s="13"/>
    </row>
    <row r="191" ht="15.75" customHeight="1">
      <c r="A191" s="12" t="s">
        <v>577</v>
      </c>
      <c r="B191" s="12" t="s">
        <v>316</v>
      </c>
      <c r="C191" s="12" t="s">
        <v>578</v>
      </c>
      <c r="D191" s="12">
        <v>100.0</v>
      </c>
      <c r="E191" s="12" t="s">
        <v>318</v>
      </c>
      <c r="F191" s="12" t="s">
        <v>579</v>
      </c>
      <c r="G191" s="12" t="s">
        <v>580</v>
      </c>
      <c r="H191" s="13"/>
      <c r="I191" s="13"/>
      <c r="J191" s="13"/>
      <c r="K191" s="13"/>
      <c r="L191" s="13"/>
      <c r="M191" s="13"/>
      <c r="N191" s="13"/>
      <c r="O191" s="13"/>
      <c r="P191" s="13"/>
      <c r="Q191" s="13"/>
      <c r="R191" s="13"/>
      <c r="S191" s="13"/>
    </row>
    <row r="192" ht="15.75" customHeight="1">
      <c r="A192" s="12" t="s">
        <v>581</v>
      </c>
      <c r="B192" s="12" t="s">
        <v>316</v>
      </c>
      <c r="C192" s="12" t="s">
        <v>582</v>
      </c>
      <c r="D192" s="12">
        <v>100.0</v>
      </c>
      <c r="E192" s="12" t="s">
        <v>318</v>
      </c>
      <c r="F192" s="12" t="s">
        <v>583</v>
      </c>
      <c r="G192" s="12" t="s">
        <v>584</v>
      </c>
      <c r="H192" s="13"/>
      <c r="I192" s="13"/>
      <c r="J192" s="13"/>
      <c r="K192" s="13"/>
      <c r="L192" s="13"/>
      <c r="M192" s="13"/>
      <c r="N192" s="13"/>
      <c r="O192" s="13"/>
      <c r="P192" s="13"/>
      <c r="Q192" s="13"/>
      <c r="R192" s="13"/>
      <c r="S192" s="13"/>
    </row>
    <row r="193" ht="15.75" customHeight="1">
      <c r="A193" s="12" t="s">
        <v>585</v>
      </c>
      <c r="B193" s="12" t="s">
        <v>316</v>
      </c>
      <c r="C193" s="12" t="s">
        <v>586</v>
      </c>
      <c r="D193" s="12">
        <v>100.0</v>
      </c>
      <c r="E193" s="12" t="s">
        <v>318</v>
      </c>
      <c r="F193" s="12" t="s">
        <v>587</v>
      </c>
      <c r="G193" s="12" t="s">
        <v>588</v>
      </c>
      <c r="H193" s="13"/>
      <c r="I193" s="13"/>
      <c r="J193" s="13"/>
      <c r="K193" s="13"/>
      <c r="L193" s="13"/>
      <c r="M193" s="13"/>
      <c r="N193" s="13"/>
      <c r="O193" s="13"/>
      <c r="P193" s="13"/>
      <c r="Q193" s="13"/>
      <c r="R193" s="13"/>
      <c r="S193" s="13"/>
    </row>
    <row r="194" ht="15.75" customHeight="1">
      <c r="A194" s="12" t="s">
        <v>589</v>
      </c>
      <c r="B194" s="12" t="s">
        <v>316</v>
      </c>
      <c r="C194" s="12" t="s">
        <v>590</v>
      </c>
      <c r="D194" s="12">
        <v>100.0</v>
      </c>
      <c r="E194" s="12" t="s">
        <v>318</v>
      </c>
      <c r="F194" s="12" t="s">
        <v>591</v>
      </c>
      <c r="G194" s="12" t="s">
        <v>592</v>
      </c>
      <c r="H194" s="13"/>
      <c r="I194" s="13"/>
      <c r="J194" s="13"/>
      <c r="K194" s="13"/>
      <c r="L194" s="13"/>
      <c r="M194" s="13"/>
      <c r="N194" s="13"/>
      <c r="O194" s="13"/>
      <c r="P194" s="13"/>
      <c r="Q194" s="13"/>
      <c r="R194" s="13"/>
      <c r="S194" s="13"/>
    </row>
    <row r="195" ht="15.75" customHeight="1">
      <c r="A195" s="12" t="s">
        <v>593</v>
      </c>
      <c r="B195" s="12" t="s">
        <v>316</v>
      </c>
      <c r="C195" s="12" t="s">
        <v>594</v>
      </c>
      <c r="D195" s="12">
        <v>100.0</v>
      </c>
      <c r="E195" s="12" t="s">
        <v>318</v>
      </c>
      <c r="F195" s="12" t="s">
        <v>595</v>
      </c>
      <c r="G195" s="12" t="s">
        <v>596</v>
      </c>
      <c r="H195" s="13"/>
      <c r="I195" s="13"/>
      <c r="J195" s="13"/>
      <c r="K195" s="13"/>
      <c r="L195" s="13"/>
      <c r="M195" s="13"/>
      <c r="N195" s="13"/>
      <c r="O195" s="13"/>
      <c r="P195" s="13"/>
      <c r="Q195" s="13"/>
      <c r="R195" s="13"/>
      <c r="S195" s="13"/>
    </row>
    <row r="196" ht="15.75" customHeight="1">
      <c r="A196" s="12" t="s">
        <v>597</v>
      </c>
      <c r="B196" s="12" t="s">
        <v>316</v>
      </c>
      <c r="C196" s="12" t="s">
        <v>598</v>
      </c>
      <c r="D196" s="12">
        <v>100.0</v>
      </c>
      <c r="E196" s="12" t="s">
        <v>318</v>
      </c>
      <c r="F196" s="12" t="s">
        <v>595</v>
      </c>
      <c r="G196" s="12" t="s">
        <v>599</v>
      </c>
      <c r="H196" s="13"/>
      <c r="I196" s="13"/>
      <c r="J196" s="13"/>
      <c r="K196" s="13"/>
      <c r="L196" s="13"/>
      <c r="M196" s="13"/>
      <c r="N196" s="13"/>
      <c r="O196" s="13"/>
      <c r="P196" s="13"/>
      <c r="Q196" s="13"/>
      <c r="R196" s="13"/>
      <c r="S196" s="13"/>
    </row>
    <row r="197" ht="15.75" customHeight="1">
      <c r="A197" s="12" t="s">
        <v>600</v>
      </c>
      <c r="B197" s="12" t="s">
        <v>316</v>
      </c>
      <c r="C197" s="12" t="s">
        <v>601</v>
      </c>
      <c r="D197" s="12">
        <v>100.0</v>
      </c>
      <c r="E197" s="12" t="s">
        <v>318</v>
      </c>
      <c r="F197" s="12" t="s">
        <v>602</v>
      </c>
      <c r="G197" s="12" t="s">
        <v>603</v>
      </c>
      <c r="H197" s="13"/>
      <c r="I197" s="13"/>
      <c r="J197" s="13"/>
      <c r="K197" s="13"/>
      <c r="L197" s="13"/>
      <c r="M197" s="13"/>
      <c r="N197" s="13"/>
      <c r="O197" s="13"/>
      <c r="P197" s="13"/>
      <c r="Q197" s="13"/>
      <c r="R197" s="13"/>
      <c r="S197" s="13"/>
    </row>
    <row r="198" ht="15.75" customHeight="1">
      <c r="A198" s="12" t="s">
        <v>604</v>
      </c>
      <c r="B198" s="12" t="s">
        <v>316</v>
      </c>
      <c r="C198" s="12" t="s">
        <v>605</v>
      </c>
      <c r="D198" s="12">
        <v>100.0</v>
      </c>
      <c r="E198" s="12" t="s">
        <v>318</v>
      </c>
      <c r="F198" s="12" t="s">
        <v>606</v>
      </c>
      <c r="G198" s="12" t="s">
        <v>607</v>
      </c>
      <c r="H198" s="13"/>
      <c r="I198" s="13"/>
      <c r="J198" s="13"/>
      <c r="K198" s="13"/>
      <c r="L198" s="13"/>
      <c r="M198" s="13"/>
      <c r="N198" s="13"/>
      <c r="O198" s="13"/>
      <c r="P198" s="13"/>
      <c r="Q198" s="13"/>
      <c r="R198" s="13"/>
      <c r="S198" s="13"/>
    </row>
    <row r="199" ht="15.75" customHeight="1">
      <c r="A199" s="12" t="s">
        <v>608</v>
      </c>
      <c r="B199" s="12" t="s">
        <v>316</v>
      </c>
      <c r="C199" s="12" t="s">
        <v>609</v>
      </c>
      <c r="D199" s="12">
        <v>100.0</v>
      </c>
      <c r="E199" s="12" t="s">
        <v>318</v>
      </c>
      <c r="F199" s="12" t="s">
        <v>610</v>
      </c>
      <c r="G199" s="12" t="s">
        <v>611</v>
      </c>
      <c r="H199" s="13"/>
      <c r="I199" s="13"/>
      <c r="J199" s="13"/>
      <c r="K199" s="13"/>
      <c r="L199" s="13"/>
      <c r="M199" s="13"/>
      <c r="N199" s="13"/>
      <c r="O199" s="13"/>
      <c r="P199" s="13"/>
      <c r="Q199" s="13"/>
      <c r="R199" s="13"/>
      <c r="S199" s="13"/>
    </row>
    <row r="200" ht="15.75" customHeight="1">
      <c r="A200" s="12" t="s">
        <v>612</v>
      </c>
      <c r="B200" s="12" t="s">
        <v>316</v>
      </c>
      <c r="C200" s="12" t="s">
        <v>613</v>
      </c>
      <c r="D200" s="12">
        <v>100.0</v>
      </c>
      <c r="E200" s="12" t="s">
        <v>318</v>
      </c>
      <c r="F200" s="12" t="s">
        <v>614</v>
      </c>
      <c r="G200" s="12" t="s">
        <v>615</v>
      </c>
      <c r="H200" s="13"/>
      <c r="I200" s="13"/>
      <c r="J200" s="13"/>
      <c r="K200" s="13"/>
      <c r="L200" s="13"/>
      <c r="M200" s="13"/>
      <c r="N200" s="13"/>
      <c r="O200" s="13"/>
      <c r="P200" s="13"/>
      <c r="Q200" s="13"/>
      <c r="R200" s="13"/>
      <c r="S200" s="13"/>
    </row>
    <row r="201" ht="15.75" customHeight="1">
      <c r="A201" s="12" t="s">
        <v>616</v>
      </c>
      <c r="B201" s="12" t="s">
        <v>316</v>
      </c>
      <c r="C201" s="12" t="s">
        <v>617</v>
      </c>
      <c r="D201" s="12">
        <v>100.0</v>
      </c>
      <c r="E201" s="12" t="s">
        <v>318</v>
      </c>
      <c r="F201" s="12" t="s">
        <v>618</v>
      </c>
      <c r="G201" s="12" t="s">
        <v>619</v>
      </c>
      <c r="H201" s="13"/>
      <c r="I201" s="13"/>
      <c r="J201" s="13"/>
      <c r="K201" s="13"/>
      <c r="L201" s="13"/>
      <c r="M201" s="13"/>
      <c r="N201" s="13"/>
      <c r="O201" s="13"/>
      <c r="P201" s="13"/>
      <c r="Q201" s="13"/>
      <c r="R201" s="13"/>
      <c r="S201" s="13"/>
    </row>
    <row r="202" ht="15.75" customHeight="1">
      <c r="A202" s="12" t="s">
        <v>620</v>
      </c>
      <c r="B202" s="12" t="s">
        <v>316</v>
      </c>
      <c r="C202" s="12" t="s">
        <v>621</v>
      </c>
      <c r="D202" s="12">
        <v>100.0</v>
      </c>
      <c r="E202" s="12" t="s">
        <v>318</v>
      </c>
      <c r="F202" s="12" t="s">
        <v>451</v>
      </c>
      <c r="G202" s="12" t="s">
        <v>622</v>
      </c>
      <c r="H202" s="13"/>
      <c r="I202" s="13"/>
      <c r="J202" s="13"/>
      <c r="K202" s="13"/>
      <c r="L202" s="13"/>
      <c r="M202" s="13"/>
      <c r="N202" s="13"/>
      <c r="O202" s="13"/>
      <c r="P202" s="13"/>
      <c r="Q202" s="13"/>
      <c r="R202" s="13"/>
      <c r="S202" s="13"/>
    </row>
    <row r="203" ht="15.75" customHeight="1">
      <c r="A203" s="12" t="s">
        <v>623</v>
      </c>
      <c r="B203" s="12" t="s">
        <v>316</v>
      </c>
      <c r="C203" s="12" t="s">
        <v>624</v>
      </c>
      <c r="D203" s="12">
        <v>100.0</v>
      </c>
      <c r="E203" s="12" t="s">
        <v>318</v>
      </c>
      <c r="F203" s="12" t="s">
        <v>625</v>
      </c>
      <c r="G203" s="12"/>
      <c r="H203" s="13"/>
      <c r="I203" s="13"/>
      <c r="J203" s="13"/>
      <c r="K203" s="13"/>
      <c r="L203" s="13"/>
      <c r="M203" s="13"/>
      <c r="N203" s="13"/>
      <c r="O203" s="13"/>
      <c r="P203" s="13"/>
      <c r="Q203" s="13"/>
      <c r="R203" s="13"/>
      <c r="S203" s="13"/>
    </row>
    <row r="204" ht="15.75" customHeight="1">
      <c r="A204" s="12" t="s">
        <v>626</v>
      </c>
      <c r="B204" s="12" t="s">
        <v>627</v>
      </c>
      <c r="C204" s="12"/>
      <c r="D204" s="12"/>
      <c r="E204" s="12"/>
      <c r="F204" s="12"/>
      <c r="G204" s="12"/>
      <c r="H204" s="13"/>
      <c r="I204" s="13"/>
      <c r="J204" s="13"/>
      <c r="K204" s="13"/>
      <c r="L204" s="13"/>
      <c r="M204" s="13"/>
      <c r="N204" s="13"/>
      <c r="O204" s="13"/>
      <c r="P204" s="13"/>
      <c r="Q204" s="13"/>
      <c r="R204" s="13"/>
      <c r="S204" s="13"/>
    </row>
    <row r="205" ht="15.75" customHeight="1">
      <c r="A205" s="12" t="s">
        <v>628</v>
      </c>
      <c r="B205" s="12" t="s">
        <v>316</v>
      </c>
      <c r="C205" s="12" t="s">
        <v>629</v>
      </c>
      <c r="D205" s="12">
        <v>100.0</v>
      </c>
      <c r="E205" s="12" t="s">
        <v>318</v>
      </c>
      <c r="F205" s="12" t="s">
        <v>630</v>
      </c>
      <c r="G205" s="12" t="s">
        <v>631</v>
      </c>
      <c r="H205" s="13"/>
      <c r="I205" s="13"/>
      <c r="J205" s="13"/>
      <c r="K205" s="13"/>
      <c r="L205" s="13"/>
      <c r="M205" s="13"/>
      <c r="N205" s="13"/>
      <c r="O205" s="13"/>
      <c r="P205" s="13"/>
      <c r="Q205" s="13"/>
      <c r="R205" s="13"/>
      <c r="S205" s="13"/>
    </row>
    <row r="206" ht="15.75" customHeight="1">
      <c r="A206" s="12" t="s">
        <v>632</v>
      </c>
      <c r="B206" s="12" t="s">
        <v>316</v>
      </c>
      <c r="C206" s="12" t="s">
        <v>633</v>
      </c>
      <c r="D206" s="12">
        <v>100.0</v>
      </c>
      <c r="E206" s="12" t="s">
        <v>318</v>
      </c>
      <c r="F206" s="12" t="s">
        <v>595</v>
      </c>
      <c r="G206" s="12" t="s">
        <v>634</v>
      </c>
      <c r="H206" s="13"/>
      <c r="I206" s="13"/>
      <c r="J206" s="13"/>
      <c r="K206" s="13"/>
      <c r="L206" s="13"/>
      <c r="M206" s="13"/>
      <c r="N206" s="13"/>
      <c r="O206" s="13"/>
      <c r="P206" s="13"/>
      <c r="Q206" s="13"/>
      <c r="R206" s="13"/>
      <c r="S206" s="13"/>
    </row>
    <row r="207" ht="15.75" customHeight="1">
      <c r="A207" s="12" t="s">
        <v>635</v>
      </c>
      <c r="B207" s="12" t="s">
        <v>316</v>
      </c>
      <c r="C207" s="12" t="s">
        <v>636</v>
      </c>
      <c r="D207" s="12">
        <v>100.0</v>
      </c>
      <c r="E207" s="12" t="s">
        <v>318</v>
      </c>
      <c r="F207" s="12" t="s">
        <v>637</v>
      </c>
      <c r="G207" s="12" t="s">
        <v>638</v>
      </c>
      <c r="H207" s="13"/>
      <c r="I207" s="13"/>
      <c r="J207" s="13"/>
      <c r="K207" s="13"/>
      <c r="L207" s="13"/>
      <c r="M207" s="13"/>
      <c r="N207" s="13"/>
      <c r="O207" s="13"/>
      <c r="P207" s="13"/>
      <c r="Q207" s="13"/>
      <c r="R207" s="13"/>
      <c r="S207" s="13"/>
    </row>
    <row r="208" ht="15.75" customHeight="1">
      <c r="A208" s="12" t="s">
        <v>639</v>
      </c>
      <c r="B208" s="12" t="s">
        <v>316</v>
      </c>
      <c r="C208" s="12" t="s">
        <v>640</v>
      </c>
      <c r="D208" s="12">
        <v>100.0</v>
      </c>
      <c r="E208" s="12" t="s">
        <v>318</v>
      </c>
      <c r="F208" s="12" t="s">
        <v>641</v>
      </c>
      <c r="G208" s="12" t="s">
        <v>642</v>
      </c>
      <c r="H208" s="13"/>
      <c r="I208" s="13"/>
      <c r="J208" s="13"/>
      <c r="K208" s="13"/>
      <c r="L208" s="13"/>
      <c r="M208" s="13"/>
      <c r="N208" s="13"/>
      <c r="O208" s="13"/>
      <c r="P208" s="13"/>
      <c r="Q208" s="13"/>
      <c r="R208" s="13"/>
      <c r="S208" s="13"/>
    </row>
    <row r="209" ht="15.75" customHeight="1">
      <c r="A209" s="12" t="s">
        <v>643</v>
      </c>
      <c r="B209" s="12" t="s">
        <v>316</v>
      </c>
      <c r="C209" s="12" t="s">
        <v>644</v>
      </c>
      <c r="D209" s="12">
        <v>100.0</v>
      </c>
      <c r="E209" s="12" t="s">
        <v>318</v>
      </c>
      <c r="F209" s="12" t="s">
        <v>645</v>
      </c>
      <c r="G209" s="12" t="s">
        <v>646</v>
      </c>
      <c r="H209" s="13"/>
      <c r="I209" s="13"/>
      <c r="J209" s="13"/>
      <c r="K209" s="13"/>
      <c r="L209" s="13"/>
      <c r="M209" s="13"/>
      <c r="N209" s="13"/>
      <c r="O209" s="13"/>
      <c r="P209" s="13"/>
      <c r="Q209" s="13"/>
      <c r="R209" s="13"/>
      <c r="S209" s="13"/>
    </row>
    <row r="210" ht="15.75" customHeight="1">
      <c r="A210" s="12" t="s">
        <v>647</v>
      </c>
      <c r="B210" s="12" t="s">
        <v>316</v>
      </c>
      <c r="C210" s="12" t="s">
        <v>648</v>
      </c>
      <c r="D210" s="12">
        <v>100.0</v>
      </c>
      <c r="E210" s="12" t="s">
        <v>318</v>
      </c>
      <c r="F210" s="12" t="s">
        <v>645</v>
      </c>
      <c r="G210" s="12" t="s">
        <v>649</v>
      </c>
      <c r="H210" s="13"/>
      <c r="I210" s="13"/>
      <c r="J210" s="13"/>
      <c r="K210" s="13"/>
      <c r="L210" s="13"/>
      <c r="M210" s="13"/>
      <c r="N210" s="13"/>
      <c r="O210" s="13"/>
      <c r="P210" s="13"/>
      <c r="Q210" s="13"/>
      <c r="R210" s="13"/>
      <c r="S210" s="13"/>
    </row>
    <row r="211" ht="15.75" customHeight="1">
      <c r="A211" s="12" t="s">
        <v>650</v>
      </c>
      <c r="B211" s="12" t="s">
        <v>316</v>
      </c>
      <c r="C211" s="12" t="s">
        <v>651</v>
      </c>
      <c r="D211" s="12">
        <v>100.0</v>
      </c>
      <c r="E211" s="12" t="s">
        <v>318</v>
      </c>
      <c r="F211" s="12" t="s">
        <v>652</v>
      </c>
      <c r="G211" s="12" t="s">
        <v>653</v>
      </c>
      <c r="H211" s="13"/>
      <c r="I211" s="13"/>
      <c r="J211" s="13"/>
      <c r="K211" s="13"/>
      <c r="L211" s="13"/>
      <c r="M211" s="13"/>
      <c r="N211" s="13"/>
      <c r="O211" s="13"/>
      <c r="P211" s="13"/>
      <c r="Q211" s="13"/>
      <c r="R211" s="13"/>
      <c r="S211" s="13"/>
    </row>
    <row r="212" ht="15.75" customHeight="1">
      <c r="A212" s="12" t="s">
        <v>654</v>
      </c>
      <c r="B212" s="12" t="s">
        <v>316</v>
      </c>
      <c r="C212" s="12" t="s">
        <v>655</v>
      </c>
      <c r="D212" s="12">
        <v>100.0</v>
      </c>
      <c r="E212" s="12" t="s">
        <v>318</v>
      </c>
      <c r="F212" s="12" t="s">
        <v>656</v>
      </c>
      <c r="G212" s="12" t="s">
        <v>657</v>
      </c>
      <c r="H212" s="13"/>
      <c r="I212" s="13"/>
      <c r="J212" s="13"/>
      <c r="K212" s="13"/>
      <c r="L212" s="13"/>
      <c r="M212" s="13"/>
      <c r="N212" s="13"/>
      <c r="O212" s="13"/>
      <c r="P212" s="13"/>
      <c r="Q212" s="13"/>
      <c r="R212" s="13"/>
      <c r="S212" s="13"/>
    </row>
    <row r="213" ht="15.75" customHeight="1">
      <c r="A213" s="12" t="s">
        <v>658</v>
      </c>
      <c r="B213" s="12" t="s">
        <v>316</v>
      </c>
      <c r="C213" s="12" t="s">
        <v>659</v>
      </c>
      <c r="D213" s="12">
        <v>100.0</v>
      </c>
      <c r="E213" s="12" t="s">
        <v>318</v>
      </c>
      <c r="F213" s="12" t="s">
        <v>660</v>
      </c>
      <c r="G213" s="12" t="s">
        <v>661</v>
      </c>
      <c r="H213" s="13"/>
      <c r="I213" s="13"/>
      <c r="J213" s="13"/>
      <c r="K213" s="13"/>
      <c r="L213" s="13"/>
      <c r="M213" s="13"/>
      <c r="N213" s="13"/>
      <c r="O213" s="13"/>
      <c r="P213" s="13"/>
      <c r="Q213" s="13"/>
      <c r="R213" s="13"/>
      <c r="S213" s="13"/>
    </row>
    <row r="214" ht="15.75" customHeight="1">
      <c r="A214" s="12" t="s">
        <v>662</v>
      </c>
      <c r="B214" s="12" t="s">
        <v>316</v>
      </c>
      <c r="C214" s="12" t="s">
        <v>663</v>
      </c>
      <c r="D214" s="12">
        <v>100.0</v>
      </c>
      <c r="E214" s="12" t="s">
        <v>318</v>
      </c>
      <c r="F214" s="12" t="s">
        <v>664</v>
      </c>
      <c r="G214" s="12" t="s">
        <v>665</v>
      </c>
      <c r="H214" s="13"/>
      <c r="I214" s="13"/>
      <c r="J214" s="13"/>
      <c r="K214" s="13"/>
      <c r="L214" s="13"/>
      <c r="M214" s="13"/>
      <c r="N214" s="13"/>
      <c r="O214" s="13"/>
      <c r="P214" s="13"/>
      <c r="Q214" s="13"/>
      <c r="R214" s="13"/>
      <c r="S214" s="13"/>
    </row>
    <row r="215" ht="15.75" customHeight="1">
      <c r="A215" s="12" t="s">
        <v>666</v>
      </c>
      <c r="B215" s="12" t="s">
        <v>316</v>
      </c>
      <c r="C215" s="12" t="s">
        <v>667</v>
      </c>
      <c r="D215" s="12">
        <v>100.0</v>
      </c>
      <c r="E215" s="12" t="s">
        <v>318</v>
      </c>
      <c r="F215" s="12" t="s">
        <v>668</v>
      </c>
      <c r="G215" s="12" t="s">
        <v>669</v>
      </c>
      <c r="H215" s="13"/>
      <c r="I215" s="13"/>
      <c r="J215" s="13"/>
      <c r="K215" s="13"/>
      <c r="L215" s="13"/>
      <c r="M215" s="13"/>
      <c r="N215" s="13"/>
      <c r="O215" s="13"/>
      <c r="P215" s="13"/>
      <c r="Q215" s="13"/>
      <c r="R215" s="13"/>
      <c r="S215" s="13"/>
    </row>
    <row r="216" ht="15.75" customHeight="1">
      <c r="A216" s="12" t="s">
        <v>670</v>
      </c>
      <c r="B216" s="12" t="s">
        <v>316</v>
      </c>
      <c r="C216" s="12" t="s">
        <v>671</v>
      </c>
      <c r="D216" s="12">
        <v>100.0</v>
      </c>
      <c r="E216" s="12" t="s">
        <v>318</v>
      </c>
      <c r="F216" s="12" t="s">
        <v>672</v>
      </c>
      <c r="G216" s="12" t="s">
        <v>673</v>
      </c>
      <c r="H216" s="13"/>
      <c r="I216" s="13"/>
      <c r="J216" s="13"/>
      <c r="K216" s="13"/>
      <c r="L216" s="13"/>
      <c r="M216" s="13"/>
      <c r="N216" s="13"/>
      <c r="O216" s="13"/>
      <c r="P216" s="13"/>
      <c r="Q216" s="13"/>
      <c r="R216" s="13"/>
      <c r="S216" s="13"/>
    </row>
    <row r="217" ht="15.75" customHeight="1">
      <c r="A217" s="12" t="s">
        <v>674</v>
      </c>
      <c r="B217" s="12" t="s">
        <v>316</v>
      </c>
      <c r="C217" s="12" t="s">
        <v>675</v>
      </c>
      <c r="D217" s="12">
        <v>100.0</v>
      </c>
      <c r="E217" s="12" t="s">
        <v>318</v>
      </c>
      <c r="F217" s="12" t="s">
        <v>676</v>
      </c>
      <c r="G217" s="12" t="s">
        <v>677</v>
      </c>
      <c r="H217" s="13"/>
      <c r="I217" s="13"/>
      <c r="J217" s="13"/>
      <c r="K217" s="13"/>
      <c r="L217" s="13"/>
      <c r="M217" s="13"/>
      <c r="N217" s="13"/>
      <c r="O217" s="13"/>
      <c r="P217" s="13"/>
      <c r="Q217" s="13"/>
      <c r="R217" s="13"/>
      <c r="S217" s="13"/>
    </row>
    <row r="218" ht="15.75" customHeight="1">
      <c r="A218" s="12" t="s">
        <v>678</v>
      </c>
      <c r="B218" s="12" t="s">
        <v>316</v>
      </c>
      <c r="C218" s="12" t="s">
        <v>679</v>
      </c>
      <c r="D218" s="12">
        <v>100.0</v>
      </c>
      <c r="E218" s="12" t="s">
        <v>318</v>
      </c>
      <c r="F218" s="12" t="s">
        <v>680</v>
      </c>
      <c r="G218" s="12" t="s">
        <v>681</v>
      </c>
      <c r="H218" s="13"/>
      <c r="I218" s="13"/>
      <c r="J218" s="13"/>
      <c r="K218" s="13"/>
      <c r="L218" s="13"/>
      <c r="M218" s="13"/>
      <c r="N218" s="13"/>
      <c r="O218" s="13"/>
      <c r="P218" s="13"/>
      <c r="Q218" s="13"/>
      <c r="R218" s="13"/>
      <c r="S218" s="13"/>
    </row>
    <row r="219" ht="15.75" customHeight="1">
      <c r="A219" s="12" t="s">
        <v>682</v>
      </c>
      <c r="B219" s="12" t="s">
        <v>316</v>
      </c>
      <c r="C219" s="12" t="s">
        <v>683</v>
      </c>
      <c r="D219" s="12">
        <v>100.0</v>
      </c>
      <c r="E219" s="12" t="s">
        <v>318</v>
      </c>
      <c r="F219" s="12" t="s">
        <v>684</v>
      </c>
      <c r="G219" s="12" t="s">
        <v>685</v>
      </c>
      <c r="H219" s="13"/>
      <c r="I219" s="13"/>
      <c r="J219" s="13"/>
      <c r="K219" s="13"/>
      <c r="L219" s="13"/>
      <c r="M219" s="13"/>
      <c r="N219" s="13"/>
      <c r="O219" s="13"/>
      <c r="P219" s="13"/>
      <c r="Q219" s="13"/>
      <c r="R219" s="13"/>
      <c r="S219" s="13"/>
    </row>
    <row r="220" ht="15.75" customHeight="1">
      <c r="A220" s="12" t="s">
        <v>686</v>
      </c>
      <c r="B220" s="12" t="s">
        <v>316</v>
      </c>
      <c r="C220" s="12" t="s">
        <v>687</v>
      </c>
      <c r="D220" s="12">
        <v>100.0</v>
      </c>
      <c r="E220" s="12" t="s">
        <v>318</v>
      </c>
      <c r="F220" s="12" t="s">
        <v>684</v>
      </c>
      <c r="G220" s="12" t="s">
        <v>688</v>
      </c>
      <c r="H220" s="13"/>
      <c r="I220" s="13"/>
      <c r="J220" s="13"/>
      <c r="K220" s="13"/>
      <c r="L220" s="13"/>
      <c r="M220" s="13"/>
      <c r="N220" s="13"/>
      <c r="O220" s="13"/>
      <c r="P220" s="13"/>
      <c r="Q220" s="13"/>
      <c r="R220" s="13"/>
      <c r="S220" s="13"/>
    </row>
    <row r="221" ht="15.75" customHeight="1">
      <c r="A221" s="12" t="s">
        <v>689</v>
      </c>
      <c r="B221" s="12" t="s">
        <v>316</v>
      </c>
      <c r="C221" s="12" t="s">
        <v>690</v>
      </c>
      <c r="D221" s="12">
        <v>100.0</v>
      </c>
      <c r="E221" s="12" t="s">
        <v>318</v>
      </c>
      <c r="F221" s="12" t="s">
        <v>691</v>
      </c>
      <c r="G221" s="12" t="s">
        <v>692</v>
      </c>
      <c r="H221" s="13"/>
      <c r="I221" s="13"/>
      <c r="J221" s="13"/>
      <c r="K221" s="13"/>
      <c r="L221" s="13"/>
      <c r="M221" s="13"/>
      <c r="N221" s="13"/>
      <c r="O221" s="13"/>
      <c r="P221" s="13"/>
      <c r="Q221" s="13"/>
      <c r="R221" s="13"/>
      <c r="S221" s="13"/>
    </row>
    <row r="222" ht="15.75" customHeight="1">
      <c r="A222" s="12" t="s">
        <v>693</v>
      </c>
      <c r="B222" s="12" t="s">
        <v>316</v>
      </c>
      <c r="C222" s="12" t="s">
        <v>694</v>
      </c>
      <c r="D222" s="12">
        <v>100.0</v>
      </c>
      <c r="E222" s="12" t="s">
        <v>318</v>
      </c>
      <c r="F222" s="12" t="s">
        <v>591</v>
      </c>
      <c r="G222" s="12" t="s">
        <v>695</v>
      </c>
      <c r="H222" s="13"/>
      <c r="I222" s="13"/>
      <c r="J222" s="13"/>
      <c r="K222" s="13"/>
      <c r="L222" s="13"/>
      <c r="M222" s="13"/>
      <c r="N222" s="13"/>
      <c r="O222" s="13"/>
      <c r="P222" s="13"/>
      <c r="Q222" s="13"/>
      <c r="R222" s="13"/>
      <c r="S222" s="13"/>
    </row>
    <row r="223" ht="15.75" customHeight="1">
      <c r="A223" s="12" t="s">
        <v>696</v>
      </c>
      <c r="B223" s="12" t="s">
        <v>316</v>
      </c>
      <c r="C223" s="12" t="s">
        <v>697</v>
      </c>
      <c r="D223" s="12">
        <v>100.0</v>
      </c>
      <c r="E223" s="12" t="s">
        <v>318</v>
      </c>
      <c r="F223" s="12" t="s">
        <v>698</v>
      </c>
      <c r="G223" s="12" t="s">
        <v>699</v>
      </c>
      <c r="H223" s="13"/>
      <c r="I223" s="13"/>
      <c r="J223" s="13"/>
      <c r="K223" s="13"/>
      <c r="L223" s="13"/>
      <c r="M223" s="13"/>
      <c r="N223" s="13"/>
      <c r="O223" s="13"/>
      <c r="P223" s="13"/>
      <c r="Q223" s="13"/>
      <c r="R223" s="13"/>
      <c r="S223" s="13"/>
    </row>
    <row r="224" ht="15.75" customHeight="1">
      <c r="A224" s="12" t="s">
        <v>700</v>
      </c>
      <c r="B224" s="12" t="s">
        <v>316</v>
      </c>
      <c r="C224" s="12" t="s">
        <v>701</v>
      </c>
      <c r="D224" s="12">
        <v>100.0</v>
      </c>
      <c r="E224" s="12" t="s">
        <v>318</v>
      </c>
      <c r="F224" s="12" t="s">
        <v>702</v>
      </c>
      <c r="G224" s="12" t="s">
        <v>703</v>
      </c>
      <c r="H224" s="13"/>
      <c r="I224" s="13"/>
      <c r="J224" s="13"/>
      <c r="K224" s="13"/>
      <c r="L224" s="13"/>
      <c r="M224" s="13"/>
      <c r="N224" s="13"/>
      <c r="O224" s="13"/>
      <c r="P224" s="13"/>
      <c r="Q224" s="13"/>
      <c r="R224" s="13"/>
      <c r="S224" s="13"/>
    </row>
    <row r="225" ht="15.75" customHeight="1">
      <c r="A225" s="12" t="s">
        <v>704</v>
      </c>
      <c r="B225" s="12" t="s">
        <v>316</v>
      </c>
      <c r="C225" s="12" t="s">
        <v>705</v>
      </c>
      <c r="D225" s="12">
        <v>100.0</v>
      </c>
      <c r="E225" s="12" t="s">
        <v>318</v>
      </c>
      <c r="F225" s="12" t="s">
        <v>516</v>
      </c>
      <c r="G225" s="12" t="s">
        <v>706</v>
      </c>
      <c r="H225" s="13"/>
      <c r="I225" s="13"/>
      <c r="J225" s="13"/>
      <c r="K225" s="13"/>
      <c r="L225" s="13"/>
      <c r="M225" s="13"/>
      <c r="N225" s="13"/>
      <c r="O225" s="13"/>
      <c r="P225" s="13"/>
      <c r="Q225" s="13"/>
      <c r="R225" s="13"/>
      <c r="S225" s="13"/>
    </row>
    <row r="226" ht="15.75" customHeight="1">
      <c r="A226" s="12" t="s">
        <v>707</v>
      </c>
      <c r="B226" s="12" t="s">
        <v>316</v>
      </c>
      <c r="C226" s="12" t="s">
        <v>708</v>
      </c>
      <c r="D226" s="12">
        <v>100.0</v>
      </c>
      <c r="E226" s="12" t="s">
        <v>318</v>
      </c>
      <c r="F226" s="12" t="s">
        <v>709</v>
      </c>
      <c r="G226" s="12" t="s">
        <v>710</v>
      </c>
      <c r="H226" s="13"/>
      <c r="I226" s="13"/>
      <c r="J226" s="13"/>
      <c r="K226" s="13"/>
      <c r="L226" s="13"/>
      <c r="M226" s="13"/>
      <c r="N226" s="13"/>
      <c r="O226" s="13"/>
      <c r="P226" s="13"/>
      <c r="Q226" s="13"/>
      <c r="R226" s="13"/>
      <c r="S226" s="13"/>
    </row>
    <row r="227" ht="15.75" customHeight="1">
      <c r="A227" s="12" t="s">
        <v>711</v>
      </c>
      <c r="B227" s="12" t="s">
        <v>316</v>
      </c>
      <c r="C227" s="12" t="s">
        <v>712</v>
      </c>
      <c r="D227" s="12">
        <v>100.0</v>
      </c>
      <c r="E227" s="12" t="s">
        <v>318</v>
      </c>
      <c r="F227" s="12" t="s">
        <v>709</v>
      </c>
      <c r="G227" s="12" t="s">
        <v>713</v>
      </c>
      <c r="H227" s="13"/>
      <c r="I227" s="13"/>
      <c r="J227" s="13"/>
      <c r="K227" s="13"/>
      <c r="L227" s="13"/>
      <c r="M227" s="13"/>
      <c r="N227" s="13"/>
      <c r="O227" s="13"/>
      <c r="P227" s="13"/>
      <c r="Q227" s="13"/>
      <c r="R227" s="13"/>
      <c r="S227" s="13"/>
    </row>
    <row r="228" ht="15.75" customHeight="1">
      <c r="A228" s="12" t="s">
        <v>714</v>
      </c>
      <c r="B228" s="12" t="s">
        <v>316</v>
      </c>
      <c r="C228" s="12" t="s">
        <v>715</v>
      </c>
      <c r="D228" s="12">
        <v>100.0</v>
      </c>
      <c r="E228" s="12" t="s">
        <v>318</v>
      </c>
      <c r="F228" s="12" t="s">
        <v>716</v>
      </c>
      <c r="G228" s="12" t="s">
        <v>717</v>
      </c>
      <c r="H228" s="13"/>
      <c r="I228" s="13"/>
      <c r="J228" s="13"/>
      <c r="K228" s="13"/>
      <c r="L228" s="13"/>
      <c r="M228" s="13"/>
      <c r="N228" s="13"/>
      <c r="O228" s="13"/>
      <c r="P228" s="13"/>
      <c r="Q228" s="13"/>
      <c r="R228" s="13"/>
      <c r="S228" s="13"/>
    </row>
    <row r="229" ht="15.75" customHeight="1">
      <c r="A229" s="12" t="s">
        <v>718</v>
      </c>
      <c r="B229" s="12" t="s">
        <v>316</v>
      </c>
      <c r="C229" s="12" t="s">
        <v>719</v>
      </c>
      <c r="D229" s="12">
        <v>100.0</v>
      </c>
      <c r="E229" s="12" t="s">
        <v>318</v>
      </c>
      <c r="F229" s="12" t="s">
        <v>720</v>
      </c>
      <c r="G229" s="12" t="s">
        <v>721</v>
      </c>
      <c r="H229" s="13"/>
      <c r="I229" s="13"/>
      <c r="J229" s="13"/>
      <c r="K229" s="13"/>
      <c r="L229" s="13"/>
      <c r="M229" s="13"/>
      <c r="N229" s="13"/>
      <c r="O229" s="13"/>
      <c r="P229" s="13"/>
      <c r="Q229" s="13"/>
      <c r="R229" s="13"/>
      <c r="S229" s="13"/>
    </row>
    <row r="230" ht="15.75" customHeight="1">
      <c r="A230" s="12" t="s">
        <v>722</v>
      </c>
      <c r="B230" s="12" t="s">
        <v>316</v>
      </c>
      <c r="C230" s="12" t="s">
        <v>723</v>
      </c>
      <c r="D230" s="12">
        <v>100.0</v>
      </c>
      <c r="E230" s="12" t="s">
        <v>318</v>
      </c>
      <c r="F230" s="12" t="s">
        <v>724</v>
      </c>
      <c r="G230" s="12" t="s">
        <v>725</v>
      </c>
      <c r="H230" s="13"/>
      <c r="I230" s="13"/>
      <c r="J230" s="13"/>
      <c r="K230" s="13"/>
      <c r="L230" s="13"/>
      <c r="M230" s="13"/>
      <c r="N230" s="13"/>
      <c r="O230" s="13"/>
      <c r="P230" s="13"/>
      <c r="Q230" s="13"/>
      <c r="R230" s="13"/>
      <c r="S230" s="13"/>
    </row>
    <row r="231" ht="15.75" customHeight="1">
      <c r="A231" s="12" t="s">
        <v>726</v>
      </c>
      <c r="B231" s="12" t="s">
        <v>316</v>
      </c>
      <c r="C231" s="12" t="s">
        <v>727</v>
      </c>
      <c r="D231" s="12">
        <v>100.0</v>
      </c>
      <c r="E231" s="12" t="s">
        <v>318</v>
      </c>
      <c r="F231" s="12" t="s">
        <v>728</v>
      </c>
      <c r="G231" s="12" t="s">
        <v>729</v>
      </c>
      <c r="H231" s="13"/>
      <c r="I231" s="13"/>
      <c r="J231" s="13"/>
      <c r="K231" s="13"/>
      <c r="L231" s="13"/>
      <c r="M231" s="13"/>
      <c r="N231" s="13"/>
      <c r="O231" s="13"/>
      <c r="P231" s="13"/>
      <c r="Q231" s="13"/>
      <c r="R231" s="13"/>
      <c r="S231" s="13"/>
    </row>
    <row r="232" ht="15.75" customHeight="1">
      <c r="A232" s="12" t="s">
        <v>730</v>
      </c>
      <c r="B232" s="12" t="s">
        <v>316</v>
      </c>
      <c r="C232" s="12" t="s">
        <v>731</v>
      </c>
      <c r="D232" s="12">
        <v>100.0</v>
      </c>
      <c r="E232" s="12" t="s">
        <v>318</v>
      </c>
      <c r="F232" s="12" t="s">
        <v>732</v>
      </c>
      <c r="G232" s="12" t="s">
        <v>733</v>
      </c>
      <c r="H232" s="13"/>
      <c r="I232" s="13"/>
      <c r="J232" s="13"/>
      <c r="K232" s="13"/>
      <c r="L232" s="13"/>
      <c r="M232" s="13"/>
      <c r="N232" s="13"/>
      <c r="O232" s="13"/>
      <c r="P232" s="13"/>
      <c r="Q232" s="13"/>
      <c r="R232" s="13"/>
      <c r="S232" s="13"/>
    </row>
    <row r="233" ht="15.75" customHeight="1">
      <c r="A233" s="12" t="s">
        <v>734</v>
      </c>
      <c r="B233" s="12" t="s">
        <v>316</v>
      </c>
      <c r="C233" s="12" t="s">
        <v>735</v>
      </c>
      <c r="D233" s="12">
        <v>100.0</v>
      </c>
      <c r="E233" s="12" t="s">
        <v>318</v>
      </c>
      <c r="F233" s="12" t="s">
        <v>736</v>
      </c>
      <c r="G233" s="12" t="s">
        <v>737</v>
      </c>
      <c r="H233" s="13"/>
      <c r="I233" s="13"/>
      <c r="J233" s="13"/>
      <c r="K233" s="13"/>
      <c r="L233" s="13"/>
      <c r="M233" s="13"/>
      <c r="N233" s="13"/>
      <c r="O233" s="13"/>
      <c r="P233" s="13"/>
      <c r="Q233" s="13"/>
      <c r="R233" s="13"/>
      <c r="S233" s="13"/>
    </row>
    <row r="234" ht="15.75" customHeight="1">
      <c r="A234" s="12" t="s">
        <v>738</v>
      </c>
      <c r="B234" s="12" t="s">
        <v>316</v>
      </c>
      <c r="C234" s="12" t="s">
        <v>739</v>
      </c>
      <c r="D234" s="12">
        <v>100.0</v>
      </c>
      <c r="E234" s="12" t="s">
        <v>318</v>
      </c>
      <c r="F234" s="12" t="s">
        <v>740</v>
      </c>
      <c r="G234" s="12" t="s">
        <v>741</v>
      </c>
      <c r="H234" s="13"/>
      <c r="I234" s="13"/>
      <c r="J234" s="13"/>
      <c r="K234" s="13"/>
      <c r="L234" s="13"/>
      <c r="M234" s="13"/>
      <c r="N234" s="13"/>
      <c r="O234" s="13"/>
      <c r="P234" s="13"/>
      <c r="Q234" s="13"/>
      <c r="R234" s="13"/>
      <c r="S234" s="13"/>
    </row>
    <row r="235" ht="15.75" customHeight="1">
      <c r="A235" s="12" t="s">
        <v>742</v>
      </c>
      <c r="B235" s="12" t="s">
        <v>316</v>
      </c>
      <c r="C235" s="12" t="s">
        <v>743</v>
      </c>
      <c r="D235" s="12">
        <v>100.0</v>
      </c>
      <c r="E235" s="12" t="s">
        <v>318</v>
      </c>
      <c r="F235" s="12" t="s">
        <v>583</v>
      </c>
      <c r="G235" s="12" t="s">
        <v>744</v>
      </c>
      <c r="H235" s="13"/>
      <c r="I235" s="13"/>
      <c r="J235" s="13"/>
      <c r="K235" s="13"/>
      <c r="L235" s="13"/>
      <c r="M235" s="13"/>
      <c r="N235" s="13"/>
      <c r="O235" s="13"/>
      <c r="P235" s="13"/>
      <c r="Q235" s="13"/>
      <c r="R235" s="13"/>
      <c r="S235" s="13"/>
    </row>
    <row r="236" ht="15.75" customHeight="1">
      <c r="A236" s="12" t="s">
        <v>745</v>
      </c>
      <c r="B236" s="12" t="s">
        <v>316</v>
      </c>
      <c r="C236" s="12" t="s">
        <v>746</v>
      </c>
      <c r="D236" s="12">
        <v>100.0</v>
      </c>
      <c r="E236" s="12" t="s">
        <v>318</v>
      </c>
      <c r="F236" s="12" t="s">
        <v>747</v>
      </c>
      <c r="G236" s="12" t="s">
        <v>748</v>
      </c>
      <c r="H236" s="13"/>
      <c r="I236" s="13"/>
      <c r="J236" s="13"/>
      <c r="K236" s="13"/>
      <c r="L236" s="13"/>
      <c r="M236" s="13"/>
      <c r="N236" s="13"/>
      <c r="O236" s="13"/>
      <c r="P236" s="13"/>
      <c r="Q236" s="13"/>
      <c r="R236" s="13"/>
      <c r="S236" s="13"/>
    </row>
    <row r="237" ht="15.75" customHeight="1">
      <c r="A237" s="12" t="s">
        <v>749</v>
      </c>
      <c r="B237" s="12" t="s">
        <v>316</v>
      </c>
      <c r="C237" s="12" t="s">
        <v>750</v>
      </c>
      <c r="D237" s="12">
        <v>100.0</v>
      </c>
      <c r="E237" s="12" t="s">
        <v>318</v>
      </c>
      <c r="F237" s="12" t="s">
        <v>751</v>
      </c>
      <c r="G237" s="12" t="s">
        <v>752</v>
      </c>
      <c r="H237" s="13"/>
      <c r="I237" s="13"/>
      <c r="J237" s="13"/>
      <c r="K237" s="13"/>
      <c r="L237" s="13"/>
      <c r="M237" s="13"/>
      <c r="N237" s="13"/>
      <c r="O237" s="13"/>
      <c r="P237" s="13"/>
      <c r="Q237" s="13"/>
      <c r="R237" s="13"/>
      <c r="S237" s="13"/>
    </row>
    <row r="238" ht="15.75" customHeight="1">
      <c r="A238" s="12" t="s">
        <v>753</v>
      </c>
      <c r="B238" s="12" t="s">
        <v>316</v>
      </c>
      <c r="C238" s="12" t="s">
        <v>754</v>
      </c>
      <c r="D238" s="12">
        <v>100.0</v>
      </c>
      <c r="E238" s="12" t="s">
        <v>318</v>
      </c>
      <c r="F238" s="12" t="s">
        <v>755</v>
      </c>
      <c r="G238" s="12" t="s">
        <v>756</v>
      </c>
      <c r="H238" s="13"/>
      <c r="I238" s="13"/>
      <c r="J238" s="13"/>
      <c r="K238" s="13"/>
      <c r="L238" s="13"/>
      <c r="M238" s="13"/>
      <c r="N238" s="13"/>
      <c r="O238" s="13"/>
      <c r="P238" s="13"/>
      <c r="Q238" s="13"/>
      <c r="R238" s="13"/>
      <c r="S238" s="13"/>
    </row>
    <row r="239" ht="15.75" customHeight="1">
      <c r="A239" s="12" t="s">
        <v>757</v>
      </c>
      <c r="B239" s="12" t="s">
        <v>316</v>
      </c>
      <c r="C239" s="12" t="s">
        <v>758</v>
      </c>
      <c r="D239" s="12">
        <v>100.0</v>
      </c>
      <c r="E239" s="12" t="s">
        <v>318</v>
      </c>
      <c r="F239" s="12" t="s">
        <v>755</v>
      </c>
      <c r="G239" s="12" t="s">
        <v>759</v>
      </c>
      <c r="H239" s="13"/>
      <c r="I239" s="13"/>
      <c r="J239" s="13"/>
      <c r="K239" s="13"/>
      <c r="L239" s="13"/>
      <c r="M239" s="13"/>
      <c r="N239" s="13"/>
      <c r="O239" s="13"/>
      <c r="P239" s="13"/>
      <c r="Q239" s="13"/>
      <c r="R239" s="13"/>
      <c r="S239" s="13"/>
    </row>
    <row r="240" ht="15.75" customHeight="1">
      <c r="A240" s="12" t="s">
        <v>760</v>
      </c>
      <c r="B240" s="12" t="s">
        <v>316</v>
      </c>
      <c r="C240" s="12" t="s">
        <v>754</v>
      </c>
      <c r="D240" s="12">
        <v>100.0</v>
      </c>
      <c r="E240" s="12" t="s">
        <v>318</v>
      </c>
      <c r="F240" s="12" t="s">
        <v>591</v>
      </c>
      <c r="G240" s="12" t="s">
        <v>761</v>
      </c>
      <c r="H240" s="13"/>
      <c r="I240" s="13"/>
      <c r="J240" s="13"/>
      <c r="K240" s="13"/>
      <c r="L240" s="13"/>
      <c r="M240" s="13"/>
      <c r="N240" s="13"/>
      <c r="O240" s="13"/>
      <c r="P240" s="13"/>
      <c r="Q240" s="13"/>
      <c r="R240" s="13"/>
      <c r="S240" s="13"/>
    </row>
    <row r="241" ht="15.75" customHeight="1">
      <c r="A241" s="14" t="s">
        <v>762</v>
      </c>
      <c r="B241" s="14" t="s">
        <v>316</v>
      </c>
      <c r="C241" s="14" t="s">
        <v>758</v>
      </c>
      <c r="D241" s="14">
        <v>100.0</v>
      </c>
      <c r="E241" s="14" t="s">
        <v>318</v>
      </c>
      <c r="F241" s="14" t="s">
        <v>591</v>
      </c>
      <c r="G241" s="14" t="s">
        <v>763</v>
      </c>
      <c r="H241" s="13"/>
      <c r="I241" s="13"/>
      <c r="J241" s="13"/>
      <c r="K241" s="13"/>
      <c r="L241" s="13"/>
      <c r="M241" s="13"/>
      <c r="N241" s="13"/>
      <c r="O241" s="13"/>
      <c r="P241" s="13"/>
      <c r="Q241" s="13"/>
      <c r="R241" s="13"/>
      <c r="S241" s="13"/>
    </row>
    <row r="242" ht="15.75" customHeight="1">
      <c r="A242" s="14" t="s">
        <v>764</v>
      </c>
      <c r="B242" s="14" t="s">
        <v>316</v>
      </c>
      <c r="C242" s="14" t="s">
        <v>765</v>
      </c>
      <c r="D242" s="14">
        <v>100.0</v>
      </c>
      <c r="E242" s="14" t="s">
        <v>318</v>
      </c>
      <c r="F242" s="14" t="s">
        <v>766</v>
      </c>
      <c r="G242" s="14" t="s">
        <v>767</v>
      </c>
      <c r="H242" s="13"/>
      <c r="I242" s="13"/>
      <c r="J242" s="13"/>
      <c r="K242" s="13"/>
      <c r="L242" s="13"/>
      <c r="M242" s="13"/>
      <c r="N242" s="13"/>
      <c r="O242" s="13"/>
      <c r="P242" s="13"/>
      <c r="Q242" s="13"/>
      <c r="R242" s="13"/>
      <c r="S242" s="13"/>
    </row>
    <row r="243" ht="15.75" customHeight="1">
      <c r="A243" s="14" t="s">
        <v>768</v>
      </c>
      <c r="B243" s="14" t="s">
        <v>316</v>
      </c>
      <c r="C243" s="14" t="s">
        <v>769</v>
      </c>
      <c r="D243" s="14">
        <v>100.0</v>
      </c>
      <c r="E243" s="14" t="s">
        <v>318</v>
      </c>
      <c r="F243" s="14" t="s">
        <v>770</v>
      </c>
      <c r="G243" s="14" t="s">
        <v>771</v>
      </c>
      <c r="H243" s="13"/>
      <c r="I243" s="13"/>
      <c r="J243" s="13"/>
      <c r="K243" s="13"/>
      <c r="L243" s="13"/>
      <c r="M243" s="13"/>
      <c r="N243" s="13"/>
      <c r="O243" s="13"/>
      <c r="P243" s="13"/>
      <c r="Q243" s="13"/>
      <c r="R243" s="13"/>
      <c r="S243" s="13"/>
    </row>
    <row r="244" ht="15.75" customHeight="1">
      <c r="A244" s="14" t="s">
        <v>772</v>
      </c>
      <c r="B244" s="14" t="s">
        <v>316</v>
      </c>
      <c r="C244" s="14" t="s">
        <v>773</v>
      </c>
      <c r="D244" s="14">
        <v>100.0</v>
      </c>
      <c r="E244" s="14" t="s">
        <v>318</v>
      </c>
      <c r="F244" s="14" t="s">
        <v>774</v>
      </c>
      <c r="G244" s="14" t="s">
        <v>775</v>
      </c>
      <c r="H244" s="13"/>
      <c r="I244" s="13"/>
      <c r="J244" s="13"/>
      <c r="K244" s="13"/>
      <c r="L244" s="13"/>
      <c r="M244" s="13"/>
      <c r="N244" s="13"/>
      <c r="O244" s="13"/>
      <c r="P244" s="13"/>
      <c r="Q244" s="13"/>
      <c r="R244" s="13"/>
      <c r="S244" s="13"/>
    </row>
    <row r="245" ht="15.75" customHeight="1">
      <c r="A245" s="14" t="s">
        <v>776</v>
      </c>
      <c r="B245" s="14" t="s">
        <v>316</v>
      </c>
      <c r="C245" s="14" t="s">
        <v>777</v>
      </c>
      <c r="D245" s="14">
        <v>100.0</v>
      </c>
      <c r="E245" s="14" t="s">
        <v>318</v>
      </c>
      <c r="F245" s="14" t="s">
        <v>778</v>
      </c>
      <c r="G245" s="14" t="s">
        <v>779</v>
      </c>
      <c r="H245" s="13"/>
      <c r="I245" s="13"/>
      <c r="J245" s="13"/>
      <c r="K245" s="13"/>
      <c r="L245" s="13"/>
      <c r="M245" s="13"/>
      <c r="N245" s="13"/>
      <c r="O245" s="13"/>
      <c r="P245" s="13"/>
      <c r="Q245" s="13"/>
      <c r="R245" s="13"/>
      <c r="S245" s="13"/>
    </row>
    <row r="246" ht="15.75" customHeight="1">
      <c r="A246" s="14" t="s">
        <v>780</v>
      </c>
      <c r="B246" s="14" t="s">
        <v>316</v>
      </c>
      <c r="C246" s="14" t="s">
        <v>781</v>
      </c>
      <c r="D246" s="14">
        <v>100.0</v>
      </c>
      <c r="E246" s="14" t="s">
        <v>318</v>
      </c>
      <c r="F246" s="14" t="s">
        <v>782</v>
      </c>
      <c r="G246" s="14" t="s">
        <v>783</v>
      </c>
      <c r="H246" s="13"/>
      <c r="I246" s="13"/>
      <c r="J246" s="13"/>
      <c r="K246" s="13"/>
      <c r="L246" s="13"/>
      <c r="M246" s="13"/>
      <c r="N246" s="13"/>
      <c r="O246" s="13"/>
      <c r="P246" s="13"/>
      <c r="Q246" s="13"/>
      <c r="R246" s="13"/>
      <c r="S246" s="13"/>
    </row>
    <row r="247" ht="15.75" customHeight="1">
      <c r="A247" s="14" t="s">
        <v>784</v>
      </c>
      <c r="B247" s="14" t="s">
        <v>316</v>
      </c>
      <c r="C247" s="14" t="s">
        <v>785</v>
      </c>
      <c r="D247" s="14">
        <v>100.0</v>
      </c>
      <c r="E247" s="14" t="s">
        <v>318</v>
      </c>
      <c r="F247" s="14" t="s">
        <v>786</v>
      </c>
      <c r="G247" s="14" t="s">
        <v>787</v>
      </c>
      <c r="H247" s="13"/>
      <c r="I247" s="13"/>
      <c r="J247" s="13"/>
      <c r="K247" s="13"/>
      <c r="L247" s="13"/>
      <c r="M247" s="13"/>
      <c r="N247" s="13"/>
      <c r="O247" s="13"/>
      <c r="P247" s="13"/>
      <c r="Q247" s="13"/>
      <c r="R247" s="13"/>
      <c r="S247" s="13"/>
    </row>
    <row r="248" ht="15.75" customHeight="1">
      <c r="A248" s="14" t="s">
        <v>788</v>
      </c>
      <c r="B248" s="14" t="s">
        <v>316</v>
      </c>
      <c r="C248" s="14" t="s">
        <v>789</v>
      </c>
      <c r="D248" s="14">
        <v>100.0</v>
      </c>
      <c r="E248" s="14" t="s">
        <v>318</v>
      </c>
      <c r="F248" s="14" t="s">
        <v>790</v>
      </c>
      <c r="G248" s="14" t="s">
        <v>791</v>
      </c>
      <c r="H248" s="13"/>
      <c r="I248" s="13"/>
      <c r="J248" s="13"/>
      <c r="K248" s="13"/>
      <c r="L248" s="13"/>
      <c r="M248" s="13"/>
      <c r="N248" s="13"/>
      <c r="O248" s="13"/>
      <c r="P248" s="13"/>
      <c r="Q248" s="13"/>
      <c r="R248" s="13"/>
      <c r="S248" s="13"/>
    </row>
    <row r="249" ht="15.75" customHeight="1">
      <c r="A249" s="14" t="s">
        <v>792</v>
      </c>
      <c r="B249" s="14" t="s">
        <v>316</v>
      </c>
      <c r="C249" s="14" t="s">
        <v>793</v>
      </c>
      <c r="D249" s="14">
        <v>100.0</v>
      </c>
      <c r="E249" s="14" t="s">
        <v>318</v>
      </c>
      <c r="F249" s="14" t="s">
        <v>794</v>
      </c>
      <c r="G249" s="14" t="s">
        <v>795</v>
      </c>
      <c r="H249" s="13"/>
      <c r="I249" s="13"/>
      <c r="J249" s="13"/>
      <c r="K249" s="13"/>
      <c r="L249" s="13"/>
      <c r="M249" s="13"/>
      <c r="N249" s="13"/>
      <c r="O249" s="13"/>
      <c r="P249" s="13"/>
      <c r="Q249" s="13"/>
      <c r="R249" s="13"/>
      <c r="S249" s="13"/>
    </row>
    <row r="250" ht="15.75" customHeight="1">
      <c r="A250" s="14" t="s">
        <v>796</v>
      </c>
      <c r="B250" s="14" t="s">
        <v>316</v>
      </c>
      <c r="C250" s="14" t="s">
        <v>797</v>
      </c>
      <c r="D250" s="14">
        <v>100.0</v>
      </c>
      <c r="E250" s="14" t="s">
        <v>318</v>
      </c>
      <c r="F250" s="14" t="s">
        <v>798</v>
      </c>
      <c r="G250" s="14" t="s">
        <v>799</v>
      </c>
      <c r="H250" s="13"/>
      <c r="I250" s="13"/>
      <c r="J250" s="13"/>
      <c r="K250" s="13"/>
      <c r="L250" s="13"/>
      <c r="M250" s="13"/>
      <c r="N250" s="13"/>
      <c r="O250" s="13"/>
      <c r="P250" s="13"/>
      <c r="Q250" s="13"/>
      <c r="R250" s="13"/>
      <c r="S250" s="13"/>
    </row>
    <row r="251" ht="15.75" customHeight="1">
      <c r="A251" s="14" t="s">
        <v>800</v>
      </c>
      <c r="B251" s="14" t="s">
        <v>316</v>
      </c>
      <c r="C251" s="14" t="s">
        <v>801</v>
      </c>
      <c r="D251" s="14">
        <v>100.0</v>
      </c>
      <c r="E251" s="14" t="s">
        <v>318</v>
      </c>
      <c r="F251" s="14" t="s">
        <v>802</v>
      </c>
      <c r="G251" s="14" t="s">
        <v>803</v>
      </c>
      <c r="H251" s="13"/>
      <c r="I251" s="13"/>
      <c r="J251" s="13"/>
      <c r="K251" s="13"/>
      <c r="L251" s="13"/>
      <c r="M251" s="13"/>
      <c r="N251" s="13"/>
      <c r="O251" s="13"/>
      <c r="P251" s="13"/>
      <c r="Q251" s="13"/>
      <c r="R251" s="13"/>
      <c r="S251" s="13"/>
    </row>
    <row r="252" ht="15.75" customHeight="1">
      <c r="A252" s="14" t="s">
        <v>804</v>
      </c>
      <c r="B252" s="14" t="s">
        <v>316</v>
      </c>
      <c r="C252" s="14" t="s">
        <v>805</v>
      </c>
      <c r="D252" s="14">
        <v>100.0</v>
      </c>
      <c r="E252" s="14" t="s">
        <v>318</v>
      </c>
      <c r="F252" s="14" t="s">
        <v>806</v>
      </c>
      <c r="G252" s="14" t="s">
        <v>807</v>
      </c>
      <c r="H252" s="13"/>
      <c r="I252" s="13"/>
      <c r="J252" s="13"/>
      <c r="K252" s="13"/>
      <c r="L252" s="13"/>
      <c r="M252" s="13"/>
      <c r="N252" s="13"/>
      <c r="O252" s="13"/>
      <c r="P252" s="13"/>
      <c r="Q252" s="13"/>
      <c r="R252" s="13"/>
      <c r="S252" s="13"/>
    </row>
    <row r="253" ht="15.75" customHeight="1">
      <c r="A253" s="14" t="s">
        <v>808</v>
      </c>
      <c r="B253" s="14" t="s">
        <v>316</v>
      </c>
      <c r="C253" s="14" t="s">
        <v>809</v>
      </c>
      <c r="D253" s="14">
        <v>100.0</v>
      </c>
      <c r="E253" s="14" t="s">
        <v>318</v>
      </c>
      <c r="F253" s="14" t="s">
        <v>810</v>
      </c>
      <c r="G253" s="14" t="s">
        <v>811</v>
      </c>
      <c r="H253" s="13"/>
      <c r="I253" s="13"/>
      <c r="J253" s="13"/>
      <c r="K253" s="13"/>
      <c r="L253" s="13"/>
      <c r="M253" s="13"/>
      <c r="N253" s="13"/>
      <c r="O253" s="13"/>
      <c r="P253" s="13"/>
      <c r="Q253" s="13"/>
      <c r="R253" s="13"/>
      <c r="S253" s="13"/>
    </row>
    <row r="254" ht="15.75" customHeight="1">
      <c r="A254" s="14" t="s">
        <v>812</v>
      </c>
      <c r="B254" s="14" t="s">
        <v>316</v>
      </c>
      <c r="C254" s="14" t="s">
        <v>813</v>
      </c>
      <c r="D254" s="14">
        <v>100.0</v>
      </c>
      <c r="E254" s="14" t="s">
        <v>318</v>
      </c>
      <c r="F254" s="14" t="s">
        <v>814</v>
      </c>
      <c r="G254" s="14" t="s">
        <v>815</v>
      </c>
      <c r="H254" s="13"/>
      <c r="I254" s="13"/>
      <c r="J254" s="13"/>
      <c r="K254" s="13"/>
      <c r="L254" s="13"/>
      <c r="M254" s="13"/>
      <c r="N254" s="13"/>
      <c r="O254" s="13"/>
      <c r="P254" s="13"/>
      <c r="Q254" s="13"/>
      <c r="R254" s="13"/>
      <c r="S254" s="13"/>
    </row>
    <row r="255" ht="15.75" customHeight="1">
      <c r="A255" s="14" t="s">
        <v>816</v>
      </c>
      <c r="B255" s="14" t="s">
        <v>316</v>
      </c>
      <c r="C255" s="14" t="s">
        <v>817</v>
      </c>
      <c r="D255" s="14">
        <v>100.0</v>
      </c>
      <c r="E255" s="14" t="s">
        <v>318</v>
      </c>
      <c r="F255" s="14" t="s">
        <v>818</v>
      </c>
      <c r="G255" s="14" t="s">
        <v>819</v>
      </c>
      <c r="H255" s="13"/>
      <c r="I255" s="13"/>
      <c r="J255" s="13"/>
      <c r="K255" s="13"/>
      <c r="L255" s="13"/>
      <c r="M255" s="13"/>
      <c r="N255" s="13"/>
      <c r="O255" s="13"/>
      <c r="P255" s="13"/>
      <c r="Q255" s="13"/>
      <c r="R255" s="13"/>
      <c r="S255" s="13"/>
    </row>
    <row r="256" ht="15.75" customHeight="1">
      <c r="A256" s="14" t="s">
        <v>820</v>
      </c>
      <c r="B256" s="14" t="s">
        <v>316</v>
      </c>
      <c r="C256" s="14" t="s">
        <v>821</v>
      </c>
      <c r="D256" s="14">
        <v>100.0</v>
      </c>
      <c r="E256" s="14" t="s">
        <v>318</v>
      </c>
      <c r="F256" s="14" t="s">
        <v>822</v>
      </c>
      <c r="G256" s="14" t="s">
        <v>823</v>
      </c>
      <c r="H256" s="13"/>
      <c r="I256" s="13"/>
      <c r="J256" s="13"/>
      <c r="K256" s="13"/>
      <c r="L256" s="13"/>
      <c r="M256" s="13"/>
      <c r="N256" s="13"/>
      <c r="O256" s="13"/>
      <c r="P256" s="13"/>
      <c r="Q256" s="13"/>
      <c r="R256" s="13"/>
      <c r="S256" s="13"/>
    </row>
    <row r="257" ht="15.75" customHeight="1">
      <c r="A257" s="14" t="s">
        <v>824</v>
      </c>
      <c r="B257" s="14" t="s">
        <v>316</v>
      </c>
      <c r="C257" s="14" t="s">
        <v>825</v>
      </c>
      <c r="D257" s="14">
        <v>100.0</v>
      </c>
      <c r="E257" s="14" t="s">
        <v>318</v>
      </c>
      <c r="F257" s="14" t="s">
        <v>826</v>
      </c>
      <c r="G257" s="14" t="s">
        <v>827</v>
      </c>
      <c r="H257" s="13"/>
      <c r="I257" s="13"/>
      <c r="J257" s="13"/>
      <c r="K257" s="13"/>
      <c r="L257" s="13"/>
      <c r="M257" s="13"/>
      <c r="N257" s="13"/>
      <c r="O257" s="13"/>
      <c r="P257" s="13"/>
      <c r="Q257" s="13"/>
      <c r="R257" s="13"/>
      <c r="S257" s="13"/>
    </row>
    <row r="258" ht="15.75" customHeight="1">
      <c r="A258" s="14" t="s">
        <v>828</v>
      </c>
      <c r="B258" s="14" t="s">
        <v>316</v>
      </c>
      <c r="C258" s="14" t="s">
        <v>829</v>
      </c>
      <c r="D258" s="14">
        <v>100.0</v>
      </c>
      <c r="E258" s="14" t="s">
        <v>318</v>
      </c>
      <c r="F258" s="14" t="s">
        <v>830</v>
      </c>
      <c r="G258" s="14" t="s">
        <v>831</v>
      </c>
      <c r="H258" s="13"/>
      <c r="I258" s="13"/>
      <c r="J258" s="13"/>
      <c r="K258" s="13"/>
      <c r="L258" s="13"/>
      <c r="M258" s="13"/>
      <c r="N258" s="13"/>
      <c r="O258" s="13"/>
      <c r="P258" s="13"/>
      <c r="Q258" s="13"/>
      <c r="R258" s="13"/>
      <c r="S258" s="13"/>
    </row>
    <row r="259" ht="15.75" customHeight="1">
      <c r="A259" s="14" t="s">
        <v>832</v>
      </c>
      <c r="B259" s="14" t="s">
        <v>316</v>
      </c>
      <c r="C259" s="14" t="s">
        <v>833</v>
      </c>
      <c r="D259" s="14">
        <v>100.0</v>
      </c>
      <c r="E259" s="14" t="s">
        <v>318</v>
      </c>
      <c r="F259" s="14" t="s">
        <v>834</v>
      </c>
      <c r="G259" s="14" t="s">
        <v>835</v>
      </c>
      <c r="H259" s="13"/>
      <c r="I259" s="13"/>
      <c r="J259" s="13"/>
      <c r="K259" s="13"/>
      <c r="L259" s="13"/>
      <c r="M259" s="13"/>
      <c r="N259" s="13"/>
      <c r="O259" s="13"/>
      <c r="P259" s="13"/>
      <c r="Q259" s="13"/>
      <c r="R259" s="13"/>
      <c r="S259" s="13"/>
    </row>
    <row r="260" ht="15.75" customHeight="1">
      <c r="A260" s="14" t="s">
        <v>836</v>
      </c>
      <c r="B260" s="14" t="s">
        <v>316</v>
      </c>
      <c r="C260" s="14" t="s">
        <v>837</v>
      </c>
      <c r="D260" s="14">
        <v>100.0</v>
      </c>
      <c r="E260" s="14" t="s">
        <v>318</v>
      </c>
      <c r="F260" s="14" t="s">
        <v>838</v>
      </c>
      <c r="G260" s="14" t="s">
        <v>839</v>
      </c>
      <c r="H260" s="13"/>
      <c r="I260" s="13"/>
      <c r="J260" s="13"/>
      <c r="K260" s="13"/>
      <c r="L260" s="13"/>
      <c r="M260" s="13"/>
      <c r="N260" s="13"/>
      <c r="O260" s="13"/>
      <c r="P260" s="13"/>
      <c r="Q260" s="13"/>
      <c r="R260" s="13"/>
      <c r="S260" s="13"/>
    </row>
    <row r="261" ht="15.75" customHeight="1">
      <c r="A261" s="14" t="s">
        <v>840</v>
      </c>
      <c r="B261" s="14" t="s">
        <v>316</v>
      </c>
      <c r="C261" s="14" t="s">
        <v>841</v>
      </c>
      <c r="D261" s="14">
        <v>100.0</v>
      </c>
      <c r="E261" s="14" t="s">
        <v>318</v>
      </c>
      <c r="F261" s="14" t="s">
        <v>842</v>
      </c>
      <c r="G261" s="14" t="s">
        <v>843</v>
      </c>
      <c r="H261" s="13"/>
      <c r="I261" s="13"/>
      <c r="J261" s="13"/>
      <c r="K261" s="13"/>
      <c r="L261" s="13"/>
      <c r="M261" s="13"/>
      <c r="N261" s="13"/>
      <c r="O261" s="13"/>
      <c r="P261" s="13"/>
      <c r="Q261" s="13"/>
      <c r="R261" s="13"/>
      <c r="S261" s="13"/>
    </row>
    <row r="262" ht="15.75" customHeight="1">
      <c r="A262" s="14" t="s">
        <v>844</v>
      </c>
      <c r="B262" s="14" t="s">
        <v>316</v>
      </c>
      <c r="C262" s="14" t="s">
        <v>845</v>
      </c>
      <c r="D262" s="14">
        <v>100.0</v>
      </c>
      <c r="E262" s="14" t="s">
        <v>318</v>
      </c>
      <c r="F262" s="14" t="s">
        <v>846</v>
      </c>
      <c r="G262" s="14" t="s">
        <v>847</v>
      </c>
      <c r="H262" s="13"/>
      <c r="I262" s="13"/>
      <c r="J262" s="13"/>
      <c r="K262" s="13"/>
      <c r="L262" s="13"/>
      <c r="M262" s="13"/>
      <c r="N262" s="13"/>
      <c r="O262" s="13"/>
      <c r="P262" s="13"/>
      <c r="Q262" s="13"/>
      <c r="R262" s="13"/>
      <c r="S262" s="13"/>
    </row>
    <row r="263" ht="15.75" customHeight="1">
      <c r="A263" s="14" t="s">
        <v>848</v>
      </c>
      <c r="B263" s="14" t="s">
        <v>316</v>
      </c>
      <c r="C263" s="14" t="s">
        <v>849</v>
      </c>
      <c r="D263" s="14">
        <v>100.0</v>
      </c>
      <c r="E263" s="14" t="s">
        <v>318</v>
      </c>
      <c r="F263" s="14" t="s">
        <v>850</v>
      </c>
      <c r="G263" s="14" t="s">
        <v>851</v>
      </c>
      <c r="H263" s="13"/>
      <c r="I263" s="13"/>
      <c r="J263" s="13"/>
      <c r="K263" s="13"/>
      <c r="L263" s="13"/>
      <c r="M263" s="13"/>
      <c r="N263" s="13"/>
      <c r="O263" s="13"/>
      <c r="P263" s="13"/>
      <c r="Q263" s="13"/>
      <c r="R263" s="13"/>
      <c r="S263" s="13"/>
    </row>
    <row r="264" ht="15.75" customHeight="1">
      <c r="A264" s="14" t="s">
        <v>852</v>
      </c>
      <c r="B264" s="14" t="s">
        <v>316</v>
      </c>
      <c r="C264" s="14" t="s">
        <v>853</v>
      </c>
      <c r="D264" s="14">
        <v>100.0</v>
      </c>
      <c r="E264" s="14" t="s">
        <v>318</v>
      </c>
      <c r="F264" s="14" t="s">
        <v>854</v>
      </c>
      <c r="G264" s="14" t="s">
        <v>855</v>
      </c>
      <c r="H264" s="13"/>
      <c r="I264" s="13"/>
      <c r="J264" s="13"/>
      <c r="K264" s="13"/>
      <c r="L264" s="13"/>
      <c r="M264" s="13"/>
      <c r="N264" s="13"/>
      <c r="O264" s="13"/>
      <c r="P264" s="13"/>
      <c r="Q264" s="13"/>
      <c r="R264" s="13"/>
      <c r="S264" s="13"/>
    </row>
    <row r="265" ht="15.75" customHeight="1">
      <c r="A265" s="14" t="s">
        <v>856</v>
      </c>
      <c r="B265" s="14" t="s">
        <v>316</v>
      </c>
      <c r="C265" s="14" t="s">
        <v>857</v>
      </c>
      <c r="D265" s="14">
        <v>100.0</v>
      </c>
      <c r="E265" s="14" t="s">
        <v>318</v>
      </c>
      <c r="F265" s="14" t="s">
        <v>858</v>
      </c>
      <c r="G265" s="14" t="s">
        <v>859</v>
      </c>
      <c r="H265" s="13"/>
      <c r="I265" s="13"/>
      <c r="J265" s="13"/>
      <c r="K265" s="13"/>
      <c r="L265" s="13"/>
      <c r="M265" s="13"/>
      <c r="N265" s="13"/>
      <c r="O265" s="13"/>
      <c r="P265" s="13"/>
      <c r="Q265" s="13"/>
      <c r="R265" s="13"/>
      <c r="S265" s="13"/>
    </row>
    <row r="266" ht="15.75" customHeight="1">
      <c r="A266" s="14" t="s">
        <v>860</v>
      </c>
      <c r="B266" s="14" t="s">
        <v>316</v>
      </c>
      <c r="C266" s="14" t="s">
        <v>861</v>
      </c>
      <c r="D266" s="14">
        <v>100.0</v>
      </c>
      <c r="E266" s="14" t="s">
        <v>318</v>
      </c>
      <c r="F266" s="14" t="s">
        <v>709</v>
      </c>
      <c r="G266" s="14" t="s">
        <v>862</v>
      </c>
      <c r="H266" s="13"/>
      <c r="I266" s="13"/>
      <c r="J266" s="13"/>
      <c r="K266" s="13"/>
      <c r="L266" s="13"/>
      <c r="M266" s="13"/>
      <c r="N266" s="13"/>
      <c r="O266" s="13"/>
      <c r="P266" s="13"/>
      <c r="Q266" s="13"/>
      <c r="R266" s="13"/>
      <c r="S266" s="13"/>
    </row>
    <row r="267" ht="15.75" customHeight="1">
      <c r="A267" s="14" t="s">
        <v>863</v>
      </c>
      <c r="B267" s="14" t="s">
        <v>316</v>
      </c>
      <c r="C267" s="14" t="s">
        <v>864</v>
      </c>
      <c r="D267" s="14">
        <v>100.0</v>
      </c>
      <c r="E267" s="14" t="s">
        <v>318</v>
      </c>
      <c r="F267" s="14" t="s">
        <v>709</v>
      </c>
      <c r="G267" s="14" t="s">
        <v>865</v>
      </c>
      <c r="H267" s="13"/>
      <c r="I267" s="13"/>
      <c r="J267" s="13"/>
      <c r="K267" s="13"/>
      <c r="L267" s="13"/>
      <c r="M267" s="13"/>
      <c r="N267" s="13"/>
      <c r="O267" s="13"/>
      <c r="P267" s="13"/>
      <c r="Q267" s="13"/>
      <c r="R267" s="13"/>
      <c r="S267" s="13"/>
    </row>
    <row r="268" ht="15.75" customHeight="1">
      <c r="A268" s="14" t="s">
        <v>866</v>
      </c>
      <c r="B268" s="14" t="s">
        <v>316</v>
      </c>
      <c r="C268" s="14" t="s">
        <v>867</v>
      </c>
      <c r="D268" s="14">
        <v>100.0</v>
      </c>
      <c r="E268" s="14" t="s">
        <v>318</v>
      </c>
      <c r="F268" s="14" t="s">
        <v>709</v>
      </c>
      <c r="G268" s="14" t="s">
        <v>868</v>
      </c>
      <c r="H268" s="13"/>
      <c r="I268" s="13"/>
      <c r="J268" s="13"/>
      <c r="K268" s="13"/>
      <c r="L268" s="13"/>
      <c r="M268" s="13"/>
      <c r="N268" s="13"/>
      <c r="O268" s="13"/>
      <c r="P268" s="13"/>
      <c r="Q268" s="13"/>
      <c r="R268" s="13"/>
      <c r="S268" s="13"/>
    </row>
    <row r="269" ht="15.75" customHeight="1">
      <c r="A269" s="14" t="s">
        <v>869</v>
      </c>
      <c r="B269" s="14" t="s">
        <v>316</v>
      </c>
      <c r="C269" s="14" t="s">
        <v>870</v>
      </c>
      <c r="D269" s="14">
        <v>100.0</v>
      </c>
      <c r="E269" s="14" t="s">
        <v>318</v>
      </c>
      <c r="F269" s="14" t="s">
        <v>871</v>
      </c>
      <c r="G269" s="14" t="s">
        <v>872</v>
      </c>
      <c r="H269" s="13"/>
      <c r="I269" s="13"/>
      <c r="J269" s="13"/>
      <c r="K269" s="13"/>
      <c r="L269" s="13"/>
      <c r="M269" s="13"/>
      <c r="N269" s="13"/>
      <c r="O269" s="13"/>
      <c r="P269" s="13"/>
      <c r="Q269" s="13"/>
      <c r="R269" s="13"/>
      <c r="S269" s="13"/>
    </row>
    <row r="270" ht="15.75" customHeight="1">
      <c r="A270" s="14" t="s">
        <v>873</v>
      </c>
      <c r="B270" s="14" t="s">
        <v>316</v>
      </c>
      <c r="C270" s="14" t="s">
        <v>874</v>
      </c>
      <c r="D270" s="14">
        <v>100.0</v>
      </c>
      <c r="E270" s="14" t="s">
        <v>318</v>
      </c>
      <c r="F270" s="14" t="s">
        <v>875</v>
      </c>
      <c r="G270" s="14" t="s">
        <v>876</v>
      </c>
      <c r="H270" s="13"/>
      <c r="I270" s="13"/>
      <c r="J270" s="13"/>
      <c r="K270" s="13"/>
      <c r="L270" s="13"/>
      <c r="M270" s="13"/>
      <c r="N270" s="13"/>
      <c r="O270" s="13"/>
      <c r="P270" s="13"/>
      <c r="Q270" s="13"/>
      <c r="R270" s="13"/>
      <c r="S270" s="13"/>
    </row>
    <row r="271" ht="15.75" customHeight="1">
      <c r="A271" s="14" t="s">
        <v>877</v>
      </c>
      <c r="B271" s="14" t="s">
        <v>316</v>
      </c>
      <c r="C271" s="14" t="s">
        <v>878</v>
      </c>
      <c r="D271" s="14">
        <v>100.0</v>
      </c>
      <c r="E271" s="14" t="s">
        <v>318</v>
      </c>
      <c r="F271" s="14" t="s">
        <v>879</v>
      </c>
      <c r="G271" s="14" t="s">
        <v>880</v>
      </c>
      <c r="H271" s="13"/>
      <c r="I271" s="13"/>
      <c r="J271" s="13"/>
      <c r="K271" s="13"/>
      <c r="L271" s="13"/>
      <c r="M271" s="13"/>
      <c r="N271" s="13"/>
      <c r="O271" s="13"/>
      <c r="P271" s="13"/>
      <c r="Q271" s="13"/>
      <c r="R271" s="13"/>
      <c r="S271" s="13"/>
    </row>
    <row r="272" ht="15.75" customHeight="1">
      <c r="A272" s="14" t="s">
        <v>881</v>
      </c>
      <c r="B272" s="14" t="s">
        <v>316</v>
      </c>
      <c r="C272" s="14" t="s">
        <v>882</v>
      </c>
      <c r="D272" s="14">
        <v>100.0</v>
      </c>
      <c r="E272" s="14" t="s">
        <v>318</v>
      </c>
      <c r="F272" s="14" t="s">
        <v>883</v>
      </c>
      <c r="G272" s="14" t="s">
        <v>884</v>
      </c>
      <c r="H272" s="13"/>
      <c r="I272" s="13"/>
      <c r="J272" s="13"/>
      <c r="K272" s="13"/>
      <c r="L272" s="13"/>
      <c r="M272" s="13"/>
      <c r="N272" s="13"/>
      <c r="O272" s="13"/>
      <c r="P272" s="13"/>
      <c r="Q272" s="13"/>
      <c r="R272" s="13"/>
      <c r="S272" s="13"/>
    </row>
    <row r="273" ht="15.75" customHeight="1">
      <c r="A273" s="14" t="s">
        <v>885</v>
      </c>
      <c r="B273" s="14" t="s">
        <v>316</v>
      </c>
      <c r="C273" s="14" t="s">
        <v>886</v>
      </c>
      <c r="D273" s="14">
        <v>100.0</v>
      </c>
      <c r="E273" s="14" t="s">
        <v>318</v>
      </c>
      <c r="F273" s="14" t="s">
        <v>887</v>
      </c>
      <c r="G273" s="14" t="s">
        <v>888</v>
      </c>
      <c r="H273" s="13"/>
      <c r="I273" s="13"/>
      <c r="J273" s="13"/>
      <c r="K273" s="13"/>
      <c r="L273" s="13"/>
      <c r="M273" s="13"/>
      <c r="N273" s="13"/>
      <c r="O273" s="13"/>
      <c r="P273" s="13"/>
      <c r="Q273" s="13"/>
      <c r="R273" s="13"/>
      <c r="S273" s="13"/>
    </row>
    <row r="274" ht="15.75" customHeight="1">
      <c r="A274" s="14" t="s">
        <v>889</v>
      </c>
      <c r="B274" s="14" t="s">
        <v>316</v>
      </c>
      <c r="C274" s="14" t="s">
        <v>890</v>
      </c>
      <c r="D274" s="14">
        <v>100.0</v>
      </c>
      <c r="E274" s="14" t="s">
        <v>318</v>
      </c>
      <c r="F274" s="14" t="s">
        <v>891</v>
      </c>
      <c r="G274" s="14" t="s">
        <v>892</v>
      </c>
      <c r="H274" s="13"/>
      <c r="I274" s="13"/>
      <c r="J274" s="13"/>
      <c r="K274" s="13"/>
      <c r="L274" s="13"/>
      <c r="M274" s="13"/>
      <c r="N274" s="13"/>
      <c r="O274" s="13"/>
      <c r="P274" s="13"/>
      <c r="Q274" s="13"/>
      <c r="R274" s="13"/>
      <c r="S274" s="13"/>
    </row>
    <row r="275" ht="15.75" customHeight="1">
      <c r="A275" s="14" t="s">
        <v>893</v>
      </c>
      <c r="B275" s="14" t="s">
        <v>316</v>
      </c>
      <c r="C275" s="14" t="s">
        <v>894</v>
      </c>
      <c r="D275" s="14">
        <v>100.0</v>
      </c>
      <c r="E275" s="14" t="s">
        <v>318</v>
      </c>
      <c r="F275" s="14" t="s">
        <v>895</v>
      </c>
      <c r="G275" s="14" t="s">
        <v>896</v>
      </c>
      <c r="H275" s="13"/>
      <c r="I275" s="13"/>
      <c r="J275" s="13"/>
      <c r="K275" s="13"/>
      <c r="L275" s="13"/>
      <c r="M275" s="13"/>
      <c r="N275" s="13"/>
      <c r="O275" s="13"/>
      <c r="P275" s="13"/>
      <c r="Q275" s="13"/>
      <c r="R275" s="13"/>
      <c r="S275" s="13"/>
    </row>
    <row r="276" ht="15.75" customHeight="1">
      <c r="A276" s="14" t="s">
        <v>897</v>
      </c>
      <c r="B276" s="14" t="s">
        <v>316</v>
      </c>
      <c r="C276" s="14" t="s">
        <v>898</v>
      </c>
      <c r="D276" s="14">
        <v>100.0</v>
      </c>
      <c r="E276" s="14" t="s">
        <v>318</v>
      </c>
      <c r="F276" s="14" t="s">
        <v>899</v>
      </c>
      <c r="G276" s="14" t="s">
        <v>900</v>
      </c>
      <c r="H276" s="13"/>
      <c r="I276" s="13"/>
      <c r="J276" s="13"/>
      <c r="K276" s="13"/>
      <c r="L276" s="13"/>
      <c r="M276" s="13"/>
      <c r="N276" s="13"/>
      <c r="O276" s="13"/>
      <c r="P276" s="13"/>
      <c r="Q276" s="13"/>
      <c r="R276" s="13"/>
      <c r="S276" s="13"/>
    </row>
    <row r="277" ht="15.75" customHeight="1">
      <c r="A277" s="14" t="s">
        <v>901</v>
      </c>
      <c r="B277" s="14" t="s">
        <v>316</v>
      </c>
      <c r="C277" s="14" t="s">
        <v>902</v>
      </c>
      <c r="D277" s="14">
        <v>100.0</v>
      </c>
      <c r="E277" s="14" t="s">
        <v>318</v>
      </c>
      <c r="F277" s="14" t="s">
        <v>903</v>
      </c>
      <c r="G277" s="14" t="s">
        <v>904</v>
      </c>
      <c r="H277" s="13"/>
      <c r="I277" s="13"/>
      <c r="J277" s="13"/>
      <c r="K277" s="13"/>
      <c r="L277" s="13"/>
      <c r="M277" s="13"/>
      <c r="N277" s="13"/>
      <c r="O277" s="13"/>
      <c r="P277" s="13"/>
      <c r="Q277" s="13"/>
      <c r="R277" s="13"/>
      <c r="S277" s="13"/>
    </row>
    <row r="278" ht="15.75" customHeight="1">
      <c r="A278" s="14" t="s">
        <v>905</v>
      </c>
      <c r="B278" s="14" t="s">
        <v>316</v>
      </c>
      <c r="C278" s="14" t="s">
        <v>906</v>
      </c>
      <c r="D278" s="14">
        <v>100.0</v>
      </c>
      <c r="E278" s="14" t="s">
        <v>318</v>
      </c>
      <c r="F278" s="14" t="s">
        <v>907</v>
      </c>
      <c r="G278" s="14" t="s">
        <v>908</v>
      </c>
      <c r="H278" s="13"/>
      <c r="I278" s="13"/>
      <c r="J278" s="13"/>
      <c r="K278" s="13"/>
      <c r="L278" s="13"/>
      <c r="M278" s="13"/>
      <c r="N278" s="13"/>
      <c r="O278" s="13"/>
      <c r="P278" s="13"/>
      <c r="Q278" s="13"/>
      <c r="R278" s="13"/>
      <c r="S278" s="13"/>
    </row>
    <row r="279" ht="15.75" customHeight="1">
      <c r="A279" s="14" t="s">
        <v>909</v>
      </c>
      <c r="B279" s="14" t="s">
        <v>316</v>
      </c>
      <c r="C279" s="14" t="s">
        <v>910</v>
      </c>
      <c r="D279" s="14">
        <v>100.0</v>
      </c>
      <c r="E279" s="14" t="s">
        <v>318</v>
      </c>
      <c r="F279" s="14" t="s">
        <v>911</v>
      </c>
      <c r="G279" s="14" t="s">
        <v>912</v>
      </c>
      <c r="H279" s="13"/>
      <c r="I279" s="13"/>
      <c r="J279" s="13"/>
      <c r="K279" s="13"/>
      <c r="L279" s="13"/>
      <c r="M279" s="13"/>
      <c r="N279" s="13"/>
      <c r="O279" s="13"/>
      <c r="P279" s="13"/>
      <c r="Q279" s="13"/>
      <c r="R279" s="13"/>
      <c r="S279" s="13"/>
    </row>
    <row r="280" ht="15.75" customHeight="1">
      <c r="A280" s="14" t="s">
        <v>913</v>
      </c>
      <c r="B280" s="14" t="s">
        <v>316</v>
      </c>
      <c r="C280" s="14" t="s">
        <v>914</v>
      </c>
      <c r="D280" s="14">
        <v>100.0</v>
      </c>
      <c r="E280" s="14" t="s">
        <v>318</v>
      </c>
      <c r="F280" s="14" t="s">
        <v>915</v>
      </c>
      <c r="G280" s="14" t="s">
        <v>916</v>
      </c>
      <c r="H280" s="13"/>
      <c r="I280" s="13"/>
      <c r="J280" s="13"/>
      <c r="K280" s="13"/>
      <c r="L280" s="13"/>
      <c r="M280" s="13"/>
      <c r="N280" s="13"/>
      <c r="O280" s="13"/>
      <c r="P280" s="13"/>
      <c r="Q280" s="13"/>
      <c r="R280" s="13"/>
      <c r="S280" s="13"/>
    </row>
    <row r="281" ht="15.75" customHeight="1">
      <c r="A281" s="14" t="s">
        <v>917</v>
      </c>
      <c r="B281" s="14" t="s">
        <v>316</v>
      </c>
      <c r="C281" s="14" t="s">
        <v>918</v>
      </c>
      <c r="D281" s="14">
        <v>100.0</v>
      </c>
      <c r="E281" s="14" t="s">
        <v>318</v>
      </c>
      <c r="F281" s="14" t="s">
        <v>919</v>
      </c>
      <c r="G281" s="14" t="s">
        <v>920</v>
      </c>
      <c r="H281" s="13"/>
      <c r="I281" s="13"/>
      <c r="J281" s="13"/>
      <c r="K281" s="13"/>
      <c r="L281" s="13"/>
      <c r="M281" s="13"/>
      <c r="N281" s="13"/>
      <c r="O281" s="13"/>
      <c r="P281" s="13"/>
      <c r="Q281" s="13"/>
      <c r="R281" s="13"/>
      <c r="S281" s="13"/>
    </row>
    <row r="282" ht="15.75" customHeight="1">
      <c r="A282" s="14" t="s">
        <v>921</v>
      </c>
      <c r="B282" s="14" t="s">
        <v>316</v>
      </c>
      <c r="C282" s="14" t="s">
        <v>922</v>
      </c>
      <c r="D282" s="14">
        <v>100.0</v>
      </c>
      <c r="E282" s="14" t="s">
        <v>318</v>
      </c>
      <c r="F282" s="14" t="s">
        <v>637</v>
      </c>
      <c r="G282" s="14" t="s">
        <v>923</v>
      </c>
      <c r="H282" s="13"/>
      <c r="I282" s="13"/>
      <c r="J282" s="13"/>
      <c r="K282" s="13"/>
      <c r="L282" s="13"/>
      <c r="M282" s="13"/>
      <c r="N282" s="13"/>
      <c r="O282" s="13"/>
      <c r="P282" s="13"/>
      <c r="Q282" s="13"/>
      <c r="R282" s="13"/>
      <c r="S282" s="13"/>
    </row>
    <row r="283" ht="15.75" customHeight="1">
      <c r="A283" s="14" t="s">
        <v>924</v>
      </c>
      <c r="B283" s="14" t="s">
        <v>316</v>
      </c>
      <c r="C283" s="14" t="s">
        <v>925</v>
      </c>
      <c r="D283" s="14">
        <v>100.0</v>
      </c>
      <c r="E283" s="14" t="s">
        <v>318</v>
      </c>
      <c r="F283" s="14" t="s">
        <v>926</v>
      </c>
      <c r="G283" s="14" t="s">
        <v>927</v>
      </c>
      <c r="H283" s="13"/>
      <c r="I283" s="13"/>
      <c r="J283" s="13"/>
      <c r="K283" s="13"/>
      <c r="L283" s="13"/>
      <c r="M283" s="13"/>
      <c r="N283" s="13"/>
      <c r="O283" s="13"/>
      <c r="P283" s="13"/>
      <c r="Q283" s="13"/>
      <c r="R283" s="13"/>
      <c r="S283" s="13"/>
    </row>
    <row r="284" ht="15.75" customHeight="1">
      <c r="A284" s="14" t="s">
        <v>928</v>
      </c>
      <c r="B284" s="14" t="s">
        <v>316</v>
      </c>
      <c r="C284" s="14" t="s">
        <v>929</v>
      </c>
      <c r="D284" s="14">
        <v>100.0</v>
      </c>
      <c r="E284" s="14" t="s">
        <v>318</v>
      </c>
      <c r="F284" s="14" t="s">
        <v>930</v>
      </c>
      <c r="G284" s="14" t="s">
        <v>931</v>
      </c>
      <c r="H284" s="13"/>
      <c r="I284" s="13"/>
      <c r="J284" s="13"/>
      <c r="K284" s="13"/>
      <c r="L284" s="13"/>
      <c r="M284" s="13"/>
      <c r="N284" s="13"/>
      <c r="O284" s="13"/>
      <c r="P284" s="13"/>
      <c r="Q284" s="13"/>
      <c r="R284" s="13"/>
      <c r="S284" s="13"/>
    </row>
    <row r="285" ht="15.75" customHeight="1">
      <c r="A285" s="14" t="s">
        <v>932</v>
      </c>
      <c r="B285" s="14" t="s">
        <v>316</v>
      </c>
      <c r="C285" s="14" t="s">
        <v>933</v>
      </c>
      <c r="D285" s="14">
        <v>100.0</v>
      </c>
      <c r="E285" s="14" t="s">
        <v>318</v>
      </c>
      <c r="F285" s="14" t="s">
        <v>934</v>
      </c>
      <c r="G285" s="14" t="s">
        <v>935</v>
      </c>
      <c r="H285" s="13"/>
      <c r="I285" s="13"/>
      <c r="J285" s="13"/>
      <c r="K285" s="13"/>
      <c r="L285" s="13"/>
      <c r="M285" s="13"/>
      <c r="N285" s="13"/>
      <c r="O285" s="13"/>
      <c r="P285" s="13"/>
      <c r="Q285" s="13"/>
      <c r="R285" s="13"/>
      <c r="S285" s="13"/>
    </row>
    <row r="286" ht="15.75" customHeight="1">
      <c r="A286" s="14" t="s">
        <v>936</v>
      </c>
      <c r="B286" s="14" t="s">
        <v>316</v>
      </c>
      <c r="C286" s="14" t="s">
        <v>937</v>
      </c>
      <c r="D286" s="14">
        <v>100.0</v>
      </c>
      <c r="E286" s="14" t="s">
        <v>318</v>
      </c>
      <c r="F286" s="14" t="s">
        <v>938</v>
      </c>
      <c r="G286" s="14" t="s">
        <v>939</v>
      </c>
      <c r="H286" s="13"/>
      <c r="I286" s="13"/>
      <c r="J286" s="13"/>
      <c r="K286" s="13"/>
      <c r="L286" s="13"/>
      <c r="M286" s="13"/>
      <c r="N286" s="13"/>
      <c r="O286" s="13"/>
      <c r="P286" s="13"/>
      <c r="Q286" s="13"/>
      <c r="R286" s="13"/>
      <c r="S286" s="13"/>
    </row>
    <row r="287" ht="15.75" customHeight="1">
      <c r="A287" s="14" t="s">
        <v>940</v>
      </c>
      <c r="B287" s="14" t="s">
        <v>316</v>
      </c>
      <c r="C287" s="14" t="s">
        <v>941</v>
      </c>
      <c r="D287" s="14">
        <v>100.0</v>
      </c>
      <c r="E287" s="14" t="s">
        <v>318</v>
      </c>
      <c r="F287" s="14" t="s">
        <v>942</v>
      </c>
      <c r="G287" s="14" t="s">
        <v>943</v>
      </c>
      <c r="H287" s="13"/>
      <c r="I287" s="13"/>
      <c r="J287" s="13"/>
      <c r="K287" s="13"/>
      <c r="L287" s="13"/>
      <c r="M287" s="13"/>
      <c r="N287" s="13"/>
      <c r="O287" s="13"/>
      <c r="P287" s="13"/>
      <c r="Q287" s="13"/>
      <c r="R287" s="13"/>
      <c r="S287" s="13"/>
    </row>
    <row r="288" ht="15.75" customHeight="1">
      <c r="A288" s="14" t="s">
        <v>944</v>
      </c>
      <c r="B288" s="14" t="s">
        <v>316</v>
      </c>
      <c r="C288" s="14" t="s">
        <v>945</v>
      </c>
      <c r="D288" s="14">
        <v>100.0</v>
      </c>
      <c r="E288" s="14" t="s">
        <v>318</v>
      </c>
      <c r="F288" s="14" t="s">
        <v>664</v>
      </c>
      <c r="G288" s="14" t="s">
        <v>946</v>
      </c>
      <c r="H288" s="13"/>
      <c r="I288" s="13"/>
      <c r="J288" s="13"/>
      <c r="K288" s="13"/>
      <c r="L288" s="13"/>
      <c r="M288" s="13"/>
      <c r="N288" s="13"/>
      <c r="O288" s="13"/>
      <c r="P288" s="13"/>
      <c r="Q288" s="13"/>
      <c r="R288" s="13"/>
      <c r="S288" s="13"/>
    </row>
    <row r="289" ht="15.75" customHeight="1">
      <c r="A289" s="14" t="s">
        <v>947</v>
      </c>
      <c r="B289" s="14" t="s">
        <v>316</v>
      </c>
      <c r="C289" s="14" t="s">
        <v>948</v>
      </c>
      <c r="D289" s="14">
        <v>100.0</v>
      </c>
      <c r="E289" s="14" t="s">
        <v>318</v>
      </c>
      <c r="F289" s="14" t="s">
        <v>949</v>
      </c>
      <c r="G289" s="14" t="s">
        <v>950</v>
      </c>
      <c r="H289" s="13"/>
      <c r="I289" s="13"/>
      <c r="J289" s="13"/>
      <c r="K289" s="13"/>
      <c r="L289" s="13"/>
      <c r="M289" s="13"/>
      <c r="N289" s="13"/>
      <c r="O289" s="13"/>
      <c r="P289" s="13"/>
      <c r="Q289" s="13"/>
      <c r="R289" s="13"/>
      <c r="S289" s="13"/>
    </row>
    <row r="290" ht="15.75" customHeight="1">
      <c r="A290" s="14" t="s">
        <v>951</v>
      </c>
      <c r="B290" s="14" t="s">
        <v>316</v>
      </c>
      <c r="C290" s="14" t="s">
        <v>952</v>
      </c>
      <c r="D290" s="14">
        <v>100.0</v>
      </c>
      <c r="E290" s="14" t="s">
        <v>318</v>
      </c>
      <c r="F290" s="14" t="s">
        <v>953</v>
      </c>
      <c r="G290" s="14" t="s">
        <v>954</v>
      </c>
      <c r="H290" s="13"/>
      <c r="I290" s="13"/>
      <c r="J290" s="13"/>
      <c r="K290" s="13"/>
      <c r="L290" s="13"/>
      <c r="M290" s="13"/>
      <c r="N290" s="13"/>
      <c r="O290" s="13"/>
      <c r="P290" s="13"/>
      <c r="Q290" s="13"/>
      <c r="R290" s="13"/>
      <c r="S290" s="13"/>
    </row>
    <row r="291" ht="15.75" customHeight="1">
      <c r="A291" s="14" t="s">
        <v>955</v>
      </c>
      <c r="B291" s="14" t="s">
        <v>316</v>
      </c>
      <c r="C291" s="14" t="s">
        <v>956</v>
      </c>
      <c r="D291" s="14">
        <v>100.0</v>
      </c>
      <c r="E291" s="14" t="s">
        <v>318</v>
      </c>
      <c r="F291" s="14" t="s">
        <v>957</v>
      </c>
      <c r="G291" s="14" t="s">
        <v>958</v>
      </c>
      <c r="H291" s="13"/>
      <c r="I291" s="13"/>
      <c r="J291" s="13"/>
      <c r="K291" s="13"/>
      <c r="L291" s="13"/>
      <c r="M291" s="13"/>
      <c r="N291" s="13"/>
      <c r="O291" s="13"/>
      <c r="P291" s="13"/>
      <c r="Q291" s="13"/>
      <c r="R291" s="13"/>
      <c r="S291" s="13"/>
    </row>
    <row r="292" ht="15.75" customHeight="1">
      <c r="A292" s="14" t="s">
        <v>959</v>
      </c>
      <c r="B292" s="14" t="s">
        <v>316</v>
      </c>
      <c r="C292" s="14" t="s">
        <v>960</v>
      </c>
      <c r="D292" s="14">
        <v>100.0</v>
      </c>
      <c r="E292" s="14" t="s">
        <v>318</v>
      </c>
      <c r="F292" s="14" t="s">
        <v>961</v>
      </c>
      <c r="G292" s="14" t="s">
        <v>962</v>
      </c>
      <c r="H292" s="13"/>
      <c r="I292" s="13"/>
      <c r="J292" s="13"/>
      <c r="K292" s="13"/>
      <c r="L292" s="13"/>
      <c r="M292" s="13"/>
      <c r="N292" s="13"/>
      <c r="O292" s="13"/>
      <c r="P292" s="13"/>
      <c r="Q292" s="13"/>
      <c r="R292" s="13"/>
      <c r="S292" s="13"/>
    </row>
    <row r="293" ht="15.75" customHeight="1">
      <c r="A293" s="14" t="s">
        <v>963</v>
      </c>
      <c r="B293" s="14" t="s">
        <v>316</v>
      </c>
      <c r="C293" s="14" t="s">
        <v>964</v>
      </c>
      <c r="D293" s="14">
        <v>100.0</v>
      </c>
      <c r="E293" s="14" t="s">
        <v>318</v>
      </c>
      <c r="F293" s="14" t="s">
        <v>965</v>
      </c>
      <c r="G293" s="14" t="s">
        <v>966</v>
      </c>
      <c r="H293" s="13"/>
      <c r="I293" s="13"/>
      <c r="J293" s="13"/>
      <c r="K293" s="13"/>
      <c r="L293" s="13"/>
      <c r="M293" s="13"/>
      <c r="N293" s="13"/>
      <c r="O293" s="13"/>
      <c r="P293" s="13"/>
      <c r="Q293" s="13"/>
      <c r="R293" s="13"/>
      <c r="S293" s="13"/>
    </row>
    <row r="294" ht="15.75" customHeight="1">
      <c r="A294" s="14" t="s">
        <v>967</v>
      </c>
      <c r="B294" s="14" t="s">
        <v>316</v>
      </c>
      <c r="C294" s="14" t="s">
        <v>968</v>
      </c>
      <c r="D294" s="14">
        <v>100.0</v>
      </c>
      <c r="E294" s="14" t="s">
        <v>318</v>
      </c>
      <c r="F294" s="14" t="s">
        <v>969</v>
      </c>
      <c r="G294" s="14" t="s">
        <v>970</v>
      </c>
      <c r="H294" s="13"/>
      <c r="I294" s="13"/>
      <c r="J294" s="13"/>
      <c r="K294" s="13"/>
      <c r="L294" s="13"/>
      <c r="M294" s="13"/>
      <c r="N294" s="13"/>
      <c r="O294" s="13"/>
      <c r="P294" s="13"/>
      <c r="Q294" s="13"/>
      <c r="R294" s="13"/>
      <c r="S294" s="13"/>
    </row>
    <row r="295" ht="15.75" customHeight="1">
      <c r="A295" s="14" t="s">
        <v>971</v>
      </c>
      <c r="B295" s="14" t="s">
        <v>316</v>
      </c>
      <c r="C295" s="14" t="s">
        <v>972</v>
      </c>
      <c r="D295" s="14">
        <v>100.0</v>
      </c>
      <c r="E295" s="14" t="s">
        <v>318</v>
      </c>
      <c r="F295" s="14" t="s">
        <v>973</v>
      </c>
      <c r="G295" s="14" t="s">
        <v>974</v>
      </c>
      <c r="H295" s="13"/>
      <c r="I295" s="13"/>
      <c r="J295" s="13"/>
      <c r="K295" s="13"/>
      <c r="L295" s="13"/>
      <c r="M295" s="13"/>
      <c r="N295" s="13"/>
      <c r="O295" s="13"/>
      <c r="P295" s="13"/>
      <c r="Q295" s="13"/>
      <c r="R295" s="13"/>
      <c r="S295" s="13"/>
    </row>
    <row r="296" ht="15.75" customHeight="1">
      <c r="A296" s="14" t="s">
        <v>975</v>
      </c>
      <c r="B296" s="14" t="s">
        <v>316</v>
      </c>
      <c r="C296" s="14" t="s">
        <v>976</v>
      </c>
      <c r="D296" s="14">
        <v>100.0</v>
      </c>
      <c r="E296" s="14" t="s">
        <v>318</v>
      </c>
      <c r="F296" s="14" t="s">
        <v>973</v>
      </c>
      <c r="G296" s="14" t="s">
        <v>977</v>
      </c>
      <c r="H296" s="13"/>
      <c r="I296" s="13"/>
      <c r="J296" s="13"/>
      <c r="K296" s="13"/>
      <c r="L296" s="13"/>
      <c r="M296" s="13"/>
      <c r="N296" s="13"/>
      <c r="O296" s="13"/>
      <c r="P296" s="13"/>
      <c r="Q296" s="13"/>
      <c r="R296" s="13"/>
      <c r="S296" s="13"/>
    </row>
    <row r="297" ht="15.75" customHeight="1">
      <c r="A297" s="14" t="s">
        <v>978</v>
      </c>
      <c r="B297" s="14" t="s">
        <v>316</v>
      </c>
      <c r="C297" s="14" t="s">
        <v>979</v>
      </c>
      <c r="D297" s="14">
        <v>100.0</v>
      </c>
      <c r="E297" s="14" t="s">
        <v>318</v>
      </c>
      <c r="F297" s="14" t="s">
        <v>980</v>
      </c>
      <c r="G297" s="14" t="s">
        <v>981</v>
      </c>
      <c r="H297" s="13"/>
      <c r="I297" s="13"/>
      <c r="J297" s="13"/>
      <c r="K297" s="13"/>
      <c r="L297" s="13"/>
      <c r="M297" s="13"/>
      <c r="N297" s="13"/>
      <c r="O297" s="13"/>
      <c r="P297" s="13"/>
      <c r="Q297" s="13"/>
      <c r="R297" s="13"/>
      <c r="S297" s="13"/>
    </row>
    <row r="298" ht="15.75" customHeight="1">
      <c r="A298" s="14" t="s">
        <v>982</v>
      </c>
      <c r="B298" s="14" t="s">
        <v>316</v>
      </c>
      <c r="C298" s="14" t="s">
        <v>983</v>
      </c>
      <c r="D298" s="14">
        <v>100.0</v>
      </c>
      <c r="E298" s="14" t="s">
        <v>318</v>
      </c>
      <c r="F298" s="14" t="s">
        <v>984</v>
      </c>
      <c r="G298" s="14" t="s">
        <v>985</v>
      </c>
      <c r="H298" s="13"/>
      <c r="I298" s="13"/>
      <c r="J298" s="13"/>
      <c r="K298" s="13"/>
      <c r="L298" s="13"/>
      <c r="M298" s="13"/>
      <c r="N298" s="13"/>
      <c r="O298" s="13"/>
      <c r="P298" s="13"/>
      <c r="Q298" s="13"/>
      <c r="R298" s="13"/>
      <c r="S298" s="13"/>
    </row>
    <row r="299" ht="15.75" customHeight="1">
      <c r="A299" s="14" t="s">
        <v>986</v>
      </c>
      <c r="B299" s="14" t="s">
        <v>316</v>
      </c>
      <c r="C299" s="14" t="s">
        <v>987</v>
      </c>
      <c r="D299" s="14">
        <v>100.0</v>
      </c>
      <c r="E299" s="14" t="s">
        <v>318</v>
      </c>
      <c r="F299" s="14" t="s">
        <v>988</v>
      </c>
      <c r="G299" s="14" t="s">
        <v>989</v>
      </c>
      <c r="H299" s="13"/>
      <c r="I299" s="13"/>
      <c r="J299" s="13"/>
      <c r="K299" s="13"/>
      <c r="L299" s="13"/>
      <c r="M299" s="13"/>
      <c r="N299" s="13"/>
      <c r="O299" s="13"/>
      <c r="P299" s="13"/>
      <c r="Q299" s="13"/>
      <c r="R299" s="13"/>
      <c r="S299" s="13"/>
    </row>
    <row r="300" ht="15.75" customHeight="1">
      <c r="A300" s="14" t="s">
        <v>990</v>
      </c>
      <c r="B300" s="14" t="s">
        <v>316</v>
      </c>
      <c r="C300" s="14" t="s">
        <v>991</v>
      </c>
      <c r="D300" s="14">
        <v>100.0</v>
      </c>
      <c r="E300" s="14" t="s">
        <v>318</v>
      </c>
      <c r="F300" s="14" t="s">
        <v>992</v>
      </c>
      <c r="G300" s="14" t="s">
        <v>993</v>
      </c>
      <c r="H300" s="13"/>
      <c r="I300" s="13"/>
      <c r="J300" s="13"/>
      <c r="K300" s="13"/>
      <c r="L300" s="13"/>
      <c r="M300" s="13"/>
      <c r="N300" s="13"/>
      <c r="O300" s="13"/>
      <c r="P300" s="13"/>
      <c r="Q300" s="13"/>
      <c r="R300" s="13"/>
      <c r="S300" s="13"/>
    </row>
    <row r="301" ht="15.75" customHeight="1">
      <c r="A301" s="14" t="s">
        <v>994</v>
      </c>
      <c r="B301" s="14" t="s">
        <v>316</v>
      </c>
      <c r="C301" s="14" t="s">
        <v>995</v>
      </c>
      <c r="D301" s="14">
        <v>100.0</v>
      </c>
      <c r="E301" s="14" t="s">
        <v>318</v>
      </c>
      <c r="F301" s="14" t="s">
        <v>992</v>
      </c>
      <c r="G301" s="14" t="s">
        <v>996</v>
      </c>
      <c r="H301" s="13"/>
      <c r="I301" s="13"/>
      <c r="J301" s="13"/>
      <c r="K301" s="13"/>
      <c r="L301" s="13"/>
      <c r="M301" s="13"/>
      <c r="N301" s="13"/>
      <c r="O301" s="13"/>
      <c r="P301" s="13"/>
      <c r="Q301" s="13"/>
      <c r="R301" s="13"/>
      <c r="S301" s="13"/>
    </row>
    <row r="302" ht="15.75" customHeight="1">
      <c r="A302" s="14" t="s">
        <v>997</v>
      </c>
      <c r="B302" s="14" t="s">
        <v>316</v>
      </c>
      <c r="C302" s="14" t="s">
        <v>998</v>
      </c>
      <c r="D302" s="14">
        <v>100.0</v>
      </c>
      <c r="E302" s="14" t="s">
        <v>318</v>
      </c>
      <c r="F302" s="14" t="s">
        <v>755</v>
      </c>
      <c r="G302" s="14" t="s">
        <v>999</v>
      </c>
      <c r="H302" s="13"/>
      <c r="I302" s="13"/>
      <c r="J302" s="13"/>
      <c r="K302" s="13"/>
      <c r="L302" s="13"/>
      <c r="M302" s="13"/>
      <c r="N302" s="13"/>
      <c r="O302" s="13"/>
      <c r="P302" s="13"/>
      <c r="Q302" s="13"/>
      <c r="R302" s="13"/>
      <c r="S302" s="13"/>
    </row>
    <row r="303" ht="15.75" customHeight="1">
      <c r="A303" s="14" t="s">
        <v>1000</v>
      </c>
      <c r="B303" s="14" t="s">
        <v>316</v>
      </c>
      <c r="C303" s="14" t="s">
        <v>1001</v>
      </c>
      <c r="D303" s="14">
        <v>100.0</v>
      </c>
      <c r="E303" s="14" t="s">
        <v>318</v>
      </c>
      <c r="F303" s="14" t="s">
        <v>1002</v>
      </c>
      <c r="G303" s="14" t="s">
        <v>1003</v>
      </c>
      <c r="H303" s="13"/>
      <c r="I303" s="13"/>
      <c r="J303" s="13"/>
      <c r="K303" s="13"/>
      <c r="L303" s="13"/>
      <c r="M303" s="13"/>
      <c r="N303" s="13"/>
      <c r="O303" s="13"/>
      <c r="P303" s="13"/>
      <c r="Q303" s="13"/>
      <c r="R303" s="13"/>
      <c r="S303" s="13"/>
    </row>
    <row r="304" ht="15.75" customHeight="1">
      <c r="A304" s="14" t="s">
        <v>1004</v>
      </c>
      <c r="B304" s="14" t="s">
        <v>316</v>
      </c>
      <c r="C304" s="14" t="s">
        <v>998</v>
      </c>
      <c r="D304" s="14">
        <v>100.0</v>
      </c>
      <c r="E304" s="14" t="s">
        <v>318</v>
      </c>
      <c r="F304" s="14" t="s">
        <v>591</v>
      </c>
      <c r="G304" s="14" t="s">
        <v>1005</v>
      </c>
      <c r="H304" s="13"/>
      <c r="I304" s="13"/>
      <c r="J304" s="13"/>
      <c r="K304" s="13"/>
      <c r="L304" s="13"/>
      <c r="M304" s="13"/>
      <c r="N304" s="13"/>
      <c r="O304" s="13"/>
      <c r="P304" s="13"/>
      <c r="Q304" s="13"/>
      <c r="R304" s="13"/>
      <c r="S304" s="13"/>
    </row>
    <row r="305" ht="15.75" customHeight="1">
      <c r="A305" s="14" t="s">
        <v>1006</v>
      </c>
      <c r="B305" s="14" t="s">
        <v>316</v>
      </c>
      <c r="C305" s="14" t="s">
        <v>1007</v>
      </c>
      <c r="D305" s="14">
        <v>100.0</v>
      </c>
      <c r="E305" s="14" t="s">
        <v>318</v>
      </c>
      <c r="F305" s="14" t="s">
        <v>1008</v>
      </c>
      <c r="G305" s="14" t="s">
        <v>1009</v>
      </c>
      <c r="H305" s="13"/>
      <c r="I305" s="13"/>
      <c r="J305" s="13"/>
      <c r="K305" s="13"/>
      <c r="L305" s="13"/>
      <c r="M305" s="13"/>
      <c r="N305" s="13"/>
      <c r="O305" s="13"/>
      <c r="P305" s="13"/>
      <c r="Q305" s="13"/>
      <c r="R305" s="13"/>
      <c r="S305" s="13"/>
    </row>
    <row r="306" ht="15.75" customHeight="1">
      <c r="A306" s="14" t="s">
        <v>1010</v>
      </c>
      <c r="B306" s="14" t="s">
        <v>316</v>
      </c>
      <c r="C306" s="14" t="s">
        <v>1011</v>
      </c>
      <c r="D306" s="14">
        <v>100.0</v>
      </c>
      <c r="E306" s="14" t="s">
        <v>318</v>
      </c>
      <c r="F306" s="14" t="s">
        <v>1012</v>
      </c>
      <c r="G306" s="14" t="s">
        <v>1013</v>
      </c>
      <c r="H306" s="13"/>
      <c r="I306" s="13"/>
      <c r="J306" s="13"/>
      <c r="K306" s="13"/>
      <c r="L306" s="13"/>
      <c r="M306" s="13"/>
      <c r="N306" s="13"/>
      <c r="O306" s="13"/>
      <c r="P306" s="13"/>
      <c r="Q306" s="13"/>
      <c r="R306" s="13"/>
      <c r="S306" s="13"/>
    </row>
    <row r="307" ht="15.75" customHeight="1">
      <c r="A307" s="14" t="s">
        <v>1014</v>
      </c>
      <c r="B307" s="14" t="s">
        <v>316</v>
      </c>
      <c r="C307" s="14" t="s">
        <v>1015</v>
      </c>
      <c r="D307" s="14">
        <v>100.0</v>
      </c>
      <c r="E307" s="14" t="s">
        <v>318</v>
      </c>
      <c r="F307" s="14" t="s">
        <v>1016</v>
      </c>
      <c r="G307" s="14" t="s">
        <v>1017</v>
      </c>
      <c r="H307" s="13"/>
      <c r="I307" s="13"/>
      <c r="J307" s="13"/>
      <c r="K307" s="13"/>
      <c r="L307" s="13"/>
      <c r="M307" s="13"/>
      <c r="N307" s="13"/>
      <c r="O307" s="13"/>
      <c r="P307" s="13"/>
      <c r="Q307" s="13"/>
      <c r="R307" s="13"/>
      <c r="S307" s="13"/>
    </row>
    <row r="308" ht="15.75" customHeight="1">
      <c r="A308" s="14" t="s">
        <v>1018</v>
      </c>
      <c r="B308" s="14" t="s">
        <v>316</v>
      </c>
      <c r="C308" s="14" t="s">
        <v>1019</v>
      </c>
      <c r="D308" s="14">
        <v>100.0</v>
      </c>
      <c r="E308" s="14" t="s">
        <v>318</v>
      </c>
      <c r="F308" s="14" t="s">
        <v>1020</v>
      </c>
      <c r="G308" s="14" t="s">
        <v>1021</v>
      </c>
      <c r="H308" s="13"/>
      <c r="I308" s="13"/>
      <c r="J308" s="13"/>
      <c r="K308" s="13"/>
      <c r="L308" s="13"/>
      <c r="M308" s="13"/>
      <c r="N308" s="13"/>
      <c r="O308" s="13"/>
      <c r="P308" s="13"/>
      <c r="Q308" s="13"/>
      <c r="R308" s="13"/>
      <c r="S308" s="13"/>
    </row>
    <row r="309" ht="15.75" customHeight="1">
      <c r="A309" s="14" t="s">
        <v>1022</v>
      </c>
      <c r="B309" s="14" t="s">
        <v>316</v>
      </c>
      <c r="C309" s="14" t="s">
        <v>1023</v>
      </c>
      <c r="D309" s="14">
        <v>100.0</v>
      </c>
      <c r="E309" s="14" t="s">
        <v>318</v>
      </c>
      <c r="F309" s="14" t="s">
        <v>1024</v>
      </c>
      <c r="G309" s="14" t="s">
        <v>1025</v>
      </c>
      <c r="H309" s="13"/>
      <c r="I309" s="13"/>
      <c r="J309" s="13"/>
      <c r="K309" s="13"/>
      <c r="L309" s="13"/>
      <c r="M309" s="13"/>
      <c r="N309" s="13"/>
      <c r="O309" s="13"/>
      <c r="P309" s="13"/>
      <c r="Q309" s="13"/>
      <c r="R309" s="13"/>
      <c r="S309" s="13"/>
    </row>
    <row r="310" ht="15.75" customHeight="1">
      <c r="A310" s="14" t="s">
        <v>1026</v>
      </c>
      <c r="B310" s="14" t="s">
        <v>316</v>
      </c>
      <c r="C310" s="14" t="s">
        <v>1027</v>
      </c>
      <c r="D310" s="14">
        <v>100.0</v>
      </c>
      <c r="E310" s="14" t="s">
        <v>318</v>
      </c>
      <c r="F310" s="14" t="s">
        <v>1028</v>
      </c>
      <c r="G310" s="14" t="s">
        <v>1029</v>
      </c>
      <c r="H310" s="13"/>
      <c r="I310" s="13"/>
      <c r="J310" s="13"/>
      <c r="K310" s="13"/>
      <c r="L310" s="13"/>
      <c r="M310" s="13"/>
      <c r="N310" s="13"/>
      <c r="O310" s="13"/>
      <c r="P310" s="13"/>
      <c r="Q310" s="13"/>
      <c r="R310" s="13"/>
      <c r="S310" s="13"/>
    </row>
    <row r="311" ht="15.75" customHeight="1">
      <c r="A311" s="14" t="s">
        <v>1030</v>
      </c>
      <c r="B311" s="14" t="s">
        <v>316</v>
      </c>
      <c r="C311" s="14" t="s">
        <v>1031</v>
      </c>
      <c r="D311" s="14">
        <v>100.0</v>
      </c>
      <c r="E311" s="14" t="s">
        <v>318</v>
      </c>
      <c r="F311" s="14" t="s">
        <v>637</v>
      </c>
      <c r="G311" s="14" t="s">
        <v>1032</v>
      </c>
      <c r="H311" s="13"/>
      <c r="I311" s="13"/>
      <c r="J311" s="13"/>
      <c r="K311" s="13"/>
      <c r="L311" s="13"/>
      <c r="M311" s="13"/>
      <c r="N311" s="13"/>
      <c r="O311" s="13"/>
      <c r="P311" s="13"/>
      <c r="Q311" s="13"/>
      <c r="R311" s="13"/>
      <c r="S311" s="13"/>
    </row>
    <row r="312" ht="15.75" customHeight="1">
      <c r="A312" s="14" t="s">
        <v>1033</v>
      </c>
      <c r="B312" s="14" t="s">
        <v>316</v>
      </c>
      <c r="C312" s="14" t="s">
        <v>1034</v>
      </c>
      <c r="D312" s="14">
        <v>100.0</v>
      </c>
      <c r="E312" s="14" t="s">
        <v>318</v>
      </c>
      <c r="F312" s="14" t="s">
        <v>1035</v>
      </c>
      <c r="G312" s="14" t="s">
        <v>1036</v>
      </c>
      <c r="H312" s="13"/>
      <c r="I312" s="13"/>
      <c r="J312" s="13"/>
      <c r="K312" s="13"/>
      <c r="L312" s="13"/>
      <c r="M312" s="13"/>
      <c r="N312" s="13"/>
      <c r="O312" s="13"/>
      <c r="P312" s="13"/>
      <c r="Q312" s="13"/>
      <c r="R312" s="13"/>
      <c r="S312" s="13"/>
    </row>
    <row r="313" ht="15.75" customHeight="1">
      <c r="A313" s="14" t="s">
        <v>1037</v>
      </c>
      <c r="B313" s="14" t="s">
        <v>316</v>
      </c>
      <c r="C313" s="14" t="s">
        <v>1038</v>
      </c>
      <c r="D313" s="14">
        <v>100.0</v>
      </c>
      <c r="E313" s="14" t="s">
        <v>318</v>
      </c>
      <c r="F313" s="14" t="s">
        <v>1039</v>
      </c>
      <c r="G313" s="14" t="s">
        <v>1040</v>
      </c>
      <c r="H313" s="13"/>
      <c r="I313" s="13"/>
      <c r="J313" s="13"/>
      <c r="K313" s="13"/>
      <c r="L313" s="13"/>
      <c r="M313" s="13"/>
      <c r="N313" s="13"/>
      <c r="O313" s="13"/>
      <c r="P313" s="13"/>
      <c r="Q313" s="13"/>
      <c r="R313" s="13"/>
      <c r="S313" s="13"/>
    </row>
    <row r="314" ht="15.75" customHeight="1">
      <c r="A314" s="14" t="s">
        <v>1041</v>
      </c>
      <c r="B314" s="14" t="s">
        <v>316</v>
      </c>
      <c r="C314" s="14" t="s">
        <v>1042</v>
      </c>
      <c r="D314" s="14">
        <v>100.0</v>
      </c>
      <c r="E314" s="14" t="s">
        <v>318</v>
      </c>
      <c r="F314" s="14" t="s">
        <v>1043</v>
      </c>
      <c r="G314" s="14" t="s">
        <v>1044</v>
      </c>
      <c r="H314" s="13"/>
      <c r="I314" s="13"/>
      <c r="J314" s="13"/>
      <c r="K314" s="13"/>
      <c r="L314" s="13"/>
      <c r="M314" s="13"/>
      <c r="N314" s="13"/>
      <c r="O314" s="13"/>
      <c r="P314" s="13"/>
      <c r="Q314" s="13"/>
      <c r="R314" s="13"/>
      <c r="S314" s="13"/>
    </row>
    <row r="315" ht="15.75" customHeight="1">
      <c r="A315" s="14" t="s">
        <v>1045</v>
      </c>
      <c r="B315" s="14" t="s">
        <v>316</v>
      </c>
      <c r="C315" s="14" t="s">
        <v>1046</v>
      </c>
      <c r="D315" s="14">
        <v>100.0</v>
      </c>
      <c r="E315" s="14" t="s">
        <v>318</v>
      </c>
      <c r="F315" s="14" t="s">
        <v>1047</v>
      </c>
      <c r="G315" s="14" t="s">
        <v>1048</v>
      </c>
      <c r="H315" s="13"/>
      <c r="I315" s="13"/>
      <c r="J315" s="13"/>
      <c r="K315" s="13"/>
      <c r="L315" s="13"/>
      <c r="M315" s="13"/>
      <c r="N315" s="13"/>
      <c r="O315" s="13"/>
      <c r="P315" s="13"/>
      <c r="Q315" s="13"/>
      <c r="R315" s="13"/>
      <c r="S315" s="13"/>
    </row>
    <row r="316" ht="15.75" customHeight="1">
      <c r="A316" s="14" t="s">
        <v>1049</v>
      </c>
      <c r="B316" s="14" t="s">
        <v>316</v>
      </c>
      <c r="C316" s="14" t="s">
        <v>1050</v>
      </c>
      <c r="D316" s="14">
        <v>100.0</v>
      </c>
      <c r="E316" s="14" t="s">
        <v>318</v>
      </c>
      <c r="F316" s="14" t="s">
        <v>1051</v>
      </c>
      <c r="G316" s="14" t="s">
        <v>1052</v>
      </c>
      <c r="H316" s="13"/>
      <c r="I316" s="13"/>
      <c r="J316" s="13"/>
      <c r="K316" s="13"/>
      <c r="L316" s="13"/>
      <c r="M316" s="13"/>
      <c r="N316" s="13"/>
      <c r="O316" s="13"/>
      <c r="P316" s="13"/>
      <c r="Q316" s="13"/>
      <c r="R316" s="13"/>
      <c r="S316" s="13"/>
    </row>
    <row r="317" ht="15.75" customHeight="1">
      <c r="A317" s="14" t="s">
        <v>1053</v>
      </c>
      <c r="B317" s="14" t="s">
        <v>316</v>
      </c>
      <c r="C317" s="14" t="s">
        <v>1054</v>
      </c>
      <c r="D317" s="14">
        <v>100.0</v>
      </c>
      <c r="E317" s="14" t="s">
        <v>318</v>
      </c>
      <c r="F317" s="14" t="s">
        <v>1055</v>
      </c>
      <c r="G317" s="14" t="s">
        <v>1056</v>
      </c>
      <c r="H317" s="13"/>
      <c r="I317" s="13"/>
      <c r="J317" s="13"/>
      <c r="K317" s="13"/>
      <c r="L317" s="13"/>
      <c r="M317" s="13"/>
      <c r="N317" s="13"/>
      <c r="O317" s="13"/>
      <c r="P317" s="13"/>
      <c r="Q317" s="13"/>
      <c r="R317" s="13"/>
      <c r="S317" s="13"/>
    </row>
    <row r="318" ht="15.75" customHeight="1">
      <c r="A318" s="14" t="s">
        <v>1057</v>
      </c>
      <c r="B318" s="14" t="s">
        <v>316</v>
      </c>
      <c r="C318" s="14" t="s">
        <v>1058</v>
      </c>
      <c r="D318" s="14">
        <v>100.0</v>
      </c>
      <c r="E318" s="14" t="s">
        <v>318</v>
      </c>
      <c r="F318" s="14" t="s">
        <v>637</v>
      </c>
      <c r="G318" s="14" t="s">
        <v>1059</v>
      </c>
      <c r="H318" s="13"/>
      <c r="I318" s="13"/>
      <c r="J318" s="13"/>
      <c r="K318" s="13"/>
      <c r="L318" s="13"/>
      <c r="M318" s="13"/>
      <c r="N318" s="13"/>
      <c r="O318" s="13"/>
      <c r="P318" s="13"/>
      <c r="Q318" s="13"/>
      <c r="R318" s="13"/>
      <c r="S318" s="13"/>
    </row>
    <row r="319" ht="15.75" customHeight="1">
      <c r="A319" s="14" t="s">
        <v>1060</v>
      </c>
      <c r="B319" s="14" t="s">
        <v>316</v>
      </c>
      <c r="C319" s="14" t="s">
        <v>1061</v>
      </c>
      <c r="D319" s="14">
        <v>100.0</v>
      </c>
      <c r="E319" s="14" t="s">
        <v>318</v>
      </c>
      <c r="F319" s="14" t="s">
        <v>451</v>
      </c>
      <c r="G319" s="14" t="s">
        <v>1062</v>
      </c>
      <c r="H319" s="13"/>
      <c r="I319" s="13"/>
      <c r="J319" s="13"/>
      <c r="K319" s="13"/>
      <c r="L319" s="13"/>
      <c r="M319" s="13"/>
      <c r="N319" s="13"/>
      <c r="O319" s="13"/>
      <c r="P319" s="13"/>
      <c r="Q319" s="13"/>
      <c r="R319" s="13"/>
      <c r="S319" s="13"/>
    </row>
    <row r="320" ht="15.75" customHeight="1">
      <c r="A320" s="14" t="s">
        <v>1063</v>
      </c>
      <c r="B320" s="14" t="s">
        <v>316</v>
      </c>
      <c r="C320" s="14" t="s">
        <v>1064</v>
      </c>
      <c r="D320" s="14">
        <v>100.0</v>
      </c>
      <c r="E320" s="14" t="s">
        <v>318</v>
      </c>
      <c r="F320" s="14" t="s">
        <v>1035</v>
      </c>
      <c r="G320" s="14" t="s">
        <v>1065</v>
      </c>
      <c r="H320" s="13"/>
      <c r="I320" s="13"/>
      <c r="J320" s="13"/>
      <c r="K320" s="13"/>
      <c r="L320" s="13"/>
      <c r="M320" s="13"/>
      <c r="N320" s="13"/>
      <c r="O320" s="13"/>
      <c r="P320" s="13"/>
      <c r="Q320" s="13"/>
      <c r="R320" s="13"/>
      <c r="S320" s="13"/>
    </row>
    <row r="321" ht="15.75" customHeight="1">
      <c r="A321" s="14" t="s">
        <v>1066</v>
      </c>
      <c r="B321" s="14" t="s">
        <v>316</v>
      </c>
      <c r="C321" s="14" t="s">
        <v>1067</v>
      </c>
      <c r="D321" s="14">
        <v>100.0</v>
      </c>
      <c r="E321" s="14" t="s">
        <v>318</v>
      </c>
      <c r="F321" s="14" t="s">
        <v>1068</v>
      </c>
      <c r="G321" s="14" t="s">
        <v>1069</v>
      </c>
      <c r="H321" s="13"/>
      <c r="I321" s="13"/>
      <c r="J321" s="13"/>
      <c r="K321" s="13"/>
      <c r="L321" s="13"/>
      <c r="M321" s="13"/>
      <c r="N321" s="13"/>
      <c r="O321" s="13"/>
      <c r="P321" s="13"/>
      <c r="Q321" s="13"/>
      <c r="R321" s="13"/>
      <c r="S321" s="13"/>
    </row>
    <row r="322" ht="15.75" customHeight="1">
      <c r="A322" s="14" t="s">
        <v>1070</v>
      </c>
      <c r="B322" s="14" t="s">
        <v>316</v>
      </c>
      <c r="C322" s="14" t="s">
        <v>1071</v>
      </c>
      <c r="D322" s="14">
        <v>100.0</v>
      </c>
      <c r="E322" s="14" t="s">
        <v>318</v>
      </c>
      <c r="F322" s="14" t="s">
        <v>774</v>
      </c>
      <c r="G322" s="14" t="s">
        <v>1072</v>
      </c>
      <c r="H322" s="13"/>
      <c r="I322" s="13"/>
      <c r="J322" s="13"/>
      <c r="K322" s="13"/>
      <c r="L322" s="13"/>
      <c r="M322" s="13"/>
      <c r="N322" s="13"/>
      <c r="O322" s="13"/>
      <c r="P322" s="13"/>
      <c r="Q322" s="13"/>
      <c r="R322" s="13"/>
      <c r="S322" s="13"/>
    </row>
    <row r="323" ht="15.75" customHeight="1">
      <c r="A323" s="14" t="s">
        <v>1073</v>
      </c>
      <c r="B323" s="14" t="s">
        <v>316</v>
      </c>
      <c r="C323" s="14" t="s">
        <v>1074</v>
      </c>
      <c r="D323" s="14">
        <v>100.0</v>
      </c>
      <c r="E323" s="14" t="s">
        <v>318</v>
      </c>
      <c r="F323" s="14" t="s">
        <v>1075</v>
      </c>
      <c r="G323" s="14" t="s">
        <v>1076</v>
      </c>
      <c r="H323" s="13"/>
      <c r="I323" s="13"/>
      <c r="J323" s="13"/>
      <c r="K323" s="13"/>
      <c r="L323" s="13"/>
      <c r="M323" s="13"/>
      <c r="N323" s="13"/>
      <c r="O323" s="13"/>
      <c r="P323" s="13"/>
      <c r="Q323" s="13"/>
      <c r="R323" s="13"/>
      <c r="S323" s="13"/>
    </row>
    <row r="324" ht="15.75" customHeight="1">
      <c r="A324" s="14" t="s">
        <v>1077</v>
      </c>
      <c r="B324" s="14" t="s">
        <v>316</v>
      </c>
      <c r="C324" s="14" t="s">
        <v>1078</v>
      </c>
      <c r="D324" s="14">
        <v>100.0</v>
      </c>
      <c r="E324" s="14" t="s">
        <v>318</v>
      </c>
      <c r="F324" s="14" t="s">
        <v>1079</v>
      </c>
      <c r="G324" s="14" t="s">
        <v>1080</v>
      </c>
      <c r="H324" s="13"/>
      <c r="I324" s="13"/>
      <c r="J324" s="13"/>
      <c r="K324" s="13"/>
      <c r="L324" s="13"/>
      <c r="M324" s="13"/>
      <c r="N324" s="13"/>
      <c r="O324" s="13"/>
      <c r="P324" s="13"/>
      <c r="Q324" s="13"/>
      <c r="R324" s="13"/>
      <c r="S324" s="13"/>
    </row>
    <row r="325" ht="15.75" customHeight="1">
      <c r="A325" s="14" t="s">
        <v>1081</v>
      </c>
      <c r="B325" s="14" t="s">
        <v>316</v>
      </c>
      <c r="C325" s="14" t="s">
        <v>1082</v>
      </c>
      <c r="D325" s="14">
        <v>100.0</v>
      </c>
      <c r="E325" s="14" t="s">
        <v>318</v>
      </c>
      <c r="F325" s="14" t="s">
        <v>1083</v>
      </c>
      <c r="G325" s="14" t="s">
        <v>1084</v>
      </c>
      <c r="H325" s="13"/>
      <c r="I325" s="13"/>
      <c r="J325" s="13"/>
      <c r="K325" s="13"/>
      <c r="L325" s="13"/>
      <c r="M325" s="13"/>
      <c r="N325" s="13"/>
      <c r="O325" s="13"/>
      <c r="P325" s="13"/>
      <c r="Q325" s="13"/>
      <c r="R325" s="13"/>
      <c r="S325" s="13"/>
    </row>
    <row r="326" ht="15.75" customHeight="1">
      <c r="A326" s="14" t="s">
        <v>1085</v>
      </c>
      <c r="B326" s="14" t="s">
        <v>316</v>
      </c>
      <c r="C326" s="14" t="s">
        <v>1086</v>
      </c>
      <c r="D326" s="14">
        <v>100.0</v>
      </c>
      <c r="E326" s="14" t="s">
        <v>318</v>
      </c>
      <c r="F326" s="14" t="s">
        <v>1087</v>
      </c>
      <c r="G326" s="14" t="s">
        <v>1088</v>
      </c>
      <c r="H326" s="13"/>
      <c r="I326" s="13"/>
      <c r="J326" s="13"/>
      <c r="K326" s="13"/>
      <c r="L326" s="13"/>
      <c r="M326" s="13"/>
      <c r="N326" s="13"/>
      <c r="O326" s="13"/>
      <c r="P326" s="13"/>
      <c r="Q326" s="13"/>
      <c r="R326" s="13"/>
      <c r="S326" s="13"/>
    </row>
    <row r="327" ht="15.75" customHeight="1">
      <c r="A327" s="14" t="s">
        <v>1089</v>
      </c>
      <c r="B327" s="14" t="s">
        <v>316</v>
      </c>
      <c r="C327" s="14" t="s">
        <v>1090</v>
      </c>
      <c r="D327" s="14">
        <v>100.0</v>
      </c>
      <c r="E327" s="14" t="s">
        <v>318</v>
      </c>
      <c r="F327" s="14" t="s">
        <v>1091</v>
      </c>
      <c r="G327" s="14" t="s">
        <v>1092</v>
      </c>
      <c r="H327" s="13"/>
      <c r="I327" s="13"/>
      <c r="J327" s="13"/>
      <c r="K327" s="13"/>
      <c r="L327" s="13"/>
      <c r="M327" s="13"/>
      <c r="N327" s="13"/>
      <c r="O327" s="13"/>
      <c r="P327" s="13"/>
      <c r="Q327" s="13"/>
      <c r="R327" s="13"/>
      <c r="S327" s="13"/>
    </row>
    <row r="328" ht="15.75" customHeight="1">
      <c r="A328" s="14" t="s">
        <v>1093</v>
      </c>
      <c r="B328" s="14" t="s">
        <v>316</v>
      </c>
      <c r="C328" s="14" t="s">
        <v>1094</v>
      </c>
      <c r="D328" s="14">
        <v>100.0</v>
      </c>
      <c r="E328" s="14" t="s">
        <v>318</v>
      </c>
      <c r="F328" s="14" t="s">
        <v>1095</v>
      </c>
      <c r="G328" s="14" t="s">
        <v>1096</v>
      </c>
      <c r="H328" s="13"/>
      <c r="I328" s="13"/>
      <c r="J328" s="13"/>
      <c r="K328" s="13"/>
      <c r="L328" s="13"/>
      <c r="M328" s="13"/>
      <c r="N328" s="13"/>
      <c r="O328" s="13"/>
      <c r="P328" s="13"/>
      <c r="Q328" s="13"/>
      <c r="R328" s="13"/>
      <c r="S328" s="13"/>
    </row>
    <row r="329" ht="15.75" customHeight="1">
      <c r="A329" s="14" t="s">
        <v>1097</v>
      </c>
      <c r="B329" s="14" t="s">
        <v>316</v>
      </c>
      <c r="C329" s="14" t="s">
        <v>1098</v>
      </c>
      <c r="D329" s="14">
        <v>100.0</v>
      </c>
      <c r="E329" s="14" t="s">
        <v>318</v>
      </c>
      <c r="F329" s="14" t="s">
        <v>1099</v>
      </c>
      <c r="G329" s="14" t="s">
        <v>1100</v>
      </c>
      <c r="H329" s="13"/>
      <c r="I329" s="13"/>
      <c r="J329" s="13"/>
      <c r="K329" s="13"/>
      <c r="L329" s="13"/>
      <c r="M329" s="13"/>
      <c r="N329" s="13"/>
      <c r="O329" s="13"/>
      <c r="P329" s="13"/>
      <c r="Q329" s="13"/>
      <c r="R329" s="13"/>
      <c r="S329" s="13"/>
    </row>
    <row r="330" ht="15.75" customHeight="1">
      <c r="A330" s="14" t="s">
        <v>1101</v>
      </c>
      <c r="B330" s="14" t="s">
        <v>316</v>
      </c>
      <c r="C330" s="14" t="s">
        <v>1102</v>
      </c>
      <c r="D330" s="14">
        <v>100.0</v>
      </c>
      <c r="E330" s="14" t="s">
        <v>318</v>
      </c>
      <c r="F330" s="14" t="s">
        <v>1103</v>
      </c>
      <c r="G330" s="14" t="s">
        <v>1104</v>
      </c>
      <c r="H330" s="13"/>
      <c r="I330" s="13"/>
      <c r="J330" s="13"/>
      <c r="K330" s="13"/>
      <c r="L330" s="13"/>
      <c r="M330" s="13"/>
      <c r="N330" s="13"/>
      <c r="O330" s="13"/>
      <c r="P330" s="13"/>
      <c r="Q330" s="13"/>
      <c r="R330" s="13"/>
      <c r="S330" s="13"/>
    </row>
    <row r="331" ht="15.75" customHeight="1">
      <c r="A331" s="14" t="s">
        <v>1105</v>
      </c>
      <c r="B331" s="14" t="s">
        <v>316</v>
      </c>
      <c r="C331" s="14" t="s">
        <v>1106</v>
      </c>
      <c r="D331" s="14">
        <v>100.0</v>
      </c>
      <c r="E331" s="14" t="s">
        <v>318</v>
      </c>
      <c r="F331" s="14" t="s">
        <v>1107</v>
      </c>
      <c r="G331" s="14" t="s">
        <v>1108</v>
      </c>
      <c r="H331" s="13"/>
      <c r="I331" s="13"/>
      <c r="J331" s="13"/>
      <c r="K331" s="13"/>
      <c r="L331" s="13"/>
      <c r="M331" s="13"/>
      <c r="N331" s="13"/>
      <c r="O331" s="13"/>
      <c r="P331" s="13"/>
      <c r="Q331" s="13"/>
      <c r="R331" s="13"/>
      <c r="S331" s="13"/>
    </row>
    <row r="332" ht="15.75" customHeight="1">
      <c r="A332" s="14" t="s">
        <v>1109</v>
      </c>
      <c r="B332" s="14" t="s">
        <v>316</v>
      </c>
      <c r="C332" s="14" t="s">
        <v>1110</v>
      </c>
      <c r="D332" s="14">
        <v>100.0</v>
      </c>
      <c r="E332" s="14" t="s">
        <v>318</v>
      </c>
      <c r="F332" s="14" t="s">
        <v>774</v>
      </c>
      <c r="G332" s="14" t="s">
        <v>1111</v>
      </c>
      <c r="H332" s="13"/>
      <c r="I332" s="13"/>
      <c r="J332" s="13"/>
      <c r="K332" s="13"/>
      <c r="L332" s="13"/>
      <c r="M332" s="13"/>
      <c r="N332" s="13"/>
      <c r="O332" s="13"/>
      <c r="P332" s="13"/>
      <c r="Q332" s="13"/>
      <c r="R332" s="13"/>
      <c r="S332" s="13"/>
    </row>
    <row r="333" ht="15.75" customHeight="1">
      <c r="A333" s="14" t="s">
        <v>1112</v>
      </c>
      <c r="B333" s="14" t="s">
        <v>316</v>
      </c>
      <c r="C333" s="14" t="s">
        <v>1113</v>
      </c>
      <c r="D333" s="14">
        <v>100.0</v>
      </c>
      <c r="E333" s="14" t="s">
        <v>318</v>
      </c>
      <c r="F333" s="14" t="s">
        <v>1114</v>
      </c>
      <c r="G333" s="14" t="s">
        <v>1115</v>
      </c>
      <c r="H333" s="13"/>
      <c r="I333" s="13"/>
      <c r="J333" s="13"/>
      <c r="K333" s="13"/>
      <c r="L333" s="13"/>
      <c r="M333" s="13"/>
      <c r="N333" s="13"/>
      <c r="O333" s="13"/>
      <c r="P333" s="13"/>
      <c r="Q333" s="13"/>
      <c r="R333" s="13"/>
      <c r="S333" s="13"/>
    </row>
    <row r="334" ht="15.75" customHeight="1">
      <c r="A334" s="14" t="s">
        <v>1116</v>
      </c>
      <c r="B334" s="14" t="s">
        <v>316</v>
      </c>
      <c r="C334" s="14" t="s">
        <v>1117</v>
      </c>
      <c r="D334" s="14">
        <v>100.0</v>
      </c>
      <c r="E334" s="14" t="s">
        <v>318</v>
      </c>
      <c r="F334" s="14" t="s">
        <v>1118</v>
      </c>
      <c r="G334" s="14" t="s">
        <v>1119</v>
      </c>
      <c r="H334" s="13"/>
      <c r="I334" s="13"/>
      <c r="J334" s="13"/>
      <c r="K334" s="13"/>
      <c r="L334" s="13"/>
      <c r="M334" s="13"/>
      <c r="N334" s="13"/>
      <c r="O334" s="13"/>
      <c r="P334" s="13"/>
      <c r="Q334" s="13"/>
      <c r="R334" s="13"/>
      <c r="S334" s="13"/>
    </row>
    <row r="335" ht="15.75" customHeight="1">
      <c r="A335" s="14" t="s">
        <v>1120</v>
      </c>
      <c r="B335" s="14" t="s">
        <v>316</v>
      </c>
      <c r="C335" s="14" t="s">
        <v>1121</v>
      </c>
      <c r="D335" s="14">
        <v>100.0</v>
      </c>
      <c r="E335" s="14" t="s">
        <v>318</v>
      </c>
      <c r="F335" s="14" t="s">
        <v>1122</v>
      </c>
      <c r="G335" s="14" t="s">
        <v>1123</v>
      </c>
      <c r="H335" s="13"/>
      <c r="I335" s="13"/>
      <c r="J335" s="13"/>
      <c r="K335" s="13"/>
      <c r="L335" s="13"/>
      <c r="M335" s="13"/>
      <c r="N335" s="13"/>
      <c r="O335" s="13"/>
      <c r="P335" s="13"/>
      <c r="Q335" s="13"/>
      <c r="R335" s="13"/>
      <c r="S335" s="13"/>
    </row>
    <row r="336" ht="15.75" customHeight="1">
      <c r="A336" s="14" t="s">
        <v>1124</v>
      </c>
      <c r="B336" s="14" t="s">
        <v>316</v>
      </c>
      <c r="C336" s="14" t="s">
        <v>1125</v>
      </c>
      <c r="D336" s="14">
        <v>100.0</v>
      </c>
      <c r="E336" s="14" t="s">
        <v>318</v>
      </c>
      <c r="F336" s="14" t="s">
        <v>1126</v>
      </c>
      <c r="G336" s="14" t="s">
        <v>1127</v>
      </c>
      <c r="H336" s="13"/>
      <c r="I336" s="13"/>
      <c r="J336" s="13"/>
      <c r="K336" s="13"/>
      <c r="L336" s="13"/>
      <c r="M336" s="13"/>
      <c r="N336" s="13"/>
      <c r="O336" s="13"/>
      <c r="P336" s="13"/>
      <c r="Q336" s="13"/>
      <c r="R336" s="13"/>
      <c r="S336" s="13"/>
    </row>
    <row r="337" ht="15.75" customHeight="1">
      <c r="A337" s="14" t="s">
        <v>1128</v>
      </c>
      <c r="B337" s="14" t="s">
        <v>316</v>
      </c>
      <c r="C337" s="14" t="s">
        <v>1129</v>
      </c>
      <c r="D337" s="14">
        <v>100.0</v>
      </c>
      <c r="E337" s="14" t="s">
        <v>318</v>
      </c>
      <c r="F337" s="14" t="s">
        <v>1130</v>
      </c>
      <c r="G337" s="14" t="s">
        <v>1131</v>
      </c>
      <c r="H337" s="13"/>
      <c r="I337" s="13"/>
      <c r="J337" s="13"/>
      <c r="K337" s="13"/>
      <c r="L337" s="13"/>
      <c r="M337" s="13"/>
      <c r="N337" s="13"/>
      <c r="O337" s="13"/>
      <c r="P337" s="13"/>
      <c r="Q337" s="13"/>
      <c r="R337" s="13"/>
      <c r="S337" s="13"/>
    </row>
    <row r="338" ht="15.75" customHeight="1">
      <c r="A338" s="14" t="s">
        <v>1132</v>
      </c>
      <c r="B338" s="14" t="s">
        <v>316</v>
      </c>
      <c r="C338" s="14" t="s">
        <v>1133</v>
      </c>
      <c r="D338" s="14">
        <v>100.0</v>
      </c>
      <c r="E338" s="14" t="s">
        <v>318</v>
      </c>
      <c r="F338" s="14" t="s">
        <v>1134</v>
      </c>
      <c r="G338" s="14" t="s">
        <v>1135</v>
      </c>
      <c r="H338" s="13"/>
      <c r="I338" s="13"/>
      <c r="J338" s="13"/>
      <c r="K338" s="13"/>
      <c r="L338" s="13"/>
      <c r="M338" s="13"/>
      <c r="N338" s="13"/>
      <c r="O338" s="13"/>
      <c r="P338" s="13"/>
      <c r="Q338" s="13"/>
      <c r="R338" s="13"/>
      <c r="S338" s="13"/>
    </row>
    <row r="339" ht="15.75" customHeight="1">
      <c r="A339" s="14" t="s">
        <v>1136</v>
      </c>
      <c r="B339" s="14" t="s">
        <v>316</v>
      </c>
      <c r="C339" s="14" t="s">
        <v>1137</v>
      </c>
      <c r="D339" s="14">
        <v>100.0</v>
      </c>
      <c r="E339" s="14" t="s">
        <v>318</v>
      </c>
      <c r="F339" s="14" t="s">
        <v>1138</v>
      </c>
      <c r="G339" s="14" t="s">
        <v>1139</v>
      </c>
      <c r="H339" s="13"/>
      <c r="I339" s="13"/>
      <c r="J339" s="13"/>
      <c r="K339" s="13"/>
      <c r="L339" s="13"/>
      <c r="M339" s="13"/>
      <c r="N339" s="13"/>
      <c r="O339" s="13"/>
      <c r="P339" s="13"/>
      <c r="Q339" s="13"/>
      <c r="R339" s="13"/>
      <c r="S339" s="13"/>
    </row>
    <row r="340" ht="15.75" customHeight="1">
      <c r="A340" s="14" t="s">
        <v>1140</v>
      </c>
      <c r="B340" s="14" t="s">
        <v>316</v>
      </c>
      <c r="C340" s="14" t="s">
        <v>1141</v>
      </c>
      <c r="D340" s="14">
        <v>100.0</v>
      </c>
      <c r="E340" s="14" t="s">
        <v>318</v>
      </c>
      <c r="F340" s="14" t="s">
        <v>1142</v>
      </c>
      <c r="G340" s="14" t="s">
        <v>1143</v>
      </c>
      <c r="H340" s="13"/>
      <c r="I340" s="13"/>
      <c r="J340" s="13"/>
      <c r="K340" s="13"/>
      <c r="L340" s="13"/>
      <c r="M340" s="13"/>
      <c r="N340" s="13"/>
      <c r="O340" s="13"/>
      <c r="P340" s="13"/>
      <c r="Q340" s="13"/>
      <c r="R340" s="13"/>
      <c r="S340" s="13"/>
    </row>
    <row r="341" ht="15.75" customHeight="1">
      <c r="A341" s="14" t="s">
        <v>1144</v>
      </c>
      <c r="B341" s="14" t="s">
        <v>316</v>
      </c>
      <c r="C341" s="14" t="s">
        <v>1145</v>
      </c>
      <c r="D341" s="14">
        <v>100.0</v>
      </c>
      <c r="E341" s="14" t="s">
        <v>318</v>
      </c>
      <c r="F341" s="14" t="s">
        <v>1146</v>
      </c>
      <c r="G341" s="14" t="s">
        <v>1147</v>
      </c>
      <c r="H341" s="13"/>
      <c r="I341" s="13"/>
      <c r="J341" s="13"/>
      <c r="K341" s="13"/>
      <c r="L341" s="13"/>
      <c r="M341" s="13"/>
      <c r="N341" s="13"/>
      <c r="O341" s="13"/>
      <c r="P341" s="13"/>
      <c r="Q341" s="13"/>
      <c r="R341" s="13"/>
      <c r="S341" s="13"/>
    </row>
    <row r="342" ht="15.75" customHeight="1">
      <c r="A342" s="14" t="s">
        <v>1148</v>
      </c>
      <c r="B342" s="14" t="s">
        <v>316</v>
      </c>
      <c r="C342" s="14" t="s">
        <v>1149</v>
      </c>
      <c r="D342" s="14">
        <v>100.0</v>
      </c>
      <c r="E342" s="14" t="s">
        <v>318</v>
      </c>
      <c r="F342" s="14" t="s">
        <v>1150</v>
      </c>
      <c r="G342" s="14" t="s">
        <v>1151</v>
      </c>
      <c r="H342" s="13"/>
      <c r="I342" s="13"/>
      <c r="J342" s="13"/>
      <c r="K342" s="13"/>
      <c r="L342" s="13"/>
      <c r="M342" s="13"/>
      <c r="N342" s="13"/>
      <c r="O342" s="13"/>
      <c r="P342" s="13"/>
      <c r="Q342" s="13"/>
      <c r="R342" s="13"/>
      <c r="S342" s="13"/>
    </row>
    <row r="343" ht="15.75" customHeight="1">
      <c r="A343" s="14" t="s">
        <v>1152</v>
      </c>
      <c r="B343" s="14" t="s">
        <v>316</v>
      </c>
      <c r="C343" s="14" t="s">
        <v>1153</v>
      </c>
      <c r="D343" s="14">
        <v>100.0</v>
      </c>
      <c r="E343" s="14" t="s">
        <v>318</v>
      </c>
      <c r="F343" s="14" t="s">
        <v>1154</v>
      </c>
      <c r="G343" s="14" t="s">
        <v>1155</v>
      </c>
      <c r="H343" s="13"/>
      <c r="I343" s="13"/>
      <c r="J343" s="13"/>
      <c r="K343" s="13"/>
      <c r="L343" s="13"/>
      <c r="M343" s="13"/>
      <c r="N343" s="13"/>
      <c r="O343" s="13"/>
      <c r="P343" s="13"/>
      <c r="Q343" s="13"/>
      <c r="R343" s="13"/>
      <c r="S343" s="13"/>
    </row>
    <row r="344" ht="15.75" customHeight="1">
      <c r="A344" s="14" t="s">
        <v>1156</v>
      </c>
      <c r="B344" s="14" t="s">
        <v>316</v>
      </c>
      <c r="C344" s="14" t="s">
        <v>1157</v>
      </c>
      <c r="D344" s="14">
        <v>100.0</v>
      </c>
      <c r="E344" s="14" t="s">
        <v>318</v>
      </c>
      <c r="F344" s="14" t="s">
        <v>1158</v>
      </c>
      <c r="G344" s="14" t="s">
        <v>1159</v>
      </c>
      <c r="H344" s="13"/>
      <c r="I344" s="13"/>
      <c r="J344" s="13"/>
      <c r="K344" s="13"/>
      <c r="L344" s="13"/>
      <c r="M344" s="13"/>
      <c r="N344" s="13"/>
      <c r="O344" s="13"/>
      <c r="P344" s="13"/>
      <c r="Q344" s="13"/>
      <c r="R344" s="13"/>
      <c r="S344" s="13"/>
    </row>
    <row r="345" ht="15.75" customHeight="1">
      <c r="A345" s="14" t="s">
        <v>1160</v>
      </c>
      <c r="B345" s="14" t="s">
        <v>316</v>
      </c>
      <c r="C345" s="14" t="s">
        <v>1161</v>
      </c>
      <c r="D345" s="14">
        <v>100.0</v>
      </c>
      <c r="E345" s="14" t="s">
        <v>318</v>
      </c>
      <c r="F345" s="14" t="s">
        <v>1162</v>
      </c>
      <c r="G345" s="14" t="s">
        <v>1163</v>
      </c>
      <c r="H345" s="13"/>
      <c r="I345" s="13"/>
      <c r="J345" s="13"/>
      <c r="K345" s="13"/>
      <c r="L345" s="13"/>
      <c r="M345" s="13"/>
      <c r="N345" s="13"/>
      <c r="O345" s="13"/>
      <c r="P345" s="13"/>
      <c r="Q345" s="13"/>
      <c r="R345" s="13"/>
      <c r="S345" s="13"/>
    </row>
    <row r="346" ht="15.75" customHeight="1">
      <c r="A346" s="14" t="s">
        <v>1164</v>
      </c>
      <c r="B346" s="14" t="s">
        <v>316</v>
      </c>
      <c r="C346" s="14" t="s">
        <v>1165</v>
      </c>
      <c r="D346" s="14">
        <v>100.0</v>
      </c>
      <c r="E346" s="14" t="s">
        <v>318</v>
      </c>
      <c r="F346" s="14" t="s">
        <v>1166</v>
      </c>
      <c r="G346" s="14" t="s">
        <v>1167</v>
      </c>
      <c r="H346" s="13"/>
      <c r="I346" s="13"/>
      <c r="J346" s="13"/>
      <c r="K346" s="13"/>
      <c r="L346" s="13"/>
      <c r="M346" s="13"/>
      <c r="N346" s="13"/>
      <c r="O346" s="13"/>
      <c r="P346" s="13"/>
      <c r="Q346" s="13"/>
      <c r="R346" s="13"/>
      <c r="S346" s="13"/>
    </row>
    <row r="347" ht="15.75" customHeight="1">
      <c r="A347" s="14" t="s">
        <v>1168</v>
      </c>
      <c r="B347" s="14" t="s">
        <v>316</v>
      </c>
      <c r="C347" s="14" t="s">
        <v>1169</v>
      </c>
      <c r="D347" s="14">
        <v>100.0</v>
      </c>
      <c r="E347" s="14" t="s">
        <v>318</v>
      </c>
      <c r="F347" s="14" t="s">
        <v>1170</v>
      </c>
      <c r="G347" s="14" t="s">
        <v>1171</v>
      </c>
      <c r="H347" s="13"/>
      <c r="I347" s="13"/>
      <c r="J347" s="13"/>
      <c r="K347" s="13"/>
      <c r="L347" s="13"/>
      <c r="M347" s="13"/>
      <c r="N347" s="13"/>
      <c r="O347" s="13"/>
      <c r="P347" s="13"/>
      <c r="Q347" s="13"/>
      <c r="R347" s="13"/>
      <c r="S347" s="13"/>
    </row>
    <row r="348" ht="15.75" customHeight="1">
      <c r="A348" s="14" t="s">
        <v>1172</v>
      </c>
      <c r="B348" s="14" t="s">
        <v>316</v>
      </c>
      <c r="C348" s="14" t="s">
        <v>1173</v>
      </c>
      <c r="D348" s="14">
        <v>100.0</v>
      </c>
      <c r="E348" s="14" t="s">
        <v>318</v>
      </c>
      <c r="F348" s="14" t="s">
        <v>1174</v>
      </c>
      <c r="G348" s="14" t="s">
        <v>1175</v>
      </c>
      <c r="H348" s="13"/>
      <c r="I348" s="13"/>
      <c r="J348" s="13"/>
      <c r="K348" s="13"/>
      <c r="L348" s="13"/>
      <c r="M348" s="13"/>
      <c r="N348" s="13"/>
      <c r="O348" s="13"/>
      <c r="P348" s="13"/>
      <c r="Q348" s="13"/>
      <c r="R348" s="13"/>
      <c r="S348" s="13"/>
    </row>
    <row r="349" ht="15.75" customHeight="1">
      <c r="A349" s="14" t="s">
        <v>1176</v>
      </c>
      <c r="B349" s="14" t="s">
        <v>316</v>
      </c>
      <c r="C349" s="14" t="s">
        <v>1177</v>
      </c>
      <c r="D349" s="14">
        <v>100.0</v>
      </c>
      <c r="E349" s="14" t="s">
        <v>318</v>
      </c>
      <c r="F349" s="14" t="s">
        <v>1178</v>
      </c>
      <c r="G349" s="14" t="s">
        <v>1179</v>
      </c>
      <c r="H349" s="13"/>
      <c r="I349" s="13"/>
      <c r="J349" s="13"/>
      <c r="K349" s="13"/>
      <c r="L349" s="13"/>
      <c r="M349" s="13"/>
      <c r="N349" s="13"/>
      <c r="O349" s="13"/>
      <c r="P349" s="13"/>
      <c r="Q349" s="13"/>
      <c r="R349" s="13"/>
      <c r="S349" s="13"/>
    </row>
    <row r="350" ht="15.75" customHeight="1">
      <c r="A350" s="14" t="s">
        <v>1180</v>
      </c>
      <c r="B350" s="14" t="s">
        <v>316</v>
      </c>
      <c r="C350" s="14" t="s">
        <v>1181</v>
      </c>
      <c r="D350" s="14">
        <v>100.0</v>
      </c>
      <c r="E350" s="14" t="s">
        <v>318</v>
      </c>
      <c r="F350" s="14" t="s">
        <v>591</v>
      </c>
      <c r="G350" s="14" t="s">
        <v>1182</v>
      </c>
      <c r="H350" s="13"/>
      <c r="I350" s="13"/>
      <c r="J350" s="13"/>
      <c r="K350" s="13"/>
      <c r="L350" s="13"/>
      <c r="M350" s="13"/>
      <c r="N350" s="13"/>
      <c r="O350" s="13"/>
      <c r="P350" s="13"/>
      <c r="Q350" s="13"/>
      <c r="R350" s="13"/>
      <c r="S350" s="13"/>
    </row>
    <row r="351" ht="15.75" customHeight="1">
      <c r="A351" s="14" t="s">
        <v>1183</v>
      </c>
      <c r="B351" s="14" t="s">
        <v>316</v>
      </c>
      <c r="C351" s="14" t="s">
        <v>1184</v>
      </c>
      <c r="D351" s="14">
        <v>100.0</v>
      </c>
      <c r="E351" s="14" t="s">
        <v>318</v>
      </c>
      <c r="F351" s="14" t="s">
        <v>1185</v>
      </c>
      <c r="G351" s="14" t="s">
        <v>1186</v>
      </c>
      <c r="H351" s="13"/>
      <c r="I351" s="13"/>
      <c r="J351" s="13"/>
      <c r="K351" s="13"/>
      <c r="L351" s="13"/>
      <c r="M351" s="13"/>
      <c r="N351" s="13"/>
      <c r="O351" s="13"/>
      <c r="P351" s="13"/>
      <c r="Q351" s="13"/>
      <c r="R351" s="13"/>
      <c r="S351" s="13"/>
    </row>
    <row r="352" ht="15.75" customHeight="1">
      <c r="A352" s="14" t="s">
        <v>1187</v>
      </c>
      <c r="B352" s="14" t="s">
        <v>316</v>
      </c>
      <c r="C352" s="14" t="s">
        <v>1188</v>
      </c>
      <c r="D352" s="14">
        <v>100.0</v>
      </c>
      <c r="E352" s="14" t="s">
        <v>318</v>
      </c>
      <c r="F352" s="14" t="s">
        <v>1189</v>
      </c>
      <c r="G352" s="14" t="s">
        <v>1190</v>
      </c>
      <c r="H352" s="13"/>
      <c r="I352" s="13"/>
      <c r="J352" s="13"/>
      <c r="K352" s="13"/>
      <c r="L352" s="13"/>
      <c r="M352" s="13"/>
      <c r="N352" s="13"/>
      <c r="O352" s="13"/>
      <c r="P352" s="13"/>
      <c r="Q352" s="13"/>
      <c r="R352" s="13"/>
      <c r="S352" s="13"/>
    </row>
    <row r="353" ht="15.75" customHeight="1">
      <c r="A353" s="14" t="s">
        <v>1191</v>
      </c>
      <c r="B353" s="14" t="s">
        <v>316</v>
      </c>
      <c r="C353" s="14" t="s">
        <v>1192</v>
      </c>
      <c r="D353" s="14">
        <v>100.0</v>
      </c>
      <c r="E353" s="14" t="s">
        <v>318</v>
      </c>
      <c r="F353" s="14" t="s">
        <v>1193</v>
      </c>
      <c r="G353" s="14" t="s">
        <v>1194</v>
      </c>
      <c r="H353" s="13"/>
      <c r="I353" s="13"/>
      <c r="J353" s="13"/>
      <c r="K353" s="13"/>
      <c r="L353" s="13"/>
      <c r="M353" s="13"/>
      <c r="N353" s="13"/>
      <c r="O353" s="13"/>
      <c r="P353" s="13"/>
      <c r="Q353" s="13"/>
      <c r="R353" s="13"/>
      <c r="S353" s="13"/>
    </row>
    <row r="354" ht="15.75" customHeight="1">
      <c r="A354" s="14" t="s">
        <v>1195</v>
      </c>
      <c r="B354" s="14" t="s">
        <v>316</v>
      </c>
      <c r="C354" s="14" t="s">
        <v>1196</v>
      </c>
      <c r="D354" s="14">
        <v>100.0</v>
      </c>
      <c r="E354" s="14" t="s">
        <v>318</v>
      </c>
      <c r="F354" s="14" t="s">
        <v>1197</v>
      </c>
      <c r="G354" s="14" t="s">
        <v>1198</v>
      </c>
      <c r="H354" s="13"/>
      <c r="I354" s="13"/>
      <c r="J354" s="13"/>
      <c r="K354" s="13"/>
      <c r="L354" s="13"/>
      <c r="M354" s="13"/>
      <c r="N354" s="13"/>
      <c r="O354" s="13"/>
      <c r="P354" s="13"/>
      <c r="Q354" s="13"/>
      <c r="R354" s="13"/>
      <c r="S354" s="13"/>
    </row>
    <row r="355" ht="15.75" customHeight="1">
      <c r="A355" s="14" t="s">
        <v>1199</v>
      </c>
      <c r="B355" s="14" t="s">
        <v>316</v>
      </c>
      <c r="C355" s="14" t="s">
        <v>1200</v>
      </c>
      <c r="D355" s="14">
        <v>100.0</v>
      </c>
      <c r="E355" s="14" t="s">
        <v>318</v>
      </c>
      <c r="F355" s="14" t="s">
        <v>1201</v>
      </c>
      <c r="G355" s="14" t="s">
        <v>1202</v>
      </c>
      <c r="H355" s="13"/>
      <c r="I355" s="13"/>
      <c r="J355" s="13"/>
      <c r="K355" s="13"/>
      <c r="L355" s="13"/>
      <c r="M355" s="13"/>
      <c r="N355" s="13"/>
      <c r="O355" s="13"/>
      <c r="P355" s="13"/>
      <c r="Q355" s="13"/>
      <c r="R355" s="13"/>
      <c r="S355" s="13"/>
    </row>
    <row r="356" ht="15.75" customHeight="1">
      <c r="A356" s="14" t="s">
        <v>1203</v>
      </c>
      <c r="B356" s="14" t="s">
        <v>316</v>
      </c>
      <c r="C356" s="14" t="s">
        <v>1204</v>
      </c>
      <c r="D356" s="14">
        <v>100.0</v>
      </c>
      <c r="E356" s="14" t="s">
        <v>318</v>
      </c>
      <c r="F356" s="14" t="s">
        <v>1205</v>
      </c>
      <c r="G356" s="14" t="s">
        <v>1206</v>
      </c>
      <c r="H356" s="13"/>
      <c r="I356" s="13"/>
      <c r="J356" s="13"/>
      <c r="K356" s="13"/>
      <c r="L356" s="13"/>
      <c r="M356" s="13"/>
      <c r="N356" s="13"/>
      <c r="O356" s="13"/>
      <c r="P356" s="13"/>
      <c r="Q356" s="13"/>
      <c r="R356" s="13"/>
      <c r="S356" s="13"/>
    </row>
    <row r="357" ht="15.75" customHeight="1">
      <c r="A357" s="14" t="s">
        <v>1207</v>
      </c>
      <c r="B357" s="14" t="s">
        <v>316</v>
      </c>
      <c r="C357" s="14" t="s">
        <v>1208</v>
      </c>
      <c r="D357" s="14">
        <v>100.0</v>
      </c>
      <c r="E357" s="14" t="s">
        <v>318</v>
      </c>
      <c r="F357" s="14" t="s">
        <v>1209</v>
      </c>
      <c r="G357" s="14" t="s">
        <v>1210</v>
      </c>
      <c r="H357" s="13"/>
      <c r="I357" s="13"/>
      <c r="J357" s="13"/>
      <c r="K357" s="13"/>
      <c r="L357" s="13"/>
      <c r="M357" s="13"/>
      <c r="N357" s="13"/>
      <c r="O357" s="13"/>
      <c r="P357" s="13"/>
      <c r="Q357" s="13"/>
      <c r="R357" s="13"/>
      <c r="S357" s="13"/>
    </row>
    <row r="358" ht="15.75" customHeight="1">
      <c r="A358" s="14" t="s">
        <v>1211</v>
      </c>
      <c r="B358" s="14" t="s">
        <v>316</v>
      </c>
      <c r="C358" s="14" t="s">
        <v>1212</v>
      </c>
      <c r="D358" s="14">
        <v>100.0</v>
      </c>
      <c r="E358" s="14" t="s">
        <v>318</v>
      </c>
      <c r="F358" s="14" t="s">
        <v>591</v>
      </c>
      <c r="G358" s="14" t="s">
        <v>1213</v>
      </c>
      <c r="H358" s="13"/>
      <c r="I358" s="13"/>
      <c r="J358" s="13"/>
      <c r="K358" s="13"/>
      <c r="L358" s="13"/>
      <c r="M358" s="13"/>
      <c r="N358" s="13"/>
      <c r="O358" s="13"/>
      <c r="P358" s="13"/>
      <c r="Q358" s="13"/>
      <c r="R358" s="13"/>
      <c r="S358" s="13"/>
    </row>
    <row r="359" ht="15.75" customHeight="1">
      <c r="A359" s="14" t="s">
        <v>1214</v>
      </c>
      <c r="B359" s="14" t="s">
        <v>316</v>
      </c>
      <c r="C359" s="14" t="s">
        <v>1215</v>
      </c>
      <c r="D359" s="14">
        <v>100.0</v>
      </c>
      <c r="E359" s="14" t="s">
        <v>318</v>
      </c>
      <c r="F359" s="14" t="s">
        <v>1216</v>
      </c>
      <c r="G359" s="14" t="s">
        <v>1217</v>
      </c>
      <c r="H359" s="13"/>
      <c r="I359" s="13"/>
      <c r="J359" s="13"/>
      <c r="K359" s="13"/>
      <c r="L359" s="13"/>
      <c r="M359" s="13"/>
      <c r="N359" s="13"/>
      <c r="O359" s="13"/>
      <c r="P359" s="13"/>
      <c r="Q359" s="13"/>
      <c r="R359" s="13"/>
      <c r="S359" s="13"/>
    </row>
    <row r="360" ht="15.75" customHeight="1">
      <c r="A360" s="14" t="s">
        <v>1218</v>
      </c>
      <c r="B360" s="14" t="s">
        <v>316</v>
      </c>
      <c r="C360" s="14" t="s">
        <v>1219</v>
      </c>
      <c r="D360" s="14">
        <v>100.0</v>
      </c>
      <c r="E360" s="14" t="s">
        <v>318</v>
      </c>
      <c r="F360" s="14" t="s">
        <v>1220</v>
      </c>
      <c r="G360" s="14" t="s">
        <v>1221</v>
      </c>
      <c r="H360" s="13"/>
      <c r="I360" s="13"/>
      <c r="J360" s="13"/>
      <c r="K360" s="13"/>
      <c r="L360" s="13"/>
      <c r="M360" s="13"/>
      <c r="N360" s="13"/>
      <c r="O360" s="13"/>
      <c r="P360" s="13"/>
      <c r="Q360" s="13"/>
      <c r="R360" s="13"/>
      <c r="S360" s="13"/>
    </row>
    <row r="361" ht="15.75" customHeight="1">
      <c r="A361" s="14" t="s">
        <v>1222</v>
      </c>
      <c r="B361" s="14" t="s">
        <v>316</v>
      </c>
      <c r="C361" s="14" t="s">
        <v>1223</v>
      </c>
      <c r="D361" s="14">
        <v>100.0</v>
      </c>
      <c r="E361" s="14" t="s">
        <v>318</v>
      </c>
      <c r="F361" s="14" t="s">
        <v>1224</v>
      </c>
      <c r="G361" s="14" t="s">
        <v>1225</v>
      </c>
      <c r="H361" s="13"/>
      <c r="I361" s="13"/>
      <c r="J361" s="13"/>
      <c r="K361" s="13"/>
      <c r="L361" s="13"/>
      <c r="M361" s="13"/>
      <c r="N361" s="13"/>
      <c r="O361" s="13"/>
      <c r="P361" s="13"/>
      <c r="Q361" s="13"/>
      <c r="R361" s="13"/>
      <c r="S361" s="13"/>
    </row>
    <row r="362" ht="15.75" customHeight="1">
      <c r="A362" s="14" t="s">
        <v>1226</v>
      </c>
      <c r="B362" s="14" t="s">
        <v>316</v>
      </c>
      <c r="C362" s="14" t="s">
        <v>1227</v>
      </c>
      <c r="D362" s="14">
        <v>100.0</v>
      </c>
      <c r="E362" s="14" t="s">
        <v>318</v>
      </c>
      <c r="F362" s="14" t="s">
        <v>1228</v>
      </c>
      <c r="G362" s="14" t="s">
        <v>1229</v>
      </c>
      <c r="H362" s="13"/>
      <c r="I362" s="13"/>
      <c r="J362" s="13"/>
      <c r="K362" s="13"/>
      <c r="L362" s="13"/>
      <c r="M362" s="13"/>
      <c r="N362" s="13"/>
      <c r="O362" s="13"/>
      <c r="P362" s="13"/>
      <c r="Q362" s="13"/>
      <c r="R362" s="13"/>
      <c r="S362" s="13"/>
    </row>
    <row r="363" ht="15.75" customHeight="1">
      <c r="A363" s="14" t="s">
        <v>1230</v>
      </c>
      <c r="B363" s="14" t="s">
        <v>316</v>
      </c>
      <c r="C363" s="14" t="s">
        <v>1231</v>
      </c>
      <c r="D363" s="14">
        <v>100.0</v>
      </c>
      <c r="E363" s="14" t="s">
        <v>318</v>
      </c>
      <c r="F363" s="14" t="s">
        <v>1232</v>
      </c>
      <c r="G363" s="14" t="s">
        <v>1233</v>
      </c>
      <c r="H363" s="13"/>
      <c r="I363" s="13"/>
      <c r="J363" s="13"/>
      <c r="K363" s="13"/>
      <c r="L363" s="13"/>
      <c r="M363" s="13"/>
      <c r="N363" s="13"/>
      <c r="O363" s="13"/>
      <c r="P363" s="13"/>
      <c r="Q363" s="13"/>
      <c r="R363" s="13"/>
      <c r="S363" s="13"/>
    </row>
    <row r="364" ht="15.75" customHeight="1">
      <c r="A364" s="14" t="s">
        <v>1234</v>
      </c>
      <c r="B364" s="14" t="s">
        <v>316</v>
      </c>
      <c r="C364" s="14" t="s">
        <v>1235</v>
      </c>
      <c r="D364" s="14">
        <v>100.0</v>
      </c>
      <c r="E364" s="14" t="s">
        <v>318</v>
      </c>
      <c r="F364" s="14" t="s">
        <v>595</v>
      </c>
      <c r="G364" s="14" t="s">
        <v>1236</v>
      </c>
      <c r="H364" s="13"/>
      <c r="I364" s="13"/>
      <c r="J364" s="13"/>
      <c r="K364" s="13"/>
      <c r="L364" s="13"/>
      <c r="M364" s="13"/>
      <c r="N364" s="13"/>
      <c r="O364" s="13"/>
      <c r="P364" s="13"/>
      <c r="Q364" s="13"/>
      <c r="R364" s="13"/>
      <c r="S364" s="13"/>
    </row>
    <row r="365" ht="15.75" customHeight="1">
      <c r="A365" s="14" t="s">
        <v>1237</v>
      </c>
      <c r="B365" s="14" t="s">
        <v>316</v>
      </c>
      <c r="C365" s="14" t="s">
        <v>1238</v>
      </c>
      <c r="D365" s="14">
        <v>100.0</v>
      </c>
      <c r="E365" s="14" t="s">
        <v>318</v>
      </c>
      <c r="F365" s="14" t="s">
        <v>1239</v>
      </c>
      <c r="G365" s="14" t="s">
        <v>1240</v>
      </c>
      <c r="H365" s="13"/>
      <c r="I365" s="13"/>
      <c r="J365" s="13"/>
      <c r="K365" s="13"/>
      <c r="L365" s="13"/>
      <c r="M365" s="13"/>
      <c r="N365" s="13"/>
      <c r="O365" s="13"/>
      <c r="P365" s="13"/>
      <c r="Q365" s="13"/>
      <c r="R365" s="13"/>
      <c r="S365" s="13"/>
    </row>
    <row r="366" ht="15.75" customHeight="1">
      <c r="A366" s="14" t="s">
        <v>1241</v>
      </c>
      <c r="B366" s="14" t="s">
        <v>316</v>
      </c>
      <c r="C366" s="14" t="s">
        <v>1242</v>
      </c>
      <c r="D366" s="14">
        <v>100.0</v>
      </c>
      <c r="E366" s="14" t="s">
        <v>318</v>
      </c>
      <c r="F366" s="14" t="s">
        <v>583</v>
      </c>
      <c r="G366" s="14" t="s">
        <v>1243</v>
      </c>
      <c r="H366" s="13"/>
      <c r="I366" s="13"/>
      <c r="J366" s="13"/>
      <c r="K366" s="13"/>
      <c r="L366" s="13"/>
      <c r="M366" s="13"/>
      <c r="N366" s="13"/>
      <c r="O366" s="13"/>
      <c r="P366" s="13"/>
      <c r="Q366" s="13"/>
      <c r="R366" s="13"/>
      <c r="S366" s="13"/>
    </row>
    <row r="367" ht="15.75" customHeight="1">
      <c r="A367" s="14" t="s">
        <v>1244</v>
      </c>
      <c r="B367" s="14" t="s">
        <v>316</v>
      </c>
      <c r="C367" s="14" t="s">
        <v>1245</v>
      </c>
      <c r="D367" s="14">
        <v>100.0</v>
      </c>
      <c r="E367" s="14" t="s">
        <v>318</v>
      </c>
      <c r="F367" s="14" t="s">
        <v>1246</v>
      </c>
      <c r="G367" s="14" t="s">
        <v>1247</v>
      </c>
      <c r="H367" s="13"/>
      <c r="I367" s="13"/>
      <c r="J367" s="13"/>
      <c r="K367" s="13"/>
      <c r="L367" s="13"/>
      <c r="M367" s="13"/>
      <c r="N367" s="13"/>
      <c r="O367" s="13"/>
      <c r="P367" s="13"/>
      <c r="Q367" s="13"/>
      <c r="R367" s="13"/>
      <c r="S367" s="13"/>
    </row>
    <row r="368" ht="15.75" customHeight="1">
      <c r="A368" s="14" t="s">
        <v>1248</v>
      </c>
      <c r="B368" s="14" t="s">
        <v>316</v>
      </c>
      <c r="C368" s="14" t="s">
        <v>1249</v>
      </c>
      <c r="D368" s="14">
        <v>100.0</v>
      </c>
      <c r="E368" s="14" t="s">
        <v>318</v>
      </c>
      <c r="F368" s="14" t="s">
        <v>1250</v>
      </c>
      <c r="G368" s="14" t="s">
        <v>1251</v>
      </c>
      <c r="H368" s="13"/>
      <c r="I368" s="13"/>
      <c r="J368" s="13"/>
      <c r="K368" s="13"/>
      <c r="L368" s="13"/>
      <c r="M368" s="13"/>
      <c r="N368" s="13"/>
      <c r="O368" s="13"/>
      <c r="P368" s="13"/>
      <c r="Q368" s="13"/>
      <c r="R368" s="13"/>
      <c r="S368" s="13"/>
    </row>
    <row r="369" ht="15.75" customHeight="1">
      <c r="A369" s="14" t="s">
        <v>1252</v>
      </c>
      <c r="B369" s="14" t="s">
        <v>316</v>
      </c>
      <c r="C369" s="14" t="s">
        <v>1253</v>
      </c>
      <c r="D369" s="14">
        <v>100.0</v>
      </c>
      <c r="E369" s="14" t="s">
        <v>318</v>
      </c>
      <c r="F369" s="14" t="s">
        <v>1254</v>
      </c>
      <c r="G369" s="14" t="s">
        <v>1255</v>
      </c>
      <c r="H369" s="13"/>
      <c r="I369" s="13"/>
      <c r="J369" s="13"/>
      <c r="K369" s="13"/>
      <c r="L369" s="13"/>
      <c r="M369" s="13"/>
      <c r="N369" s="13"/>
      <c r="O369" s="13"/>
      <c r="P369" s="13"/>
      <c r="Q369" s="13"/>
      <c r="R369" s="13"/>
      <c r="S369" s="13"/>
    </row>
    <row r="370" ht="15.75" customHeight="1">
      <c r="A370" s="14" t="s">
        <v>1256</v>
      </c>
      <c r="B370" s="14" t="s">
        <v>316</v>
      </c>
      <c r="C370" s="14" t="s">
        <v>1257</v>
      </c>
      <c r="D370" s="14">
        <v>100.0</v>
      </c>
      <c r="E370" s="14" t="s">
        <v>318</v>
      </c>
      <c r="F370" s="14" t="s">
        <v>595</v>
      </c>
      <c r="G370" s="14" t="s">
        <v>1258</v>
      </c>
      <c r="H370" s="13"/>
      <c r="I370" s="13"/>
      <c r="J370" s="13"/>
      <c r="K370" s="13"/>
      <c r="L370" s="13"/>
      <c r="M370" s="13"/>
      <c r="N370" s="13"/>
      <c r="O370" s="13"/>
      <c r="P370" s="13"/>
      <c r="Q370" s="13"/>
      <c r="R370" s="13"/>
      <c r="S370" s="13"/>
    </row>
    <row r="371" ht="15.75" customHeight="1">
      <c r="A371" s="14" t="s">
        <v>1259</v>
      </c>
      <c r="B371" s="14" t="s">
        <v>316</v>
      </c>
      <c r="C371" s="14" t="s">
        <v>1260</v>
      </c>
      <c r="D371" s="14">
        <v>100.0</v>
      </c>
      <c r="E371" s="14" t="s">
        <v>318</v>
      </c>
      <c r="F371" s="14" t="s">
        <v>850</v>
      </c>
      <c r="G371" s="14" t="s">
        <v>1261</v>
      </c>
      <c r="H371" s="13"/>
      <c r="I371" s="13"/>
      <c r="J371" s="13"/>
      <c r="K371" s="13"/>
      <c r="L371" s="13"/>
      <c r="M371" s="13"/>
      <c r="N371" s="13"/>
      <c r="O371" s="13"/>
      <c r="P371" s="13"/>
      <c r="Q371" s="13"/>
      <c r="R371" s="13"/>
      <c r="S371" s="13"/>
    </row>
    <row r="372" ht="15.75" customHeight="1">
      <c r="A372" s="14" t="s">
        <v>1262</v>
      </c>
      <c r="B372" s="14" t="s">
        <v>316</v>
      </c>
      <c r="C372" s="14" t="s">
        <v>1263</v>
      </c>
      <c r="D372" s="14">
        <v>100.0</v>
      </c>
      <c r="E372" s="14" t="s">
        <v>318</v>
      </c>
      <c r="F372" s="14" t="s">
        <v>1264</v>
      </c>
      <c r="G372" s="14" t="s">
        <v>1265</v>
      </c>
      <c r="H372" s="13"/>
      <c r="I372" s="13"/>
      <c r="J372" s="13"/>
      <c r="K372" s="13"/>
      <c r="L372" s="13"/>
      <c r="M372" s="13"/>
      <c r="N372" s="13"/>
      <c r="O372" s="13"/>
      <c r="P372" s="13"/>
      <c r="Q372" s="13"/>
      <c r="R372" s="13"/>
      <c r="S372" s="13"/>
    </row>
    <row r="373" ht="15.75" customHeight="1">
      <c r="A373" s="14" t="s">
        <v>1266</v>
      </c>
      <c r="B373" s="14" t="s">
        <v>316</v>
      </c>
      <c r="C373" s="14" t="s">
        <v>1267</v>
      </c>
      <c r="D373" s="14">
        <v>100.0</v>
      </c>
      <c r="E373" s="14" t="s">
        <v>318</v>
      </c>
      <c r="F373" s="14" t="s">
        <v>850</v>
      </c>
      <c r="G373" s="14" t="s">
        <v>1268</v>
      </c>
      <c r="H373" s="13"/>
      <c r="I373" s="13"/>
      <c r="J373" s="13"/>
      <c r="K373" s="13"/>
      <c r="L373" s="13"/>
      <c r="M373" s="13"/>
      <c r="N373" s="13"/>
      <c r="O373" s="13"/>
      <c r="P373" s="13"/>
      <c r="Q373" s="13"/>
      <c r="R373" s="13"/>
      <c r="S373" s="13"/>
    </row>
    <row r="374" ht="15.75" customHeight="1">
      <c r="A374" s="14" t="s">
        <v>1269</v>
      </c>
      <c r="B374" s="14" t="s">
        <v>316</v>
      </c>
      <c r="C374" s="14" t="s">
        <v>1270</v>
      </c>
      <c r="D374" s="14">
        <v>100.0</v>
      </c>
      <c r="E374" s="14" t="s">
        <v>318</v>
      </c>
      <c r="F374" s="14" t="s">
        <v>1271</v>
      </c>
      <c r="G374" s="14" t="s">
        <v>1272</v>
      </c>
      <c r="H374" s="13"/>
      <c r="I374" s="13"/>
      <c r="J374" s="13"/>
      <c r="K374" s="13"/>
      <c r="L374" s="13"/>
      <c r="M374" s="13"/>
      <c r="N374" s="13"/>
      <c r="O374" s="13"/>
      <c r="P374" s="13"/>
      <c r="Q374" s="13"/>
      <c r="R374" s="13"/>
      <c r="S374" s="13"/>
    </row>
    <row r="375" ht="15.75" customHeight="1">
      <c r="A375" s="14" t="s">
        <v>1273</v>
      </c>
      <c r="B375" s="14" t="s">
        <v>316</v>
      </c>
      <c r="C375" s="14" t="s">
        <v>1274</v>
      </c>
      <c r="D375" s="14">
        <v>100.0</v>
      </c>
      <c r="E375" s="14" t="s">
        <v>318</v>
      </c>
      <c r="F375" s="14" t="s">
        <v>1275</v>
      </c>
      <c r="G375" s="14" t="s">
        <v>1276</v>
      </c>
      <c r="H375" s="13"/>
      <c r="I375" s="13"/>
      <c r="J375" s="13"/>
      <c r="K375" s="13"/>
      <c r="L375" s="13"/>
      <c r="M375" s="13"/>
      <c r="N375" s="13"/>
      <c r="O375" s="13"/>
      <c r="P375" s="13"/>
      <c r="Q375" s="13"/>
      <c r="R375" s="13"/>
      <c r="S375" s="13"/>
    </row>
    <row r="376" ht="15.75" customHeight="1">
      <c r="A376" s="14" t="s">
        <v>1277</v>
      </c>
      <c r="B376" s="14" t="s">
        <v>316</v>
      </c>
      <c r="C376" s="14" t="s">
        <v>1278</v>
      </c>
      <c r="D376" s="14">
        <v>100.0</v>
      </c>
      <c r="E376" s="14" t="s">
        <v>318</v>
      </c>
      <c r="F376" s="14" t="s">
        <v>1279</v>
      </c>
      <c r="G376" s="14" t="s">
        <v>1280</v>
      </c>
      <c r="H376" s="13"/>
      <c r="I376" s="13"/>
      <c r="J376" s="13"/>
      <c r="K376" s="13"/>
      <c r="L376" s="13"/>
      <c r="M376" s="13"/>
      <c r="N376" s="13"/>
      <c r="O376" s="13"/>
      <c r="P376" s="13"/>
      <c r="Q376" s="13"/>
      <c r="R376" s="13"/>
      <c r="S376" s="13"/>
    </row>
    <row r="377" ht="15.75" customHeight="1">
      <c r="A377" s="14" t="s">
        <v>1281</v>
      </c>
      <c r="B377" s="14" t="s">
        <v>316</v>
      </c>
      <c r="C377" s="14" t="s">
        <v>1282</v>
      </c>
      <c r="D377" s="14">
        <v>100.0</v>
      </c>
      <c r="E377" s="14" t="s">
        <v>318</v>
      </c>
      <c r="F377" s="14" t="s">
        <v>1283</v>
      </c>
      <c r="G377" s="14" t="s">
        <v>1284</v>
      </c>
      <c r="H377" s="13"/>
      <c r="I377" s="13"/>
      <c r="J377" s="13"/>
      <c r="K377" s="13"/>
      <c r="L377" s="13"/>
      <c r="M377" s="13"/>
      <c r="N377" s="13"/>
      <c r="O377" s="13"/>
      <c r="P377" s="13"/>
      <c r="Q377" s="13"/>
      <c r="R377" s="13"/>
      <c r="S377" s="13"/>
    </row>
    <row r="378" ht="15.75" customHeight="1">
      <c r="A378" s="14" t="s">
        <v>1285</v>
      </c>
      <c r="B378" s="14" t="s">
        <v>316</v>
      </c>
      <c r="C378" s="14" t="s">
        <v>1286</v>
      </c>
      <c r="D378" s="14">
        <v>100.0</v>
      </c>
      <c r="E378" s="14" t="s">
        <v>318</v>
      </c>
      <c r="F378" s="14" t="s">
        <v>1287</v>
      </c>
      <c r="G378" s="14" t="s">
        <v>1288</v>
      </c>
      <c r="H378" s="13"/>
      <c r="I378" s="13"/>
      <c r="J378" s="13"/>
      <c r="K378" s="13"/>
      <c r="L378" s="13"/>
      <c r="M378" s="13"/>
      <c r="N378" s="13"/>
      <c r="O378" s="13"/>
      <c r="P378" s="13"/>
      <c r="Q378" s="13"/>
      <c r="R378" s="13"/>
      <c r="S378" s="13"/>
    </row>
    <row r="379" ht="15.75" customHeight="1">
      <c r="A379" s="14" t="s">
        <v>1289</v>
      </c>
      <c r="B379" s="14" t="s">
        <v>316</v>
      </c>
      <c r="C379" s="14" t="s">
        <v>1290</v>
      </c>
      <c r="D379" s="14">
        <v>100.0</v>
      </c>
      <c r="E379" s="14" t="s">
        <v>318</v>
      </c>
      <c r="F379" s="14" t="s">
        <v>1291</v>
      </c>
      <c r="G379" s="14" t="s">
        <v>1292</v>
      </c>
      <c r="H379" s="13"/>
      <c r="I379" s="13"/>
      <c r="J379" s="13"/>
      <c r="K379" s="13"/>
      <c r="L379" s="13"/>
      <c r="M379" s="13"/>
      <c r="N379" s="13"/>
      <c r="O379" s="13"/>
      <c r="P379" s="13"/>
      <c r="Q379" s="13"/>
      <c r="R379" s="13"/>
      <c r="S379" s="13"/>
    </row>
    <row r="380" ht="15.75" customHeight="1">
      <c r="A380" s="14" t="s">
        <v>1293</v>
      </c>
      <c r="B380" s="14" t="s">
        <v>316</v>
      </c>
      <c r="C380" s="14" t="s">
        <v>1294</v>
      </c>
      <c r="D380" s="14">
        <v>100.0</v>
      </c>
      <c r="E380" s="14" t="s">
        <v>318</v>
      </c>
      <c r="F380" s="14" t="s">
        <v>1295</v>
      </c>
      <c r="G380" s="14" t="s">
        <v>1296</v>
      </c>
      <c r="H380" s="13"/>
      <c r="I380" s="13"/>
      <c r="J380" s="13"/>
      <c r="K380" s="13"/>
      <c r="L380" s="13"/>
      <c r="M380" s="13"/>
      <c r="N380" s="13"/>
      <c r="O380" s="13"/>
      <c r="P380" s="13"/>
      <c r="Q380" s="13"/>
      <c r="R380" s="13"/>
      <c r="S380" s="13"/>
    </row>
    <row r="381" ht="15.75" customHeight="1">
      <c r="A381" s="14" t="s">
        <v>1297</v>
      </c>
      <c r="B381" s="14" t="s">
        <v>316</v>
      </c>
      <c r="C381" s="14" t="s">
        <v>1298</v>
      </c>
      <c r="D381" s="14">
        <v>100.0</v>
      </c>
      <c r="E381" s="14" t="s">
        <v>318</v>
      </c>
      <c r="F381" s="14" t="s">
        <v>1299</v>
      </c>
      <c r="G381" s="14" t="s">
        <v>1300</v>
      </c>
      <c r="H381" s="13"/>
      <c r="I381" s="13"/>
      <c r="J381" s="13"/>
      <c r="K381" s="13"/>
      <c r="L381" s="13"/>
      <c r="M381" s="13"/>
      <c r="N381" s="13"/>
      <c r="O381" s="13"/>
      <c r="P381" s="13"/>
      <c r="Q381" s="13"/>
      <c r="R381" s="13"/>
      <c r="S381" s="13"/>
    </row>
    <row r="382" ht="15.75" customHeight="1">
      <c r="A382" s="14" t="s">
        <v>1301</v>
      </c>
      <c r="B382" s="14" t="s">
        <v>316</v>
      </c>
      <c r="C382" s="14" t="s">
        <v>1302</v>
      </c>
      <c r="D382" s="14">
        <v>100.0</v>
      </c>
      <c r="E382" s="14" t="s">
        <v>318</v>
      </c>
      <c r="F382" s="14" t="s">
        <v>1303</v>
      </c>
      <c r="G382" s="14" t="s">
        <v>1304</v>
      </c>
      <c r="H382" s="13"/>
      <c r="I382" s="13"/>
      <c r="J382" s="13"/>
      <c r="K382" s="13"/>
      <c r="L382" s="13"/>
      <c r="M382" s="13"/>
      <c r="N382" s="13"/>
      <c r="O382" s="13"/>
      <c r="P382" s="13"/>
      <c r="Q382" s="13"/>
      <c r="R382" s="13"/>
      <c r="S382" s="13"/>
    </row>
    <row r="383" ht="15.75" customHeight="1">
      <c r="A383" s="14" t="s">
        <v>1305</v>
      </c>
      <c r="B383" s="14" t="s">
        <v>316</v>
      </c>
      <c r="C383" s="14" t="s">
        <v>1306</v>
      </c>
      <c r="D383" s="14">
        <v>100.0</v>
      </c>
      <c r="E383" s="14" t="s">
        <v>318</v>
      </c>
      <c r="F383" s="14" t="s">
        <v>1307</v>
      </c>
      <c r="G383" s="14" t="s">
        <v>1308</v>
      </c>
      <c r="H383" s="13"/>
      <c r="I383" s="13"/>
      <c r="J383" s="13"/>
      <c r="K383" s="13"/>
      <c r="L383" s="13"/>
      <c r="M383" s="13"/>
      <c r="N383" s="13"/>
      <c r="O383" s="13"/>
      <c r="P383" s="13"/>
      <c r="Q383" s="13"/>
      <c r="R383" s="13"/>
      <c r="S383" s="13"/>
    </row>
    <row r="384" ht="15.75" customHeight="1">
      <c r="A384" s="14" t="s">
        <v>1309</v>
      </c>
      <c r="B384" s="14" t="s">
        <v>316</v>
      </c>
      <c r="C384" s="14" t="s">
        <v>1310</v>
      </c>
      <c r="D384" s="14">
        <v>100.0</v>
      </c>
      <c r="E384" s="14" t="s">
        <v>318</v>
      </c>
      <c r="F384" s="14" t="s">
        <v>1311</v>
      </c>
      <c r="G384" s="14" t="s">
        <v>1312</v>
      </c>
      <c r="H384" s="13"/>
      <c r="I384" s="13"/>
      <c r="J384" s="13"/>
      <c r="K384" s="13"/>
      <c r="L384" s="13"/>
      <c r="M384" s="13"/>
      <c r="N384" s="13"/>
      <c r="O384" s="13"/>
      <c r="P384" s="13"/>
      <c r="Q384" s="13"/>
      <c r="R384" s="13"/>
      <c r="S384" s="13"/>
    </row>
    <row r="385" ht="15.75" customHeight="1">
      <c r="A385" s="14" t="s">
        <v>1313</v>
      </c>
      <c r="B385" s="14" t="s">
        <v>316</v>
      </c>
      <c r="C385" s="14" t="s">
        <v>1314</v>
      </c>
      <c r="D385" s="14">
        <v>100.0</v>
      </c>
      <c r="E385" s="14" t="s">
        <v>318</v>
      </c>
      <c r="F385" s="14" t="s">
        <v>1315</v>
      </c>
      <c r="G385" s="14" t="s">
        <v>1316</v>
      </c>
      <c r="H385" s="13"/>
      <c r="I385" s="13"/>
      <c r="J385" s="13"/>
      <c r="K385" s="13"/>
      <c r="L385" s="13"/>
      <c r="M385" s="13"/>
      <c r="N385" s="13"/>
      <c r="O385" s="13"/>
      <c r="P385" s="13"/>
      <c r="Q385" s="13"/>
      <c r="R385" s="13"/>
      <c r="S385" s="13"/>
    </row>
    <row r="386" ht="15.75" customHeight="1">
      <c r="A386" s="14" t="s">
        <v>1317</v>
      </c>
      <c r="B386" s="14" t="s">
        <v>316</v>
      </c>
      <c r="C386" s="14" t="s">
        <v>1318</v>
      </c>
      <c r="D386" s="14">
        <v>100.0</v>
      </c>
      <c r="E386" s="14" t="s">
        <v>318</v>
      </c>
      <c r="F386" s="14" t="s">
        <v>451</v>
      </c>
      <c r="G386" s="14" t="s">
        <v>1319</v>
      </c>
      <c r="H386" s="13"/>
      <c r="I386" s="13"/>
      <c r="J386" s="13"/>
      <c r="K386" s="13"/>
      <c r="L386" s="13"/>
      <c r="M386" s="13"/>
      <c r="N386" s="13"/>
      <c r="O386" s="13"/>
      <c r="P386" s="13"/>
      <c r="Q386" s="13"/>
      <c r="R386" s="13"/>
      <c r="S386" s="13"/>
    </row>
    <row r="387" ht="15.75" customHeight="1">
      <c r="A387" s="14" t="s">
        <v>1320</v>
      </c>
      <c r="B387" s="14" t="s">
        <v>316</v>
      </c>
      <c r="C387" s="14" t="s">
        <v>1321</v>
      </c>
      <c r="D387" s="14">
        <v>100.0</v>
      </c>
      <c r="E387" s="14" t="s">
        <v>318</v>
      </c>
      <c r="F387" s="14" t="s">
        <v>1322</v>
      </c>
      <c r="G387" s="14" t="s">
        <v>1323</v>
      </c>
      <c r="H387" s="13"/>
      <c r="I387" s="13"/>
      <c r="J387" s="13"/>
      <c r="K387" s="13"/>
      <c r="L387" s="13"/>
      <c r="M387" s="13"/>
      <c r="N387" s="13"/>
      <c r="O387" s="13"/>
      <c r="P387" s="13"/>
      <c r="Q387" s="13"/>
      <c r="R387" s="13"/>
      <c r="S387" s="13"/>
    </row>
    <row r="388" ht="15.75" customHeight="1">
      <c r="A388" s="14" t="s">
        <v>1324</v>
      </c>
      <c r="B388" s="14" t="s">
        <v>316</v>
      </c>
      <c r="C388" s="14" t="s">
        <v>1325</v>
      </c>
      <c r="D388" s="14">
        <v>100.0</v>
      </c>
      <c r="E388" s="14" t="s">
        <v>318</v>
      </c>
      <c r="F388" s="14" t="s">
        <v>1326</v>
      </c>
      <c r="G388" s="14" t="s">
        <v>1327</v>
      </c>
      <c r="H388" s="13"/>
      <c r="I388" s="13"/>
      <c r="J388" s="13"/>
      <c r="K388" s="13"/>
      <c r="L388" s="13"/>
      <c r="M388" s="13"/>
      <c r="N388" s="13"/>
      <c r="O388" s="13"/>
      <c r="P388" s="13"/>
      <c r="Q388" s="13"/>
      <c r="R388" s="13"/>
      <c r="S388" s="13"/>
    </row>
    <row r="389" ht="15.75" customHeight="1">
      <c r="A389" s="14" t="s">
        <v>1328</v>
      </c>
      <c r="B389" s="14" t="s">
        <v>316</v>
      </c>
      <c r="C389" s="14" t="s">
        <v>1329</v>
      </c>
      <c r="D389" s="14">
        <v>100.0</v>
      </c>
      <c r="E389" s="14" t="s">
        <v>318</v>
      </c>
      <c r="F389" s="14" t="s">
        <v>1330</v>
      </c>
      <c r="G389" s="14" t="s">
        <v>1331</v>
      </c>
      <c r="H389" s="13"/>
      <c r="I389" s="13"/>
      <c r="J389" s="13"/>
      <c r="K389" s="13"/>
      <c r="L389" s="13"/>
      <c r="M389" s="13"/>
      <c r="N389" s="13"/>
      <c r="O389" s="13"/>
      <c r="P389" s="13"/>
      <c r="Q389" s="13"/>
      <c r="R389" s="13"/>
      <c r="S389" s="13"/>
    </row>
    <row r="390" ht="15.75" customHeight="1">
      <c r="A390" s="14" t="s">
        <v>1332</v>
      </c>
      <c r="B390" s="14" t="s">
        <v>316</v>
      </c>
      <c r="C390" s="14" t="s">
        <v>1333</v>
      </c>
      <c r="D390" s="14">
        <v>100.0</v>
      </c>
      <c r="E390" s="14" t="s">
        <v>318</v>
      </c>
      <c r="F390" s="14" t="s">
        <v>1334</v>
      </c>
      <c r="G390" s="14" t="s">
        <v>1335</v>
      </c>
      <c r="H390" s="13"/>
      <c r="I390" s="13"/>
      <c r="J390" s="13"/>
      <c r="K390" s="13"/>
      <c r="L390" s="13"/>
      <c r="M390" s="13"/>
      <c r="N390" s="13"/>
      <c r="O390" s="13"/>
      <c r="P390" s="13"/>
      <c r="Q390" s="13"/>
      <c r="R390" s="13"/>
      <c r="S390" s="13"/>
    </row>
    <row r="391" ht="15.75" customHeight="1">
      <c r="A391" s="14" t="s">
        <v>1336</v>
      </c>
      <c r="B391" s="14" t="s">
        <v>316</v>
      </c>
      <c r="C391" s="14" t="s">
        <v>1337</v>
      </c>
      <c r="D391" s="14">
        <v>100.0</v>
      </c>
      <c r="E391" s="14" t="s">
        <v>318</v>
      </c>
      <c r="F391" s="14" t="s">
        <v>1338</v>
      </c>
      <c r="G391" s="14" t="s">
        <v>1339</v>
      </c>
      <c r="H391" s="13"/>
      <c r="I391" s="13"/>
      <c r="J391" s="13"/>
      <c r="K391" s="13"/>
      <c r="L391" s="13"/>
      <c r="M391" s="13"/>
      <c r="N391" s="13"/>
      <c r="O391" s="13"/>
      <c r="P391" s="13"/>
      <c r="Q391" s="13"/>
      <c r="R391" s="13"/>
      <c r="S391" s="13"/>
    </row>
    <row r="392" ht="15.75" customHeight="1">
      <c r="A392" s="14" t="s">
        <v>1340</v>
      </c>
      <c r="B392" s="14" t="s">
        <v>316</v>
      </c>
      <c r="C392" s="14" t="s">
        <v>1341</v>
      </c>
      <c r="D392" s="14">
        <v>100.0</v>
      </c>
      <c r="E392" s="14" t="s">
        <v>318</v>
      </c>
      <c r="F392" s="14" t="s">
        <v>1342</v>
      </c>
      <c r="G392" s="14" t="s">
        <v>1343</v>
      </c>
      <c r="H392" s="13"/>
      <c r="I392" s="13"/>
      <c r="J392" s="13"/>
      <c r="K392" s="13"/>
      <c r="L392" s="13"/>
      <c r="M392" s="13"/>
      <c r="N392" s="13"/>
      <c r="O392" s="13"/>
      <c r="P392" s="13"/>
      <c r="Q392" s="13"/>
      <c r="R392" s="13"/>
      <c r="S392" s="13"/>
    </row>
    <row r="393" ht="15.75" customHeight="1">
      <c r="A393" s="14" t="s">
        <v>1344</v>
      </c>
      <c r="B393" s="14" t="s">
        <v>316</v>
      </c>
      <c r="C393" s="14" t="s">
        <v>1345</v>
      </c>
      <c r="D393" s="14">
        <v>100.0</v>
      </c>
      <c r="E393" s="14" t="s">
        <v>318</v>
      </c>
      <c r="F393" s="14" t="s">
        <v>1002</v>
      </c>
      <c r="G393" s="14" t="s">
        <v>1346</v>
      </c>
      <c r="H393" s="13"/>
      <c r="I393" s="13"/>
      <c r="J393" s="13"/>
      <c r="K393" s="13"/>
      <c r="L393" s="13"/>
      <c r="M393" s="13"/>
      <c r="N393" s="13"/>
      <c r="O393" s="13"/>
      <c r="P393" s="13"/>
      <c r="Q393" s="13"/>
      <c r="R393" s="13"/>
      <c r="S393" s="13"/>
    </row>
    <row r="394" ht="15.75" customHeight="1">
      <c r="A394" s="14" t="s">
        <v>1347</v>
      </c>
      <c r="B394" s="14" t="s">
        <v>316</v>
      </c>
      <c r="C394" s="14" t="s">
        <v>1348</v>
      </c>
      <c r="D394" s="14">
        <v>100.0</v>
      </c>
      <c r="E394" s="14" t="s">
        <v>318</v>
      </c>
      <c r="F394" s="14" t="s">
        <v>1349</v>
      </c>
      <c r="G394" s="14" t="s">
        <v>1350</v>
      </c>
      <c r="H394" s="13"/>
      <c r="I394" s="13"/>
      <c r="J394" s="13"/>
      <c r="K394" s="13"/>
      <c r="L394" s="13"/>
      <c r="M394" s="13"/>
      <c r="N394" s="13"/>
      <c r="O394" s="13"/>
      <c r="P394" s="13"/>
      <c r="Q394" s="13"/>
      <c r="R394" s="13"/>
      <c r="S394" s="13"/>
    </row>
    <row r="395" ht="15.75" customHeight="1">
      <c r="A395" s="14" t="s">
        <v>1351</v>
      </c>
      <c r="B395" s="14" t="s">
        <v>316</v>
      </c>
      <c r="C395" s="14" t="s">
        <v>1352</v>
      </c>
      <c r="D395" s="14">
        <v>100.0</v>
      </c>
      <c r="E395" s="14" t="s">
        <v>318</v>
      </c>
      <c r="F395" s="14" t="s">
        <v>1353</v>
      </c>
      <c r="G395" s="14" t="s">
        <v>1354</v>
      </c>
      <c r="H395" s="13"/>
      <c r="I395" s="13"/>
      <c r="J395" s="13"/>
      <c r="K395" s="13"/>
      <c r="L395" s="13"/>
      <c r="M395" s="13"/>
      <c r="N395" s="13"/>
      <c r="O395" s="13"/>
      <c r="P395" s="13"/>
      <c r="Q395" s="13"/>
      <c r="R395" s="13"/>
      <c r="S395" s="13"/>
    </row>
    <row r="396" ht="15.75" customHeight="1">
      <c r="A396" s="14" t="s">
        <v>1355</v>
      </c>
      <c r="B396" s="14" t="s">
        <v>316</v>
      </c>
      <c r="C396" s="14" t="s">
        <v>1356</v>
      </c>
      <c r="D396" s="14">
        <v>100.0</v>
      </c>
      <c r="E396" s="14" t="s">
        <v>318</v>
      </c>
      <c r="F396" s="14" t="s">
        <v>1357</v>
      </c>
      <c r="G396" s="14" t="s">
        <v>1358</v>
      </c>
      <c r="H396" s="13"/>
      <c r="I396" s="13"/>
      <c r="J396" s="13"/>
      <c r="K396" s="13"/>
      <c r="L396" s="13"/>
      <c r="M396" s="13"/>
      <c r="N396" s="13"/>
      <c r="O396" s="13"/>
      <c r="P396" s="13"/>
      <c r="Q396" s="13"/>
      <c r="R396" s="13"/>
      <c r="S396" s="13"/>
    </row>
    <row r="397" ht="15.75" customHeight="1">
      <c r="A397" s="14" t="s">
        <v>1359</v>
      </c>
      <c r="B397" s="14" t="s">
        <v>316</v>
      </c>
      <c r="C397" s="14" t="s">
        <v>1360</v>
      </c>
      <c r="D397" s="14">
        <v>100.0</v>
      </c>
      <c r="E397" s="14" t="s">
        <v>318</v>
      </c>
      <c r="F397" s="14" t="s">
        <v>1361</v>
      </c>
      <c r="G397" s="14" t="s">
        <v>1362</v>
      </c>
      <c r="H397" s="13"/>
      <c r="I397" s="13"/>
      <c r="J397" s="13"/>
      <c r="K397" s="13"/>
      <c r="L397" s="13"/>
      <c r="M397" s="13"/>
      <c r="N397" s="13"/>
      <c r="O397" s="13"/>
      <c r="P397" s="13"/>
      <c r="Q397" s="13"/>
      <c r="R397" s="13"/>
      <c r="S397" s="13"/>
    </row>
    <row r="398" ht="15.75" customHeight="1">
      <c r="A398" s="14" t="s">
        <v>1363</v>
      </c>
      <c r="B398" s="14" t="s">
        <v>316</v>
      </c>
      <c r="C398" s="14" t="s">
        <v>1364</v>
      </c>
      <c r="D398" s="14">
        <v>100.0</v>
      </c>
      <c r="E398" s="14" t="s">
        <v>318</v>
      </c>
      <c r="F398" s="14" t="s">
        <v>1365</v>
      </c>
      <c r="G398" s="14" t="s">
        <v>1366</v>
      </c>
      <c r="H398" s="13"/>
      <c r="I398" s="13"/>
      <c r="J398" s="13"/>
      <c r="K398" s="13"/>
      <c r="L398" s="13"/>
      <c r="M398" s="13"/>
      <c r="N398" s="13"/>
      <c r="O398" s="13"/>
      <c r="P398" s="13"/>
      <c r="Q398" s="13"/>
      <c r="R398" s="13"/>
      <c r="S398" s="13"/>
    </row>
    <row r="399" ht="15.75" customHeight="1">
      <c r="A399" s="14" t="s">
        <v>1367</v>
      </c>
      <c r="B399" s="14" t="s">
        <v>316</v>
      </c>
      <c r="C399" s="14" t="s">
        <v>1368</v>
      </c>
      <c r="D399" s="14">
        <v>100.0</v>
      </c>
      <c r="E399" s="14" t="s">
        <v>318</v>
      </c>
      <c r="F399" s="14" t="s">
        <v>1369</v>
      </c>
      <c r="G399" s="14" t="s">
        <v>1370</v>
      </c>
      <c r="H399" s="13"/>
      <c r="I399" s="13"/>
      <c r="J399" s="13"/>
      <c r="K399" s="13"/>
      <c r="L399" s="13"/>
      <c r="M399" s="13"/>
      <c r="N399" s="13"/>
      <c r="O399" s="13"/>
      <c r="P399" s="13"/>
      <c r="Q399" s="13"/>
      <c r="R399" s="13"/>
      <c r="S399" s="13"/>
    </row>
    <row r="400" ht="15.75" customHeight="1">
      <c r="A400" s="14" t="s">
        <v>1371</v>
      </c>
      <c r="B400" s="14" t="s">
        <v>316</v>
      </c>
      <c r="C400" s="14" t="s">
        <v>1372</v>
      </c>
      <c r="D400" s="14">
        <v>100.0</v>
      </c>
      <c r="E400" s="14" t="s">
        <v>318</v>
      </c>
      <c r="F400" s="14" t="s">
        <v>1373</v>
      </c>
      <c r="G400" s="14" t="s">
        <v>1374</v>
      </c>
      <c r="H400" s="13"/>
      <c r="I400" s="13"/>
      <c r="J400" s="13"/>
      <c r="K400" s="13"/>
      <c r="L400" s="13"/>
      <c r="M400" s="13"/>
      <c r="N400" s="13"/>
      <c r="O400" s="13"/>
      <c r="P400" s="13"/>
      <c r="Q400" s="13"/>
      <c r="R400" s="13"/>
      <c r="S400" s="13"/>
    </row>
    <row r="401" ht="15.75" customHeight="1">
      <c r="A401" s="14" t="s">
        <v>1375</v>
      </c>
      <c r="B401" s="14" t="s">
        <v>316</v>
      </c>
      <c r="C401" s="14" t="s">
        <v>1376</v>
      </c>
      <c r="D401" s="14">
        <v>100.0</v>
      </c>
      <c r="E401" s="14" t="s">
        <v>318</v>
      </c>
      <c r="F401" s="14" t="s">
        <v>1377</v>
      </c>
      <c r="G401" s="14" t="s">
        <v>1378</v>
      </c>
      <c r="H401" s="13"/>
      <c r="I401" s="13"/>
      <c r="J401" s="13"/>
      <c r="K401" s="13"/>
      <c r="L401" s="13"/>
      <c r="M401" s="13"/>
      <c r="N401" s="13"/>
      <c r="O401" s="13"/>
      <c r="P401" s="13"/>
      <c r="Q401" s="13"/>
      <c r="R401" s="13"/>
      <c r="S401" s="13"/>
    </row>
    <row r="402" ht="15.75" customHeight="1">
      <c r="A402" s="14" t="s">
        <v>1379</v>
      </c>
      <c r="B402" s="14" t="s">
        <v>316</v>
      </c>
      <c r="C402" s="14" t="s">
        <v>1380</v>
      </c>
      <c r="D402" s="14">
        <v>100.0</v>
      </c>
      <c r="E402" s="14" t="s">
        <v>318</v>
      </c>
      <c r="F402" s="14" t="s">
        <v>1381</v>
      </c>
      <c r="G402" s="14" t="s">
        <v>1382</v>
      </c>
      <c r="H402" s="13"/>
      <c r="I402" s="13"/>
      <c r="J402" s="13"/>
      <c r="K402" s="13"/>
      <c r="L402" s="13"/>
      <c r="M402" s="13"/>
      <c r="N402" s="13"/>
      <c r="O402" s="13"/>
      <c r="P402" s="13"/>
      <c r="Q402" s="13"/>
      <c r="R402" s="13"/>
      <c r="S402" s="13"/>
    </row>
    <row r="403" ht="15.75" customHeight="1">
      <c r="A403" s="14" t="s">
        <v>1383</v>
      </c>
      <c r="B403" s="14" t="s">
        <v>316</v>
      </c>
      <c r="C403" s="14" t="s">
        <v>1384</v>
      </c>
      <c r="D403" s="14">
        <v>100.0</v>
      </c>
      <c r="E403" s="14" t="s">
        <v>318</v>
      </c>
      <c r="F403" s="14" t="s">
        <v>1385</v>
      </c>
      <c r="G403" s="14" t="s">
        <v>1386</v>
      </c>
      <c r="H403" s="13"/>
      <c r="I403" s="13"/>
      <c r="J403" s="13"/>
      <c r="K403" s="13"/>
      <c r="L403" s="13"/>
      <c r="M403" s="13"/>
      <c r="N403" s="13"/>
      <c r="O403" s="13"/>
      <c r="P403" s="13"/>
      <c r="Q403" s="13"/>
      <c r="R403" s="13"/>
      <c r="S403" s="13"/>
    </row>
    <row r="404" ht="15.75" customHeight="1">
      <c r="A404" s="14" t="s">
        <v>1387</v>
      </c>
      <c r="B404" s="14" t="s">
        <v>316</v>
      </c>
      <c r="C404" s="14" t="s">
        <v>1388</v>
      </c>
      <c r="D404" s="14">
        <v>100.0</v>
      </c>
      <c r="E404" s="14" t="s">
        <v>318</v>
      </c>
      <c r="F404" s="14" t="s">
        <v>1389</v>
      </c>
      <c r="G404" s="14" t="s">
        <v>1390</v>
      </c>
      <c r="H404" s="13"/>
      <c r="I404" s="13"/>
      <c r="J404" s="13"/>
      <c r="K404" s="13"/>
      <c r="L404" s="13"/>
      <c r="M404" s="13"/>
      <c r="N404" s="13"/>
      <c r="O404" s="13"/>
      <c r="P404" s="13"/>
      <c r="Q404" s="13"/>
      <c r="R404" s="13"/>
      <c r="S404" s="13"/>
    </row>
    <row r="405" ht="15.75" customHeight="1">
      <c r="A405" s="14" t="s">
        <v>1391</v>
      </c>
      <c r="B405" s="14" t="s">
        <v>316</v>
      </c>
      <c r="C405" s="14" t="s">
        <v>1392</v>
      </c>
      <c r="D405" s="14">
        <v>100.0</v>
      </c>
      <c r="E405" s="14" t="s">
        <v>318</v>
      </c>
      <c r="F405" s="14" t="s">
        <v>1393</v>
      </c>
      <c r="G405" s="14" t="s">
        <v>1394</v>
      </c>
      <c r="H405" s="13"/>
      <c r="I405" s="13"/>
      <c r="J405" s="13"/>
      <c r="K405" s="13"/>
      <c r="L405" s="13"/>
      <c r="M405" s="13"/>
      <c r="N405" s="13"/>
      <c r="O405" s="13"/>
      <c r="P405" s="13"/>
      <c r="Q405" s="13"/>
      <c r="R405" s="13"/>
      <c r="S405" s="13"/>
    </row>
    <row r="406" ht="15.75" customHeight="1">
      <c r="A406" s="14" t="s">
        <v>1395</v>
      </c>
      <c r="B406" s="14" t="s">
        <v>316</v>
      </c>
      <c r="C406" s="14" t="s">
        <v>1396</v>
      </c>
      <c r="D406" s="14">
        <v>100.0</v>
      </c>
      <c r="E406" s="14" t="s">
        <v>318</v>
      </c>
      <c r="F406" s="14" t="s">
        <v>637</v>
      </c>
      <c r="G406" s="14" t="s">
        <v>1397</v>
      </c>
      <c r="H406" s="13"/>
      <c r="I406" s="13"/>
      <c r="J406" s="13"/>
      <c r="K406" s="13"/>
      <c r="L406" s="13"/>
      <c r="M406" s="13"/>
      <c r="N406" s="13"/>
      <c r="O406" s="13"/>
      <c r="P406" s="13"/>
      <c r="Q406" s="13"/>
      <c r="R406" s="13"/>
      <c r="S406" s="13"/>
    </row>
    <row r="407" ht="15.75" customHeight="1">
      <c r="A407" s="14" t="s">
        <v>1398</v>
      </c>
      <c r="B407" s="14" t="s">
        <v>316</v>
      </c>
      <c r="C407" s="14" t="s">
        <v>1399</v>
      </c>
      <c r="D407" s="14">
        <v>100.0</v>
      </c>
      <c r="E407" s="14" t="s">
        <v>318</v>
      </c>
      <c r="F407" s="14" t="s">
        <v>1400</v>
      </c>
      <c r="G407" s="14" t="s">
        <v>1401</v>
      </c>
      <c r="H407" s="13"/>
      <c r="I407" s="13"/>
      <c r="J407" s="13"/>
      <c r="K407" s="13"/>
      <c r="L407" s="13"/>
      <c r="M407" s="13"/>
      <c r="N407" s="13"/>
      <c r="O407" s="13"/>
      <c r="P407" s="13"/>
      <c r="Q407" s="13"/>
      <c r="R407" s="13"/>
      <c r="S407" s="13"/>
    </row>
    <row r="408" ht="15.75" customHeight="1">
      <c r="A408" s="14" t="s">
        <v>1402</v>
      </c>
      <c r="B408" s="14" t="s">
        <v>316</v>
      </c>
      <c r="C408" s="14" t="s">
        <v>1403</v>
      </c>
      <c r="D408" s="14">
        <v>100.0</v>
      </c>
      <c r="E408" s="14" t="s">
        <v>318</v>
      </c>
      <c r="F408" s="14" t="s">
        <v>1404</v>
      </c>
      <c r="G408" s="14" t="s">
        <v>1405</v>
      </c>
      <c r="H408" s="13"/>
      <c r="I408" s="13"/>
      <c r="J408" s="13"/>
      <c r="K408" s="13"/>
      <c r="L408" s="13"/>
      <c r="M408" s="13"/>
      <c r="N408" s="13"/>
      <c r="O408" s="13"/>
      <c r="P408" s="13"/>
      <c r="Q408" s="13"/>
      <c r="R408" s="13"/>
      <c r="S408" s="13"/>
    </row>
    <row r="409" ht="15.75" customHeight="1">
      <c r="A409" s="14" t="s">
        <v>1406</v>
      </c>
      <c r="B409" s="14" t="s">
        <v>316</v>
      </c>
      <c r="C409" s="14" t="s">
        <v>1407</v>
      </c>
      <c r="D409" s="14">
        <v>100.0</v>
      </c>
      <c r="E409" s="14" t="s">
        <v>318</v>
      </c>
      <c r="F409" s="14" t="s">
        <v>1408</v>
      </c>
      <c r="G409" s="14" t="s">
        <v>1409</v>
      </c>
      <c r="H409" s="13"/>
      <c r="I409" s="13"/>
      <c r="J409" s="13"/>
      <c r="K409" s="13"/>
      <c r="L409" s="13"/>
      <c r="M409" s="13"/>
      <c r="N409" s="13"/>
      <c r="O409" s="13"/>
      <c r="P409" s="13"/>
      <c r="Q409" s="13"/>
      <c r="R409" s="13"/>
      <c r="S409" s="13"/>
    </row>
    <row r="410" ht="15.75" customHeight="1">
      <c r="A410" s="14" t="s">
        <v>1410</v>
      </c>
      <c r="B410" s="14" t="s">
        <v>316</v>
      </c>
      <c r="C410" s="14" t="s">
        <v>1411</v>
      </c>
      <c r="D410" s="14">
        <v>100.0</v>
      </c>
      <c r="E410" s="14" t="s">
        <v>318</v>
      </c>
      <c r="F410" s="14" t="s">
        <v>1412</v>
      </c>
      <c r="G410" s="14" t="s">
        <v>1413</v>
      </c>
      <c r="H410" s="13"/>
      <c r="I410" s="13"/>
      <c r="J410" s="13"/>
      <c r="K410" s="13"/>
      <c r="L410" s="13"/>
      <c r="M410" s="13"/>
      <c r="N410" s="13"/>
      <c r="O410" s="13"/>
      <c r="P410" s="13"/>
      <c r="Q410" s="13"/>
      <c r="R410" s="13"/>
      <c r="S410" s="13"/>
    </row>
    <row r="411" ht="15.75" customHeight="1">
      <c r="A411" s="14" t="s">
        <v>1414</v>
      </c>
      <c r="B411" s="14" t="s">
        <v>316</v>
      </c>
      <c r="C411" s="14" t="s">
        <v>1415</v>
      </c>
      <c r="D411" s="14">
        <v>100.0</v>
      </c>
      <c r="E411" s="14" t="s">
        <v>318</v>
      </c>
      <c r="F411" s="14" t="s">
        <v>1416</v>
      </c>
      <c r="G411" s="14" t="s">
        <v>1417</v>
      </c>
      <c r="H411" s="13"/>
      <c r="I411" s="13"/>
      <c r="J411" s="13"/>
      <c r="K411" s="13"/>
      <c r="L411" s="13"/>
      <c r="M411" s="13"/>
      <c r="N411" s="13"/>
      <c r="O411" s="13"/>
      <c r="P411" s="13"/>
      <c r="Q411" s="13"/>
      <c r="R411" s="13"/>
      <c r="S411" s="13"/>
    </row>
    <row r="412" ht="15.75" customHeight="1">
      <c r="A412" s="14" t="s">
        <v>1418</v>
      </c>
      <c r="B412" s="14" t="s">
        <v>316</v>
      </c>
      <c r="C412" s="14" t="s">
        <v>1419</v>
      </c>
      <c r="D412" s="14">
        <v>100.0</v>
      </c>
      <c r="E412" s="14" t="s">
        <v>318</v>
      </c>
      <c r="F412" s="14" t="s">
        <v>1420</v>
      </c>
      <c r="G412" s="14" t="s">
        <v>1421</v>
      </c>
      <c r="H412" s="13"/>
      <c r="I412" s="13"/>
      <c r="J412" s="13"/>
      <c r="K412" s="13"/>
      <c r="L412" s="13"/>
      <c r="M412" s="13"/>
      <c r="N412" s="13"/>
      <c r="O412" s="13"/>
      <c r="P412" s="13"/>
      <c r="Q412" s="13"/>
      <c r="R412" s="13"/>
      <c r="S412" s="13"/>
    </row>
    <row r="413" ht="15.75" customHeight="1">
      <c r="A413" s="14" t="s">
        <v>1422</v>
      </c>
      <c r="B413" s="14" t="s">
        <v>316</v>
      </c>
      <c r="C413" s="14" t="s">
        <v>1423</v>
      </c>
      <c r="D413" s="14">
        <v>100.0</v>
      </c>
      <c r="E413" s="14" t="s">
        <v>318</v>
      </c>
      <c r="F413" s="14" t="s">
        <v>1424</v>
      </c>
      <c r="G413" s="14" t="s">
        <v>1425</v>
      </c>
      <c r="H413" s="13"/>
      <c r="I413" s="13"/>
      <c r="J413" s="13"/>
      <c r="K413" s="13"/>
      <c r="L413" s="13"/>
      <c r="M413" s="13"/>
      <c r="N413" s="13"/>
      <c r="O413" s="13"/>
      <c r="P413" s="13"/>
      <c r="Q413" s="13"/>
      <c r="R413" s="13"/>
      <c r="S413" s="13"/>
    </row>
    <row r="414" ht="15.75" customHeight="1">
      <c r="A414" s="14" t="s">
        <v>1426</v>
      </c>
      <c r="B414" s="14" t="s">
        <v>316</v>
      </c>
      <c r="C414" s="14" t="s">
        <v>1427</v>
      </c>
      <c r="D414" s="14">
        <v>100.0</v>
      </c>
      <c r="E414" s="14" t="s">
        <v>318</v>
      </c>
      <c r="F414" s="14" t="s">
        <v>1428</v>
      </c>
      <c r="G414" s="14" t="s">
        <v>1429</v>
      </c>
      <c r="H414" s="13"/>
      <c r="I414" s="13"/>
      <c r="J414" s="13"/>
      <c r="K414" s="13"/>
      <c r="L414" s="13"/>
      <c r="M414" s="13"/>
      <c r="N414" s="13"/>
      <c r="O414" s="13"/>
      <c r="P414" s="13"/>
      <c r="Q414" s="13"/>
      <c r="R414" s="13"/>
      <c r="S414" s="13"/>
    </row>
    <row r="415" ht="15.75" customHeight="1">
      <c r="A415" s="14" t="s">
        <v>1430</v>
      </c>
      <c r="B415" s="14" t="s">
        <v>316</v>
      </c>
      <c r="C415" s="14" t="s">
        <v>1431</v>
      </c>
      <c r="D415" s="14">
        <v>100.0</v>
      </c>
      <c r="E415" s="14" t="s">
        <v>318</v>
      </c>
      <c r="F415" s="14" t="s">
        <v>1432</v>
      </c>
      <c r="G415" s="14" t="s">
        <v>1433</v>
      </c>
      <c r="H415" s="13"/>
      <c r="I415" s="13"/>
      <c r="J415" s="13"/>
      <c r="K415" s="13"/>
      <c r="L415" s="13"/>
      <c r="M415" s="13"/>
      <c r="N415" s="13"/>
      <c r="O415" s="13"/>
      <c r="P415" s="13"/>
      <c r="Q415" s="13"/>
      <c r="R415" s="13"/>
      <c r="S415" s="13"/>
    </row>
    <row r="416" ht="15.75" customHeight="1">
      <c r="A416" s="14" t="s">
        <v>1434</v>
      </c>
      <c r="B416" s="14" t="s">
        <v>316</v>
      </c>
      <c r="C416" s="14" t="s">
        <v>1435</v>
      </c>
      <c r="D416" s="14">
        <v>100.0</v>
      </c>
      <c r="E416" s="14" t="s">
        <v>318</v>
      </c>
      <c r="F416" s="14" t="s">
        <v>755</v>
      </c>
      <c r="G416" s="14" t="s">
        <v>1436</v>
      </c>
      <c r="H416" s="13"/>
      <c r="I416" s="13"/>
      <c r="J416" s="13"/>
      <c r="K416" s="13"/>
      <c r="L416" s="13"/>
      <c r="M416" s="13"/>
      <c r="N416" s="13"/>
      <c r="O416" s="13"/>
      <c r="P416" s="13"/>
      <c r="Q416" s="13"/>
      <c r="R416" s="13"/>
      <c r="S416" s="13"/>
    </row>
    <row r="417" ht="15.75" customHeight="1">
      <c r="A417" s="14" t="s">
        <v>1437</v>
      </c>
      <c r="B417" s="14" t="s">
        <v>316</v>
      </c>
      <c r="C417" s="14" t="s">
        <v>1438</v>
      </c>
      <c r="D417" s="14">
        <v>100.0</v>
      </c>
      <c r="E417" s="14" t="s">
        <v>318</v>
      </c>
      <c r="F417" s="14" t="s">
        <v>1439</v>
      </c>
      <c r="G417" s="14" t="s">
        <v>1440</v>
      </c>
      <c r="H417" s="13"/>
      <c r="I417" s="13"/>
      <c r="J417" s="13"/>
      <c r="K417" s="13"/>
      <c r="L417" s="13"/>
      <c r="M417" s="13"/>
      <c r="N417" s="13"/>
      <c r="O417" s="13"/>
      <c r="P417" s="13"/>
      <c r="Q417" s="13"/>
      <c r="R417" s="13"/>
      <c r="S417" s="13"/>
    </row>
    <row r="418" ht="15.75" customHeight="1">
      <c r="A418" s="14" t="s">
        <v>1441</v>
      </c>
      <c r="B418" s="14" t="s">
        <v>316</v>
      </c>
      <c r="C418" s="14" t="s">
        <v>1442</v>
      </c>
      <c r="D418" s="14">
        <v>100.0</v>
      </c>
      <c r="E418" s="14" t="s">
        <v>318</v>
      </c>
      <c r="F418" s="14" t="s">
        <v>1443</v>
      </c>
      <c r="G418" s="14" t="s">
        <v>1444</v>
      </c>
      <c r="H418" s="13"/>
      <c r="I418" s="13"/>
      <c r="J418" s="13"/>
      <c r="K418" s="13"/>
      <c r="L418" s="13"/>
      <c r="M418" s="13"/>
      <c r="N418" s="13"/>
      <c r="O418" s="13"/>
      <c r="P418" s="13"/>
      <c r="Q418" s="13"/>
      <c r="R418" s="13"/>
      <c r="S418" s="13"/>
    </row>
    <row r="419" ht="15.75" customHeight="1">
      <c r="A419" s="14" t="s">
        <v>1445</v>
      </c>
      <c r="B419" s="14" t="s">
        <v>316</v>
      </c>
      <c r="C419" s="14" t="s">
        <v>1446</v>
      </c>
      <c r="D419" s="14">
        <v>100.0</v>
      </c>
      <c r="E419" s="14" t="s">
        <v>318</v>
      </c>
      <c r="F419" s="14" t="s">
        <v>1447</v>
      </c>
      <c r="G419" s="14" t="s">
        <v>1448</v>
      </c>
      <c r="H419" s="13"/>
      <c r="I419" s="13"/>
      <c r="J419" s="13"/>
      <c r="K419" s="13"/>
      <c r="L419" s="13"/>
      <c r="M419" s="13"/>
      <c r="N419" s="13"/>
      <c r="O419" s="13"/>
      <c r="P419" s="13"/>
      <c r="Q419" s="13"/>
      <c r="R419" s="13"/>
      <c r="S419" s="13"/>
    </row>
    <row r="420" ht="15.75" customHeight="1">
      <c r="A420" s="14" t="s">
        <v>1449</v>
      </c>
      <c r="B420" s="14" t="s">
        <v>316</v>
      </c>
      <c r="C420" s="14" t="s">
        <v>1450</v>
      </c>
      <c r="D420" s="14">
        <v>100.0</v>
      </c>
      <c r="E420" s="14" t="s">
        <v>318</v>
      </c>
      <c r="F420" s="14" t="s">
        <v>1451</v>
      </c>
      <c r="G420" s="14" t="s">
        <v>1452</v>
      </c>
      <c r="H420" s="13"/>
      <c r="I420" s="13"/>
      <c r="J420" s="13"/>
      <c r="K420" s="13"/>
      <c r="L420" s="13"/>
      <c r="M420" s="13"/>
      <c r="N420" s="13"/>
      <c r="O420" s="13"/>
      <c r="P420" s="13"/>
      <c r="Q420" s="13"/>
      <c r="R420" s="13"/>
      <c r="S420" s="13"/>
    </row>
    <row r="421" ht="15.75" customHeight="1">
      <c r="A421" s="14" t="s">
        <v>1453</v>
      </c>
      <c r="B421" s="14" t="s">
        <v>316</v>
      </c>
      <c r="C421" s="14" t="s">
        <v>1454</v>
      </c>
      <c r="D421" s="14">
        <v>100.0</v>
      </c>
      <c r="E421" s="14" t="s">
        <v>318</v>
      </c>
      <c r="F421" s="14" t="s">
        <v>1455</v>
      </c>
      <c r="G421" s="14" t="s">
        <v>1456</v>
      </c>
      <c r="H421" s="13"/>
      <c r="I421" s="13"/>
      <c r="J421" s="13"/>
      <c r="K421" s="13"/>
      <c r="L421" s="13"/>
      <c r="M421" s="13"/>
      <c r="N421" s="13"/>
      <c r="O421" s="13"/>
      <c r="P421" s="13"/>
      <c r="Q421" s="13"/>
      <c r="R421" s="13"/>
      <c r="S421" s="13"/>
    </row>
    <row r="422" ht="15.75" customHeight="1">
      <c r="A422" s="14" t="s">
        <v>1457</v>
      </c>
      <c r="B422" s="14" t="s">
        <v>316</v>
      </c>
      <c r="C422" s="14" t="s">
        <v>1458</v>
      </c>
      <c r="D422" s="14">
        <v>100.0</v>
      </c>
      <c r="E422" s="14" t="s">
        <v>318</v>
      </c>
      <c r="F422" s="14" t="s">
        <v>1459</v>
      </c>
      <c r="G422" s="14" t="s">
        <v>1460</v>
      </c>
      <c r="H422" s="13"/>
      <c r="I422" s="13"/>
      <c r="J422" s="13"/>
      <c r="K422" s="13"/>
      <c r="L422" s="13"/>
      <c r="M422" s="13"/>
      <c r="N422" s="13"/>
      <c r="O422" s="13"/>
      <c r="P422" s="13"/>
      <c r="Q422" s="13"/>
      <c r="R422" s="13"/>
      <c r="S422" s="13"/>
    </row>
    <row r="423" ht="15.75" customHeight="1">
      <c r="A423" s="14" t="s">
        <v>1461</v>
      </c>
      <c r="B423" s="14" t="s">
        <v>316</v>
      </c>
      <c r="C423" s="14" t="s">
        <v>1462</v>
      </c>
      <c r="D423" s="14">
        <v>100.0</v>
      </c>
      <c r="E423" s="14" t="s">
        <v>318</v>
      </c>
      <c r="F423" s="14" t="s">
        <v>1463</v>
      </c>
      <c r="G423" s="14" t="s">
        <v>1464</v>
      </c>
      <c r="H423" s="13"/>
      <c r="I423" s="13"/>
      <c r="J423" s="13"/>
      <c r="K423" s="13"/>
      <c r="L423" s="13"/>
      <c r="M423" s="13"/>
      <c r="N423" s="13"/>
      <c r="O423" s="13"/>
      <c r="P423" s="13"/>
      <c r="Q423" s="13"/>
      <c r="R423" s="13"/>
      <c r="S423" s="13"/>
    </row>
    <row r="424" ht="15.75" customHeight="1">
      <c r="A424" s="14" t="s">
        <v>1465</v>
      </c>
      <c r="B424" s="14" t="s">
        <v>316</v>
      </c>
      <c r="C424" s="14" t="s">
        <v>1466</v>
      </c>
      <c r="D424" s="14">
        <v>100.0</v>
      </c>
      <c r="E424" s="14" t="s">
        <v>318</v>
      </c>
      <c r="F424" s="14" t="s">
        <v>1467</v>
      </c>
      <c r="G424" s="14" t="s">
        <v>1468</v>
      </c>
      <c r="H424" s="13"/>
      <c r="I424" s="13"/>
      <c r="J424" s="13"/>
      <c r="K424" s="13"/>
      <c r="L424" s="13"/>
      <c r="M424" s="13"/>
      <c r="N424" s="13"/>
      <c r="O424" s="13"/>
      <c r="P424" s="13"/>
      <c r="Q424" s="13"/>
      <c r="R424" s="13"/>
      <c r="S424" s="13"/>
    </row>
    <row r="425" ht="15.75" customHeight="1">
      <c r="A425" s="14" t="s">
        <v>1469</v>
      </c>
      <c r="B425" s="14" t="s">
        <v>316</v>
      </c>
      <c r="C425" s="14" t="s">
        <v>1435</v>
      </c>
      <c r="D425" s="14">
        <v>100.0</v>
      </c>
      <c r="E425" s="14" t="s">
        <v>318</v>
      </c>
      <c r="F425" s="14" t="s">
        <v>591</v>
      </c>
      <c r="G425" s="14" t="s">
        <v>1470</v>
      </c>
      <c r="H425" s="13"/>
      <c r="I425" s="13"/>
      <c r="J425" s="13"/>
      <c r="K425" s="13"/>
      <c r="L425" s="13"/>
      <c r="M425" s="13"/>
      <c r="N425" s="13"/>
      <c r="O425" s="13"/>
      <c r="P425" s="13"/>
      <c r="Q425" s="13"/>
      <c r="R425" s="13"/>
      <c r="S425" s="13"/>
    </row>
    <row r="426" ht="15.75" customHeight="1">
      <c r="A426" s="14" t="s">
        <v>1471</v>
      </c>
      <c r="B426" s="14" t="s">
        <v>316</v>
      </c>
      <c r="C426" s="14" t="s">
        <v>1472</v>
      </c>
      <c r="D426" s="14">
        <v>100.0</v>
      </c>
      <c r="E426" s="14" t="s">
        <v>318</v>
      </c>
      <c r="F426" s="14" t="s">
        <v>595</v>
      </c>
      <c r="G426" s="14" t="s">
        <v>1473</v>
      </c>
      <c r="H426" s="13"/>
      <c r="I426" s="13"/>
      <c r="J426" s="13"/>
      <c r="K426" s="13"/>
      <c r="L426" s="13"/>
      <c r="M426" s="13"/>
      <c r="N426" s="13"/>
      <c r="O426" s="13"/>
      <c r="P426" s="13"/>
      <c r="Q426" s="13"/>
      <c r="R426" s="13"/>
      <c r="S426" s="13"/>
    </row>
    <row r="427" ht="15.75" customHeight="1">
      <c r="A427" s="14" t="s">
        <v>1474</v>
      </c>
      <c r="B427" s="14" t="s">
        <v>316</v>
      </c>
      <c r="C427" s="14" t="s">
        <v>1475</v>
      </c>
      <c r="D427" s="14">
        <v>100.0</v>
      </c>
      <c r="E427" s="14" t="s">
        <v>318</v>
      </c>
      <c r="F427" s="14" t="s">
        <v>1476</v>
      </c>
      <c r="G427" s="14" t="s">
        <v>1477</v>
      </c>
      <c r="H427" s="13"/>
      <c r="I427" s="13"/>
      <c r="J427" s="13"/>
      <c r="K427" s="13"/>
      <c r="L427" s="13"/>
      <c r="M427" s="13"/>
      <c r="N427" s="13"/>
      <c r="O427" s="13"/>
      <c r="P427" s="13"/>
      <c r="Q427" s="13"/>
      <c r="R427" s="13"/>
      <c r="S427" s="13"/>
    </row>
    <row r="428" ht="15.75" customHeight="1">
      <c r="A428" s="14" t="s">
        <v>1478</v>
      </c>
      <c r="B428" s="14" t="s">
        <v>316</v>
      </c>
      <c r="C428" s="14" t="s">
        <v>1479</v>
      </c>
      <c r="D428" s="14">
        <v>100.0</v>
      </c>
      <c r="E428" s="14" t="s">
        <v>318</v>
      </c>
      <c r="F428" s="14" t="s">
        <v>1480</v>
      </c>
      <c r="G428" s="14" t="s">
        <v>1481</v>
      </c>
      <c r="H428" s="13"/>
      <c r="I428" s="13"/>
      <c r="J428" s="13"/>
      <c r="K428" s="13"/>
      <c r="L428" s="13"/>
      <c r="M428" s="13"/>
      <c r="N428" s="13"/>
      <c r="O428" s="13"/>
      <c r="P428" s="13"/>
      <c r="Q428" s="13"/>
      <c r="R428" s="13"/>
      <c r="S428" s="13"/>
    </row>
    <row r="429" ht="15.75" customHeight="1">
      <c r="A429" s="14" t="s">
        <v>1482</v>
      </c>
      <c r="B429" s="14" t="s">
        <v>316</v>
      </c>
      <c r="C429" s="14" t="s">
        <v>1483</v>
      </c>
      <c r="D429" s="14">
        <v>100.0</v>
      </c>
      <c r="E429" s="14" t="s">
        <v>318</v>
      </c>
      <c r="F429" s="14" t="s">
        <v>1484</v>
      </c>
      <c r="G429" s="14" t="s">
        <v>1485</v>
      </c>
      <c r="H429" s="13"/>
      <c r="I429" s="13"/>
      <c r="J429" s="13"/>
      <c r="K429" s="13"/>
      <c r="L429" s="13"/>
      <c r="M429" s="13"/>
      <c r="N429" s="13"/>
      <c r="O429" s="13"/>
      <c r="P429" s="13"/>
      <c r="Q429" s="13"/>
      <c r="R429" s="13"/>
      <c r="S429" s="13"/>
    </row>
    <row r="430" ht="15.75" customHeight="1">
      <c r="A430" s="14" t="s">
        <v>1486</v>
      </c>
      <c r="B430" s="14" t="s">
        <v>316</v>
      </c>
      <c r="C430" s="14" t="s">
        <v>1487</v>
      </c>
      <c r="D430" s="14">
        <v>100.0</v>
      </c>
      <c r="E430" s="14" t="s">
        <v>318</v>
      </c>
      <c r="F430" s="14" t="s">
        <v>1488</v>
      </c>
      <c r="G430" s="14" t="s">
        <v>1489</v>
      </c>
      <c r="H430" s="13"/>
      <c r="I430" s="13"/>
      <c r="J430" s="13"/>
      <c r="K430" s="13"/>
      <c r="L430" s="13"/>
      <c r="M430" s="13"/>
      <c r="N430" s="13"/>
      <c r="O430" s="13"/>
      <c r="P430" s="13"/>
      <c r="Q430" s="13"/>
      <c r="R430" s="13"/>
      <c r="S430" s="13"/>
    </row>
    <row r="431" ht="15.75" customHeight="1">
      <c r="A431" s="14" t="s">
        <v>1490</v>
      </c>
      <c r="B431" s="14" t="s">
        <v>316</v>
      </c>
      <c r="C431" s="14" t="s">
        <v>1491</v>
      </c>
      <c r="D431" s="14">
        <v>100.0</v>
      </c>
      <c r="E431" s="14" t="s">
        <v>318</v>
      </c>
      <c r="F431" s="14" t="s">
        <v>1338</v>
      </c>
      <c r="G431" s="14" t="s">
        <v>1492</v>
      </c>
      <c r="H431" s="13"/>
      <c r="I431" s="13"/>
      <c r="J431" s="13"/>
      <c r="K431" s="13"/>
      <c r="L431" s="13"/>
      <c r="M431" s="13"/>
      <c r="N431" s="13"/>
      <c r="O431" s="13"/>
      <c r="P431" s="13"/>
      <c r="Q431" s="13"/>
      <c r="R431" s="13"/>
      <c r="S431" s="13"/>
    </row>
    <row r="432" ht="15.75" customHeight="1">
      <c r="A432" s="14" t="s">
        <v>1493</v>
      </c>
      <c r="B432" s="14" t="s">
        <v>316</v>
      </c>
      <c r="C432" s="14" t="s">
        <v>1494</v>
      </c>
      <c r="D432" s="14">
        <v>100.0</v>
      </c>
      <c r="E432" s="14" t="s">
        <v>318</v>
      </c>
      <c r="F432" s="14" t="s">
        <v>1495</v>
      </c>
      <c r="G432" s="14" t="s">
        <v>1496</v>
      </c>
      <c r="H432" s="13"/>
      <c r="I432" s="13"/>
      <c r="J432" s="13"/>
      <c r="K432" s="13"/>
      <c r="L432" s="13"/>
      <c r="M432" s="13"/>
      <c r="N432" s="13"/>
      <c r="O432" s="13"/>
      <c r="P432" s="13"/>
      <c r="Q432" s="13"/>
      <c r="R432" s="13"/>
      <c r="S432" s="13"/>
    </row>
    <row r="433" ht="15.75" customHeight="1">
      <c r="A433" s="14" t="s">
        <v>1497</v>
      </c>
      <c r="B433" s="14" t="s">
        <v>316</v>
      </c>
      <c r="C433" s="14" t="s">
        <v>1498</v>
      </c>
      <c r="D433" s="14">
        <v>100.0</v>
      </c>
      <c r="E433" s="14" t="s">
        <v>318</v>
      </c>
      <c r="F433" s="14" t="s">
        <v>1499</v>
      </c>
      <c r="G433" s="14" t="s">
        <v>1500</v>
      </c>
      <c r="H433" s="13"/>
      <c r="I433" s="13"/>
      <c r="J433" s="13"/>
      <c r="K433" s="13"/>
      <c r="L433" s="13"/>
      <c r="M433" s="13"/>
      <c r="N433" s="13"/>
      <c r="O433" s="13"/>
      <c r="P433" s="13"/>
      <c r="Q433" s="13"/>
      <c r="R433" s="13"/>
      <c r="S433" s="13"/>
    </row>
    <row r="434" ht="15.75" customHeight="1">
      <c r="A434" s="14" t="s">
        <v>1501</v>
      </c>
      <c r="B434" s="14" t="s">
        <v>316</v>
      </c>
      <c r="C434" s="14" t="s">
        <v>1502</v>
      </c>
      <c r="D434" s="14">
        <v>100.0</v>
      </c>
      <c r="E434" s="14" t="s">
        <v>318</v>
      </c>
      <c r="F434" s="14" t="s">
        <v>1503</v>
      </c>
      <c r="G434" s="14" t="s">
        <v>1504</v>
      </c>
      <c r="H434" s="13"/>
      <c r="I434" s="13"/>
      <c r="J434" s="13"/>
      <c r="K434" s="13"/>
      <c r="L434" s="13"/>
      <c r="M434" s="13"/>
      <c r="N434" s="13"/>
      <c r="O434" s="13"/>
      <c r="P434" s="13"/>
      <c r="Q434" s="13"/>
      <c r="R434" s="13"/>
      <c r="S434" s="13"/>
    </row>
    <row r="435" ht="15.75" customHeight="1">
      <c r="A435" s="14" t="s">
        <v>1505</v>
      </c>
      <c r="B435" s="14" t="s">
        <v>316</v>
      </c>
      <c r="C435" s="14" t="s">
        <v>1506</v>
      </c>
      <c r="D435" s="14">
        <v>100.0</v>
      </c>
      <c r="E435" s="14" t="s">
        <v>318</v>
      </c>
      <c r="F435" s="14" t="s">
        <v>1503</v>
      </c>
      <c r="G435" s="14" t="s">
        <v>1507</v>
      </c>
      <c r="H435" s="13"/>
      <c r="I435" s="13"/>
      <c r="J435" s="13"/>
      <c r="K435" s="13"/>
      <c r="L435" s="13"/>
      <c r="M435" s="13"/>
      <c r="N435" s="13"/>
      <c r="O435" s="13"/>
      <c r="P435" s="13"/>
      <c r="Q435" s="13"/>
      <c r="R435" s="13"/>
      <c r="S435" s="13"/>
    </row>
    <row r="436" ht="15.75" customHeight="1">
      <c r="A436" s="14" t="s">
        <v>1508</v>
      </c>
      <c r="B436" s="14" t="s">
        <v>316</v>
      </c>
      <c r="C436" s="14" t="s">
        <v>1509</v>
      </c>
      <c r="D436" s="14">
        <v>100.0</v>
      </c>
      <c r="E436" s="14" t="s">
        <v>318</v>
      </c>
      <c r="F436" s="14" t="s">
        <v>1510</v>
      </c>
      <c r="G436" s="14" t="s">
        <v>1511</v>
      </c>
      <c r="H436" s="13"/>
      <c r="I436" s="13"/>
      <c r="J436" s="13"/>
      <c r="K436" s="13"/>
      <c r="L436" s="13"/>
      <c r="M436" s="13"/>
      <c r="N436" s="13"/>
      <c r="O436" s="13"/>
      <c r="P436" s="13"/>
      <c r="Q436" s="13"/>
      <c r="R436" s="13"/>
      <c r="S436" s="13"/>
    </row>
    <row r="437" ht="15.75" customHeight="1">
      <c r="A437" s="14" t="s">
        <v>1512</v>
      </c>
      <c r="B437" s="14" t="s">
        <v>316</v>
      </c>
      <c r="C437" s="14" t="s">
        <v>1513</v>
      </c>
      <c r="D437" s="14">
        <v>100.0</v>
      </c>
      <c r="E437" s="14" t="s">
        <v>318</v>
      </c>
      <c r="F437" s="14" t="s">
        <v>1514</v>
      </c>
      <c r="G437" s="14" t="s">
        <v>1515</v>
      </c>
      <c r="H437" s="13"/>
      <c r="I437" s="13"/>
      <c r="J437" s="13"/>
      <c r="K437" s="13"/>
      <c r="L437" s="13"/>
      <c r="M437" s="13"/>
      <c r="N437" s="13"/>
      <c r="O437" s="13"/>
      <c r="P437" s="13"/>
      <c r="Q437" s="13"/>
      <c r="R437" s="13"/>
      <c r="S437" s="13"/>
    </row>
    <row r="438" ht="15.75" customHeight="1">
      <c r="A438" s="14" t="s">
        <v>1516</v>
      </c>
      <c r="B438" s="14" t="s">
        <v>316</v>
      </c>
      <c r="C438" s="14" t="s">
        <v>1517</v>
      </c>
      <c r="D438" s="14">
        <v>100.0</v>
      </c>
      <c r="E438" s="14" t="s">
        <v>318</v>
      </c>
      <c r="F438" s="14" t="s">
        <v>451</v>
      </c>
      <c r="G438" s="14" t="s">
        <v>1518</v>
      </c>
      <c r="H438" s="13"/>
      <c r="I438" s="13"/>
      <c r="J438" s="13"/>
      <c r="K438" s="13"/>
      <c r="L438" s="13"/>
      <c r="M438" s="13"/>
      <c r="N438" s="13"/>
      <c r="O438" s="13"/>
      <c r="P438" s="13"/>
      <c r="Q438" s="13"/>
      <c r="R438" s="13"/>
      <c r="S438" s="13"/>
    </row>
    <row r="439" ht="15.75" customHeight="1">
      <c r="A439" s="14" t="s">
        <v>1519</v>
      </c>
      <c r="B439" s="14" t="s">
        <v>316</v>
      </c>
      <c r="C439" s="14" t="s">
        <v>1520</v>
      </c>
      <c r="D439" s="14">
        <v>100.0</v>
      </c>
      <c r="E439" s="14" t="s">
        <v>318</v>
      </c>
      <c r="F439" s="14" t="s">
        <v>1521</v>
      </c>
      <c r="G439" s="14" t="s">
        <v>1522</v>
      </c>
      <c r="H439" s="13"/>
      <c r="I439" s="13"/>
      <c r="J439" s="13"/>
      <c r="K439" s="13"/>
      <c r="L439" s="13"/>
      <c r="M439" s="13"/>
      <c r="N439" s="13"/>
      <c r="O439" s="13"/>
      <c r="P439" s="13"/>
      <c r="Q439" s="13"/>
      <c r="R439" s="13"/>
      <c r="S439" s="13"/>
    </row>
    <row r="440" ht="15.75" customHeight="1">
      <c r="A440" s="14" t="s">
        <v>1523</v>
      </c>
      <c r="B440" s="14" t="s">
        <v>316</v>
      </c>
      <c r="C440" s="14" t="s">
        <v>1524</v>
      </c>
      <c r="D440" s="14">
        <v>100.0</v>
      </c>
      <c r="E440" s="14" t="s">
        <v>318</v>
      </c>
      <c r="F440" s="14" t="s">
        <v>1525</v>
      </c>
      <c r="G440" s="14"/>
      <c r="H440" s="13"/>
      <c r="I440" s="13"/>
      <c r="J440" s="13"/>
      <c r="K440" s="13"/>
      <c r="L440" s="13"/>
      <c r="M440" s="13"/>
      <c r="N440" s="13"/>
      <c r="O440" s="13"/>
      <c r="P440" s="13"/>
      <c r="Q440" s="13"/>
      <c r="R440" s="13"/>
      <c r="S440" s="13"/>
    </row>
    <row r="441" ht="15.75" customHeight="1">
      <c r="A441" s="14" t="s">
        <v>626</v>
      </c>
      <c r="B441" s="14" t="s">
        <v>1526</v>
      </c>
      <c r="C441" s="14"/>
      <c r="D441" s="14"/>
      <c r="E441" s="14"/>
      <c r="F441" s="14"/>
      <c r="G441" s="14"/>
      <c r="H441" s="13"/>
      <c r="I441" s="13"/>
      <c r="J441" s="13"/>
      <c r="K441" s="13"/>
      <c r="L441" s="13"/>
      <c r="M441" s="13"/>
      <c r="N441" s="13"/>
      <c r="O441" s="13"/>
      <c r="P441" s="13"/>
      <c r="Q441" s="13"/>
      <c r="R441" s="13"/>
      <c r="S441" s="13"/>
    </row>
    <row r="442" ht="15.75" customHeight="1">
      <c r="A442" s="14" t="s">
        <v>1527</v>
      </c>
      <c r="B442" s="14" t="s">
        <v>316</v>
      </c>
      <c r="C442" s="14" t="s">
        <v>1528</v>
      </c>
      <c r="D442" s="14">
        <v>100.0</v>
      </c>
      <c r="E442" s="14" t="s">
        <v>318</v>
      </c>
      <c r="F442" s="14" t="s">
        <v>1529</v>
      </c>
      <c r="G442" s="14" t="s">
        <v>1530</v>
      </c>
      <c r="H442" s="13"/>
      <c r="I442" s="13"/>
      <c r="J442" s="13"/>
      <c r="K442" s="13"/>
      <c r="L442" s="13"/>
      <c r="M442" s="13"/>
      <c r="N442" s="13"/>
      <c r="O442" s="13"/>
      <c r="P442" s="13"/>
      <c r="Q442" s="13"/>
      <c r="R442" s="13"/>
      <c r="S442" s="13"/>
    </row>
    <row r="443" ht="15.75" customHeight="1">
      <c r="A443" s="14" t="s">
        <v>1531</v>
      </c>
      <c r="B443" s="14" t="s">
        <v>316</v>
      </c>
      <c r="C443" s="14" t="s">
        <v>1532</v>
      </c>
      <c r="D443" s="14">
        <v>100.0</v>
      </c>
      <c r="E443" s="14" t="s">
        <v>318</v>
      </c>
      <c r="F443" s="14" t="s">
        <v>1533</v>
      </c>
      <c r="G443" s="14" t="s">
        <v>1534</v>
      </c>
      <c r="H443" s="13"/>
      <c r="I443" s="13"/>
      <c r="J443" s="13"/>
      <c r="K443" s="13"/>
      <c r="L443" s="13"/>
      <c r="M443" s="13"/>
      <c r="N443" s="13"/>
      <c r="O443" s="13"/>
      <c r="P443" s="13"/>
      <c r="Q443" s="13"/>
      <c r="R443" s="13"/>
      <c r="S443" s="13"/>
    </row>
    <row r="444" ht="15.75" customHeight="1">
      <c r="A444" s="14" t="s">
        <v>1535</v>
      </c>
      <c r="B444" s="14" t="s">
        <v>316</v>
      </c>
      <c r="C444" s="14" t="s">
        <v>1536</v>
      </c>
      <c r="D444" s="14">
        <v>100.0</v>
      </c>
      <c r="E444" s="14" t="s">
        <v>318</v>
      </c>
      <c r="F444" s="14" t="s">
        <v>1537</v>
      </c>
      <c r="G444" s="14" t="s">
        <v>1538</v>
      </c>
      <c r="H444" s="13"/>
      <c r="I444" s="13"/>
      <c r="J444" s="13"/>
      <c r="K444" s="13"/>
      <c r="L444" s="13"/>
      <c r="M444" s="13"/>
      <c r="N444" s="13"/>
      <c r="O444" s="13"/>
      <c r="P444" s="13"/>
      <c r="Q444" s="13"/>
      <c r="R444" s="13"/>
      <c r="S444" s="13"/>
    </row>
    <row r="445" ht="15.75" customHeight="1">
      <c r="A445" s="14" t="s">
        <v>1539</v>
      </c>
      <c r="B445" s="14" t="s">
        <v>316</v>
      </c>
      <c r="C445" s="14" t="s">
        <v>1540</v>
      </c>
      <c r="D445" s="14">
        <v>100.0</v>
      </c>
      <c r="E445" s="14" t="s">
        <v>318</v>
      </c>
      <c r="F445" s="14" t="s">
        <v>1541</v>
      </c>
      <c r="G445" s="14" t="s">
        <v>1542</v>
      </c>
      <c r="H445" s="13"/>
      <c r="I445" s="13"/>
      <c r="J445" s="13"/>
      <c r="K445" s="13"/>
      <c r="L445" s="13"/>
      <c r="M445" s="13"/>
      <c r="N445" s="13"/>
      <c r="O445" s="13"/>
      <c r="P445" s="13"/>
      <c r="Q445" s="13"/>
      <c r="R445" s="13"/>
      <c r="S445" s="13"/>
    </row>
    <row r="446" ht="15.75" customHeight="1">
      <c r="A446" s="14" t="s">
        <v>1543</v>
      </c>
      <c r="B446" s="14" t="s">
        <v>316</v>
      </c>
      <c r="C446" s="14" t="s">
        <v>1544</v>
      </c>
      <c r="D446" s="14">
        <v>100.0</v>
      </c>
      <c r="E446" s="14" t="s">
        <v>318</v>
      </c>
      <c r="F446" s="14" t="s">
        <v>1545</v>
      </c>
      <c r="G446" s="14" t="s">
        <v>1546</v>
      </c>
      <c r="H446" s="13"/>
      <c r="I446" s="13"/>
      <c r="J446" s="13"/>
      <c r="K446" s="13"/>
      <c r="L446" s="13"/>
      <c r="M446" s="13"/>
      <c r="N446" s="13"/>
      <c r="O446" s="13"/>
      <c r="P446" s="13"/>
      <c r="Q446" s="13"/>
      <c r="R446" s="13"/>
      <c r="S446" s="13"/>
    </row>
    <row r="447" ht="15.75" customHeight="1">
      <c r="A447" s="14" t="s">
        <v>1547</v>
      </c>
      <c r="B447" s="14" t="s">
        <v>316</v>
      </c>
      <c r="C447" s="14" t="s">
        <v>1548</v>
      </c>
      <c r="D447" s="14">
        <v>100.0</v>
      </c>
      <c r="E447" s="14" t="s">
        <v>318</v>
      </c>
      <c r="F447" s="14" t="s">
        <v>850</v>
      </c>
      <c r="G447" s="14" t="s">
        <v>1549</v>
      </c>
      <c r="H447" s="13"/>
      <c r="I447" s="13"/>
      <c r="J447" s="13"/>
      <c r="K447" s="13"/>
      <c r="L447" s="13"/>
      <c r="M447" s="13"/>
      <c r="N447" s="13"/>
      <c r="O447" s="13"/>
      <c r="P447" s="13"/>
      <c r="Q447" s="13"/>
      <c r="R447" s="13"/>
      <c r="S447" s="13"/>
    </row>
    <row r="448" ht="15.75" customHeight="1">
      <c r="A448" s="14" t="s">
        <v>1550</v>
      </c>
      <c r="B448" s="14" t="s">
        <v>316</v>
      </c>
      <c r="C448" s="14" t="s">
        <v>1551</v>
      </c>
      <c r="D448" s="14">
        <v>100.0</v>
      </c>
      <c r="E448" s="14" t="s">
        <v>318</v>
      </c>
      <c r="F448" s="14" t="s">
        <v>1552</v>
      </c>
      <c r="G448" s="14" t="s">
        <v>1553</v>
      </c>
      <c r="H448" s="13"/>
      <c r="I448" s="13"/>
      <c r="J448" s="13"/>
      <c r="K448" s="13"/>
      <c r="L448" s="13"/>
      <c r="M448" s="13"/>
      <c r="N448" s="13"/>
      <c r="O448" s="13"/>
      <c r="P448" s="13"/>
      <c r="Q448" s="13"/>
      <c r="R448" s="13"/>
      <c r="S448" s="13"/>
    </row>
    <row r="449" ht="15.75" customHeight="1">
      <c r="A449" s="14" t="s">
        <v>1554</v>
      </c>
      <c r="B449" s="14" t="s">
        <v>316</v>
      </c>
      <c r="C449" s="14" t="s">
        <v>1181</v>
      </c>
      <c r="D449" s="14">
        <v>100.0</v>
      </c>
      <c r="E449" s="14" t="s">
        <v>318</v>
      </c>
      <c r="F449" s="14" t="s">
        <v>755</v>
      </c>
      <c r="G449" s="14" t="s">
        <v>1555</v>
      </c>
      <c r="H449" s="13"/>
      <c r="I449" s="13"/>
      <c r="J449" s="13"/>
      <c r="K449" s="13"/>
      <c r="L449" s="13"/>
      <c r="M449" s="13"/>
      <c r="N449" s="13"/>
      <c r="O449" s="13"/>
      <c r="P449" s="13"/>
      <c r="Q449" s="13"/>
      <c r="R449" s="13"/>
      <c r="S449" s="13"/>
    </row>
    <row r="450" ht="15.75" customHeight="1">
      <c r="A450" s="14" t="s">
        <v>1556</v>
      </c>
      <c r="B450" s="14" t="s">
        <v>316</v>
      </c>
      <c r="C450" s="14" t="s">
        <v>1557</v>
      </c>
      <c r="D450" s="14">
        <v>100.0</v>
      </c>
      <c r="E450" s="14" t="s">
        <v>318</v>
      </c>
      <c r="F450" s="14" t="s">
        <v>1558</v>
      </c>
      <c r="G450" s="14" t="s">
        <v>1559</v>
      </c>
      <c r="H450" s="13"/>
      <c r="I450" s="13"/>
      <c r="J450" s="13"/>
      <c r="K450" s="13"/>
      <c r="L450" s="13"/>
      <c r="M450" s="13"/>
      <c r="N450" s="13"/>
      <c r="O450" s="13"/>
      <c r="P450" s="13"/>
      <c r="Q450" s="13"/>
      <c r="R450" s="13"/>
      <c r="S450" s="13"/>
    </row>
    <row r="451" ht="15.75" customHeight="1">
      <c r="A451" s="14" t="s">
        <v>1560</v>
      </c>
      <c r="B451" s="14" t="s">
        <v>316</v>
      </c>
      <c r="C451" s="14" t="s">
        <v>1561</v>
      </c>
      <c r="D451" s="14">
        <v>100.0</v>
      </c>
      <c r="E451" s="14" t="s">
        <v>318</v>
      </c>
      <c r="F451" s="14" t="s">
        <v>1562</v>
      </c>
      <c r="G451" s="14" t="s">
        <v>1563</v>
      </c>
      <c r="H451" s="13"/>
      <c r="I451" s="13"/>
      <c r="J451" s="13"/>
      <c r="K451" s="13"/>
      <c r="L451" s="13"/>
      <c r="M451" s="13"/>
      <c r="N451" s="13"/>
      <c r="O451" s="13"/>
      <c r="P451" s="13"/>
      <c r="Q451" s="13"/>
      <c r="R451" s="13"/>
      <c r="S451" s="13"/>
    </row>
    <row r="452" ht="15.75" customHeight="1">
      <c r="A452" s="14" t="s">
        <v>1564</v>
      </c>
      <c r="B452" s="14" t="s">
        <v>316</v>
      </c>
      <c r="C452" s="14" t="s">
        <v>1565</v>
      </c>
      <c r="D452" s="14">
        <v>100.0</v>
      </c>
      <c r="E452" s="14" t="s">
        <v>318</v>
      </c>
      <c r="F452" s="14" t="s">
        <v>778</v>
      </c>
      <c r="G452" s="14" t="s">
        <v>1566</v>
      </c>
      <c r="H452" s="13"/>
      <c r="I452" s="13"/>
      <c r="J452" s="13"/>
      <c r="K452" s="13"/>
      <c r="L452" s="13"/>
      <c r="M452" s="13"/>
      <c r="N452" s="13"/>
      <c r="O452" s="13"/>
      <c r="P452" s="13"/>
      <c r="Q452" s="13"/>
      <c r="R452" s="13"/>
      <c r="S452" s="13"/>
    </row>
    <row r="453" ht="15.75" customHeight="1">
      <c r="A453" s="14" t="s">
        <v>1567</v>
      </c>
      <c r="B453" s="14" t="s">
        <v>316</v>
      </c>
      <c r="C453" s="14" t="s">
        <v>1568</v>
      </c>
      <c r="D453" s="14">
        <v>100.0</v>
      </c>
      <c r="E453" s="14" t="s">
        <v>318</v>
      </c>
      <c r="F453" s="14" t="s">
        <v>1569</v>
      </c>
      <c r="G453" s="14" t="s">
        <v>1570</v>
      </c>
      <c r="H453" s="13"/>
      <c r="I453" s="13"/>
      <c r="J453" s="13"/>
      <c r="K453" s="13"/>
      <c r="L453" s="13"/>
      <c r="M453" s="13"/>
      <c r="N453" s="13"/>
      <c r="O453" s="13"/>
      <c r="P453" s="13"/>
      <c r="Q453" s="13"/>
      <c r="R453" s="13"/>
      <c r="S453" s="13"/>
    </row>
    <row r="454" ht="15.75" customHeight="1">
      <c r="A454" s="14" t="s">
        <v>1571</v>
      </c>
      <c r="B454" s="14" t="s">
        <v>316</v>
      </c>
      <c r="C454" s="14" t="s">
        <v>1572</v>
      </c>
      <c r="D454" s="14">
        <v>100.0</v>
      </c>
      <c r="E454" s="14" t="s">
        <v>318</v>
      </c>
      <c r="F454" s="14" t="s">
        <v>451</v>
      </c>
      <c r="G454" s="14" t="s">
        <v>1573</v>
      </c>
      <c r="H454" s="13"/>
      <c r="I454" s="13"/>
      <c r="J454" s="13"/>
      <c r="K454" s="13"/>
      <c r="L454" s="13"/>
      <c r="M454" s="13"/>
      <c r="N454" s="13"/>
      <c r="O454" s="13"/>
      <c r="P454" s="13"/>
      <c r="Q454" s="13"/>
      <c r="R454" s="13"/>
      <c r="S454" s="13"/>
    </row>
    <row r="455" ht="15.75" customHeight="1">
      <c r="A455" s="14" t="s">
        <v>1574</v>
      </c>
      <c r="B455" s="14" t="s">
        <v>316</v>
      </c>
      <c r="C455" s="14" t="s">
        <v>1575</v>
      </c>
      <c r="D455" s="14">
        <v>100.0</v>
      </c>
      <c r="E455" s="14" t="s">
        <v>318</v>
      </c>
      <c r="F455" s="14" t="s">
        <v>822</v>
      </c>
      <c r="G455" s="14" t="s">
        <v>1576</v>
      </c>
      <c r="H455" s="13"/>
      <c r="I455" s="13"/>
      <c r="J455" s="13"/>
      <c r="K455" s="13"/>
      <c r="L455" s="13"/>
      <c r="M455" s="13"/>
      <c r="N455" s="13"/>
      <c r="O455" s="13"/>
      <c r="P455" s="13"/>
      <c r="Q455" s="13"/>
      <c r="R455" s="13"/>
      <c r="S455" s="13"/>
    </row>
    <row r="456" ht="15.75" customHeight="1">
      <c r="A456" s="14" t="s">
        <v>1577</v>
      </c>
      <c r="B456" s="14" t="s">
        <v>316</v>
      </c>
      <c r="C456" s="14" t="s">
        <v>1578</v>
      </c>
      <c r="D456" s="14">
        <v>100.0</v>
      </c>
      <c r="E456" s="14" t="s">
        <v>318</v>
      </c>
      <c r="F456" s="14" t="s">
        <v>1579</v>
      </c>
      <c r="G456" s="14" t="s">
        <v>1580</v>
      </c>
      <c r="H456" s="13"/>
      <c r="I456" s="13"/>
      <c r="J456" s="13"/>
      <c r="K456" s="13"/>
      <c r="L456" s="13"/>
      <c r="M456" s="13"/>
      <c r="N456" s="13"/>
      <c r="O456" s="13"/>
      <c r="P456" s="13"/>
      <c r="Q456" s="13"/>
      <c r="R456" s="13"/>
      <c r="S456" s="13"/>
    </row>
    <row r="457" ht="15.75" customHeight="1">
      <c r="A457" s="14" t="s">
        <v>1581</v>
      </c>
      <c r="B457" s="14" t="s">
        <v>316</v>
      </c>
      <c r="C457" s="14" t="s">
        <v>1582</v>
      </c>
      <c r="D457" s="14">
        <v>100.0</v>
      </c>
      <c r="E457" s="14" t="s">
        <v>318</v>
      </c>
      <c r="F457" s="14" t="s">
        <v>1558</v>
      </c>
      <c r="G457" s="14" t="s">
        <v>1583</v>
      </c>
      <c r="H457" s="13"/>
      <c r="I457" s="13"/>
      <c r="J457" s="13"/>
      <c r="K457" s="13"/>
      <c r="L457" s="13"/>
      <c r="M457" s="13"/>
      <c r="N457" s="13"/>
      <c r="O457" s="13"/>
      <c r="P457" s="13"/>
      <c r="Q457" s="13"/>
      <c r="R457" s="13"/>
      <c r="S457" s="13"/>
    </row>
    <row r="458" ht="15.75" customHeight="1">
      <c r="A458" s="14" t="s">
        <v>1584</v>
      </c>
      <c r="B458" s="14" t="s">
        <v>316</v>
      </c>
      <c r="C458" s="14" t="s">
        <v>1585</v>
      </c>
      <c r="D458" s="14">
        <v>100.0</v>
      </c>
      <c r="E458" s="14" t="s">
        <v>318</v>
      </c>
      <c r="F458" s="14" t="s">
        <v>1586</v>
      </c>
      <c r="G458" s="14" t="s">
        <v>1587</v>
      </c>
      <c r="H458" s="13"/>
      <c r="I458" s="13"/>
      <c r="J458" s="13"/>
      <c r="K458" s="13"/>
      <c r="L458" s="13"/>
      <c r="M458" s="13"/>
      <c r="N458" s="13"/>
      <c r="O458" s="13"/>
      <c r="P458" s="13"/>
      <c r="Q458" s="13"/>
      <c r="R458" s="13"/>
      <c r="S458" s="13"/>
    </row>
    <row r="459" ht="15.75" customHeight="1">
      <c r="A459" s="14" t="s">
        <v>1588</v>
      </c>
      <c r="B459" s="14" t="s">
        <v>316</v>
      </c>
      <c r="C459" s="14" t="s">
        <v>1589</v>
      </c>
      <c r="D459" s="14">
        <v>100.0</v>
      </c>
      <c r="E459" s="14" t="s">
        <v>318</v>
      </c>
      <c r="F459" s="14" t="s">
        <v>1590</v>
      </c>
      <c r="G459" s="14" t="s">
        <v>1591</v>
      </c>
      <c r="H459" s="13"/>
      <c r="I459" s="13"/>
      <c r="J459" s="13"/>
      <c r="K459" s="13"/>
      <c r="L459" s="13"/>
      <c r="M459" s="13"/>
      <c r="N459" s="13"/>
      <c r="O459" s="13"/>
      <c r="P459" s="13"/>
      <c r="Q459" s="13"/>
      <c r="R459" s="13"/>
      <c r="S459" s="13"/>
    </row>
    <row r="460" ht="15.75" customHeight="1">
      <c r="A460" s="14" t="s">
        <v>1592</v>
      </c>
      <c r="B460" s="14" t="s">
        <v>316</v>
      </c>
      <c r="C460" s="14" t="s">
        <v>1593</v>
      </c>
      <c r="D460" s="14">
        <v>100.0</v>
      </c>
      <c r="E460" s="14" t="s">
        <v>318</v>
      </c>
      <c r="F460" s="14" t="s">
        <v>591</v>
      </c>
      <c r="G460" s="14" t="s">
        <v>1594</v>
      </c>
      <c r="H460" s="13"/>
      <c r="I460" s="13"/>
      <c r="J460" s="13"/>
      <c r="K460" s="13"/>
      <c r="L460" s="13"/>
      <c r="M460" s="13"/>
      <c r="N460" s="13"/>
      <c r="O460" s="13"/>
      <c r="P460" s="13"/>
      <c r="Q460" s="13"/>
      <c r="R460" s="13"/>
      <c r="S460" s="13"/>
    </row>
    <row r="461" ht="15.75" customHeight="1">
      <c r="A461" s="14" t="s">
        <v>1595</v>
      </c>
      <c r="B461" s="14" t="s">
        <v>316</v>
      </c>
      <c r="C461" s="14" t="s">
        <v>1596</v>
      </c>
      <c r="D461" s="14">
        <v>100.0</v>
      </c>
      <c r="E461" s="14" t="s">
        <v>318</v>
      </c>
      <c r="F461" s="14" t="s">
        <v>1597</v>
      </c>
      <c r="G461" s="14" t="s">
        <v>1598</v>
      </c>
      <c r="H461" s="13"/>
      <c r="I461" s="13"/>
      <c r="J461" s="13"/>
      <c r="K461" s="13"/>
      <c r="L461" s="13"/>
      <c r="M461" s="13"/>
      <c r="N461" s="13"/>
      <c r="O461" s="13"/>
      <c r="P461" s="13"/>
      <c r="Q461" s="13"/>
      <c r="R461" s="13"/>
      <c r="S461" s="13"/>
    </row>
    <row r="462" ht="15.75" customHeight="1">
      <c r="A462" s="14" t="s">
        <v>1599</v>
      </c>
      <c r="B462" s="14" t="s">
        <v>316</v>
      </c>
      <c r="C462" s="14" t="s">
        <v>1600</v>
      </c>
      <c r="D462" s="14">
        <v>100.0</v>
      </c>
      <c r="E462" s="14" t="s">
        <v>318</v>
      </c>
      <c r="F462" s="14" t="s">
        <v>1601</v>
      </c>
      <c r="G462" s="14" t="s">
        <v>1602</v>
      </c>
      <c r="H462" s="13"/>
      <c r="I462" s="13"/>
      <c r="J462" s="13"/>
      <c r="K462" s="13"/>
      <c r="L462" s="13"/>
      <c r="M462" s="13"/>
      <c r="N462" s="13"/>
      <c r="O462" s="13"/>
      <c r="P462" s="13"/>
      <c r="Q462" s="13"/>
      <c r="R462" s="13"/>
      <c r="S462" s="13"/>
    </row>
    <row r="463" ht="15.75" customHeight="1">
      <c r="A463" s="14" t="s">
        <v>1603</v>
      </c>
      <c r="B463" s="14" t="s">
        <v>316</v>
      </c>
      <c r="C463" s="14" t="s">
        <v>1604</v>
      </c>
      <c r="D463" s="14">
        <v>100.0</v>
      </c>
      <c r="E463" s="14" t="s">
        <v>318</v>
      </c>
      <c r="F463" s="14" t="s">
        <v>1605</v>
      </c>
      <c r="G463" s="14" t="s">
        <v>1606</v>
      </c>
      <c r="H463" s="13"/>
      <c r="I463" s="13"/>
      <c r="J463" s="13"/>
      <c r="K463" s="13"/>
      <c r="L463" s="13"/>
      <c r="M463" s="13"/>
      <c r="N463" s="13"/>
      <c r="O463" s="13"/>
      <c r="P463" s="13"/>
      <c r="Q463" s="13"/>
      <c r="R463" s="13"/>
      <c r="S463" s="13"/>
    </row>
    <row r="464" ht="15.75" customHeight="1">
      <c r="A464" s="14" t="s">
        <v>1607</v>
      </c>
      <c r="B464" s="14" t="s">
        <v>316</v>
      </c>
      <c r="C464" s="14" t="s">
        <v>1608</v>
      </c>
      <c r="D464" s="14">
        <v>100.0</v>
      </c>
      <c r="E464" s="14" t="s">
        <v>318</v>
      </c>
      <c r="F464" s="14" t="s">
        <v>1609</v>
      </c>
      <c r="G464" s="14" t="s">
        <v>1610</v>
      </c>
      <c r="H464" s="13"/>
      <c r="I464" s="13"/>
      <c r="J464" s="13"/>
      <c r="K464" s="13"/>
      <c r="L464" s="13"/>
      <c r="M464" s="13"/>
      <c r="N464" s="13"/>
      <c r="O464" s="13"/>
      <c r="P464" s="13"/>
      <c r="Q464" s="13"/>
      <c r="R464" s="13"/>
      <c r="S464" s="13"/>
    </row>
    <row r="465" ht="15.75" customHeight="1">
      <c r="A465" s="14" t="s">
        <v>1611</v>
      </c>
      <c r="B465" s="14" t="s">
        <v>316</v>
      </c>
      <c r="C465" s="14" t="s">
        <v>1612</v>
      </c>
      <c r="D465" s="14">
        <v>100.0</v>
      </c>
      <c r="E465" s="14" t="s">
        <v>318</v>
      </c>
      <c r="F465" s="14" t="s">
        <v>1613</v>
      </c>
      <c r="G465" s="14"/>
      <c r="H465" s="13"/>
      <c r="I465" s="13"/>
      <c r="J465" s="13"/>
      <c r="K465" s="13"/>
      <c r="L465" s="13"/>
      <c r="M465" s="13"/>
      <c r="N465" s="13"/>
      <c r="O465" s="13"/>
      <c r="P465" s="13"/>
      <c r="Q465" s="13"/>
      <c r="R465" s="13"/>
      <c r="S465" s="13"/>
    </row>
    <row r="466" ht="15.75" customHeight="1">
      <c r="A466" s="14" t="s">
        <v>1614</v>
      </c>
      <c r="B466" s="14" t="s">
        <v>1615</v>
      </c>
      <c r="C466" s="14"/>
      <c r="D466" s="14"/>
      <c r="E466" s="14"/>
      <c r="F466" s="14"/>
      <c r="G466" s="14"/>
      <c r="H466" s="13"/>
      <c r="I466" s="13"/>
      <c r="J466" s="13"/>
      <c r="K466" s="13"/>
      <c r="L466" s="13"/>
      <c r="M466" s="13"/>
      <c r="N466" s="13"/>
      <c r="O466" s="13"/>
      <c r="P466" s="13"/>
      <c r="Q466" s="13"/>
      <c r="R466" s="13"/>
      <c r="S466" s="13"/>
    </row>
    <row r="467" ht="15.75" customHeight="1">
      <c r="A467" s="14" t="s">
        <v>1616</v>
      </c>
      <c r="B467" s="14" t="s">
        <v>316</v>
      </c>
      <c r="C467" s="14" t="s">
        <v>1617</v>
      </c>
      <c r="D467" s="14">
        <v>100.0</v>
      </c>
      <c r="E467" s="14" t="s">
        <v>318</v>
      </c>
      <c r="F467" s="14" t="s">
        <v>1618</v>
      </c>
      <c r="G467" s="14" t="s">
        <v>1619</v>
      </c>
      <c r="H467" s="13"/>
      <c r="I467" s="13"/>
      <c r="J467" s="13"/>
      <c r="K467" s="13"/>
      <c r="L467" s="13"/>
      <c r="M467" s="13"/>
      <c r="N467" s="13"/>
      <c r="O467" s="13"/>
      <c r="P467" s="13"/>
      <c r="Q467" s="13"/>
      <c r="R467" s="13"/>
      <c r="S467" s="13"/>
    </row>
    <row r="468" ht="15.75" customHeight="1">
      <c r="A468" s="14" t="s">
        <v>1620</v>
      </c>
      <c r="B468" s="14" t="s">
        <v>316</v>
      </c>
      <c r="C468" s="14" t="s">
        <v>1621</v>
      </c>
      <c r="D468" s="14">
        <v>100.0</v>
      </c>
      <c r="E468" s="14" t="s">
        <v>318</v>
      </c>
      <c r="F468" s="14" t="s">
        <v>1622</v>
      </c>
      <c r="G468" s="14" t="s">
        <v>1623</v>
      </c>
      <c r="H468" s="13"/>
      <c r="I468" s="13"/>
      <c r="J468" s="13"/>
      <c r="K468" s="13"/>
      <c r="L468" s="13"/>
      <c r="M468" s="13"/>
      <c r="N468" s="13"/>
      <c r="O468" s="13"/>
      <c r="P468" s="13"/>
      <c r="Q468" s="13"/>
      <c r="R468" s="13"/>
      <c r="S468" s="13"/>
    </row>
    <row r="469" ht="15.75" customHeight="1">
      <c r="A469" s="14" t="s">
        <v>1624</v>
      </c>
      <c r="B469" s="14" t="s">
        <v>316</v>
      </c>
      <c r="C469" s="14" t="s">
        <v>1625</v>
      </c>
      <c r="D469" s="14">
        <v>100.0</v>
      </c>
      <c r="E469" s="14" t="s">
        <v>318</v>
      </c>
      <c r="F469" s="14" t="s">
        <v>1626</v>
      </c>
      <c r="G469" s="14"/>
      <c r="H469" s="13"/>
      <c r="I469" s="13"/>
      <c r="J469" s="13"/>
      <c r="K469" s="13"/>
      <c r="L469" s="13"/>
      <c r="M469" s="13"/>
      <c r="N469" s="13"/>
      <c r="O469" s="13"/>
      <c r="P469" s="13"/>
      <c r="Q469" s="13"/>
      <c r="R469" s="13"/>
      <c r="S469" s="13"/>
    </row>
    <row r="470" ht="15.75" customHeight="1">
      <c r="A470" s="14" t="s">
        <v>1627</v>
      </c>
      <c r="B470" s="14" t="s">
        <v>1628</v>
      </c>
      <c r="C470" s="14"/>
      <c r="D470" s="14"/>
      <c r="E470" s="14"/>
      <c r="F470" s="14"/>
      <c r="G470" s="14"/>
      <c r="H470" s="13"/>
      <c r="I470" s="13"/>
      <c r="J470" s="13"/>
      <c r="K470" s="13"/>
      <c r="L470" s="13"/>
      <c r="M470" s="13"/>
      <c r="N470" s="13"/>
      <c r="O470" s="13"/>
      <c r="P470" s="13"/>
      <c r="Q470" s="13"/>
      <c r="R470" s="13"/>
      <c r="S470" s="13"/>
    </row>
    <row r="471" ht="15.75" customHeight="1">
      <c r="A471" s="14" t="s">
        <v>1629</v>
      </c>
      <c r="B471" s="14" t="s">
        <v>316</v>
      </c>
      <c r="C471" s="14" t="s">
        <v>1630</v>
      </c>
      <c r="D471" s="14">
        <v>100.0</v>
      </c>
      <c r="E471" s="14" t="s">
        <v>318</v>
      </c>
      <c r="F471" s="14" t="s">
        <v>1631</v>
      </c>
      <c r="G471" s="14" t="s">
        <v>1632</v>
      </c>
      <c r="H471" s="13"/>
      <c r="I471" s="13"/>
      <c r="J471" s="13"/>
      <c r="K471" s="13"/>
      <c r="L471" s="13"/>
      <c r="M471" s="13"/>
      <c r="N471" s="13"/>
      <c r="O471" s="13"/>
      <c r="P471" s="13"/>
      <c r="Q471" s="13"/>
      <c r="R471" s="13"/>
      <c r="S471" s="13"/>
    </row>
    <row r="472" ht="15.75" customHeight="1">
      <c r="A472" s="14" t="s">
        <v>1633</v>
      </c>
      <c r="B472" s="14" t="s">
        <v>316</v>
      </c>
      <c r="C472" s="14" t="s">
        <v>1634</v>
      </c>
      <c r="D472" s="14">
        <v>100.0</v>
      </c>
      <c r="E472" s="14" t="s">
        <v>318</v>
      </c>
      <c r="F472" s="14" t="s">
        <v>1635</v>
      </c>
      <c r="G472" s="14" t="s">
        <v>1636</v>
      </c>
      <c r="H472" s="13"/>
      <c r="I472" s="13"/>
      <c r="J472" s="13"/>
      <c r="K472" s="13"/>
      <c r="L472" s="13"/>
      <c r="M472" s="13"/>
      <c r="N472" s="13"/>
      <c r="O472" s="13"/>
      <c r="P472" s="13"/>
      <c r="Q472" s="13"/>
      <c r="R472" s="13"/>
      <c r="S472" s="13"/>
    </row>
    <row r="473" ht="15.75" customHeight="1">
      <c r="A473" s="14" t="s">
        <v>1637</v>
      </c>
      <c r="B473" s="14" t="s">
        <v>316</v>
      </c>
      <c r="C473" s="14" t="s">
        <v>1638</v>
      </c>
      <c r="D473" s="14">
        <v>100.0</v>
      </c>
      <c r="E473" s="14" t="s">
        <v>318</v>
      </c>
      <c r="F473" s="14" t="s">
        <v>1639</v>
      </c>
      <c r="G473" s="14" t="s">
        <v>1640</v>
      </c>
      <c r="H473" s="13"/>
      <c r="I473" s="13"/>
      <c r="J473" s="13"/>
      <c r="K473" s="13"/>
      <c r="L473" s="13"/>
      <c r="M473" s="13"/>
      <c r="N473" s="13"/>
      <c r="O473" s="13"/>
      <c r="P473" s="13"/>
      <c r="Q473" s="13"/>
      <c r="R473" s="13"/>
      <c r="S473" s="13"/>
    </row>
    <row r="474" ht="15.75" customHeight="1">
      <c r="A474" s="14" t="s">
        <v>1641</v>
      </c>
      <c r="B474" s="14" t="s">
        <v>316</v>
      </c>
      <c r="C474" s="14" t="s">
        <v>1642</v>
      </c>
      <c r="D474" s="14">
        <v>100.0</v>
      </c>
      <c r="E474" s="14" t="s">
        <v>318</v>
      </c>
      <c r="F474" s="14" t="s">
        <v>1643</v>
      </c>
      <c r="G474" s="14" t="s">
        <v>1644</v>
      </c>
      <c r="H474" s="13"/>
      <c r="I474" s="13"/>
      <c r="J474" s="13"/>
      <c r="K474" s="13"/>
      <c r="L474" s="13"/>
      <c r="M474" s="13"/>
      <c r="N474" s="13"/>
      <c r="O474" s="13"/>
      <c r="P474" s="13"/>
      <c r="Q474" s="13"/>
      <c r="R474" s="13"/>
      <c r="S474" s="13"/>
    </row>
    <row r="475" ht="15.75" customHeight="1">
      <c r="A475" s="14" t="s">
        <v>1645</v>
      </c>
      <c r="B475" s="14" t="s">
        <v>316</v>
      </c>
      <c r="C475" s="14" t="s">
        <v>1646</v>
      </c>
      <c r="D475" s="14">
        <v>100.0</v>
      </c>
      <c r="E475" s="14" t="s">
        <v>318</v>
      </c>
      <c r="F475" s="14" t="s">
        <v>1647</v>
      </c>
      <c r="G475" s="14" t="s">
        <v>1648</v>
      </c>
      <c r="H475" s="13"/>
      <c r="I475" s="13"/>
      <c r="J475" s="13"/>
      <c r="K475" s="13"/>
      <c r="L475" s="13"/>
      <c r="M475" s="13"/>
      <c r="N475" s="13"/>
      <c r="O475" s="13"/>
      <c r="P475" s="13"/>
      <c r="Q475" s="13"/>
      <c r="R475" s="13"/>
      <c r="S475" s="13"/>
    </row>
    <row r="476" ht="15.75" customHeight="1">
      <c r="A476" s="14" t="s">
        <v>1649</v>
      </c>
      <c r="B476" s="14" t="s">
        <v>316</v>
      </c>
      <c r="C476" s="14" t="s">
        <v>1650</v>
      </c>
      <c r="D476" s="14">
        <v>100.0</v>
      </c>
      <c r="E476" s="14" t="s">
        <v>318</v>
      </c>
      <c r="F476" s="14" t="s">
        <v>1651</v>
      </c>
      <c r="G476" s="14" t="s">
        <v>1652</v>
      </c>
      <c r="H476" s="13"/>
      <c r="I476" s="13"/>
      <c r="J476" s="13"/>
      <c r="K476" s="13"/>
      <c r="L476" s="13"/>
      <c r="M476" s="13"/>
      <c r="N476" s="13"/>
      <c r="O476" s="13"/>
      <c r="P476" s="13"/>
      <c r="Q476" s="13"/>
      <c r="R476" s="13"/>
      <c r="S476" s="13"/>
    </row>
    <row r="477" ht="15.75" customHeight="1">
      <c r="A477" s="14" t="s">
        <v>1653</v>
      </c>
      <c r="B477" s="14" t="s">
        <v>316</v>
      </c>
      <c r="C477" s="14" t="s">
        <v>1654</v>
      </c>
      <c r="D477" s="14">
        <v>100.0</v>
      </c>
      <c r="E477" s="14" t="s">
        <v>318</v>
      </c>
      <c r="F477" s="14" t="s">
        <v>1655</v>
      </c>
      <c r="G477" s="14" t="s">
        <v>1656</v>
      </c>
      <c r="H477" s="13"/>
      <c r="I477" s="13"/>
      <c r="J477" s="13"/>
      <c r="K477" s="13"/>
      <c r="L477" s="13"/>
      <c r="M477" s="13"/>
      <c r="N477" s="13"/>
      <c r="O477" s="13"/>
      <c r="P477" s="13"/>
      <c r="Q477" s="13"/>
      <c r="R477" s="13"/>
      <c r="S477" s="13"/>
    </row>
    <row r="478" ht="15.75" customHeight="1">
      <c r="A478" s="14" t="s">
        <v>1657</v>
      </c>
      <c r="B478" s="14" t="s">
        <v>316</v>
      </c>
      <c r="C478" s="14" t="s">
        <v>1658</v>
      </c>
      <c r="D478" s="14">
        <v>100.0</v>
      </c>
      <c r="E478" s="14" t="s">
        <v>318</v>
      </c>
      <c r="F478" s="14" t="s">
        <v>1659</v>
      </c>
      <c r="G478" s="14" t="s">
        <v>1660</v>
      </c>
      <c r="H478" s="13"/>
      <c r="I478" s="13"/>
      <c r="J478" s="13"/>
      <c r="K478" s="13"/>
      <c r="L478" s="13"/>
      <c r="M478" s="13"/>
      <c r="N478" s="13"/>
      <c r="O478" s="13"/>
      <c r="P478" s="13"/>
      <c r="Q478" s="13"/>
      <c r="R478" s="13"/>
      <c r="S478" s="13"/>
    </row>
    <row r="479" ht="15.75" customHeight="1">
      <c r="A479" s="14" t="s">
        <v>1661</v>
      </c>
      <c r="B479" s="14" t="s">
        <v>316</v>
      </c>
      <c r="C479" s="14" t="s">
        <v>1662</v>
      </c>
      <c r="D479" s="14">
        <v>100.0</v>
      </c>
      <c r="E479" s="14" t="s">
        <v>318</v>
      </c>
      <c r="F479" s="14" t="s">
        <v>1663</v>
      </c>
      <c r="G479" s="14" t="s">
        <v>1664</v>
      </c>
      <c r="H479" s="13"/>
      <c r="I479" s="13"/>
      <c r="J479" s="13"/>
      <c r="K479" s="13"/>
      <c r="L479" s="13"/>
      <c r="M479" s="13"/>
      <c r="N479" s="13"/>
      <c r="O479" s="13"/>
      <c r="P479" s="13"/>
      <c r="Q479" s="13"/>
      <c r="R479" s="13"/>
      <c r="S479" s="13"/>
    </row>
    <row r="480" ht="15.75" customHeight="1">
      <c r="A480" s="14" t="s">
        <v>1665</v>
      </c>
      <c r="B480" s="14" t="s">
        <v>316</v>
      </c>
      <c r="C480" s="14" t="s">
        <v>1666</v>
      </c>
      <c r="D480" s="14">
        <v>100.0</v>
      </c>
      <c r="E480" s="14" t="s">
        <v>318</v>
      </c>
      <c r="F480" s="14" t="s">
        <v>656</v>
      </c>
      <c r="G480" s="14" t="s">
        <v>1667</v>
      </c>
      <c r="H480" s="13"/>
      <c r="I480" s="13"/>
      <c r="J480" s="13"/>
      <c r="K480" s="13"/>
      <c r="L480" s="13"/>
      <c r="M480" s="13"/>
      <c r="N480" s="13"/>
      <c r="O480" s="13"/>
      <c r="P480" s="13"/>
      <c r="Q480" s="13"/>
      <c r="R480" s="13"/>
      <c r="S480" s="13"/>
    </row>
    <row r="481" ht="15.75" customHeight="1">
      <c r="A481" s="14" t="s">
        <v>1668</v>
      </c>
      <c r="B481" s="14" t="s">
        <v>316</v>
      </c>
      <c r="C481" s="14" t="s">
        <v>1669</v>
      </c>
      <c r="D481" s="14">
        <v>100.0</v>
      </c>
      <c r="E481" s="14" t="s">
        <v>318</v>
      </c>
      <c r="F481" s="14" t="s">
        <v>1670</v>
      </c>
      <c r="G481" s="14" t="s">
        <v>1671</v>
      </c>
      <c r="H481" s="13"/>
      <c r="I481" s="13"/>
      <c r="J481" s="13"/>
      <c r="K481" s="13"/>
      <c r="L481" s="13"/>
      <c r="M481" s="13"/>
      <c r="N481" s="13"/>
      <c r="O481" s="13"/>
      <c r="P481" s="13"/>
      <c r="Q481" s="13"/>
      <c r="R481" s="13"/>
      <c r="S481" s="13"/>
    </row>
    <row r="482" ht="15.75" customHeight="1">
      <c r="A482" s="14" t="s">
        <v>1672</v>
      </c>
      <c r="B482" s="14" t="s">
        <v>316</v>
      </c>
      <c r="C482" s="14" t="s">
        <v>1673</v>
      </c>
      <c r="D482" s="14">
        <v>100.0</v>
      </c>
      <c r="E482" s="14" t="s">
        <v>318</v>
      </c>
      <c r="F482" s="14" t="s">
        <v>1674</v>
      </c>
      <c r="G482" s="14" t="s">
        <v>1675</v>
      </c>
      <c r="H482" s="13"/>
      <c r="I482" s="13"/>
      <c r="J482" s="13"/>
      <c r="K482" s="13"/>
      <c r="L482" s="13"/>
      <c r="M482" s="13"/>
      <c r="N482" s="13"/>
      <c r="O482" s="13"/>
      <c r="P482" s="13"/>
      <c r="Q482" s="13"/>
      <c r="R482" s="13"/>
      <c r="S482" s="13"/>
    </row>
    <row r="483" ht="15.75" customHeight="1">
      <c r="A483" s="14" t="s">
        <v>1676</v>
      </c>
      <c r="B483" s="14" t="s">
        <v>316</v>
      </c>
      <c r="C483" s="14" t="s">
        <v>1677</v>
      </c>
      <c r="D483" s="14">
        <v>100.0</v>
      </c>
      <c r="E483" s="14" t="s">
        <v>318</v>
      </c>
      <c r="F483" s="14" t="s">
        <v>1678</v>
      </c>
      <c r="G483" s="14" t="s">
        <v>1679</v>
      </c>
      <c r="H483" s="13"/>
      <c r="I483" s="13"/>
      <c r="J483" s="13"/>
      <c r="K483" s="13"/>
      <c r="L483" s="13"/>
      <c r="M483" s="13"/>
      <c r="N483" s="13"/>
      <c r="O483" s="13"/>
      <c r="P483" s="13"/>
      <c r="Q483" s="13"/>
      <c r="R483" s="13"/>
      <c r="S483" s="13"/>
    </row>
    <row r="484" ht="15.75" customHeight="1">
      <c r="A484" s="14" t="s">
        <v>1680</v>
      </c>
      <c r="B484" s="14" t="s">
        <v>316</v>
      </c>
      <c r="C484" s="14" t="s">
        <v>1681</v>
      </c>
      <c r="D484" s="14">
        <v>100.0</v>
      </c>
      <c r="E484" s="14" t="s">
        <v>318</v>
      </c>
      <c r="F484" s="14" t="s">
        <v>1682</v>
      </c>
      <c r="G484" s="14" t="s">
        <v>1683</v>
      </c>
      <c r="H484" s="13"/>
      <c r="I484" s="13"/>
      <c r="J484" s="13"/>
      <c r="K484" s="13"/>
      <c r="L484" s="13"/>
      <c r="M484" s="13"/>
      <c r="N484" s="13"/>
      <c r="O484" s="13"/>
      <c r="P484" s="13"/>
      <c r="Q484" s="13"/>
      <c r="R484" s="13"/>
      <c r="S484" s="13"/>
    </row>
    <row r="485" ht="15.75" customHeight="1">
      <c r="A485" s="14" t="s">
        <v>1684</v>
      </c>
      <c r="B485" s="14" t="s">
        <v>316</v>
      </c>
      <c r="C485" s="14" t="s">
        <v>1685</v>
      </c>
      <c r="D485" s="14">
        <v>100.0</v>
      </c>
      <c r="E485" s="14" t="s">
        <v>318</v>
      </c>
      <c r="F485" s="14" t="s">
        <v>1686</v>
      </c>
      <c r="G485" s="14" t="s">
        <v>1687</v>
      </c>
      <c r="H485" s="13"/>
      <c r="I485" s="13"/>
      <c r="J485" s="13"/>
      <c r="K485" s="13"/>
      <c r="L485" s="13"/>
      <c r="M485" s="13"/>
      <c r="N485" s="13"/>
      <c r="O485" s="13"/>
      <c r="P485" s="13"/>
      <c r="Q485" s="13"/>
      <c r="R485" s="13"/>
      <c r="S485" s="13"/>
    </row>
    <row r="486" ht="15.75" customHeight="1">
      <c r="A486" s="14" t="s">
        <v>1688</v>
      </c>
      <c r="B486" s="14" t="s">
        <v>316</v>
      </c>
      <c r="C486" s="14" t="s">
        <v>1689</v>
      </c>
      <c r="D486" s="14">
        <v>100.0</v>
      </c>
      <c r="E486" s="14" t="s">
        <v>318</v>
      </c>
      <c r="F486" s="14" t="s">
        <v>1690</v>
      </c>
      <c r="G486" s="14" t="s">
        <v>1691</v>
      </c>
      <c r="H486" s="13"/>
      <c r="I486" s="13"/>
      <c r="J486" s="13"/>
      <c r="K486" s="13"/>
      <c r="L486" s="13"/>
      <c r="M486" s="13"/>
      <c r="N486" s="13"/>
      <c r="O486" s="13"/>
      <c r="P486" s="13"/>
      <c r="Q486" s="13"/>
      <c r="R486" s="13"/>
      <c r="S486" s="13"/>
    </row>
    <row r="487" ht="15.75" customHeight="1">
      <c r="A487" s="14" t="s">
        <v>1692</v>
      </c>
      <c r="B487" s="14" t="s">
        <v>316</v>
      </c>
      <c r="C487" s="14" t="s">
        <v>1693</v>
      </c>
      <c r="D487" s="14">
        <v>100.0</v>
      </c>
      <c r="E487" s="14" t="s">
        <v>318</v>
      </c>
      <c r="F487" s="14" t="s">
        <v>583</v>
      </c>
      <c r="G487" s="14" t="s">
        <v>1694</v>
      </c>
      <c r="H487" s="13"/>
      <c r="I487" s="13"/>
      <c r="J487" s="13"/>
      <c r="K487" s="13"/>
      <c r="L487" s="13"/>
      <c r="M487" s="13"/>
      <c r="N487" s="13"/>
      <c r="O487" s="13"/>
      <c r="P487" s="13"/>
      <c r="Q487" s="13"/>
      <c r="R487" s="13"/>
      <c r="S487" s="13"/>
    </row>
    <row r="488" ht="15.75" customHeight="1">
      <c r="A488" s="14" t="s">
        <v>1695</v>
      </c>
      <c r="B488" s="14" t="s">
        <v>316</v>
      </c>
      <c r="C488" s="14" t="s">
        <v>1696</v>
      </c>
      <c r="D488" s="14">
        <v>100.0</v>
      </c>
      <c r="E488" s="14" t="s">
        <v>318</v>
      </c>
      <c r="F488" s="14" t="s">
        <v>1697</v>
      </c>
      <c r="G488" s="14" t="s">
        <v>1698</v>
      </c>
      <c r="H488" s="13"/>
      <c r="I488" s="13"/>
      <c r="J488" s="13"/>
      <c r="K488" s="13"/>
      <c r="L488" s="13"/>
      <c r="M488" s="13"/>
      <c r="N488" s="13"/>
      <c r="O488" s="13"/>
      <c r="P488" s="13"/>
      <c r="Q488" s="13"/>
      <c r="R488" s="13"/>
      <c r="S488" s="13"/>
    </row>
    <row r="489" ht="15.75" customHeight="1">
      <c r="A489" s="14" t="s">
        <v>1699</v>
      </c>
      <c r="B489" s="14" t="s">
        <v>316</v>
      </c>
      <c r="C489" s="14" t="s">
        <v>1700</v>
      </c>
      <c r="D489" s="14">
        <v>100.0</v>
      </c>
      <c r="E489" s="14" t="s">
        <v>318</v>
      </c>
      <c r="F489" s="14" t="s">
        <v>1701</v>
      </c>
      <c r="G489" s="14" t="s">
        <v>1702</v>
      </c>
      <c r="H489" s="13"/>
      <c r="I489" s="13"/>
      <c r="J489" s="13"/>
      <c r="K489" s="13"/>
      <c r="L489" s="13"/>
      <c r="M489" s="13"/>
      <c r="N489" s="13"/>
      <c r="O489" s="13"/>
      <c r="P489" s="13"/>
      <c r="Q489" s="13"/>
      <c r="R489" s="13"/>
      <c r="S489" s="13"/>
    </row>
    <row r="490" ht="15.75" customHeight="1">
      <c r="A490" s="14" t="s">
        <v>1703</v>
      </c>
      <c r="B490" s="14" t="s">
        <v>316</v>
      </c>
      <c r="C490" s="14" t="s">
        <v>1704</v>
      </c>
      <c r="D490" s="14">
        <v>100.0</v>
      </c>
      <c r="E490" s="14" t="s">
        <v>318</v>
      </c>
      <c r="F490" s="14" t="s">
        <v>1705</v>
      </c>
      <c r="G490" s="14" t="s">
        <v>1706</v>
      </c>
      <c r="H490" s="13"/>
      <c r="I490" s="13"/>
      <c r="J490" s="13"/>
      <c r="K490" s="13"/>
      <c r="L490" s="13"/>
      <c r="M490" s="13"/>
      <c r="N490" s="13"/>
      <c r="O490" s="13"/>
      <c r="P490" s="13"/>
      <c r="Q490" s="13"/>
      <c r="R490" s="13"/>
      <c r="S490" s="13"/>
    </row>
    <row r="491" ht="15.75" customHeight="1">
      <c r="A491" s="14" t="s">
        <v>1707</v>
      </c>
      <c r="B491" s="14" t="s">
        <v>316</v>
      </c>
      <c r="C491" s="14" t="s">
        <v>1708</v>
      </c>
      <c r="D491" s="14">
        <v>100.0</v>
      </c>
      <c r="E491" s="14" t="s">
        <v>318</v>
      </c>
      <c r="F491" s="14" t="s">
        <v>1709</v>
      </c>
      <c r="G491" s="14" t="s">
        <v>1710</v>
      </c>
      <c r="H491" s="13"/>
      <c r="I491" s="13"/>
      <c r="J491" s="13"/>
      <c r="K491" s="13"/>
      <c r="L491" s="13"/>
      <c r="M491" s="13"/>
      <c r="N491" s="13"/>
      <c r="O491" s="13"/>
      <c r="P491" s="13"/>
      <c r="Q491" s="13"/>
      <c r="R491" s="13"/>
      <c r="S491" s="13"/>
    </row>
    <row r="492" ht="15.75" customHeight="1">
      <c r="A492" s="14" t="s">
        <v>1711</v>
      </c>
      <c r="B492" s="14" t="s">
        <v>316</v>
      </c>
      <c r="C492" s="14" t="s">
        <v>1712</v>
      </c>
      <c r="D492" s="14">
        <v>100.0</v>
      </c>
      <c r="E492" s="14" t="s">
        <v>318</v>
      </c>
      <c r="F492" s="14" t="s">
        <v>1713</v>
      </c>
      <c r="G492" s="14" t="s">
        <v>1714</v>
      </c>
      <c r="H492" s="13"/>
      <c r="I492" s="13"/>
      <c r="J492" s="13"/>
      <c r="K492" s="13"/>
      <c r="L492" s="13"/>
      <c r="M492" s="13"/>
      <c r="N492" s="13"/>
      <c r="O492" s="13"/>
      <c r="P492" s="13"/>
      <c r="Q492" s="13"/>
      <c r="R492" s="13"/>
      <c r="S492" s="13"/>
    </row>
    <row r="493" ht="15.75" customHeight="1">
      <c r="A493" s="14" t="s">
        <v>1715</v>
      </c>
      <c r="B493" s="14" t="s">
        <v>316</v>
      </c>
      <c r="C493" s="14" t="s">
        <v>1716</v>
      </c>
      <c r="D493" s="14">
        <v>100.0</v>
      </c>
      <c r="E493" s="14" t="s">
        <v>318</v>
      </c>
      <c r="F493" s="14" t="s">
        <v>1717</v>
      </c>
      <c r="G493" s="14" t="s">
        <v>1718</v>
      </c>
      <c r="H493" s="13"/>
      <c r="I493" s="13"/>
      <c r="J493" s="13"/>
      <c r="K493" s="13"/>
      <c r="L493" s="13"/>
      <c r="M493" s="13"/>
      <c r="N493" s="13"/>
      <c r="O493" s="13"/>
      <c r="P493" s="13"/>
      <c r="Q493" s="13"/>
      <c r="R493" s="13"/>
      <c r="S493" s="13"/>
    </row>
    <row r="494" ht="15.75" customHeight="1">
      <c r="A494" s="14" t="s">
        <v>1719</v>
      </c>
      <c r="B494" s="14" t="s">
        <v>316</v>
      </c>
      <c r="C494" s="14" t="s">
        <v>1720</v>
      </c>
      <c r="D494" s="14">
        <v>100.0</v>
      </c>
      <c r="E494" s="14" t="s">
        <v>318</v>
      </c>
      <c r="F494" s="14" t="s">
        <v>1721</v>
      </c>
      <c r="G494" s="14" t="s">
        <v>1722</v>
      </c>
      <c r="H494" s="13"/>
      <c r="I494" s="13"/>
      <c r="J494" s="13"/>
      <c r="K494" s="13"/>
      <c r="L494" s="13"/>
      <c r="M494" s="13"/>
      <c r="N494" s="13"/>
      <c r="O494" s="13"/>
      <c r="P494" s="13"/>
      <c r="Q494" s="13"/>
      <c r="R494" s="13"/>
      <c r="S494" s="13"/>
    </row>
    <row r="495" ht="15.75" customHeight="1">
      <c r="A495" s="14" t="s">
        <v>1723</v>
      </c>
      <c r="B495" s="14" t="s">
        <v>316</v>
      </c>
      <c r="C495" s="14" t="s">
        <v>1724</v>
      </c>
      <c r="D495" s="14">
        <v>100.0</v>
      </c>
      <c r="E495" s="14" t="s">
        <v>318</v>
      </c>
      <c r="F495" s="14" t="s">
        <v>1725</v>
      </c>
      <c r="G495" s="14" t="s">
        <v>1726</v>
      </c>
      <c r="H495" s="13"/>
      <c r="I495" s="13"/>
      <c r="J495" s="13"/>
      <c r="K495" s="13"/>
      <c r="L495" s="13"/>
      <c r="M495" s="13"/>
      <c r="N495" s="13"/>
      <c r="O495" s="13"/>
      <c r="P495" s="13"/>
      <c r="Q495" s="13"/>
      <c r="R495" s="13"/>
      <c r="S495" s="13"/>
    </row>
    <row r="496" ht="15.75" customHeight="1">
      <c r="A496" s="14" t="s">
        <v>1727</v>
      </c>
      <c r="B496" s="14" t="s">
        <v>316</v>
      </c>
      <c r="C496" s="14" t="s">
        <v>1728</v>
      </c>
      <c r="D496" s="14">
        <v>100.0</v>
      </c>
      <c r="E496" s="14" t="s">
        <v>318</v>
      </c>
      <c r="F496" s="14" t="s">
        <v>591</v>
      </c>
      <c r="G496" s="14" t="s">
        <v>1729</v>
      </c>
      <c r="H496" s="13"/>
      <c r="I496" s="13"/>
      <c r="J496" s="13"/>
      <c r="K496" s="13"/>
      <c r="L496" s="13"/>
      <c r="M496" s="13"/>
      <c r="N496" s="13"/>
      <c r="O496" s="13"/>
      <c r="P496" s="13"/>
      <c r="Q496" s="13"/>
      <c r="R496" s="13"/>
      <c r="S496" s="13"/>
    </row>
    <row r="497" ht="15.75" customHeight="1">
      <c r="A497" s="14" t="s">
        <v>1730</v>
      </c>
      <c r="B497" s="14" t="s">
        <v>316</v>
      </c>
      <c r="C497" s="14" t="s">
        <v>1731</v>
      </c>
      <c r="D497" s="14">
        <v>100.0</v>
      </c>
      <c r="E497" s="14" t="s">
        <v>318</v>
      </c>
      <c r="F497" s="14" t="s">
        <v>1732</v>
      </c>
      <c r="G497" s="14" t="s">
        <v>1733</v>
      </c>
      <c r="H497" s="13"/>
      <c r="I497" s="13"/>
      <c r="J497" s="13"/>
      <c r="K497" s="13"/>
      <c r="L497" s="13"/>
      <c r="M497" s="13"/>
      <c r="N497" s="13"/>
      <c r="O497" s="13"/>
      <c r="P497" s="13"/>
      <c r="Q497" s="13"/>
      <c r="R497" s="13"/>
      <c r="S497" s="13"/>
    </row>
    <row r="498" ht="15.75" customHeight="1">
      <c r="A498" s="14" t="s">
        <v>1734</v>
      </c>
      <c r="B498" s="14" t="s">
        <v>316</v>
      </c>
      <c r="C498" s="14" t="s">
        <v>1735</v>
      </c>
      <c r="D498" s="14">
        <v>100.0</v>
      </c>
      <c r="E498" s="14" t="s">
        <v>318</v>
      </c>
      <c r="F498" s="14" t="s">
        <v>595</v>
      </c>
      <c r="G498" s="14" t="s">
        <v>1736</v>
      </c>
      <c r="H498" s="13"/>
      <c r="I498" s="13"/>
      <c r="J498" s="13"/>
      <c r="K498" s="13"/>
      <c r="L498" s="13"/>
      <c r="M498" s="13"/>
      <c r="N498" s="13"/>
      <c r="O498" s="13"/>
      <c r="P498" s="13"/>
      <c r="Q498" s="13"/>
      <c r="R498" s="13"/>
      <c r="S498" s="13"/>
    </row>
    <row r="499" ht="15.75" customHeight="1">
      <c r="A499" s="14" t="s">
        <v>1737</v>
      </c>
      <c r="B499" s="14" t="s">
        <v>316</v>
      </c>
      <c r="C499" s="14" t="s">
        <v>1738</v>
      </c>
      <c r="D499" s="14">
        <v>100.0</v>
      </c>
      <c r="E499" s="14" t="s">
        <v>318</v>
      </c>
      <c r="F499" s="14" t="s">
        <v>595</v>
      </c>
      <c r="G499" s="14" t="s">
        <v>1739</v>
      </c>
      <c r="H499" s="13"/>
      <c r="I499" s="13"/>
      <c r="J499" s="13"/>
      <c r="K499" s="13"/>
      <c r="L499" s="13"/>
      <c r="M499" s="13"/>
      <c r="N499" s="13"/>
      <c r="O499" s="13"/>
      <c r="P499" s="13"/>
      <c r="Q499" s="13"/>
      <c r="R499" s="13"/>
      <c r="S499" s="13"/>
    </row>
    <row r="500" ht="15.75" customHeight="1">
      <c r="A500" s="14" t="s">
        <v>1740</v>
      </c>
      <c r="B500" s="14" t="s">
        <v>316</v>
      </c>
      <c r="C500" s="14" t="s">
        <v>1741</v>
      </c>
      <c r="D500" s="14">
        <v>100.0</v>
      </c>
      <c r="E500" s="14" t="s">
        <v>318</v>
      </c>
      <c r="F500" s="14" t="s">
        <v>1742</v>
      </c>
      <c r="G500" s="14" t="s">
        <v>1743</v>
      </c>
      <c r="H500" s="13"/>
      <c r="I500" s="13"/>
      <c r="J500" s="13"/>
      <c r="K500" s="13"/>
      <c r="L500" s="13"/>
      <c r="M500" s="13"/>
      <c r="N500" s="13"/>
      <c r="O500" s="13"/>
      <c r="P500" s="13"/>
      <c r="Q500" s="13"/>
      <c r="R500" s="13"/>
      <c r="S500" s="13"/>
    </row>
    <row r="501" ht="15.75" customHeight="1">
      <c r="A501" s="14" t="s">
        <v>1744</v>
      </c>
      <c r="B501" s="14" t="s">
        <v>316</v>
      </c>
      <c r="C501" s="14" t="s">
        <v>1745</v>
      </c>
      <c r="D501" s="14">
        <v>100.0</v>
      </c>
      <c r="E501" s="14" t="s">
        <v>318</v>
      </c>
      <c r="F501" s="14" t="s">
        <v>1746</v>
      </c>
      <c r="G501" s="14"/>
      <c r="H501" s="13"/>
      <c r="I501" s="13"/>
      <c r="J501" s="13"/>
      <c r="K501" s="13"/>
      <c r="L501" s="13"/>
      <c r="M501" s="13"/>
      <c r="N501" s="13"/>
      <c r="O501" s="13"/>
      <c r="P501" s="13"/>
      <c r="Q501" s="13"/>
      <c r="R501" s="13"/>
      <c r="S501" s="13"/>
    </row>
    <row r="502" ht="15.75" customHeight="1">
      <c r="A502" s="14" t="s">
        <v>1747</v>
      </c>
      <c r="B502" s="14" t="s">
        <v>1748</v>
      </c>
      <c r="C502" s="14"/>
      <c r="D502" s="14"/>
      <c r="E502" s="14"/>
      <c r="F502" s="14"/>
      <c r="G502" s="14"/>
      <c r="H502" s="13"/>
      <c r="I502" s="13"/>
      <c r="J502" s="13"/>
      <c r="K502" s="13"/>
      <c r="L502" s="13"/>
      <c r="M502" s="13"/>
      <c r="N502" s="13"/>
      <c r="O502" s="13"/>
      <c r="P502" s="13"/>
      <c r="Q502" s="13"/>
      <c r="R502" s="13"/>
      <c r="S502" s="13"/>
    </row>
    <row r="503" ht="15.75" customHeight="1">
      <c r="A503" s="14" t="s">
        <v>1749</v>
      </c>
      <c r="B503" s="14" t="s">
        <v>316</v>
      </c>
      <c r="C503" s="14" t="s">
        <v>1750</v>
      </c>
      <c r="D503" s="14">
        <v>100.0</v>
      </c>
      <c r="E503" s="14" t="s">
        <v>318</v>
      </c>
      <c r="F503" s="14" t="s">
        <v>1751</v>
      </c>
      <c r="G503" s="14" t="s">
        <v>1752</v>
      </c>
      <c r="H503" s="13"/>
      <c r="I503" s="13"/>
      <c r="J503" s="13"/>
      <c r="K503" s="13"/>
      <c r="L503" s="13"/>
      <c r="M503" s="13"/>
      <c r="N503" s="13"/>
      <c r="O503" s="13"/>
      <c r="P503" s="13"/>
      <c r="Q503" s="13"/>
      <c r="R503" s="13"/>
      <c r="S503" s="13"/>
    </row>
    <row r="504" ht="15.75" customHeight="1">
      <c r="A504" s="14" t="s">
        <v>1753</v>
      </c>
      <c r="B504" s="14" t="s">
        <v>316</v>
      </c>
      <c r="C504" s="14" t="s">
        <v>1754</v>
      </c>
      <c r="D504" s="14">
        <v>100.0</v>
      </c>
      <c r="E504" s="14" t="s">
        <v>318</v>
      </c>
      <c r="F504" s="14" t="s">
        <v>1755</v>
      </c>
      <c r="G504" s="14" t="s">
        <v>1756</v>
      </c>
      <c r="H504" s="13"/>
      <c r="I504" s="13"/>
      <c r="J504" s="13"/>
      <c r="K504" s="13"/>
      <c r="L504" s="13"/>
      <c r="M504" s="13"/>
      <c r="N504" s="13"/>
      <c r="O504" s="13"/>
      <c r="P504" s="13"/>
      <c r="Q504" s="13"/>
      <c r="R504" s="13"/>
      <c r="S504" s="13"/>
    </row>
    <row r="505" ht="15.75" customHeight="1">
      <c r="A505" s="14" t="s">
        <v>1757</v>
      </c>
      <c r="B505" s="14" t="s">
        <v>316</v>
      </c>
      <c r="C505" s="14" t="s">
        <v>1758</v>
      </c>
      <c r="D505" s="14">
        <v>100.0</v>
      </c>
      <c r="E505" s="14" t="s">
        <v>318</v>
      </c>
      <c r="F505" s="14" t="s">
        <v>516</v>
      </c>
      <c r="G505" s="14" t="s">
        <v>1759</v>
      </c>
      <c r="H505" s="13"/>
      <c r="I505" s="13"/>
      <c r="J505" s="13"/>
      <c r="K505" s="13"/>
      <c r="L505" s="13"/>
      <c r="M505" s="13"/>
      <c r="N505" s="13"/>
      <c r="O505" s="13"/>
      <c r="P505" s="13"/>
      <c r="Q505" s="13"/>
      <c r="R505" s="13"/>
      <c r="S505" s="13"/>
    </row>
    <row r="506" ht="15.75" customHeight="1">
      <c r="A506" s="14" t="s">
        <v>1760</v>
      </c>
      <c r="B506" s="14" t="s">
        <v>316</v>
      </c>
      <c r="C506" s="14" t="s">
        <v>1761</v>
      </c>
      <c r="D506" s="14">
        <v>100.0</v>
      </c>
      <c r="E506" s="14" t="s">
        <v>318</v>
      </c>
      <c r="F506" s="14" t="s">
        <v>1762</v>
      </c>
      <c r="G506" s="14" t="s">
        <v>1763</v>
      </c>
      <c r="H506" s="13"/>
      <c r="I506" s="13"/>
      <c r="J506" s="13"/>
      <c r="K506" s="13"/>
      <c r="L506" s="13"/>
      <c r="M506" s="13"/>
      <c r="N506" s="13"/>
      <c r="O506" s="13"/>
      <c r="P506" s="13"/>
      <c r="Q506" s="13"/>
      <c r="R506" s="13"/>
      <c r="S506" s="13"/>
    </row>
    <row r="507" ht="15.75" customHeight="1">
      <c r="A507" s="14" t="s">
        <v>1764</v>
      </c>
      <c r="B507" s="14" t="s">
        <v>316</v>
      </c>
      <c r="C507" s="14" t="s">
        <v>1765</v>
      </c>
      <c r="D507" s="14">
        <v>100.0</v>
      </c>
      <c r="E507" s="14" t="s">
        <v>318</v>
      </c>
      <c r="F507" s="14" t="s">
        <v>1766</v>
      </c>
      <c r="G507" s="14" t="s">
        <v>1767</v>
      </c>
      <c r="H507" s="13"/>
      <c r="I507" s="13"/>
      <c r="J507" s="13"/>
      <c r="K507" s="13"/>
      <c r="L507" s="13"/>
      <c r="M507" s="13"/>
      <c r="N507" s="13"/>
      <c r="O507" s="13"/>
      <c r="P507" s="13"/>
      <c r="Q507" s="13"/>
      <c r="R507" s="13"/>
      <c r="S507" s="13"/>
    </row>
    <row r="508" ht="15.75" customHeight="1">
      <c r="A508" s="14" t="s">
        <v>1768</v>
      </c>
      <c r="B508" s="14" t="s">
        <v>316</v>
      </c>
      <c r="C508" s="14" t="s">
        <v>1769</v>
      </c>
      <c r="D508" s="14">
        <v>100.0</v>
      </c>
      <c r="E508" s="14" t="s">
        <v>318</v>
      </c>
      <c r="F508" s="14" t="s">
        <v>1770</v>
      </c>
      <c r="G508" s="14" t="s">
        <v>1771</v>
      </c>
      <c r="H508" s="13"/>
      <c r="I508" s="13"/>
      <c r="J508" s="13"/>
      <c r="K508" s="13"/>
      <c r="L508" s="13"/>
      <c r="M508" s="13"/>
      <c r="N508" s="13"/>
      <c r="O508" s="13"/>
      <c r="P508" s="13"/>
      <c r="Q508" s="13"/>
      <c r="R508" s="13"/>
      <c r="S508" s="13"/>
    </row>
    <row r="509" ht="15.75" customHeight="1">
      <c r="A509" s="14" t="s">
        <v>1772</v>
      </c>
      <c r="B509" s="14" t="s">
        <v>316</v>
      </c>
      <c r="C509" s="14" t="s">
        <v>1773</v>
      </c>
      <c r="D509" s="14">
        <v>100.0</v>
      </c>
      <c r="E509" s="14" t="s">
        <v>318</v>
      </c>
      <c r="F509" s="14" t="s">
        <v>1774</v>
      </c>
      <c r="G509" s="14" t="s">
        <v>1775</v>
      </c>
      <c r="H509" s="13"/>
      <c r="I509" s="13"/>
      <c r="J509" s="13"/>
      <c r="K509" s="13"/>
      <c r="L509" s="13"/>
      <c r="M509" s="13"/>
      <c r="N509" s="13"/>
      <c r="O509" s="13"/>
      <c r="P509" s="13"/>
      <c r="Q509" s="13"/>
      <c r="R509" s="13"/>
      <c r="S509" s="13"/>
    </row>
    <row r="510" ht="15.75" customHeight="1">
      <c r="A510" s="14" t="s">
        <v>1776</v>
      </c>
      <c r="B510" s="14" t="s">
        <v>316</v>
      </c>
      <c r="C510" s="14" t="s">
        <v>1777</v>
      </c>
      <c r="D510" s="14">
        <v>100.0</v>
      </c>
      <c r="E510" s="14" t="s">
        <v>318</v>
      </c>
      <c r="F510" s="14" t="s">
        <v>1774</v>
      </c>
      <c r="G510" s="14" t="s">
        <v>1778</v>
      </c>
      <c r="H510" s="13"/>
      <c r="I510" s="13"/>
      <c r="J510" s="13"/>
      <c r="K510" s="13"/>
      <c r="L510" s="13"/>
      <c r="M510" s="13"/>
      <c r="N510" s="13"/>
      <c r="O510" s="13"/>
      <c r="P510" s="13"/>
      <c r="Q510" s="13"/>
      <c r="R510" s="13"/>
      <c r="S510" s="13"/>
    </row>
    <row r="511" ht="15.75" customHeight="1">
      <c r="A511" s="14" t="s">
        <v>1779</v>
      </c>
      <c r="B511" s="14" t="s">
        <v>316</v>
      </c>
      <c r="C511" s="14" t="s">
        <v>1780</v>
      </c>
      <c r="D511" s="14">
        <v>100.0</v>
      </c>
      <c r="E511" s="14" t="s">
        <v>318</v>
      </c>
      <c r="F511" s="14" t="s">
        <v>1781</v>
      </c>
      <c r="G511" s="14" t="s">
        <v>1782</v>
      </c>
      <c r="H511" s="13"/>
      <c r="I511" s="13"/>
      <c r="J511" s="13"/>
      <c r="K511" s="13"/>
      <c r="L511" s="13"/>
      <c r="M511" s="13"/>
      <c r="N511" s="13"/>
      <c r="O511" s="13"/>
      <c r="P511" s="13"/>
      <c r="Q511" s="13"/>
      <c r="R511" s="13"/>
      <c r="S511" s="13"/>
    </row>
    <row r="512" ht="15.75" customHeight="1">
      <c r="A512" s="14" t="s">
        <v>1783</v>
      </c>
      <c r="B512" s="14" t="s">
        <v>316</v>
      </c>
      <c r="C512" s="14" t="s">
        <v>1784</v>
      </c>
      <c r="D512" s="14">
        <v>100.0</v>
      </c>
      <c r="E512" s="14" t="s">
        <v>318</v>
      </c>
      <c r="F512" s="14" t="s">
        <v>1785</v>
      </c>
      <c r="G512" s="14" t="s">
        <v>1786</v>
      </c>
      <c r="H512" s="13"/>
      <c r="I512" s="13"/>
      <c r="J512" s="13"/>
      <c r="K512" s="13"/>
      <c r="L512" s="13"/>
      <c r="M512" s="13"/>
      <c r="N512" s="13"/>
      <c r="O512" s="13"/>
      <c r="P512" s="13"/>
      <c r="Q512" s="13"/>
      <c r="R512" s="13"/>
      <c r="S512" s="13"/>
    </row>
    <row r="513" ht="15.75" customHeight="1">
      <c r="A513" s="14" t="s">
        <v>1787</v>
      </c>
      <c r="B513" s="14" t="s">
        <v>316</v>
      </c>
      <c r="C513" s="14" t="s">
        <v>1788</v>
      </c>
      <c r="D513" s="14">
        <v>100.0</v>
      </c>
      <c r="E513" s="14" t="s">
        <v>318</v>
      </c>
      <c r="F513" s="14" t="s">
        <v>1789</v>
      </c>
      <c r="G513" s="14" t="s">
        <v>1790</v>
      </c>
      <c r="H513" s="13"/>
      <c r="I513" s="13"/>
      <c r="J513" s="13"/>
      <c r="K513" s="13"/>
      <c r="L513" s="13"/>
      <c r="M513" s="13"/>
      <c r="N513" s="13"/>
      <c r="O513" s="13"/>
      <c r="P513" s="13"/>
      <c r="Q513" s="13"/>
      <c r="R513" s="13"/>
      <c r="S513" s="13"/>
    </row>
    <row r="514" ht="15.75" customHeight="1">
      <c r="A514" s="14" t="s">
        <v>1791</v>
      </c>
      <c r="B514" s="14" t="s">
        <v>316</v>
      </c>
      <c r="C514" s="14" t="s">
        <v>1792</v>
      </c>
      <c r="D514" s="14">
        <v>100.0</v>
      </c>
      <c r="E514" s="14" t="s">
        <v>318</v>
      </c>
      <c r="F514" s="14" t="s">
        <v>1793</v>
      </c>
      <c r="G514" s="14" t="s">
        <v>1794</v>
      </c>
      <c r="H514" s="13"/>
      <c r="I514" s="13"/>
      <c r="J514" s="13"/>
      <c r="K514" s="13"/>
      <c r="L514" s="13"/>
      <c r="M514" s="13"/>
      <c r="N514" s="13"/>
      <c r="O514" s="13"/>
      <c r="P514" s="13"/>
      <c r="Q514" s="13"/>
      <c r="R514" s="13"/>
      <c r="S514" s="13"/>
    </row>
    <row r="515" ht="15.75" customHeight="1">
      <c r="A515" s="14" t="s">
        <v>1795</v>
      </c>
      <c r="B515" s="14" t="s">
        <v>316</v>
      </c>
      <c r="C515" s="14" t="s">
        <v>1796</v>
      </c>
      <c r="D515" s="14">
        <v>100.0</v>
      </c>
      <c r="E515" s="14" t="s">
        <v>318</v>
      </c>
      <c r="F515" s="14" t="s">
        <v>1797</v>
      </c>
      <c r="G515" s="14" t="s">
        <v>1798</v>
      </c>
      <c r="H515" s="13"/>
      <c r="I515" s="13"/>
      <c r="J515" s="13"/>
      <c r="K515" s="13"/>
      <c r="L515" s="13"/>
      <c r="M515" s="13"/>
      <c r="N515" s="13"/>
      <c r="O515" s="13"/>
      <c r="P515" s="13"/>
      <c r="Q515" s="13"/>
      <c r="R515" s="13"/>
      <c r="S515" s="13"/>
    </row>
    <row r="516" ht="15.75" customHeight="1">
      <c r="A516" s="14" t="s">
        <v>1799</v>
      </c>
      <c r="B516" s="14" t="s">
        <v>316</v>
      </c>
      <c r="C516" s="14" t="s">
        <v>1800</v>
      </c>
      <c r="D516" s="14">
        <v>100.0</v>
      </c>
      <c r="E516" s="14" t="s">
        <v>318</v>
      </c>
      <c r="F516" s="14" t="s">
        <v>1801</v>
      </c>
      <c r="G516" s="14" t="s">
        <v>1802</v>
      </c>
      <c r="H516" s="13"/>
      <c r="I516" s="13"/>
      <c r="J516" s="13"/>
      <c r="K516" s="13"/>
      <c r="L516" s="13"/>
      <c r="M516" s="13"/>
      <c r="N516" s="13"/>
      <c r="O516" s="13"/>
      <c r="P516" s="13"/>
      <c r="Q516" s="13"/>
      <c r="R516" s="13"/>
      <c r="S516" s="13"/>
    </row>
    <row r="517" ht="15.75" customHeight="1">
      <c r="A517" s="14" t="s">
        <v>1803</v>
      </c>
      <c r="B517" s="14" t="s">
        <v>316</v>
      </c>
      <c r="C517" s="14" t="s">
        <v>1804</v>
      </c>
      <c r="D517" s="14">
        <v>100.0</v>
      </c>
      <c r="E517" s="14" t="s">
        <v>318</v>
      </c>
      <c r="F517" s="14" t="s">
        <v>1805</v>
      </c>
      <c r="G517" s="14" t="s">
        <v>1806</v>
      </c>
      <c r="H517" s="13"/>
      <c r="I517" s="13"/>
      <c r="J517" s="13"/>
      <c r="K517" s="13"/>
      <c r="L517" s="13"/>
      <c r="M517" s="13"/>
      <c r="N517" s="13"/>
      <c r="O517" s="13"/>
      <c r="P517" s="13"/>
      <c r="Q517" s="13"/>
      <c r="R517" s="13"/>
      <c r="S517" s="13"/>
    </row>
    <row r="518" ht="15.75" customHeight="1">
      <c r="A518" s="14" t="s">
        <v>1807</v>
      </c>
      <c r="B518" s="14" t="s">
        <v>316</v>
      </c>
      <c r="C518" s="14" t="s">
        <v>1808</v>
      </c>
      <c r="D518" s="14">
        <v>100.0</v>
      </c>
      <c r="E518" s="14" t="s">
        <v>318</v>
      </c>
      <c r="F518" s="14" t="s">
        <v>1809</v>
      </c>
      <c r="G518" s="14" t="s">
        <v>1810</v>
      </c>
      <c r="H518" s="13"/>
      <c r="I518" s="13"/>
      <c r="J518" s="13"/>
      <c r="K518" s="13"/>
      <c r="L518" s="13"/>
      <c r="M518" s="13"/>
      <c r="N518" s="13"/>
      <c r="O518" s="13"/>
      <c r="P518" s="13"/>
      <c r="Q518" s="13"/>
      <c r="R518" s="13"/>
      <c r="S518" s="13"/>
    </row>
    <row r="519" ht="15.75" customHeight="1">
      <c r="A519" s="14" t="s">
        <v>1811</v>
      </c>
      <c r="B519" s="14" t="s">
        <v>316</v>
      </c>
      <c r="C519" s="14" t="s">
        <v>1812</v>
      </c>
      <c r="D519" s="14">
        <v>100.0</v>
      </c>
      <c r="E519" s="14" t="s">
        <v>318</v>
      </c>
      <c r="F519" s="14" t="s">
        <v>1813</v>
      </c>
      <c r="G519" s="14" t="s">
        <v>1814</v>
      </c>
      <c r="H519" s="13"/>
      <c r="I519" s="13"/>
      <c r="J519" s="13"/>
      <c r="K519" s="13"/>
      <c r="L519" s="13"/>
      <c r="M519" s="13"/>
      <c r="N519" s="13"/>
      <c r="O519" s="13"/>
      <c r="P519" s="13"/>
      <c r="Q519" s="13"/>
      <c r="R519" s="13"/>
      <c r="S519" s="13"/>
    </row>
    <row r="520" ht="15.75" customHeight="1">
      <c r="A520" s="14" t="s">
        <v>1815</v>
      </c>
      <c r="B520" s="14" t="s">
        <v>316</v>
      </c>
      <c r="C520" s="14" t="s">
        <v>1816</v>
      </c>
      <c r="D520" s="14">
        <v>100.0</v>
      </c>
      <c r="E520" s="14" t="s">
        <v>318</v>
      </c>
      <c r="F520" s="14" t="s">
        <v>1732</v>
      </c>
      <c r="G520" s="14" t="s">
        <v>1817</v>
      </c>
      <c r="H520" s="13"/>
      <c r="I520" s="13"/>
      <c r="J520" s="13"/>
      <c r="K520" s="13"/>
      <c r="L520" s="13"/>
      <c r="M520" s="13"/>
      <c r="N520" s="13"/>
      <c r="O520" s="13"/>
      <c r="P520" s="13"/>
      <c r="Q520" s="13"/>
      <c r="R520" s="13"/>
      <c r="S520" s="13"/>
    </row>
    <row r="521" ht="15.75" customHeight="1">
      <c r="A521" s="14" t="s">
        <v>1818</v>
      </c>
      <c r="B521" s="14" t="s">
        <v>316</v>
      </c>
      <c r="C521" s="14" t="s">
        <v>1819</v>
      </c>
      <c r="D521" s="14">
        <v>100.0</v>
      </c>
      <c r="E521" s="14" t="s">
        <v>318</v>
      </c>
      <c r="F521" s="14" t="s">
        <v>1820</v>
      </c>
      <c r="G521" s="14" t="s">
        <v>1821</v>
      </c>
      <c r="H521" s="13"/>
      <c r="I521" s="13"/>
      <c r="J521" s="13"/>
      <c r="K521" s="13"/>
      <c r="L521" s="13"/>
      <c r="M521" s="13"/>
      <c r="N521" s="13"/>
      <c r="O521" s="13"/>
      <c r="P521" s="13"/>
      <c r="Q521" s="13"/>
      <c r="R521" s="13"/>
      <c r="S521" s="13"/>
    </row>
    <row r="522" ht="15.75" customHeight="1">
      <c r="A522" s="14" t="s">
        <v>1822</v>
      </c>
      <c r="B522" s="14" t="s">
        <v>316</v>
      </c>
      <c r="C522" s="14" t="s">
        <v>1823</v>
      </c>
      <c r="D522" s="14">
        <v>100.0</v>
      </c>
      <c r="E522" s="14" t="s">
        <v>318</v>
      </c>
      <c r="F522" s="14" t="s">
        <v>1824</v>
      </c>
      <c r="G522" s="14" t="s">
        <v>1825</v>
      </c>
      <c r="H522" s="13"/>
      <c r="I522" s="13"/>
      <c r="J522" s="13"/>
      <c r="K522" s="13"/>
      <c r="L522" s="13"/>
      <c r="M522" s="13"/>
      <c r="N522" s="13"/>
      <c r="O522" s="13"/>
      <c r="P522" s="13"/>
      <c r="Q522" s="13"/>
      <c r="R522" s="13"/>
      <c r="S522" s="13"/>
    </row>
    <row r="523" ht="15.75" customHeight="1">
      <c r="A523" s="14" t="s">
        <v>1826</v>
      </c>
      <c r="B523" s="14" t="s">
        <v>316</v>
      </c>
      <c r="C523" s="14" t="s">
        <v>1827</v>
      </c>
      <c r="D523" s="14">
        <v>100.0</v>
      </c>
      <c r="E523" s="14" t="s">
        <v>318</v>
      </c>
      <c r="F523" s="14" t="s">
        <v>1828</v>
      </c>
      <c r="G523" s="14" t="s">
        <v>1829</v>
      </c>
      <c r="H523" s="13"/>
      <c r="I523" s="13"/>
      <c r="J523" s="13"/>
      <c r="K523" s="13"/>
      <c r="L523" s="13"/>
      <c r="M523" s="13"/>
      <c r="N523" s="13"/>
      <c r="O523" s="13"/>
      <c r="P523" s="13"/>
      <c r="Q523" s="13"/>
      <c r="R523" s="13"/>
      <c r="S523" s="13"/>
    </row>
    <row r="524" ht="15.75" customHeight="1">
      <c r="A524" s="14" t="s">
        <v>1830</v>
      </c>
      <c r="B524" s="14" t="s">
        <v>316</v>
      </c>
      <c r="C524" s="14" t="s">
        <v>1831</v>
      </c>
      <c r="D524" s="14">
        <v>100.0</v>
      </c>
      <c r="E524" s="14" t="s">
        <v>318</v>
      </c>
      <c r="F524" s="14" t="s">
        <v>1832</v>
      </c>
      <c r="G524" s="14" t="s">
        <v>1833</v>
      </c>
      <c r="H524" s="13"/>
      <c r="I524" s="13"/>
      <c r="J524" s="13"/>
      <c r="K524" s="13"/>
      <c r="L524" s="13"/>
      <c r="M524" s="13"/>
      <c r="N524" s="13"/>
      <c r="O524" s="13"/>
      <c r="P524" s="13"/>
      <c r="Q524" s="13"/>
      <c r="R524" s="13"/>
      <c r="S524" s="13"/>
    </row>
    <row r="525" ht="15.75" customHeight="1">
      <c r="A525" s="14" t="s">
        <v>1834</v>
      </c>
      <c r="B525" s="14" t="s">
        <v>316</v>
      </c>
      <c r="C525" s="14" t="s">
        <v>1835</v>
      </c>
      <c r="D525" s="14">
        <v>100.0</v>
      </c>
      <c r="E525" s="14" t="s">
        <v>318</v>
      </c>
      <c r="F525" s="14" t="s">
        <v>1836</v>
      </c>
      <c r="G525" s="14" t="s">
        <v>1837</v>
      </c>
      <c r="H525" s="13"/>
      <c r="I525" s="13"/>
      <c r="J525" s="13"/>
      <c r="K525" s="13"/>
      <c r="L525" s="13"/>
      <c r="M525" s="13"/>
      <c r="N525" s="13"/>
      <c r="O525" s="13"/>
      <c r="P525" s="13"/>
      <c r="Q525" s="13"/>
      <c r="R525" s="13"/>
      <c r="S525" s="13"/>
    </row>
    <row r="526" ht="15.75" customHeight="1">
      <c r="A526" s="14" t="s">
        <v>1838</v>
      </c>
      <c r="B526" s="14" t="s">
        <v>316</v>
      </c>
      <c r="C526" s="14" t="s">
        <v>1839</v>
      </c>
      <c r="D526" s="14">
        <v>100.0</v>
      </c>
      <c r="E526" s="14" t="s">
        <v>318</v>
      </c>
      <c r="F526" s="14" t="s">
        <v>1002</v>
      </c>
      <c r="G526" s="14" t="s">
        <v>1840</v>
      </c>
      <c r="H526" s="13"/>
      <c r="I526" s="13"/>
      <c r="J526" s="13"/>
      <c r="K526" s="13"/>
      <c r="L526" s="13"/>
      <c r="M526" s="13"/>
      <c r="N526" s="13"/>
      <c r="O526" s="13"/>
      <c r="P526" s="13"/>
      <c r="Q526" s="13"/>
      <c r="R526" s="13"/>
      <c r="S526" s="13"/>
    </row>
    <row r="527" ht="15.75" customHeight="1">
      <c r="A527" s="14" t="s">
        <v>1841</v>
      </c>
      <c r="B527" s="14" t="s">
        <v>316</v>
      </c>
      <c r="C527" s="14" t="s">
        <v>1842</v>
      </c>
      <c r="D527" s="14">
        <v>100.0</v>
      </c>
      <c r="E527" s="14" t="s">
        <v>318</v>
      </c>
      <c r="F527" s="14" t="s">
        <v>1843</v>
      </c>
      <c r="G527" s="14" t="s">
        <v>1844</v>
      </c>
      <c r="H527" s="13"/>
      <c r="I527" s="13"/>
      <c r="J527" s="13"/>
      <c r="K527" s="13"/>
      <c r="L527" s="13"/>
      <c r="M527" s="13"/>
      <c r="N527" s="13"/>
      <c r="O527" s="13"/>
      <c r="P527" s="13"/>
      <c r="Q527" s="13"/>
      <c r="R527" s="13"/>
      <c r="S527" s="13"/>
    </row>
    <row r="528" ht="15.75" customHeight="1">
      <c r="A528" s="14" t="s">
        <v>1845</v>
      </c>
      <c r="B528" s="14" t="s">
        <v>316</v>
      </c>
      <c r="C528" s="14" t="s">
        <v>1846</v>
      </c>
      <c r="D528" s="14">
        <v>100.0</v>
      </c>
      <c r="E528" s="14" t="s">
        <v>318</v>
      </c>
      <c r="F528" s="14" t="s">
        <v>1847</v>
      </c>
      <c r="G528" s="14" t="s">
        <v>1848</v>
      </c>
      <c r="H528" s="13"/>
      <c r="I528" s="13"/>
      <c r="J528" s="13"/>
      <c r="K528" s="13"/>
      <c r="L528" s="13"/>
      <c r="M528" s="13"/>
      <c r="N528" s="13"/>
      <c r="O528" s="13"/>
      <c r="P528" s="13"/>
      <c r="Q528" s="13"/>
      <c r="R528" s="13"/>
      <c r="S528" s="13"/>
    </row>
    <row r="529" ht="15.75" customHeight="1">
      <c r="A529" s="14" t="s">
        <v>1849</v>
      </c>
      <c r="B529" s="14" t="s">
        <v>316</v>
      </c>
      <c r="C529" s="14" t="s">
        <v>1850</v>
      </c>
      <c r="D529" s="14">
        <v>100.0</v>
      </c>
      <c r="E529" s="14" t="s">
        <v>318</v>
      </c>
      <c r="F529" s="14" t="s">
        <v>1851</v>
      </c>
      <c r="G529" s="14" t="s">
        <v>1852</v>
      </c>
      <c r="H529" s="13"/>
      <c r="I529" s="13"/>
      <c r="J529" s="13"/>
      <c r="K529" s="13"/>
      <c r="L529" s="13"/>
      <c r="M529" s="13"/>
      <c r="N529" s="13"/>
      <c r="O529" s="13"/>
      <c r="P529" s="13"/>
      <c r="Q529" s="13"/>
      <c r="R529" s="13"/>
      <c r="S529" s="13"/>
    </row>
    <row r="530" ht="15.75" customHeight="1">
      <c r="A530" s="14" t="s">
        <v>1853</v>
      </c>
      <c r="B530" s="14" t="s">
        <v>316</v>
      </c>
      <c r="C530" s="14" t="s">
        <v>1854</v>
      </c>
      <c r="D530" s="14">
        <v>100.0</v>
      </c>
      <c r="E530" s="14" t="s">
        <v>318</v>
      </c>
      <c r="F530" s="14" t="s">
        <v>1035</v>
      </c>
      <c r="G530" s="14" t="s">
        <v>1855</v>
      </c>
      <c r="H530" s="13"/>
      <c r="I530" s="13"/>
      <c r="J530" s="13"/>
      <c r="K530" s="13"/>
      <c r="L530" s="13"/>
      <c r="M530" s="13"/>
      <c r="N530" s="13"/>
      <c r="O530" s="13"/>
      <c r="P530" s="13"/>
      <c r="Q530" s="13"/>
      <c r="R530" s="13"/>
      <c r="S530" s="13"/>
    </row>
    <row r="531" ht="15.75" customHeight="1">
      <c r="A531" s="14" t="s">
        <v>1856</v>
      </c>
      <c r="B531" s="14" t="s">
        <v>316</v>
      </c>
      <c r="C531" s="14" t="s">
        <v>1857</v>
      </c>
      <c r="D531" s="14">
        <v>100.0</v>
      </c>
      <c r="E531" s="14" t="s">
        <v>318</v>
      </c>
      <c r="F531" s="14" t="s">
        <v>1858</v>
      </c>
      <c r="G531" s="14" t="s">
        <v>1859</v>
      </c>
      <c r="H531" s="13"/>
      <c r="I531" s="13"/>
      <c r="J531" s="13"/>
      <c r="K531" s="13"/>
      <c r="L531" s="13"/>
      <c r="M531" s="13"/>
      <c r="N531" s="13"/>
      <c r="O531" s="13"/>
      <c r="P531" s="13"/>
      <c r="Q531" s="13"/>
      <c r="R531" s="13"/>
      <c r="S531" s="13"/>
    </row>
    <row r="532" ht="15.75" customHeight="1">
      <c r="A532" s="14" t="s">
        <v>1860</v>
      </c>
      <c r="B532" s="14" t="s">
        <v>316</v>
      </c>
      <c r="C532" s="14" t="s">
        <v>1861</v>
      </c>
      <c r="D532" s="14">
        <v>100.0</v>
      </c>
      <c r="E532" s="14" t="s">
        <v>318</v>
      </c>
      <c r="F532" s="14" t="s">
        <v>1862</v>
      </c>
      <c r="G532" s="14" t="s">
        <v>1863</v>
      </c>
      <c r="H532" s="13"/>
      <c r="I532" s="13"/>
      <c r="J532" s="13"/>
      <c r="K532" s="13"/>
      <c r="L532" s="13"/>
      <c r="M532" s="13"/>
      <c r="N532" s="13"/>
      <c r="O532" s="13"/>
      <c r="P532" s="13"/>
      <c r="Q532" s="13"/>
      <c r="R532" s="13"/>
      <c r="S532" s="13"/>
    </row>
    <row r="533" ht="15.75" customHeight="1">
      <c r="A533" s="14" t="s">
        <v>1864</v>
      </c>
      <c r="B533" s="14" t="s">
        <v>316</v>
      </c>
      <c r="C533" s="14" t="s">
        <v>1865</v>
      </c>
      <c r="D533" s="14">
        <v>100.0</v>
      </c>
      <c r="E533" s="14" t="s">
        <v>318</v>
      </c>
      <c r="F533" s="14" t="s">
        <v>1866</v>
      </c>
      <c r="G533" s="14" t="s">
        <v>1867</v>
      </c>
      <c r="H533" s="13"/>
      <c r="I533" s="13"/>
      <c r="J533" s="13"/>
      <c r="K533" s="13"/>
      <c r="L533" s="13"/>
      <c r="M533" s="13"/>
      <c r="N533" s="13"/>
      <c r="O533" s="13"/>
      <c r="P533" s="13"/>
      <c r="Q533" s="13"/>
      <c r="R533" s="13"/>
      <c r="S533" s="13"/>
    </row>
    <row r="534" ht="15.75" customHeight="1">
      <c r="A534" s="14" t="s">
        <v>1868</v>
      </c>
      <c r="B534" s="14" t="s">
        <v>316</v>
      </c>
      <c r="C534" s="14" t="s">
        <v>1869</v>
      </c>
      <c r="D534" s="14">
        <v>100.0</v>
      </c>
      <c r="E534" s="14" t="s">
        <v>318</v>
      </c>
      <c r="F534" s="14" t="s">
        <v>1870</v>
      </c>
      <c r="G534" s="14" t="s">
        <v>1871</v>
      </c>
      <c r="H534" s="13"/>
      <c r="I534" s="13"/>
      <c r="J534" s="13"/>
      <c r="K534" s="13"/>
      <c r="L534" s="13"/>
      <c r="M534" s="13"/>
      <c r="N534" s="13"/>
      <c r="O534" s="13"/>
      <c r="P534" s="13"/>
      <c r="Q534" s="13"/>
      <c r="R534" s="13"/>
      <c r="S534" s="13"/>
    </row>
    <row r="535" ht="15.75" customHeight="1">
      <c r="A535" s="14" t="s">
        <v>1872</v>
      </c>
      <c r="B535" s="14" t="s">
        <v>316</v>
      </c>
      <c r="C535" s="14" t="s">
        <v>1873</v>
      </c>
      <c r="D535" s="14">
        <v>100.0</v>
      </c>
      <c r="E535" s="14" t="s">
        <v>318</v>
      </c>
      <c r="F535" s="14" t="s">
        <v>1874</v>
      </c>
      <c r="G535" s="14" t="s">
        <v>1875</v>
      </c>
      <c r="H535" s="13"/>
      <c r="I535" s="13"/>
      <c r="J535" s="13"/>
      <c r="K535" s="13"/>
      <c r="L535" s="13"/>
      <c r="M535" s="13"/>
      <c r="N535" s="13"/>
      <c r="O535" s="13"/>
      <c r="P535" s="13"/>
      <c r="Q535" s="13"/>
      <c r="R535" s="13"/>
      <c r="S535" s="13"/>
    </row>
    <row r="536" ht="15.75" customHeight="1">
      <c r="A536" s="14" t="s">
        <v>1876</v>
      </c>
      <c r="B536" s="14" t="s">
        <v>316</v>
      </c>
      <c r="C536" s="14" t="s">
        <v>1877</v>
      </c>
      <c r="D536" s="14">
        <v>100.0</v>
      </c>
      <c r="E536" s="14" t="s">
        <v>318</v>
      </c>
      <c r="F536" s="14" t="s">
        <v>1878</v>
      </c>
      <c r="G536" s="14" t="s">
        <v>1879</v>
      </c>
      <c r="H536" s="13"/>
      <c r="I536" s="13"/>
      <c r="J536" s="13"/>
      <c r="K536" s="13"/>
      <c r="L536" s="13"/>
      <c r="M536" s="13"/>
      <c r="N536" s="13"/>
      <c r="O536" s="13"/>
      <c r="P536" s="13"/>
      <c r="Q536" s="13"/>
      <c r="R536" s="13"/>
      <c r="S536" s="13"/>
    </row>
    <row r="537" ht="15.75" customHeight="1">
      <c r="A537" s="14" t="s">
        <v>1880</v>
      </c>
      <c r="B537" s="14" t="s">
        <v>316</v>
      </c>
      <c r="C537" s="14" t="s">
        <v>1881</v>
      </c>
      <c r="D537" s="14">
        <v>100.0</v>
      </c>
      <c r="E537" s="14" t="s">
        <v>318</v>
      </c>
      <c r="F537" s="14" t="s">
        <v>1882</v>
      </c>
      <c r="G537" s="14" t="s">
        <v>1883</v>
      </c>
      <c r="H537" s="13"/>
      <c r="I537" s="13"/>
      <c r="J537" s="13"/>
      <c r="K537" s="13"/>
      <c r="L537" s="13"/>
      <c r="M537" s="13"/>
      <c r="N537" s="13"/>
      <c r="O537" s="13"/>
      <c r="P537" s="13"/>
      <c r="Q537" s="13"/>
      <c r="R537" s="13"/>
      <c r="S537" s="13"/>
    </row>
    <row r="538" ht="15.75" customHeight="1">
      <c r="A538" s="14" t="s">
        <v>1884</v>
      </c>
      <c r="B538" s="14" t="s">
        <v>316</v>
      </c>
      <c r="C538" s="14" t="s">
        <v>1885</v>
      </c>
      <c r="D538" s="14">
        <v>100.0</v>
      </c>
      <c r="E538" s="14" t="s">
        <v>318</v>
      </c>
      <c r="F538" s="14" t="s">
        <v>1686</v>
      </c>
      <c r="G538" s="14" t="s">
        <v>1886</v>
      </c>
      <c r="H538" s="13"/>
      <c r="I538" s="13"/>
      <c r="J538" s="13"/>
      <c r="K538" s="13"/>
      <c r="L538" s="13"/>
      <c r="M538" s="13"/>
      <c r="N538" s="13"/>
      <c r="O538" s="13"/>
      <c r="P538" s="13"/>
      <c r="Q538" s="13"/>
      <c r="R538" s="13"/>
      <c r="S538" s="13"/>
    </row>
    <row r="539" ht="15.75" customHeight="1">
      <c r="A539" s="14" t="s">
        <v>1887</v>
      </c>
      <c r="B539" s="14" t="s">
        <v>316</v>
      </c>
      <c r="C539" s="14" t="s">
        <v>1888</v>
      </c>
      <c r="D539" s="14">
        <v>100.0</v>
      </c>
      <c r="E539" s="14" t="s">
        <v>318</v>
      </c>
      <c r="F539" s="14" t="s">
        <v>1889</v>
      </c>
      <c r="G539" s="14" t="s">
        <v>1890</v>
      </c>
      <c r="H539" s="13"/>
      <c r="I539" s="13"/>
      <c r="J539" s="13"/>
      <c r="K539" s="13"/>
      <c r="L539" s="13"/>
      <c r="M539" s="13"/>
      <c r="N539" s="13"/>
      <c r="O539" s="13"/>
      <c r="P539" s="13"/>
      <c r="Q539" s="13"/>
      <c r="R539" s="13"/>
      <c r="S539" s="13"/>
    </row>
    <row r="540" ht="15.75" customHeight="1">
      <c r="A540" s="14" t="s">
        <v>1891</v>
      </c>
      <c r="B540" s="14" t="s">
        <v>316</v>
      </c>
      <c r="C540" s="14" t="s">
        <v>1892</v>
      </c>
      <c r="D540" s="14">
        <v>100.0</v>
      </c>
      <c r="E540" s="14" t="s">
        <v>318</v>
      </c>
      <c r="F540" s="14" t="s">
        <v>1893</v>
      </c>
      <c r="G540" s="14" t="s">
        <v>1894</v>
      </c>
      <c r="H540" s="13"/>
      <c r="I540" s="13"/>
      <c r="J540" s="13"/>
      <c r="K540" s="13"/>
      <c r="L540" s="13"/>
      <c r="M540" s="13"/>
      <c r="N540" s="13"/>
      <c r="O540" s="13"/>
      <c r="P540" s="13"/>
      <c r="Q540" s="13"/>
      <c r="R540" s="13"/>
      <c r="S540" s="13"/>
    </row>
    <row r="541" ht="15.75" customHeight="1">
      <c r="A541" s="14" t="s">
        <v>1895</v>
      </c>
      <c r="B541" s="14" t="s">
        <v>316</v>
      </c>
      <c r="C541" s="14" t="s">
        <v>1896</v>
      </c>
      <c r="D541" s="14">
        <v>100.0</v>
      </c>
      <c r="E541" s="14" t="s">
        <v>318</v>
      </c>
      <c r="F541" s="14" t="s">
        <v>1801</v>
      </c>
      <c r="G541" s="14" t="s">
        <v>1897</v>
      </c>
      <c r="H541" s="13"/>
      <c r="I541" s="13"/>
      <c r="J541" s="13"/>
      <c r="K541" s="13"/>
      <c r="L541" s="13"/>
      <c r="M541" s="13"/>
      <c r="N541" s="13"/>
      <c r="O541" s="13"/>
      <c r="P541" s="13"/>
      <c r="Q541" s="13"/>
      <c r="R541" s="13"/>
      <c r="S541" s="13"/>
    </row>
    <row r="542" ht="15.75" customHeight="1">
      <c r="A542" s="14" t="s">
        <v>1898</v>
      </c>
      <c r="B542" s="14" t="s">
        <v>316</v>
      </c>
      <c r="C542" s="14" t="s">
        <v>1899</v>
      </c>
      <c r="D542" s="14">
        <v>100.0</v>
      </c>
      <c r="E542" s="14" t="s">
        <v>318</v>
      </c>
      <c r="F542" s="14" t="s">
        <v>516</v>
      </c>
      <c r="G542" s="14" t="s">
        <v>1900</v>
      </c>
      <c r="H542" s="13"/>
      <c r="I542" s="13"/>
      <c r="J542" s="13"/>
      <c r="K542" s="13"/>
      <c r="L542" s="13"/>
      <c r="M542" s="13"/>
      <c r="N542" s="13"/>
      <c r="O542" s="13"/>
      <c r="P542" s="13"/>
      <c r="Q542" s="13"/>
      <c r="R542" s="13"/>
      <c r="S542" s="13"/>
    </row>
    <row r="543" ht="15.75" customHeight="1">
      <c r="A543" s="14" t="s">
        <v>1901</v>
      </c>
      <c r="B543" s="14" t="s">
        <v>316</v>
      </c>
      <c r="C543" s="14" t="s">
        <v>1902</v>
      </c>
      <c r="D543" s="14">
        <v>100.0</v>
      </c>
      <c r="E543" s="14" t="s">
        <v>318</v>
      </c>
      <c r="F543" s="14" t="s">
        <v>1903</v>
      </c>
      <c r="G543" s="14" t="s">
        <v>1904</v>
      </c>
      <c r="H543" s="13"/>
      <c r="I543" s="13"/>
      <c r="J543" s="13"/>
      <c r="K543" s="13"/>
      <c r="L543" s="13"/>
      <c r="M543" s="13"/>
      <c r="N543" s="13"/>
      <c r="O543" s="13"/>
      <c r="P543" s="13"/>
      <c r="Q543" s="13"/>
      <c r="R543" s="13"/>
      <c r="S543" s="13"/>
    </row>
    <row r="544" ht="15.75" customHeight="1">
      <c r="A544" s="14" t="s">
        <v>1905</v>
      </c>
      <c r="B544" s="14" t="s">
        <v>316</v>
      </c>
      <c r="C544" s="14" t="s">
        <v>1906</v>
      </c>
      <c r="D544" s="14">
        <v>100.0</v>
      </c>
      <c r="E544" s="14" t="s">
        <v>318</v>
      </c>
      <c r="F544" s="14" t="s">
        <v>1907</v>
      </c>
      <c r="G544" s="14" t="s">
        <v>1908</v>
      </c>
      <c r="H544" s="13"/>
      <c r="I544" s="13"/>
      <c r="J544" s="13"/>
      <c r="K544" s="13"/>
      <c r="L544" s="13"/>
      <c r="M544" s="13"/>
      <c r="N544" s="13"/>
      <c r="O544" s="13"/>
      <c r="P544" s="13"/>
      <c r="Q544" s="13"/>
      <c r="R544" s="13"/>
      <c r="S544" s="13"/>
    </row>
    <row r="545" ht="15.75" customHeight="1">
      <c r="A545" s="14" t="s">
        <v>1909</v>
      </c>
      <c r="B545" s="14" t="s">
        <v>316</v>
      </c>
      <c r="C545" s="14" t="s">
        <v>1910</v>
      </c>
      <c r="D545" s="14">
        <v>100.0</v>
      </c>
      <c r="E545" s="14" t="s">
        <v>318</v>
      </c>
      <c r="F545" s="14" t="s">
        <v>1911</v>
      </c>
      <c r="G545" s="14" t="s">
        <v>1912</v>
      </c>
      <c r="H545" s="13"/>
      <c r="I545" s="13"/>
      <c r="J545" s="13"/>
      <c r="K545" s="13"/>
      <c r="L545" s="13"/>
      <c r="M545" s="13"/>
      <c r="N545" s="13"/>
      <c r="O545" s="13"/>
      <c r="P545" s="13"/>
      <c r="Q545" s="13"/>
      <c r="R545" s="13"/>
      <c r="S545" s="13"/>
    </row>
    <row r="546" ht="15.75" customHeight="1">
      <c r="A546" s="14" t="s">
        <v>1913</v>
      </c>
      <c r="B546" s="14" t="s">
        <v>316</v>
      </c>
      <c r="C546" s="14" t="s">
        <v>1914</v>
      </c>
      <c r="D546" s="14">
        <v>100.0</v>
      </c>
      <c r="E546" s="14" t="s">
        <v>318</v>
      </c>
      <c r="F546" s="14" t="s">
        <v>1915</v>
      </c>
      <c r="G546" s="14" t="s">
        <v>1916</v>
      </c>
      <c r="H546" s="13"/>
      <c r="I546" s="13"/>
      <c r="J546" s="13"/>
      <c r="K546" s="13"/>
      <c r="L546" s="13"/>
      <c r="M546" s="13"/>
      <c r="N546" s="13"/>
      <c r="O546" s="13"/>
      <c r="P546" s="13"/>
      <c r="Q546" s="13"/>
      <c r="R546" s="13"/>
      <c r="S546" s="13"/>
    </row>
    <row r="547" ht="15.75" customHeight="1">
      <c r="A547" s="14" t="s">
        <v>1917</v>
      </c>
      <c r="B547" s="14" t="s">
        <v>316</v>
      </c>
      <c r="C547" s="14" t="s">
        <v>1918</v>
      </c>
      <c r="D547" s="14">
        <v>100.0</v>
      </c>
      <c r="E547" s="14" t="s">
        <v>318</v>
      </c>
      <c r="F547" s="14" t="s">
        <v>1919</v>
      </c>
      <c r="G547" s="14" t="s">
        <v>1920</v>
      </c>
      <c r="H547" s="13"/>
      <c r="I547" s="13"/>
      <c r="J547" s="13"/>
      <c r="K547" s="13"/>
      <c r="L547" s="13"/>
      <c r="M547" s="13"/>
      <c r="N547" s="13"/>
      <c r="O547" s="13"/>
      <c r="P547" s="13"/>
      <c r="Q547" s="13"/>
      <c r="R547" s="13"/>
      <c r="S547" s="13"/>
    </row>
    <row r="548" ht="15.75" customHeight="1">
      <c r="A548" s="14" t="s">
        <v>1921</v>
      </c>
      <c r="B548" s="14" t="s">
        <v>316</v>
      </c>
      <c r="C548" s="14" t="s">
        <v>1922</v>
      </c>
      <c r="D548" s="14">
        <v>100.0</v>
      </c>
      <c r="E548" s="14" t="s">
        <v>318</v>
      </c>
      <c r="F548" s="14" t="s">
        <v>1923</v>
      </c>
      <c r="G548" s="14" t="s">
        <v>1924</v>
      </c>
      <c r="H548" s="13"/>
      <c r="I548" s="13"/>
      <c r="J548" s="13"/>
      <c r="K548" s="13"/>
      <c r="L548" s="13"/>
      <c r="M548" s="13"/>
      <c r="N548" s="13"/>
      <c r="O548" s="13"/>
      <c r="P548" s="13"/>
      <c r="Q548" s="13"/>
      <c r="R548" s="13"/>
      <c r="S548" s="13"/>
    </row>
    <row r="549" ht="15.75" customHeight="1">
      <c r="A549" s="14" t="s">
        <v>1925</v>
      </c>
      <c r="B549" s="14" t="s">
        <v>316</v>
      </c>
      <c r="C549" s="14" t="s">
        <v>1926</v>
      </c>
      <c r="D549" s="14">
        <v>100.0</v>
      </c>
      <c r="E549" s="14" t="s">
        <v>318</v>
      </c>
      <c r="F549" s="14" t="s">
        <v>1927</v>
      </c>
      <c r="G549" s="14" t="s">
        <v>1928</v>
      </c>
      <c r="H549" s="13"/>
      <c r="I549" s="13"/>
      <c r="J549" s="13"/>
      <c r="K549" s="13"/>
      <c r="L549" s="13"/>
      <c r="M549" s="13"/>
      <c r="N549" s="13"/>
      <c r="O549" s="13"/>
      <c r="P549" s="13"/>
      <c r="Q549" s="13"/>
      <c r="R549" s="13"/>
      <c r="S549" s="13"/>
    </row>
    <row r="550" ht="15.75" customHeight="1">
      <c r="A550" s="14" t="s">
        <v>1929</v>
      </c>
      <c r="B550" s="14" t="s">
        <v>316</v>
      </c>
      <c r="C550" s="14" t="s">
        <v>1930</v>
      </c>
      <c r="D550" s="14">
        <v>100.0</v>
      </c>
      <c r="E550" s="14" t="s">
        <v>318</v>
      </c>
      <c r="F550" s="14" t="s">
        <v>1931</v>
      </c>
      <c r="G550" s="14" t="s">
        <v>1932</v>
      </c>
      <c r="H550" s="13"/>
      <c r="I550" s="13"/>
      <c r="J550" s="13"/>
      <c r="K550" s="13"/>
      <c r="L550" s="13"/>
      <c r="M550" s="13"/>
      <c r="N550" s="13"/>
      <c r="O550" s="13"/>
      <c r="P550" s="13"/>
      <c r="Q550" s="13"/>
      <c r="R550" s="13"/>
      <c r="S550" s="13"/>
    </row>
    <row r="551" ht="15.75" customHeight="1">
      <c r="A551" s="14" t="s">
        <v>1933</v>
      </c>
      <c r="B551" s="14" t="s">
        <v>316</v>
      </c>
      <c r="C551" s="14" t="s">
        <v>1934</v>
      </c>
      <c r="D551" s="14">
        <v>100.0</v>
      </c>
      <c r="E551" s="14" t="s">
        <v>318</v>
      </c>
      <c r="F551" s="14" t="s">
        <v>1935</v>
      </c>
      <c r="G551" s="14" t="s">
        <v>1936</v>
      </c>
      <c r="H551" s="13"/>
      <c r="I551" s="13"/>
      <c r="J551" s="13"/>
      <c r="K551" s="13"/>
      <c r="L551" s="13"/>
      <c r="M551" s="13"/>
      <c r="N551" s="13"/>
      <c r="O551" s="13"/>
      <c r="P551" s="13"/>
      <c r="Q551" s="13"/>
      <c r="R551" s="13"/>
      <c r="S551" s="13"/>
    </row>
    <row r="552" ht="15.75" customHeight="1">
      <c r="A552" s="14" t="s">
        <v>1937</v>
      </c>
      <c r="B552" s="14" t="s">
        <v>316</v>
      </c>
      <c r="C552" s="14" t="s">
        <v>1938</v>
      </c>
      <c r="D552" s="14">
        <v>100.0</v>
      </c>
      <c r="E552" s="14" t="s">
        <v>318</v>
      </c>
      <c r="F552" s="14" t="s">
        <v>1939</v>
      </c>
      <c r="G552" s="14" t="s">
        <v>1940</v>
      </c>
      <c r="H552" s="13"/>
      <c r="I552" s="13"/>
      <c r="J552" s="13"/>
      <c r="K552" s="13"/>
      <c r="L552" s="13"/>
      <c r="M552" s="13"/>
      <c r="N552" s="13"/>
      <c r="O552" s="13"/>
      <c r="P552" s="13"/>
      <c r="Q552" s="13"/>
      <c r="R552" s="13"/>
      <c r="S552" s="13"/>
    </row>
    <row r="553" ht="15.75" customHeight="1">
      <c r="A553" s="14" t="s">
        <v>1941</v>
      </c>
      <c r="B553" s="14" t="s">
        <v>316</v>
      </c>
      <c r="C553" s="14" t="s">
        <v>1942</v>
      </c>
      <c r="D553" s="14">
        <v>100.0</v>
      </c>
      <c r="E553" s="14" t="s">
        <v>318</v>
      </c>
      <c r="F553" s="14" t="s">
        <v>1943</v>
      </c>
      <c r="G553" s="14"/>
      <c r="H553" s="13"/>
      <c r="I553" s="13"/>
      <c r="J553" s="13"/>
      <c r="K553" s="13"/>
      <c r="L553" s="13"/>
      <c r="M553" s="13"/>
      <c r="N553" s="13"/>
      <c r="O553" s="13"/>
      <c r="P553" s="13"/>
      <c r="Q553" s="13"/>
      <c r="R553" s="13"/>
      <c r="S553" s="13"/>
    </row>
    <row r="554" ht="15.75" customHeight="1">
      <c r="A554" s="14" t="s">
        <v>626</v>
      </c>
      <c r="B554" s="14" t="s">
        <v>1944</v>
      </c>
      <c r="C554" s="14"/>
      <c r="D554" s="14"/>
      <c r="E554" s="14"/>
      <c r="F554" s="14"/>
      <c r="G554" s="14"/>
      <c r="H554" s="13"/>
      <c r="I554" s="13"/>
      <c r="J554" s="13"/>
      <c r="K554" s="13"/>
      <c r="L554" s="13"/>
      <c r="M554" s="13"/>
      <c r="N554" s="13"/>
      <c r="O554" s="13"/>
      <c r="P554" s="13"/>
      <c r="Q554" s="13"/>
      <c r="R554" s="13"/>
      <c r="S554" s="13"/>
    </row>
    <row r="555" ht="15.75" customHeight="1">
      <c r="A555" s="14" t="s">
        <v>1945</v>
      </c>
      <c r="B555" s="14" t="s">
        <v>316</v>
      </c>
      <c r="C555" s="14" t="s">
        <v>1946</v>
      </c>
      <c r="D555" s="14">
        <v>100.0</v>
      </c>
      <c r="E555" s="14" t="s">
        <v>318</v>
      </c>
      <c r="F555" s="14" t="s">
        <v>774</v>
      </c>
      <c r="G555" s="14" t="s">
        <v>1947</v>
      </c>
      <c r="H555" s="13"/>
      <c r="I555" s="13"/>
      <c r="J555" s="13"/>
      <c r="K555" s="13"/>
      <c r="L555" s="13"/>
      <c r="M555" s="13"/>
      <c r="N555" s="13"/>
      <c r="O555" s="13"/>
      <c r="P555" s="13"/>
      <c r="Q555" s="13"/>
      <c r="R555" s="13"/>
      <c r="S555" s="13"/>
    </row>
    <row r="556" ht="15.75" customHeight="1">
      <c r="A556" s="14" t="s">
        <v>1948</v>
      </c>
      <c r="B556" s="14" t="s">
        <v>316</v>
      </c>
      <c r="C556" s="14" t="s">
        <v>1949</v>
      </c>
      <c r="D556" s="14">
        <v>100.0</v>
      </c>
      <c r="E556" s="14" t="s">
        <v>318</v>
      </c>
      <c r="F556" s="14" t="s">
        <v>595</v>
      </c>
      <c r="G556" s="14" t="s">
        <v>1950</v>
      </c>
      <c r="H556" s="13"/>
      <c r="I556" s="13"/>
      <c r="J556" s="13"/>
      <c r="K556" s="13"/>
      <c r="L556" s="13"/>
      <c r="M556" s="13"/>
      <c r="N556" s="13"/>
      <c r="O556" s="13"/>
      <c r="P556" s="13"/>
      <c r="Q556" s="13"/>
      <c r="R556" s="13"/>
      <c r="S556" s="13"/>
    </row>
    <row r="557" ht="15.75" customHeight="1">
      <c r="A557" s="14" t="s">
        <v>1951</v>
      </c>
      <c r="B557" s="14" t="s">
        <v>316</v>
      </c>
      <c r="C557" s="14" t="s">
        <v>1952</v>
      </c>
      <c r="D557" s="14">
        <v>100.0</v>
      </c>
      <c r="E557" s="14" t="s">
        <v>318</v>
      </c>
      <c r="F557" s="14" t="s">
        <v>1953</v>
      </c>
      <c r="G557" s="14" t="s">
        <v>1954</v>
      </c>
      <c r="H557" s="13"/>
      <c r="I557" s="13"/>
      <c r="J557" s="13"/>
      <c r="K557" s="13"/>
      <c r="L557" s="13"/>
      <c r="M557" s="13"/>
      <c r="N557" s="13"/>
      <c r="O557" s="13"/>
      <c r="P557" s="13"/>
      <c r="Q557" s="13"/>
      <c r="R557" s="13"/>
      <c r="S557" s="13"/>
    </row>
    <row r="558" ht="15.75" customHeight="1">
      <c r="A558" s="14" t="s">
        <v>1955</v>
      </c>
      <c r="B558" s="14" t="s">
        <v>316</v>
      </c>
      <c r="C558" s="14" t="s">
        <v>1956</v>
      </c>
      <c r="D558" s="14">
        <v>100.0</v>
      </c>
      <c r="E558" s="14" t="s">
        <v>318</v>
      </c>
      <c r="F558" s="14" t="s">
        <v>1957</v>
      </c>
      <c r="G558" s="14" t="s">
        <v>1958</v>
      </c>
      <c r="H558" s="13"/>
      <c r="I558" s="13"/>
      <c r="J558" s="13"/>
      <c r="K558" s="13"/>
      <c r="L558" s="13"/>
      <c r="M558" s="13"/>
      <c r="N558" s="13"/>
      <c r="O558" s="13"/>
      <c r="P558" s="13"/>
      <c r="Q558" s="13"/>
      <c r="R558" s="13"/>
      <c r="S558" s="13"/>
    </row>
    <row r="559" ht="15.75" customHeight="1">
      <c r="A559" s="14" t="s">
        <v>1959</v>
      </c>
      <c r="B559" s="14" t="s">
        <v>316</v>
      </c>
      <c r="C559" s="14" t="s">
        <v>1960</v>
      </c>
      <c r="D559" s="14">
        <v>100.0</v>
      </c>
      <c r="E559" s="14" t="s">
        <v>318</v>
      </c>
      <c r="F559" s="14" t="s">
        <v>1961</v>
      </c>
      <c r="G559" s="14" t="s">
        <v>1962</v>
      </c>
      <c r="H559" s="13"/>
      <c r="I559" s="13"/>
      <c r="J559" s="13"/>
      <c r="K559" s="13"/>
      <c r="L559" s="13"/>
      <c r="M559" s="13"/>
      <c r="N559" s="13"/>
      <c r="O559" s="13"/>
      <c r="P559" s="13"/>
      <c r="Q559" s="13"/>
      <c r="R559" s="13"/>
      <c r="S559" s="13"/>
    </row>
    <row r="560" ht="15.75" customHeight="1">
      <c r="A560" s="14" t="s">
        <v>1963</v>
      </c>
      <c r="B560" s="14" t="s">
        <v>316</v>
      </c>
      <c r="C560" s="14" t="s">
        <v>1964</v>
      </c>
      <c r="D560" s="14">
        <v>100.0</v>
      </c>
      <c r="E560" s="14" t="s">
        <v>318</v>
      </c>
      <c r="F560" s="14" t="s">
        <v>1965</v>
      </c>
      <c r="G560" s="14" t="s">
        <v>1966</v>
      </c>
      <c r="H560" s="13"/>
      <c r="I560" s="13"/>
      <c r="J560" s="13"/>
      <c r="K560" s="13"/>
      <c r="L560" s="13"/>
      <c r="M560" s="13"/>
      <c r="N560" s="13"/>
      <c r="O560" s="13"/>
      <c r="P560" s="13"/>
      <c r="Q560" s="13"/>
      <c r="R560" s="13"/>
      <c r="S560" s="13"/>
    </row>
    <row r="561" ht="15.75" customHeight="1">
      <c r="A561" s="14" t="s">
        <v>1967</v>
      </c>
      <c r="B561" s="14" t="s">
        <v>316</v>
      </c>
      <c r="C561" s="14" t="s">
        <v>1968</v>
      </c>
      <c r="D561" s="14">
        <v>100.0</v>
      </c>
      <c r="E561" s="14" t="s">
        <v>318</v>
      </c>
      <c r="F561" s="14" t="s">
        <v>1969</v>
      </c>
      <c r="G561" s="14" t="s">
        <v>1970</v>
      </c>
      <c r="H561" s="13"/>
      <c r="I561" s="13"/>
      <c r="J561" s="13"/>
      <c r="K561" s="13"/>
      <c r="L561" s="13"/>
      <c r="M561" s="13"/>
      <c r="N561" s="13"/>
      <c r="O561" s="13"/>
      <c r="P561" s="13"/>
      <c r="Q561" s="13"/>
      <c r="R561" s="13"/>
      <c r="S561" s="13"/>
    </row>
    <row r="562" ht="15.75" customHeight="1">
      <c r="A562" s="14" t="s">
        <v>1971</v>
      </c>
      <c r="B562" s="14" t="s">
        <v>316</v>
      </c>
      <c r="C562" s="14" t="s">
        <v>1972</v>
      </c>
      <c r="D562" s="14">
        <v>100.0</v>
      </c>
      <c r="E562" s="14" t="s">
        <v>318</v>
      </c>
      <c r="F562" s="14" t="s">
        <v>1686</v>
      </c>
      <c r="G562" s="14" t="s">
        <v>1973</v>
      </c>
      <c r="H562" s="13"/>
      <c r="I562" s="13"/>
      <c r="J562" s="13"/>
      <c r="K562" s="13"/>
      <c r="L562" s="13"/>
      <c r="M562" s="13"/>
      <c r="N562" s="13"/>
      <c r="O562" s="13"/>
      <c r="P562" s="13"/>
      <c r="Q562" s="13"/>
      <c r="R562" s="13"/>
      <c r="S562" s="13"/>
    </row>
    <row r="563" ht="15.75" customHeight="1">
      <c r="A563" s="14" t="s">
        <v>1974</v>
      </c>
      <c r="B563" s="14" t="s">
        <v>316</v>
      </c>
      <c r="C563" s="14" t="s">
        <v>1975</v>
      </c>
      <c r="D563" s="14">
        <v>100.0</v>
      </c>
      <c r="E563" s="14" t="s">
        <v>318</v>
      </c>
      <c r="F563" s="14" t="s">
        <v>1976</v>
      </c>
      <c r="G563" s="14" t="s">
        <v>1977</v>
      </c>
      <c r="H563" s="13"/>
      <c r="I563" s="13"/>
      <c r="J563" s="13"/>
      <c r="K563" s="13"/>
      <c r="L563" s="13"/>
      <c r="M563" s="13"/>
      <c r="N563" s="13"/>
      <c r="O563" s="13"/>
      <c r="P563" s="13"/>
      <c r="Q563" s="13"/>
      <c r="R563" s="13"/>
      <c r="S563" s="13"/>
    </row>
    <row r="564" ht="15.75" customHeight="1">
      <c r="A564" s="14" t="s">
        <v>1978</v>
      </c>
      <c r="B564" s="14" t="s">
        <v>316</v>
      </c>
      <c r="C564" s="14" t="s">
        <v>1979</v>
      </c>
      <c r="D564" s="14">
        <v>100.0</v>
      </c>
      <c r="E564" s="14" t="s">
        <v>318</v>
      </c>
      <c r="F564" s="14" t="s">
        <v>1980</v>
      </c>
      <c r="G564" s="14" t="s">
        <v>1981</v>
      </c>
      <c r="H564" s="13"/>
      <c r="I564" s="13"/>
      <c r="J564" s="13"/>
      <c r="K564" s="13"/>
      <c r="L564" s="13"/>
      <c r="M564" s="13"/>
      <c r="N564" s="13"/>
      <c r="O564" s="13"/>
      <c r="P564" s="13"/>
      <c r="Q564" s="13"/>
      <c r="R564" s="13"/>
      <c r="S564" s="13"/>
    </row>
    <row r="565" ht="15.75" customHeight="1">
      <c r="A565" s="14" t="s">
        <v>1982</v>
      </c>
      <c r="B565" s="14" t="s">
        <v>316</v>
      </c>
      <c r="C565" s="14" t="s">
        <v>1983</v>
      </c>
      <c r="D565" s="14">
        <v>100.0</v>
      </c>
      <c r="E565" s="14" t="s">
        <v>318</v>
      </c>
      <c r="F565" s="14" t="s">
        <v>1984</v>
      </c>
      <c r="G565" s="14" t="s">
        <v>1985</v>
      </c>
      <c r="H565" s="13"/>
      <c r="I565" s="13"/>
      <c r="J565" s="13"/>
      <c r="K565" s="13"/>
      <c r="L565" s="13"/>
      <c r="M565" s="13"/>
      <c r="N565" s="13"/>
      <c r="O565" s="13"/>
      <c r="P565" s="13"/>
      <c r="Q565" s="13"/>
      <c r="R565" s="13"/>
      <c r="S565" s="13"/>
    </row>
    <row r="566" ht="15.75" customHeight="1">
      <c r="A566" s="14" t="s">
        <v>1986</v>
      </c>
      <c r="B566" s="14" t="s">
        <v>316</v>
      </c>
      <c r="C566" s="14" t="s">
        <v>1987</v>
      </c>
      <c r="D566" s="14">
        <v>100.0</v>
      </c>
      <c r="E566" s="14" t="s">
        <v>318</v>
      </c>
      <c r="F566" s="14" t="s">
        <v>1988</v>
      </c>
      <c r="G566" s="14" t="s">
        <v>1989</v>
      </c>
      <c r="H566" s="13"/>
      <c r="I566" s="13"/>
      <c r="J566" s="13"/>
      <c r="K566" s="13"/>
      <c r="L566" s="13"/>
      <c r="M566" s="13"/>
      <c r="N566" s="13"/>
      <c r="O566" s="13"/>
      <c r="P566" s="13"/>
      <c r="Q566" s="13"/>
      <c r="R566" s="13"/>
      <c r="S566" s="13"/>
    </row>
    <row r="567" ht="15.75" customHeight="1">
      <c r="A567" s="14" t="s">
        <v>1990</v>
      </c>
      <c r="B567" s="14" t="s">
        <v>316</v>
      </c>
      <c r="C567" s="14" t="s">
        <v>1991</v>
      </c>
      <c r="D567" s="14">
        <v>100.0</v>
      </c>
      <c r="E567" s="14" t="s">
        <v>318</v>
      </c>
      <c r="F567" s="14" t="s">
        <v>1992</v>
      </c>
      <c r="G567" s="14"/>
      <c r="H567" s="13"/>
      <c r="I567" s="13"/>
      <c r="J567" s="13"/>
      <c r="K567" s="13"/>
      <c r="L567" s="13"/>
      <c r="M567" s="13"/>
      <c r="N567" s="13"/>
      <c r="O567" s="13"/>
      <c r="P567" s="13"/>
      <c r="Q567" s="13"/>
      <c r="R567" s="13"/>
      <c r="S567" s="13"/>
    </row>
    <row r="568" ht="15.75" customHeight="1">
      <c r="A568" s="14" t="s">
        <v>1993</v>
      </c>
      <c r="B568" s="14" t="s">
        <v>1994</v>
      </c>
      <c r="C568" s="14"/>
      <c r="D568" s="14"/>
      <c r="E568" s="14"/>
      <c r="F568" s="14"/>
      <c r="G568" s="14"/>
      <c r="H568" s="13"/>
      <c r="I568" s="13"/>
      <c r="J568" s="13"/>
      <c r="K568" s="13"/>
      <c r="L568" s="13"/>
      <c r="M568" s="13"/>
      <c r="N568" s="13"/>
      <c r="O568" s="13"/>
      <c r="P568" s="13"/>
      <c r="Q568" s="13"/>
      <c r="R568" s="13"/>
      <c r="S568" s="13"/>
    </row>
    <row r="569" ht="15.75" customHeight="1">
      <c r="A569" s="14" t="s">
        <v>1995</v>
      </c>
      <c r="B569" s="14" t="s">
        <v>316</v>
      </c>
      <c r="C569" s="14" t="s">
        <v>1996</v>
      </c>
      <c r="D569" s="14">
        <v>100.0</v>
      </c>
      <c r="E569" s="14" t="s">
        <v>318</v>
      </c>
      <c r="F569" s="14" t="s">
        <v>1992</v>
      </c>
      <c r="G569" s="14"/>
      <c r="H569" s="13"/>
      <c r="I569" s="13"/>
      <c r="J569" s="13"/>
      <c r="K569" s="13"/>
      <c r="L569" s="13"/>
      <c r="M569" s="13"/>
      <c r="N569" s="13"/>
      <c r="O569" s="13"/>
      <c r="P569" s="13"/>
      <c r="Q569" s="13"/>
      <c r="R569" s="13"/>
      <c r="S569" s="13"/>
    </row>
    <row r="570" ht="15.75" customHeight="1">
      <c r="A570" s="14" t="s">
        <v>1993</v>
      </c>
      <c r="B570" s="14" t="s">
        <v>1997</v>
      </c>
      <c r="C570" s="14"/>
      <c r="D570" s="14"/>
      <c r="E570" s="14"/>
      <c r="F570" s="14"/>
      <c r="G570" s="14"/>
      <c r="H570" s="13"/>
      <c r="I570" s="13"/>
      <c r="J570" s="13"/>
      <c r="K570" s="13"/>
      <c r="L570" s="13"/>
      <c r="M570" s="13"/>
      <c r="N570" s="13"/>
      <c r="O570" s="13"/>
      <c r="P570" s="13"/>
      <c r="Q570" s="13"/>
      <c r="R570" s="13"/>
      <c r="S570" s="13"/>
    </row>
    <row r="571" ht="15.75" customHeight="1">
      <c r="A571" s="14" t="s">
        <v>1998</v>
      </c>
      <c r="B571" s="14" t="s">
        <v>316</v>
      </c>
      <c r="C571" s="14" t="s">
        <v>1999</v>
      </c>
      <c r="D571" s="14">
        <v>100.0</v>
      </c>
      <c r="E571" s="14" t="s">
        <v>318</v>
      </c>
      <c r="F571" s="14" t="s">
        <v>1992</v>
      </c>
      <c r="G571" s="14"/>
      <c r="H571" s="13"/>
      <c r="I571" s="13"/>
      <c r="J571" s="13"/>
      <c r="K571" s="13"/>
      <c r="L571" s="13"/>
      <c r="M571" s="13"/>
      <c r="N571" s="13"/>
      <c r="O571" s="13"/>
      <c r="P571" s="13"/>
      <c r="Q571" s="13"/>
      <c r="R571" s="13"/>
      <c r="S571" s="13"/>
    </row>
    <row r="572" ht="15.75" customHeight="1">
      <c r="A572" s="14" t="s">
        <v>1993</v>
      </c>
      <c r="B572" s="14" t="s">
        <v>2000</v>
      </c>
      <c r="C572" s="14"/>
      <c r="D572" s="14"/>
      <c r="E572" s="14"/>
      <c r="F572" s="14"/>
      <c r="G572" s="14"/>
      <c r="H572" s="13"/>
      <c r="I572" s="13"/>
      <c r="J572" s="13"/>
      <c r="K572" s="13"/>
      <c r="L572" s="13"/>
      <c r="M572" s="13"/>
      <c r="N572" s="13"/>
      <c r="O572" s="13"/>
      <c r="P572" s="13"/>
      <c r="Q572" s="13"/>
      <c r="R572" s="13"/>
      <c r="S572" s="13"/>
    </row>
    <row r="573" ht="15.75" customHeight="1">
      <c r="A573" s="14" t="s">
        <v>2001</v>
      </c>
      <c r="B573" s="14" t="s">
        <v>316</v>
      </c>
      <c r="C573" s="14" t="s">
        <v>2002</v>
      </c>
      <c r="D573" s="14">
        <v>100.0</v>
      </c>
      <c r="E573" s="14" t="s">
        <v>318</v>
      </c>
      <c r="F573" s="14" t="s">
        <v>850</v>
      </c>
      <c r="G573" s="14" t="s">
        <v>2003</v>
      </c>
      <c r="H573" s="13"/>
      <c r="I573" s="13"/>
      <c r="J573" s="13"/>
      <c r="K573" s="13"/>
      <c r="L573" s="13"/>
      <c r="M573" s="13"/>
      <c r="N573" s="13"/>
      <c r="O573" s="13"/>
      <c r="P573" s="13"/>
      <c r="Q573" s="13"/>
      <c r="R573" s="13"/>
      <c r="S573" s="13"/>
    </row>
    <row r="574" ht="15.75" customHeight="1">
      <c r="A574" s="14" t="s">
        <v>2004</v>
      </c>
      <c r="B574" s="14" t="s">
        <v>316</v>
      </c>
      <c r="C574" s="14" t="s">
        <v>2005</v>
      </c>
      <c r="D574" s="14">
        <v>100.0</v>
      </c>
      <c r="E574" s="14" t="s">
        <v>318</v>
      </c>
      <c r="F574" s="14" t="s">
        <v>2006</v>
      </c>
      <c r="G574" s="14" t="s">
        <v>2007</v>
      </c>
      <c r="H574" s="13"/>
      <c r="I574" s="13"/>
      <c r="J574" s="13"/>
      <c r="K574" s="13"/>
      <c r="L574" s="13"/>
      <c r="M574" s="13"/>
      <c r="N574" s="13"/>
      <c r="O574" s="13"/>
      <c r="P574" s="13"/>
      <c r="Q574" s="13"/>
      <c r="R574" s="13"/>
      <c r="S574" s="13"/>
    </row>
    <row r="575" ht="15.75" customHeight="1">
      <c r="A575" s="14" t="s">
        <v>2008</v>
      </c>
      <c r="B575" s="14" t="s">
        <v>316</v>
      </c>
      <c r="C575" s="14" t="s">
        <v>2009</v>
      </c>
      <c r="D575" s="14">
        <v>100.0</v>
      </c>
      <c r="E575" s="14" t="s">
        <v>318</v>
      </c>
      <c r="F575" s="14" t="s">
        <v>1836</v>
      </c>
      <c r="G575" s="14" t="s">
        <v>2010</v>
      </c>
      <c r="H575" s="13"/>
      <c r="I575" s="13"/>
      <c r="J575" s="13"/>
      <c r="K575" s="13"/>
      <c r="L575" s="13"/>
      <c r="M575" s="13"/>
      <c r="N575" s="13"/>
      <c r="O575" s="13"/>
      <c r="P575" s="13"/>
      <c r="Q575" s="13"/>
      <c r="R575" s="13"/>
      <c r="S575" s="13"/>
    </row>
    <row r="576" ht="15.75" customHeight="1">
      <c r="A576" s="14" t="s">
        <v>2011</v>
      </c>
      <c r="B576" s="14" t="s">
        <v>316</v>
      </c>
      <c r="C576" s="14" t="s">
        <v>2012</v>
      </c>
      <c r="D576" s="14">
        <v>100.0</v>
      </c>
      <c r="E576" s="14" t="s">
        <v>318</v>
      </c>
      <c r="F576" s="14" t="s">
        <v>2013</v>
      </c>
      <c r="G576" s="14" t="s">
        <v>2014</v>
      </c>
      <c r="H576" s="13"/>
      <c r="I576" s="13"/>
      <c r="J576" s="13"/>
      <c r="K576" s="13"/>
      <c r="L576" s="13"/>
      <c r="M576" s="13"/>
      <c r="N576" s="13"/>
      <c r="O576" s="13"/>
      <c r="P576" s="13"/>
      <c r="Q576" s="13"/>
      <c r="R576" s="13"/>
      <c r="S576" s="13"/>
    </row>
    <row r="577" ht="15.75" customHeight="1">
      <c r="A577" s="14" t="s">
        <v>2015</v>
      </c>
      <c r="B577" s="14" t="s">
        <v>316</v>
      </c>
      <c r="C577" s="14" t="s">
        <v>2016</v>
      </c>
      <c r="D577" s="14">
        <v>100.0</v>
      </c>
      <c r="E577" s="14" t="s">
        <v>318</v>
      </c>
      <c r="F577" s="14" t="s">
        <v>2017</v>
      </c>
      <c r="G577" s="14" t="s">
        <v>2018</v>
      </c>
      <c r="H577" s="13"/>
      <c r="I577" s="13"/>
      <c r="J577" s="13"/>
      <c r="K577" s="13"/>
      <c r="L577" s="13"/>
      <c r="M577" s="13"/>
      <c r="N577" s="13"/>
      <c r="O577" s="13"/>
      <c r="P577" s="13"/>
      <c r="Q577" s="13"/>
      <c r="R577" s="13"/>
      <c r="S577" s="13"/>
    </row>
    <row r="578" ht="15.75" customHeight="1">
      <c r="A578" s="14" t="s">
        <v>2019</v>
      </c>
      <c r="B578" s="14" t="s">
        <v>316</v>
      </c>
      <c r="C578" s="14" t="s">
        <v>2020</v>
      </c>
      <c r="D578" s="14">
        <v>100.0</v>
      </c>
      <c r="E578" s="14" t="s">
        <v>318</v>
      </c>
      <c r="F578" s="14" t="s">
        <v>2021</v>
      </c>
      <c r="G578" s="14" t="s">
        <v>2022</v>
      </c>
      <c r="H578" s="13"/>
      <c r="I578" s="13"/>
      <c r="J578" s="13"/>
      <c r="K578" s="13"/>
      <c r="L578" s="13"/>
      <c r="M578" s="13"/>
      <c r="N578" s="13"/>
      <c r="O578" s="13"/>
      <c r="P578" s="13"/>
      <c r="Q578" s="13"/>
      <c r="R578" s="13"/>
      <c r="S578" s="13"/>
    </row>
    <row r="579" ht="15.75" customHeight="1">
      <c r="A579" s="14" t="s">
        <v>2023</v>
      </c>
      <c r="B579" s="14" t="s">
        <v>316</v>
      </c>
      <c r="C579" s="14" t="s">
        <v>2024</v>
      </c>
      <c r="D579" s="14">
        <v>100.0</v>
      </c>
      <c r="E579" s="14" t="s">
        <v>318</v>
      </c>
      <c r="F579" s="14" t="s">
        <v>850</v>
      </c>
      <c r="G579" s="14" t="s">
        <v>2025</v>
      </c>
      <c r="H579" s="13"/>
      <c r="I579" s="13"/>
      <c r="J579" s="13"/>
      <c r="K579" s="13"/>
      <c r="L579" s="13"/>
      <c r="M579" s="13"/>
      <c r="N579" s="13"/>
      <c r="O579" s="13"/>
      <c r="P579" s="13"/>
      <c r="Q579" s="13"/>
      <c r="R579" s="13"/>
      <c r="S579" s="13"/>
    </row>
    <row r="580" ht="15.75" customHeight="1">
      <c r="A580" s="14" t="s">
        <v>2026</v>
      </c>
      <c r="B580" s="14" t="s">
        <v>316</v>
      </c>
      <c r="C580" s="14" t="s">
        <v>2027</v>
      </c>
      <c r="D580" s="14">
        <v>100.0</v>
      </c>
      <c r="E580" s="14" t="s">
        <v>318</v>
      </c>
      <c r="F580" s="14" t="s">
        <v>2028</v>
      </c>
      <c r="G580" s="14" t="s">
        <v>2029</v>
      </c>
      <c r="H580" s="13"/>
      <c r="I580" s="13"/>
      <c r="J580" s="13"/>
      <c r="K580" s="13"/>
      <c r="L580" s="13"/>
      <c r="M580" s="13"/>
      <c r="N580" s="13"/>
      <c r="O580" s="13"/>
      <c r="P580" s="13"/>
      <c r="Q580" s="13"/>
      <c r="R580" s="13"/>
      <c r="S580" s="13"/>
    </row>
    <row r="581" ht="15.75" customHeight="1">
      <c r="A581" s="14" t="s">
        <v>2030</v>
      </c>
      <c r="B581" s="14" t="s">
        <v>316</v>
      </c>
      <c r="C581" s="14" t="s">
        <v>2031</v>
      </c>
      <c r="D581" s="14">
        <v>100.0</v>
      </c>
      <c r="E581" s="14" t="s">
        <v>318</v>
      </c>
      <c r="F581" s="14" t="s">
        <v>2032</v>
      </c>
      <c r="G581" s="14" t="s">
        <v>2033</v>
      </c>
      <c r="H581" s="13"/>
      <c r="I581" s="13"/>
      <c r="J581" s="13"/>
      <c r="K581" s="13"/>
      <c r="L581" s="13"/>
      <c r="M581" s="13"/>
      <c r="N581" s="13"/>
      <c r="O581" s="13"/>
      <c r="P581" s="13"/>
      <c r="Q581" s="13"/>
      <c r="R581" s="13"/>
      <c r="S581" s="13"/>
    </row>
    <row r="582" ht="15.75" customHeight="1">
      <c r="A582" s="14" t="s">
        <v>2034</v>
      </c>
      <c r="B582" s="14" t="s">
        <v>316</v>
      </c>
      <c r="C582" s="14" t="s">
        <v>2035</v>
      </c>
      <c r="D582" s="14">
        <v>100.0</v>
      </c>
      <c r="E582" s="14" t="s">
        <v>318</v>
      </c>
      <c r="F582" s="14" t="s">
        <v>2036</v>
      </c>
      <c r="G582" s="14" t="s">
        <v>2037</v>
      </c>
      <c r="H582" s="13"/>
      <c r="I582" s="13"/>
      <c r="J582" s="13"/>
      <c r="K582" s="13"/>
      <c r="L582" s="13"/>
      <c r="M582" s="13"/>
      <c r="N582" s="13"/>
      <c r="O582" s="13"/>
      <c r="P582" s="13"/>
      <c r="Q582" s="13"/>
      <c r="R582" s="13"/>
      <c r="S582" s="13"/>
    </row>
    <row r="583" ht="15.75" customHeight="1">
      <c r="A583" s="14" t="s">
        <v>2038</v>
      </c>
      <c r="B583" s="14" t="s">
        <v>316</v>
      </c>
      <c r="C583" s="14" t="s">
        <v>2039</v>
      </c>
      <c r="D583" s="14">
        <v>100.0</v>
      </c>
      <c r="E583" s="14" t="s">
        <v>318</v>
      </c>
      <c r="F583" s="14" t="s">
        <v>2040</v>
      </c>
      <c r="G583" s="14" t="s">
        <v>2041</v>
      </c>
      <c r="H583" s="13"/>
      <c r="I583" s="13"/>
      <c r="J583" s="13"/>
      <c r="K583" s="13"/>
      <c r="L583" s="13"/>
      <c r="M583" s="13"/>
      <c r="N583" s="13"/>
      <c r="O583" s="13"/>
      <c r="P583" s="13"/>
      <c r="Q583" s="13"/>
      <c r="R583" s="13"/>
      <c r="S583" s="13"/>
    </row>
    <row r="584" ht="15.75" customHeight="1">
      <c r="A584" s="14" t="s">
        <v>2042</v>
      </c>
      <c r="B584" s="14" t="s">
        <v>316</v>
      </c>
      <c r="C584" s="14" t="s">
        <v>2043</v>
      </c>
      <c r="D584" s="14">
        <v>100.0</v>
      </c>
      <c r="E584" s="14" t="s">
        <v>318</v>
      </c>
      <c r="F584" s="14" t="s">
        <v>2044</v>
      </c>
      <c r="G584" s="14" t="s">
        <v>2045</v>
      </c>
      <c r="H584" s="13"/>
      <c r="I584" s="13"/>
      <c r="J584" s="13"/>
      <c r="K584" s="13"/>
      <c r="L584" s="13"/>
      <c r="M584" s="13"/>
      <c r="N584" s="13"/>
      <c r="O584" s="13"/>
      <c r="P584" s="13"/>
      <c r="Q584" s="13"/>
      <c r="R584" s="13"/>
      <c r="S584" s="13"/>
    </row>
    <row r="585" ht="15.75" customHeight="1">
      <c r="A585" s="14" t="s">
        <v>2046</v>
      </c>
      <c r="B585" s="14" t="s">
        <v>316</v>
      </c>
      <c r="C585" s="14" t="s">
        <v>2047</v>
      </c>
      <c r="D585" s="14">
        <v>100.0</v>
      </c>
      <c r="E585" s="14" t="s">
        <v>318</v>
      </c>
      <c r="F585" s="14" t="s">
        <v>2048</v>
      </c>
      <c r="G585" s="14" t="s">
        <v>2049</v>
      </c>
      <c r="H585" s="13"/>
      <c r="I585" s="13"/>
      <c r="J585" s="13"/>
      <c r="K585" s="13"/>
      <c r="L585" s="13"/>
      <c r="M585" s="13"/>
      <c r="N585" s="13"/>
      <c r="O585" s="13"/>
      <c r="P585" s="13"/>
      <c r="Q585" s="13"/>
      <c r="R585" s="13"/>
      <c r="S585" s="13"/>
    </row>
    <row r="586" ht="15.75" customHeight="1">
      <c r="A586" s="14" t="s">
        <v>2050</v>
      </c>
      <c r="B586" s="14" t="s">
        <v>316</v>
      </c>
      <c r="C586" s="14" t="s">
        <v>2051</v>
      </c>
      <c r="D586" s="14">
        <v>100.0</v>
      </c>
      <c r="E586" s="14" t="s">
        <v>318</v>
      </c>
      <c r="F586" s="14" t="s">
        <v>2052</v>
      </c>
      <c r="G586" s="14" t="s">
        <v>2053</v>
      </c>
      <c r="H586" s="13"/>
      <c r="I586" s="13"/>
      <c r="J586" s="13"/>
      <c r="K586" s="13"/>
      <c r="L586" s="13"/>
      <c r="M586" s="13"/>
      <c r="N586" s="13"/>
      <c r="O586" s="13"/>
      <c r="P586" s="13"/>
      <c r="Q586" s="13"/>
      <c r="R586" s="13"/>
      <c r="S586" s="13"/>
    </row>
    <row r="587" ht="15.75" customHeight="1">
      <c r="A587" s="14" t="s">
        <v>2054</v>
      </c>
      <c r="B587" s="14" t="s">
        <v>316</v>
      </c>
      <c r="C587" s="14" t="s">
        <v>2055</v>
      </c>
      <c r="D587" s="14">
        <v>100.0</v>
      </c>
      <c r="E587" s="14" t="s">
        <v>318</v>
      </c>
      <c r="F587" s="14" t="s">
        <v>2056</v>
      </c>
      <c r="G587" s="14" t="s">
        <v>2057</v>
      </c>
      <c r="H587" s="13"/>
      <c r="I587" s="13"/>
      <c r="J587" s="13"/>
      <c r="K587" s="13"/>
      <c r="L587" s="13"/>
      <c r="M587" s="13"/>
      <c r="N587" s="13"/>
      <c r="O587" s="13"/>
      <c r="P587" s="13"/>
      <c r="Q587" s="13"/>
      <c r="R587" s="13"/>
      <c r="S587" s="13"/>
    </row>
    <row r="588" ht="15.75" customHeight="1">
      <c r="A588" s="14" t="s">
        <v>2058</v>
      </c>
      <c r="B588" s="14" t="s">
        <v>316</v>
      </c>
      <c r="C588" s="14" t="s">
        <v>2059</v>
      </c>
      <c r="D588" s="14">
        <v>100.0</v>
      </c>
      <c r="E588" s="14" t="s">
        <v>318</v>
      </c>
      <c r="F588" s="14" t="s">
        <v>2060</v>
      </c>
      <c r="G588" s="14" t="s">
        <v>2061</v>
      </c>
      <c r="H588" s="13"/>
      <c r="I588" s="13"/>
      <c r="J588" s="13"/>
      <c r="K588" s="13"/>
      <c r="L588" s="13"/>
      <c r="M588" s="13"/>
      <c r="N588" s="13"/>
      <c r="O588" s="13"/>
      <c r="P588" s="13"/>
      <c r="Q588" s="13"/>
      <c r="R588" s="13"/>
      <c r="S588" s="13"/>
    </row>
    <row r="589" ht="15.75" customHeight="1">
      <c r="A589" s="14" t="s">
        <v>2062</v>
      </c>
      <c r="B589" s="14" t="s">
        <v>316</v>
      </c>
      <c r="C589" s="14" t="s">
        <v>2063</v>
      </c>
      <c r="D589" s="14">
        <v>100.0</v>
      </c>
      <c r="E589" s="14" t="s">
        <v>318</v>
      </c>
      <c r="F589" s="14" t="s">
        <v>2060</v>
      </c>
      <c r="G589" s="14" t="s">
        <v>2064</v>
      </c>
      <c r="H589" s="13"/>
      <c r="I589" s="13"/>
      <c r="J589" s="13"/>
      <c r="K589" s="13"/>
      <c r="L589" s="13"/>
      <c r="M589" s="13"/>
      <c r="N589" s="13"/>
      <c r="O589" s="13"/>
      <c r="P589" s="13"/>
      <c r="Q589" s="13"/>
      <c r="R589" s="13"/>
      <c r="S589" s="13"/>
    </row>
    <row r="590" ht="15.75" customHeight="1">
      <c r="A590" s="14" t="s">
        <v>2065</v>
      </c>
      <c r="B590" s="14" t="s">
        <v>316</v>
      </c>
      <c r="C590" s="14" t="s">
        <v>2066</v>
      </c>
      <c r="D590" s="14">
        <v>100.0</v>
      </c>
      <c r="E590" s="14" t="s">
        <v>318</v>
      </c>
      <c r="F590" s="14" t="s">
        <v>2060</v>
      </c>
      <c r="G590" s="14" t="s">
        <v>2067</v>
      </c>
      <c r="H590" s="13"/>
      <c r="I590" s="13"/>
      <c r="J590" s="13"/>
      <c r="K590" s="13"/>
      <c r="L590" s="13"/>
      <c r="M590" s="13"/>
      <c r="N590" s="13"/>
      <c r="O590" s="13"/>
      <c r="P590" s="13"/>
      <c r="Q590" s="13"/>
      <c r="R590" s="13"/>
      <c r="S590" s="13"/>
    </row>
    <row r="591" ht="15.75" customHeight="1">
      <c r="A591" s="14" t="s">
        <v>2068</v>
      </c>
      <c r="B591" s="14" t="s">
        <v>316</v>
      </c>
      <c r="C591" s="14" t="s">
        <v>2069</v>
      </c>
      <c r="D591" s="14">
        <v>100.0</v>
      </c>
      <c r="E591" s="14" t="s">
        <v>318</v>
      </c>
      <c r="F591" s="14" t="s">
        <v>2060</v>
      </c>
      <c r="G591" s="14" t="s">
        <v>2070</v>
      </c>
      <c r="H591" s="13"/>
      <c r="I591" s="13"/>
      <c r="J591" s="13"/>
      <c r="K591" s="13"/>
      <c r="L591" s="13"/>
      <c r="M591" s="13"/>
      <c r="N591" s="13"/>
      <c r="O591" s="13"/>
      <c r="P591" s="13"/>
      <c r="Q591" s="13"/>
      <c r="R591" s="13"/>
      <c r="S591" s="13"/>
    </row>
    <row r="592" ht="15.75" customHeight="1">
      <c r="A592" s="14" t="s">
        <v>2071</v>
      </c>
      <c r="B592" s="14" t="s">
        <v>316</v>
      </c>
      <c r="C592" s="14" t="s">
        <v>2072</v>
      </c>
      <c r="D592" s="14">
        <v>100.0</v>
      </c>
      <c r="E592" s="14" t="s">
        <v>318</v>
      </c>
      <c r="F592" s="14" t="s">
        <v>2060</v>
      </c>
      <c r="G592" s="14" t="s">
        <v>2073</v>
      </c>
      <c r="H592" s="13"/>
      <c r="I592" s="13"/>
      <c r="J592" s="13"/>
      <c r="K592" s="13"/>
      <c r="L592" s="13"/>
      <c r="M592" s="13"/>
      <c r="N592" s="13"/>
      <c r="O592" s="13"/>
      <c r="P592" s="13"/>
      <c r="Q592" s="13"/>
      <c r="R592" s="13"/>
      <c r="S592" s="13"/>
    </row>
    <row r="593" ht="15.75" customHeight="1">
      <c r="A593" s="14" t="s">
        <v>2074</v>
      </c>
      <c r="B593" s="14" t="s">
        <v>316</v>
      </c>
      <c r="C593" s="14" t="s">
        <v>2075</v>
      </c>
      <c r="D593" s="14">
        <v>100.0</v>
      </c>
      <c r="E593" s="14" t="s">
        <v>318</v>
      </c>
      <c r="F593" s="14" t="s">
        <v>2060</v>
      </c>
      <c r="G593" s="14" t="s">
        <v>2076</v>
      </c>
      <c r="H593" s="13"/>
      <c r="I593" s="13"/>
      <c r="J593" s="13"/>
      <c r="K593" s="13"/>
      <c r="L593" s="13"/>
      <c r="M593" s="13"/>
      <c r="N593" s="13"/>
      <c r="O593" s="13"/>
      <c r="P593" s="13"/>
      <c r="Q593" s="13"/>
      <c r="R593" s="13"/>
      <c r="S593" s="13"/>
    </row>
    <row r="594" ht="15.75" customHeight="1">
      <c r="A594" s="14" t="s">
        <v>2077</v>
      </c>
      <c r="B594" s="14" t="s">
        <v>316</v>
      </c>
      <c r="C594" s="14" t="s">
        <v>2078</v>
      </c>
      <c r="D594" s="14">
        <v>100.0</v>
      </c>
      <c r="E594" s="14" t="s">
        <v>318</v>
      </c>
      <c r="F594" s="14" t="s">
        <v>2079</v>
      </c>
      <c r="G594" s="14" t="s">
        <v>2080</v>
      </c>
      <c r="H594" s="13"/>
      <c r="I594" s="13"/>
      <c r="J594" s="13"/>
      <c r="K594" s="13"/>
      <c r="L594" s="13"/>
      <c r="M594" s="13"/>
      <c r="N594" s="13"/>
      <c r="O594" s="13"/>
      <c r="P594" s="13"/>
      <c r="Q594" s="13"/>
      <c r="R594" s="13"/>
      <c r="S594" s="13"/>
    </row>
    <row r="595" ht="15.75" customHeight="1">
      <c r="A595" s="14" t="s">
        <v>2081</v>
      </c>
      <c r="B595" s="14" t="s">
        <v>316</v>
      </c>
      <c r="C595" s="14" t="s">
        <v>2082</v>
      </c>
      <c r="D595" s="14">
        <v>100.0</v>
      </c>
      <c r="E595" s="14" t="s">
        <v>318</v>
      </c>
      <c r="F595" s="14" t="s">
        <v>2083</v>
      </c>
      <c r="G595" s="14" t="s">
        <v>2084</v>
      </c>
      <c r="H595" s="13"/>
      <c r="I595" s="13"/>
      <c r="J595" s="13"/>
      <c r="K595" s="13"/>
      <c r="L595" s="13"/>
      <c r="M595" s="13"/>
      <c r="N595" s="13"/>
      <c r="O595" s="13"/>
      <c r="P595" s="13"/>
      <c r="Q595" s="13"/>
      <c r="R595" s="13"/>
      <c r="S595" s="13"/>
    </row>
    <row r="596" ht="15.75" customHeight="1">
      <c r="A596" s="14" t="s">
        <v>2085</v>
      </c>
      <c r="B596" s="14" t="s">
        <v>316</v>
      </c>
      <c r="C596" s="14" t="s">
        <v>2086</v>
      </c>
      <c r="D596" s="14">
        <v>100.0</v>
      </c>
      <c r="E596" s="14" t="s">
        <v>318</v>
      </c>
      <c r="F596" s="14" t="s">
        <v>2087</v>
      </c>
      <c r="G596" s="14" t="s">
        <v>2088</v>
      </c>
      <c r="H596" s="13"/>
      <c r="I596" s="13"/>
      <c r="J596" s="13"/>
      <c r="K596" s="13"/>
      <c r="L596" s="13"/>
      <c r="M596" s="13"/>
      <c r="N596" s="13"/>
      <c r="O596" s="13"/>
      <c r="P596" s="13"/>
      <c r="Q596" s="13"/>
      <c r="R596" s="13"/>
      <c r="S596" s="13"/>
    </row>
    <row r="597" ht="15.75" customHeight="1">
      <c r="A597" s="14" t="s">
        <v>2089</v>
      </c>
      <c r="B597" s="14" t="s">
        <v>316</v>
      </c>
      <c r="C597" s="14" t="s">
        <v>2090</v>
      </c>
      <c r="D597" s="14">
        <v>100.0</v>
      </c>
      <c r="E597" s="14" t="s">
        <v>318</v>
      </c>
      <c r="F597" s="14" t="s">
        <v>2091</v>
      </c>
      <c r="G597" s="14" t="s">
        <v>2092</v>
      </c>
      <c r="H597" s="13"/>
      <c r="I597" s="13"/>
      <c r="J597" s="13"/>
      <c r="K597" s="13"/>
      <c r="L597" s="13"/>
      <c r="M597" s="13"/>
      <c r="N597" s="13"/>
      <c r="O597" s="13"/>
      <c r="P597" s="13"/>
      <c r="Q597" s="13"/>
      <c r="R597" s="13"/>
      <c r="S597" s="13"/>
    </row>
    <row r="598" ht="15.75" customHeight="1">
      <c r="A598" s="14" t="s">
        <v>2093</v>
      </c>
      <c r="B598" s="14" t="s">
        <v>316</v>
      </c>
      <c r="C598" s="14" t="s">
        <v>2094</v>
      </c>
      <c r="D598" s="14">
        <v>100.0</v>
      </c>
      <c r="E598" s="14" t="s">
        <v>318</v>
      </c>
      <c r="F598" s="14" t="s">
        <v>2095</v>
      </c>
      <c r="G598" s="14" t="s">
        <v>2096</v>
      </c>
      <c r="H598" s="13"/>
      <c r="I598" s="13"/>
      <c r="J598" s="13"/>
      <c r="K598" s="13"/>
      <c r="L598" s="13"/>
      <c r="M598" s="13"/>
      <c r="N598" s="13"/>
      <c r="O598" s="13"/>
      <c r="P598" s="13"/>
      <c r="Q598" s="13"/>
      <c r="R598" s="13"/>
      <c r="S598" s="13"/>
    </row>
    <row r="599" ht="15.75" customHeight="1">
      <c r="A599" s="14" t="s">
        <v>2097</v>
      </c>
      <c r="B599" s="14" t="s">
        <v>316</v>
      </c>
      <c r="C599" s="14" t="s">
        <v>2098</v>
      </c>
      <c r="D599" s="14">
        <v>100.0</v>
      </c>
      <c r="E599" s="14" t="s">
        <v>318</v>
      </c>
      <c r="F599" s="14" t="s">
        <v>2099</v>
      </c>
      <c r="G599" s="14" t="s">
        <v>2100</v>
      </c>
      <c r="H599" s="13"/>
      <c r="I599" s="13"/>
      <c r="J599" s="13"/>
      <c r="K599" s="13"/>
      <c r="L599" s="13"/>
      <c r="M599" s="13"/>
      <c r="N599" s="13"/>
      <c r="O599" s="13"/>
      <c r="P599" s="13"/>
      <c r="Q599" s="13"/>
      <c r="R599" s="13"/>
      <c r="S599" s="13"/>
    </row>
    <row r="600" ht="15.75" customHeight="1">
      <c r="A600" s="14" t="s">
        <v>2101</v>
      </c>
      <c r="B600" s="14" t="s">
        <v>316</v>
      </c>
      <c r="C600" s="14" t="s">
        <v>2102</v>
      </c>
      <c r="D600" s="14">
        <v>100.0</v>
      </c>
      <c r="E600" s="14" t="s">
        <v>318</v>
      </c>
      <c r="F600" s="14" t="s">
        <v>2103</v>
      </c>
      <c r="G600" s="14" t="s">
        <v>2104</v>
      </c>
      <c r="H600" s="13"/>
      <c r="I600" s="13"/>
      <c r="J600" s="13"/>
      <c r="K600" s="13"/>
      <c r="L600" s="13"/>
      <c r="M600" s="13"/>
      <c r="N600" s="13"/>
      <c r="O600" s="13"/>
      <c r="P600" s="13"/>
      <c r="Q600" s="13"/>
      <c r="R600" s="13"/>
      <c r="S600" s="13"/>
    </row>
    <row r="601" ht="15.75" customHeight="1">
      <c r="A601" s="14" t="s">
        <v>2105</v>
      </c>
      <c r="B601" s="14" t="s">
        <v>316</v>
      </c>
      <c r="C601" s="14" t="s">
        <v>2106</v>
      </c>
      <c r="D601" s="14">
        <v>100.0</v>
      </c>
      <c r="E601" s="14" t="s">
        <v>318</v>
      </c>
      <c r="F601" s="14" t="s">
        <v>2107</v>
      </c>
      <c r="G601" s="14" t="s">
        <v>2108</v>
      </c>
      <c r="H601" s="13"/>
      <c r="I601" s="13"/>
      <c r="J601" s="13"/>
      <c r="K601" s="13"/>
      <c r="L601" s="13"/>
      <c r="M601" s="13"/>
      <c r="N601" s="13"/>
      <c r="O601" s="13"/>
      <c r="P601" s="13"/>
      <c r="Q601" s="13"/>
      <c r="R601" s="13"/>
      <c r="S601" s="13"/>
    </row>
    <row r="602" ht="15.75" customHeight="1">
      <c r="A602" s="14" t="s">
        <v>2109</v>
      </c>
      <c r="B602" s="14" t="s">
        <v>316</v>
      </c>
      <c r="C602" s="14" t="s">
        <v>2110</v>
      </c>
      <c r="D602" s="14">
        <v>100.0</v>
      </c>
      <c r="E602" s="14" t="s">
        <v>318</v>
      </c>
      <c r="F602" s="14" t="s">
        <v>2111</v>
      </c>
      <c r="G602" s="14" t="s">
        <v>2112</v>
      </c>
      <c r="H602" s="13"/>
      <c r="I602" s="13"/>
      <c r="J602" s="13"/>
      <c r="K602" s="13"/>
      <c r="L602" s="13"/>
      <c r="M602" s="13"/>
      <c r="N602" s="13"/>
      <c r="O602" s="13"/>
      <c r="P602" s="13"/>
      <c r="Q602" s="13"/>
      <c r="R602" s="13"/>
      <c r="S602" s="13"/>
    </row>
    <row r="603" ht="15.75" customHeight="1">
      <c r="A603" s="14" t="s">
        <v>2113</v>
      </c>
      <c r="B603" s="14" t="s">
        <v>316</v>
      </c>
      <c r="C603" s="14" t="s">
        <v>2114</v>
      </c>
      <c r="D603" s="14">
        <v>100.0</v>
      </c>
      <c r="E603" s="14" t="s">
        <v>318</v>
      </c>
      <c r="F603" s="14" t="s">
        <v>2115</v>
      </c>
      <c r="G603" s="14" t="s">
        <v>2116</v>
      </c>
      <c r="H603" s="13"/>
      <c r="I603" s="13"/>
      <c r="J603" s="13"/>
      <c r="K603" s="13"/>
      <c r="L603" s="13"/>
      <c r="M603" s="13"/>
      <c r="N603" s="13"/>
      <c r="O603" s="13"/>
      <c r="P603" s="13"/>
      <c r="Q603" s="13"/>
      <c r="R603" s="13"/>
      <c r="S603" s="13"/>
    </row>
    <row r="604" ht="15.75" customHeight="1">
      <c r="A604" s="14" t="s">
        <v>2117</v>
      </c>
      <c r="B604" s="14" t="s">
        <v>316</v>
      </c>
      <c r="C604" s="14" t="s">
        <v>2118</v>
      </c>
      <c r="D604" s="14">
        <v>100.0</v>
      </c>
      <c r="E604" s="14" t="s">
        <v>318</v>
      </c>
      <c r="F604" s="14" t="s">
        <v>2115</v>
      </c>
      <c r="G604" s="14" t="s">
        <v>2119</v>
      </c>
      <c r="H604" s="13"/>
      <c r="I604" s="13"/>
      <c r="J604" s="13"/>
      <c r="K604" s="13"/>
      <c r="L604" s="13"/>
      <c r="M604" s="13"/>
      <c r="N604" s="13"/>
      <c r="O604" s="13"/>
      <c r="P604" s="13"/>
      <c r="Q604" s="13"/>
      <c r="R604" s="13"/>
      <c r="S604" s="13"/>
    </row>
    <row r="605" ht="15.75" customHeight="1">
      <c r="A605" s="14" t="s">
        <v>2120</v>
      </c>
      <c r="B605" s="14" t="s">
        <v>316</v>
      </c>
      <c r="C605" s="14" t="s">
        <v>2121</v>
      </c>
      <c r="D605" s="14">
        <v>100.0</v>
      </c>
      <c r="E605" s="14" t="s">
        <v>318</v>
      </c>
      <c r="F605" s="14" t="s">
        <v>2122</v>
      </c>
      <c r="G605" s="14" t="s">
        <v>2123</v>
      </c>
      <c r="H605" s="13"/>
      <c r="I605" s="13"/>
      <c r="J605" s="13"/>
      <c r="K605" s="13"/>
      <c r="L605" s="13"/>
      <c r="M605" s="13"/>
      <c r="N605" s="13"/>
      <c r="O605" s="13"/>
      <c r="P605" s="13"/>
      <c r="Q605" s="13"/>
      <c r="R605" s="13"/>
      <c r="S605" s="13"/>
    </row>
    <row r="606" ht="15.75" customHeight="1">
      <c r="A606" s="14" t="s">
        <v>2124</v>
      </c>
      <c r="B606" s="14" t="s">
        <v>316</v>
      </c>
      <c r="C606" s="14" t="s">
        <v>2125</v>
      </c>
      <c r="D606" s="14">
        <v>100.0</v>
      </c>
      <c r="E606" s="14" t="s">
        <v>318</v>
      </c>
      <c r="F606" s="14" t="s">
        <v>2126</v>
      </c>
      <c r="G606" s="14" t="s">
        <v>2127</v>
      </c>
      <c r="H606" s="13"/>
      <c r="I606" s="13"/>
      <c r="J606" s="13"/>
      <c r="K606" s="13"/>
      <c r="L606" s="13"/>
      <c r="M606" s="13"/>
      <c r="N606" s="13"/>
      <c r="O606" s="13"/>
      <c r="P606" s="13"/>
      <c r="Q606" s="13"/>
      <c r="R606" s="13"/>
      <c r="S606" s="13"/>
    </row>
    <row r="607" ht="15.75" customHeight="1">
      <c r="A607" s="14" t="s">
        <v>2128</v>
      </c>
      <c r="B607" s="14" t="s">
        <v>316</v>
      </c>
      <c r="C607" s="14" t="s">
        <v>2129</v>
      </c>
      <c r="D607" s="14">
        <v>100.0</v>
      </c>
      <c r="E607" s="14" t="s">
        <v>318</v>
      </c>
      <c r="F607" s="14" t="s">
        <v>2130</v>
      </c>
      <c r="G607" s="14" t="s">
        <v>2131</v>
      </c>
      <c r="H607" s="13"/>
      <c r="I607" s="13"/>
      <c r="J607" s="13"/>
      <c r="K607" s="13"/>
      <c r="L607" s="13"/>
      <c r="M607" s="13"/>
      <c r="N607" s="13"/>
      <c r="O607" s="13"/>
      <c r="P607" s="13"/>
      <c r="Q607" s="13"/>
      <c r="R607" s="13"/>
      <c r="S607" s="13"/>
    </row>
    <row r="608" ht="15.75" customHeight="1">
      <c r="A608" s="14" t="s">
        <v>2132</v>
      </c>
      <c r="B608" s="14" t="s">
        <v>316</v>
      </c>
      <c r="C608" s="14" t="s">
        <v>2133</v>
      </c>
      <c r="D608" s="14">
        <v>100.0</v>
      </c>
      <c r="E608" s="14" t="s">
        <v>318</v>
      </c>
      <c r="F608" s="14" t="s">
        <v>2134</v>
      </c>
      <c r="G608" s="14" t="s">
        <v>2135</v>
      </c>
      <c r="H608" s="13"/>
      <c r="I608" s="13"/>
      <c r="J608" s="13"/>
      <c r="K608" s="13"/>
      <c r="L608" s="13"/>
      <c r="M608" s="13"/>
      <c r="N608" s="13"/>
      <c r="O608" s="13"/>
      <c r="P608" s="13"/>
      <c r="Q608" s="13"/>
      <c r="R608" s="13"/>
      <c r="S608" s="13"/>
    </row>
    <row r="609" ht="15.75" customHeight="1">
      <c r="A609" s="14" t="s">
        <v>2136</v>
      </c>
      <c r="B609" s="14" t="s">
        <v>316</v>
      </c>
      <c r="C609" s="14" t="s">
        <v>2137</v>
      </c>
      <c r="D609" s="14">
        <v>100.0</v>
      </c>
      <c r="E609" s="14" t="s">
        <v>318</v>
      </c>
      <c r="F609" s="14" t="s">
        <v>2138</v>
      </c>
      <c r="G609" s="14" t="s">
        <v>2139</v>
      </c>
      <c r="H609" s="13"/>
      <c r="I609" s="13"/>
      <c r="J609" s="13"/>
      <c r="K609" s="13"/>
      <c r="L609" s="13"/>
      <c r="M609" s="13"/>
      <c r="N609" s="13"/>
      <c r="O609" s="13"/>
      <c r="P609" s="13"/>
      <c r="Q609" s="13"/>
      <c r="R609" s="13"/>
      <c r="S609" s="13"/>
    </row>
    <row r="610" ht="15.75" customHeight="1">
      <c r="A610" s="14" t="s">
        <v>2140</v>
      </c>
      <c r="B610" s="14" t="s">
        <v>316</v>
      </c>
      <c r="C610" s="14" t="s">
        <v>2141</v>
      </c>
      <c r="D610" s="14">
        <v>100.0</v>
      </c>
      <c r="E610" s="14" t="s">
        <v>318</v>
      </c>
      <c r="F610" s="14" t="s">
        <v>2142</v>
      </c>
      <c r="G610" s="14" t="s">
        <v>2143</v>
      </c>
      <c r="H610" s="13"/>
      <c r="I610" s="13"/>
      <c r="J610" s="13"/>
      <c r="K610" s="13"/>
      <c r="L610" s="13"/>
      <c r="M610" s="13"/>
      <c r="N610" s="13"/>
      <c r="O610" s="13"/>
      <c r="P610" s="13"/>
      <c r="Q610" s="13"/>
      <c r="R610" s="13"/>
      <c r="S610" s="13"/>
    </row>
    <row r="611" ht="15.75" customHeight="1">
      <c r="A611" s="14" t="s">
        <v>2144</v>
      </c>
      <c r="B611" s="14" t="s">
        <v>316</v>
      </c>
      <c r="C611" s="14" t="s">
        <v>2145</v>
      </c>
      <c r="D611" s="14">
        <v>100.0</v>
      </c>
      <c r="E611" s="14" t="s">
        <v>318</v>
      </c>
      <c r="F611" s="14" t="s">
        <v>2146</v>
      </c>
      <c r="G611" s="14" t="s">
        <v>2147</v>
      </c>
      <c r="H611" s="13"/>
      <c r="I611" s="13"/>
      <c r="J611" s="13"/>
      <c r="K611" s="13"/>
      <c r="L611" s="13"/>
      <c r="M611" s="13"/>
      <c r="N611" s="13"/>
      <c r="O611" s="13"/>
      <c r="P611" s="13"/>
      <c r="Q611" s="13"/>
      <c r="R611" s="13"/>
      <c r="S611" s="13"/>
    </row>
    <row r="612" ht="15.75" customHeight="1">
      <c r="A612" s="14" t="s">
        <v>2148</v>
      </c>
      <c r="B612" s="14" t="s">
        <v>316</v>
      </c>
      <c r="C612" s="14" t="s">
        <v>2149</v>
      </c>
      <c r="D612" s="14">
        <v>100.0</v>
      </c>
      <c r="E612" s="14" t="s">
        <v>318</v>
      </c>
      <c r="F612" s="14" t="s">
        <v>2150</v>
      </c>
      <c r="G612" s="14" t="s">
        <v>2151</v>
      </c>
      <c r="H612" s="13"/>
      <c r="I612" s="13"/>
      <c r="J612" s="13"/>
      <c r="K612" s="13"/>
      <c r="L612" s="13"/>
      <c r="M612" s="13"/>
      <c r="N612" s="13"/>
      <c r="O612" s="13"/>
      <c r="P612" s="13"/>
      <c r="Q612" s="13"/>
      <c r="R612" s="13"/>
      <c r="S612" s="13"/>
    </row>
    <row r="613" ht="15.75" customHeight="1">
      <c r="A613" s="14" t="s">
        <v>2152</v>
      </c>
      <c r="B613" s="14" t="s">
        <v>316</v>
      </c>
      <c r="C613" s="14" t="s">
        <v>2153</v>
      </c>
      <c r="D613" s="14">
        <v>100.0</v>
      </c>
      <c r="E613" s="14" t="s">
        <v>318</v>
      </c>
      <c r="F613" s="14" t="s">
        <v>2154</v>
      </c>
      <c r="G613" s="14" t="s">
        <v>2155</v>
      </c>
      <c r="H613" s="13"/>
      <c r="I613" s="13"/>
      <c r="J613" s="13"/>
      <c r="K613" s="13"/>
      <c r="L613" s="13"/>
      <c r="M613" s="13"/>
      <c r="N613" s="13"/>
      <c r="O613" s="13"/>
      <c r="P613" s="13"/>
      <c r="Q613" s="13"/>
      <c r="R613" s="13"/>
      <c r="S613" s="13"/>
    </row>
    <row r="614" ht="15.75" customHeight="1">
      <c r="A614" s="14" t="s">
        <v>2156</v>
      </c>
      <c r="B614" s="14" t="s">
        <v>316</v>
      </c>
      <c r="C614" s="14" t="s">
        <v>2157</v>
      </c>
      <c r="D614" s="14">
        <v>100.0</v>
      </c>
      <c r="E614" s="14" t="s">
        <v>318</v>
      </c>
      <c r="F614" s="14" t="s">
        <v>2158</v>
      </c>
      <c r="G614" s="14" t="s">
        <v>2159</v>
      </c>
      <c r="H614" s="13"/>
      <c r="I614" s="13"/>
      <c r="J614" s="13"/>
      <c r="K614" s="13"/>
      <c r="L614" s="13"/>
      <c r="M614" s="13"/>
      <c r="N614" s="13"/>
      <c r="O614" s="13"/>
      <c r="P614" s="13"/>
      <c r="Q614" s="13"/>
      <c r="R614" s="13"/>
      <c r="S614" s="13"/>
    </row>
    <row r="615" ht="15.75" customHeight="1">
      <c r="A615" s="14" t="s">
        <v>2160</v>
      </c>
      <c r="B615" s="14" t="s">
        <v>316</v>
      </c>
      <c r="C615" s="14" t="s">
        <v>2161</v>
      </c>
      <c r="D615" s="14">
        <v>100.0</v>
      </c>
      <c r="E615" s="14" t="s">
        <v>318</v>
      </c>
      <c r="F615" s="14" t="s">
        <v>2162</v>
      </c>
      <c r="G615" s="14" t="s">
        <v>2163</v>
      </c>
      <c r="H615" s="13"/>
      <c r="I615" s="13"/>
      <c r="J615" s="13"/>
      <c r="K615" s="13"/>
      <c r="L615" s="13"/>
      <c r="M615" s="13"/>
      <c r="N615" s="13"/>
      <c r="O615" s="13"/>
      <c r="P615" s="13"/>
      <c r="Q615" s="13"/>
      <c r="R615" s="13"/>
      <c r="S615" s="13"/>
    </row>
    <row r="616" ht="15.75" customHeight="1">
      <c r="A616" s="14" t="s">
        <v>2164</v>
      </c>
      <c r="B616" s="14" t="s">
        <v>316</v>
      </c>
      <c r="C616" s="14" t="s">
        <v>2165</v>
      </c>
      <c r="D616" s="14">
        <v>100.0</v>
      </c>
      <c r="E616" s="14" t="s">
        <v>318</v>
      </c>
      <c r="F616" s="14" t="s">
        <v>2166</v>
      </c>
      <c r="G616" s="14" t="s">
        <v>2167</v>
      </c>
      <c r="H616" s="13"/>
      <c r="I616" s="13"/>
      <c r="J616" s="13"/>
      <c r="K616" s="13"/>
      <c r="L616" s="13"/>
      <c r="M616" s="13"/>
      <c r="N616" s="13"/>
      <c r="O616" s="13"/>
      <c r="P616" s="13"/>
      <c r="Q616" s="13"/>
      <c r="R616" s="13"/>
      <c r="S616" s="13"/>
    </row>
    <row r="617" ht="15.75" customHeight="1">
      <c r="A617" s="14" t="s">
        <v>2168</v>
      </c>
      <c r="B617" s="14" t="s">
        <v>316</v>
      </c>
      <c r="C617" s="14" t="s">
        <v>2169</v>
      </c>
      <c r="D617" s="14">
        <v>100.0</v>
      </c>
      <c r="E617" s="14" t="s">
        <v>318</v>
      </c>
      <c r="F617" s="14" t="s">
        <v>2170</v>
      </c>
      <c r="G617" s="14" t="s">
        <v>2171</v>
      </c>
      <c r="H617" s="13"/>
      <c r="I617" s="13"/>
      <c r="J617" s="13"/>
      <c r="K617" s="13"/>
      <c r="L617" s="13"/>
      <c r="M617" s="13"/>
      <c r="N617" s="13"/>
      <c r="O617" s="13"/>
      <c r="P617" s="13"/>
      <c r="Q617" s="13"/>
      <c r="R617" s="13"/>
      <c r="S617" s="13"/>
    </row>
    <row r="618" ht="15.75" customHeight="1">
      <c r="A618" s="14" t="s">
        <v>2172</v>
      </c>
      <c r="B618" s="14" t="s">
        <v>316</v>
      </c>
      <c r="C618" s="14" t="s">
        <v>2173</v>
      </c>
      <c r="D618" s="14">
        <v>100.0</v>
      </c>
      <c r="E618" s="14" t="s">
        <v>318</v>
      </c>
      <c r="F618" s="14" t="s">
        <v>2174</v>
      </c>
      <c r="G618" s="14" t="s">
        <v>2175</v>
      </c>
      <c r="H618" s="13"/>
      <c r="I618" s="13"/>
      <c r="J618" s="13"/>
      <c r="K618" s="13"/>
      <c r="L618" s="13"/>
      <c r="M618" s="13"/>
      <c r="N618" s="13"/>
      <c r="O618" s="13"/>
      <c r="P618" s="13"/>
      <c r="Q618" s="13"/>
      <c r="R618" s="13"/>
      <c r="S618" s="13"/>
    </row>
    <row r="619" ht="15.75" customHeight="1">
      <c r="A619" s="14" t="s">
        <v>2176</v>
      </c>
      <c r="B619" s="14" t="s">
        <v>316</v>
      </c>
      <c r="C619" s="14" t="s">
        <v>2177</v>
      </c>
      <c r="D619" s="14">
        <v>100.0</v>
      </c>
      <c r="E619" s="14" t="s">
        <v>318</v>
      </c>
      <c r="F619" s="14" t="s">
        <v>2178</v>
      </c>
      <c r="G619" s="14" t="s">
        <v>2179</v>
      </c>
      <c r="H619" s="13"/>
      <c r="I619" s="13"/>
      <c r="J619" s="13"/>
      <c r="K619" s="13"/>
      <c r="L619" s="13"/>
      <c r="M619" s="13"/>
      <c r="N619" s="13"/>
      <c r="O619" s="13"/>
      <c r="P619" s="13"/>
      <c r="Q619" s="13"/>
      <c r="R619" s="13"/>
      <c r="S619" s="13"/>
    </row>
    <row r="620" ht="15.75" customHeight="1">
      <c r="A620" s="14" t="s">
        <v>2180</v>
      </c>
      <c r="B620" s="14" t="s">
        <v>316</v>
      </c>
      <c r="C620" s="14" t="s">
        <v>2181</v>
      </c>
      <c r="D620" s="14">
        <v>100.0</v>
      </c>
      <c r="E620" s="14" t="s">
        <v>318</v>
      </c>
      <c r="F620" s="14" t="s">
        <v>1980</v>
      </c>
      <c r="G620" s="14" t="s">
        <v>2182</v>
      </c>
      <c r="H620" s="13"/>
      <c r="I620" s="13"/>
      <c r="J620" s="13"/>
      <c r="K620" s="13"/>
      <c r="L620" s="13"/>
      <c r="M620" s="13"/>
      <c r="N620" s="13"/>
      <c r="O620" s="13"/>
      <c r="P620" s="13"/>
      <c r="Q620" s="13"/>
      <c r="R620" s="13"/>
      <c r="S620" s="13"/>
    </row>
    <row r="621" ht="15.75" customHeight="1">
      <c r="A621" s="14" t="s">
        <v>2183</v>
      </c>
      <c r="B621" s="14" t="s">
        <v>316</v>
      </c>
      <c r="C621" s="14" t="s">
        <v>694</v>
      </c>
      <c r="D621" s="14">
        <v>100.0</v>
      </c>
      <c r="E621" s="14" t="s">
        <v>318</v>
      </c>
      <c r="F621" s="14" t="s">
        <v>755</v>
      </c>
      <c r="G621" s="14" t="s">
        <v>2184</v>
      </c>
      <c r="H621" s="13"/>
      <c r="I621" s="13"/>
      <c r="J621" s="13"/>
      <c r="K621" s="13"/>
      <c r="L621" s="13"/>
      <c r="M621" s="13"/>
      <c r="N621" s="13"/>
      <c r="O621" s="13"/>
      <c r="P621" s="13"/>
      <c r="Q621" s="13"/>
      <c r="R621" s="13"/>
      <c r="S621" s="13"/>
    </row>
    <row r="622" ht="15.75" customHeight="1">
      <c r="A622" s="14" t="s">
        <v>2185</v>
      </c>
      <c r="B622" s="14" t="s">
        <v>316</v>
      </c>
      <c r="C622" s="14" t="s">
        <v>2186</v>
      </c>
      <c r="D622" s="14">
        <v>100.0</v>
      </c>
      <c r="E622" s="14" t="s">
        <v>318</v>
      </c>
      <c r="F622" s="14" t="s">
        <v>2187</v>
      </c>
      <c r="G622" s="14" t="s">
        <v>2188</v>
      </c>
      <c r="H622" s="13"/>
      <c r="I622" s="13"/>
      <c r="J622" s="13"/>
      <c r="K622" s="13"/>
      <c r="L622" s="13"/>
      <c r="M622" s="13"/>
      <c r="N622" s="13"/>
      <c r="O622" s="13"/>
      <c r="P622" s="13"/>
      <c r="Q622" s="13"/>
      <c r="R622" s="13"/>
      <c r="S622" s="13"/>
    </row>
    <row r="623" ht="15.75" customHeight="1">
      <c r="A623" s="14" t="s">
        <v>2189</v>
      </c>
      <c r="B623" s="14" t="s">
        <v>316</v>
      </c>
      <c r="C623" s="14" t="s">
        <v>2190</v>
      </c>
      <c r="D623" s="14">
        <v>100.0</v>
      </c>
      <c r="E623" s="14" t="s">
        <v>318</v>
      </c>
      <c r="F623" s="14" t="s">
        <v>595</v>
      </c>
      <c r="G623" s="14" t="s">
        <v>2191</v>
      </c>
      <c r="H623" s="13"/>
      <c r="I623" s="13"/>
      <c r="J623" s="13"/>
      <c r="K623" s="13"/>
      <c r="L623" s="13"/>
      <c r="M623" s="13"/>
      <c r="N623" s="13"/>
      <c r="O623" s="13"/>
      <c r="P623" s="13"/>
      <c r="Q623" s="13"/>
      <c r="R623" s="13"/>
      <c r="S623" s="13"/>
    </row>
    <row r="624" ht="15.75" customHeight="1">
      <c r="A624" s="14" t="s">
        <v>2192</v>
      </c>
      <c r="B624" s="14" t="s">
        <v>316</v>
      </c>
      <c r="C624" s="14" t="s">
        <v>2193</v>
      </c>
      <c r="D624" s="14">
        <v>100.0</v>
      </c>
      <c r="E624" s="14" t="s">
        <v>318</v>
      </c>
      <c r="F624" s="14" t="s">
        <v>1732</v>
      </c>
      <c r="G624" s="14" t="s">
        <v>2194</v>
      </c>
      <c r="H624" s="13"/>
      <c r="I624" s="13"/>
      <c r="J624" s="13"/>
      <c r="K624" s="13"/>
      <c r="L624" s="13"/>
      <c r="M624" s="13"/>
      <c r="N624" s="13"/>
      <c r="O624" s="13"/>
      <c r="P624" s="13"/>
      <c r="Q624" s="13"/>
      <c r="R624" s="13"/>
      <c r="S624" s="13"/>
    </row>
    <row r="625" ht="15.75" customHeight="1">
      <c r="A625" s="14" t="s">
        <v>2195</v>
      </c>
      <c r="B625" s="14" t="s">
        <v>316</v>
      </c>
      <c r="C625" s="14" t="s">
        <v>2196</v>
      </c>
      <c r="D625" s="14">
        <v>100.0</v>
      </c>
      <c r="E625" s="14" t="s">
        <v>318</v>
      </c>
      <c r="F625" s="14" t="s">
        <v>2197</v>
      </c>
      <c r="G625" s="14" t="s">
        <v>2198</v>
      </c>
      <c r="H625" s="13"/>
      <c r="I625" s="13"/>
      <c r="J625" s="13"/>
      <c r="K625" s="13"/>
      <c r="L625" s="13"/>
      <c r="M625" s="13"/>
      <c r="N625" s="13"/>
      <c r="O625" s="13"/>
      <c r="P625" s="13"/>
      <c r="Q625" s="13"/>
      <c r="R625" s="13"/>
      <c r="S625" s="13"/>
    </row>
    <row r="626" ht="15.75" customHeight="1">
      <c r="A626" s="14" t="s">
        <v>2199</v>
      </c>
      <c r="B626" s="14" t="s">
        <v>316</v>
      </c>
      <c r="C626" s="14" t="s">
        <v>2200</v>
      </c>
      <c r="D626" s="14">
        <v>100.0</v>
      </c>
      <c r="E626" s="14" t="s">
        <v>318</v>
      </c>
      <c r="F626" s="14" t="s">
        <v>2201</v>
      </c>
      <c r="G626" s="14" t="s">
        <v>2202</v>
      </c>
      <c r="H626" s="13"/>
      <c r="I626" s="13"/>
      <c r="J626" s="13"/>
      <c r="K626" s="13"/>
      <c r="L626" s="13"/>
      <c r="M626" s="13"/>
      <c r="N626" s="13"/>
      <c r="O626" s="13"/>
      <c r="P626" s="13"/>
      <c r="Q626" s="13"/>
      <c r="R626" s="13"/>
      <c r="S626" s="13"/>
    </row>
    <row r="627" ht="15.75" customHeight="1">
      <c r="A627" s="14" t="s">
        <v>2203</v>
      </c>
      <c r="B627" s="14" t="s">
        <v>316</v>
      </c>
      <c r="C627" s="14" t="s">
        <v>2204</v>
      </c>
      <c r="D627" s="14">
        <v>100.0</v>
      </c>
      <c r="E627" s="14" t="s">
        <v>318</v>
      </c>
      <c r="F627" s="14" t="s">
        <v>2205</v>
      </c>
      <c r="G627" s="14" t="s">
        <v>2206</v>
      </c>
      <c r="H627" s="13"/>
      <c r="I627" s="13"/>
      <c r="J627" s="13"/>
      <c r="K627" s="13"/>
      <c r="L627" s="13"/>
      <c r="M627" s="13"/>
      <c r="N627" s="13"/>
      <c r="O627" s="13"/>
      <c r="P627" s="13"/>
      <c r="Q627" s="13"/>
      <c r="R627" s="13"/>
      <c r="S627" s="13"/>
    </row>
    <row r="628" ht="15.75" customHeight="1">
      <c r="A628" s="14" t="s">
        <v>2207</v>
      </c>
      <c r="B628" s="14" t="s">
        <v>316</v>
      </c>
      <c r="C628" s="14" t="s">
        <v>2208</v>
      </c>
      <c r="D628" s="14">
        <v>100.0</v>
      </c>
      <c r="E628" s="14" t="s">
        <v>318</v>
      </c>
      <c r="F628" s="14" t="s">
        <v>2209</v>
      </c>
      <c r="G628" s="14" t="s">
        <v>2210</v>
      </c>
      <c r="H628" s="13"/>
      <c r="I628" s="13"/>
      <c r="J628" s="13"/>
      <c r="K628" s="13"/>
      <c r="L628" s="13"/>
      <c r="M628" s="13"/>
      <c r="N628" s="13"/>
      <c r="O628" s="13"/>
      <c r="P628" s="13"/>
      <c r="Q628" s="13"/>
      <c r="R628" s="13"/>
      <c r="S628" s="13"/>
    </row>
    <row r="629" ht="15.75" customHeight="1">
      <c r="A629" s="14" t="s">
        <v>2211</v>
      </c>
      <c r="B629" s="14" t="s">
        <v>316</v>
      </c>
      <c r="C629" s="14" t="s">
        <v>2212</v>
      </c>
      <c r="D629" s="14">
        <v>100.0</v>
      </c>
      <c r="E629" s="14" t="s">
        <v>318</v>
      </c>
      <c r="F629" s="14" t="s">
        <v>2213</v>
      </c>
      <c r="G629" s="14" t="s">
        <v>2214</v>
      </c>
      <c r="H629" s="13"/>
      <c r="I629" s="13"/>
      <c r="J629" s="13"/>
      <c r="K629" s="13"/>
      <c r="L629" s="13"/>
      <c r="M629" s="13"/>
      <c r="N629" s="13"/>
      <c r="O629" s="13"/>
      <c r="P629" s="13"/>
      <c r="Q629" s="13"/>
      <c r="R629" s="13"/>
      <c r="S629" s="13"/>
    </row>
    <row r="630" ht="15.75" customHeight="1">
      <c r="A630" s="14" t="s">
        <v>2215</v>
      </c>
      <c r="B630" s="14" t="s">
        <v>316</v>
      </c>
      <c r="C630" s="14" t="s">
        <v>2216</v>
      </c>
      <c r="D630" s="14">
        <v>100.0</v>
      </c>
      <c r="E630" s="14" t="s">
        <v>318</v>
      </c>
      <c r="F630" s="14" t="s">
        <v>1521</v>
      </c>
      <c r="G630" s="14" t="s">
        <v>2217</v>
      </c>
      <c r="H630" s="13"/>
      <c r="I630" s="13"/>
      <c r="J630" s="13"/>
      <c r="K630" s="13"/>
      <c r="L630" s="13"/>
      <c r="M630" s="13"/>
      <c r="N630" s="13"/>
      <c r="O630" s="13"/>
      <c r="P630" s="13"/>
      <c r="Q630" s="13"/>
      <c r="R630" s="13"/>
      <c r="S630" s="13"/>
    </row>
    <row r="631" ht="15.75" customHeight="1">
      <c r="A631" s="14" t="s">
        <v>2218</v>
      </c>
      <c r="B631" s="14" t="s">
        <v>316</v>
      </c>
      <c r="C631" s="14" t="s">
        <v>2219</v>
      </c>
      <c r="D631" s="14">
        <v>100.0</v>
      </c>
      <c r="E631" s="14" t="s">
        <v>318</v>
      </c>
      <c r="F631" s="14" t="s">
        <v>2220</v>
      </c>
      <c r="G631" s="14" t="s">
        <v>2221</v>
      </c>
      <c r="H631" s="13"/>
      <c r="I631" s="13"/>
      <c r="J631" s="13"/>
      <c r="K631" s="13"/>
      <c r="L631" s="13"/>
      <c r="M631" s="13"/>
      <c r="N631" s="13"/>
      <c r="O631" s="13"/>
      <c r="P631" s="13"/>
      <c r="Q631" s="13"/>
      <c r="R631" s="13"/>
      <c r="S631" s="13"/>
    </row>
    <row r="632" ht="15.75" customHeight="1">
      <c r="A632" s="14" t="s">
        <v>2222</v>
      </c>
      <c r="B632" s="14" t="s">
        <v>316</v>
      </c>
      <c r="C632" s="14" t="s">
        <v>2223</v>
      </c>
      <c r="D632" s="14">
        <v>100.0</v>
      </c>
      <c r="E632" s="14" t="s">
        <v>318</v>
      </c>
      <c r="F632" s="14" t="s">
        <v>2224</v>
      </c>
      <c r="G632" s="14" t="s">
        <v>2225</v>
      </c>
      <c r="H632" s="13"/>
      <c r="I632" s="13"/>
      <c r="J632" s="13"/>
      <c r="K632" s="13"/>
      <c r="L632" s="13"/>
      <c r="M632" s="13"/>
      <c r="N632" s="13"/>
      <c r="O632" s="13"/>
      <c r="P632" s="13"/>
      <c r="Q632" s="13"/>
      <c r="R632" s="13"/>
      <c r="S632" s="13"/>
    </row>
    <row r="633" ht="15.75" customHeight="1">
      <c r="A633" s="14" t="s">
        <v>2226</v>
      </c>
      <c r="B633" s="14" t="s">
        <v>316</v>
      </c>
      <c r="C633" s="14" t="s">
        <v>2227</v>
      </c>
      <c r="D633" s="14">
        <v>100.0</v>
      </c>
      <c r="E633" s="14" t="s">
        <v>318</v>
      </c>
      <c r="F633" s="14" t="s">
        <v>2228</v>
      </c>
      <c r="G633" s="14" t="s">
        <v>2229</v>
      </c>
      <c r="H633" s="13"/>
      <c r="I633" s="13"/>
      <c r="J633" s="13"/>
      <c r="K633" s="13"/>
      <c r="L633" s="13"/>
      <c r="M633" s="13"/>
      <c r="N633" s="13"/>
      <c r="O633" s="13"/>
      <c r="P633" s="13"/>
      <c r="Q633" s="13"/>
      <c r="R633" s="13"/>
      <c r="S633" s="13"/>
    </row>
    <row r="634" ht="15.75" customHeight="1">
      <c r="A634" s="14" t="s">
        <v>2230</v>
      </c>
      <c r="B634" s="14" t="s">
        <v>316</v>
      </c>
      <c r="C634" s="14" t="s">
        <v>2231</v>
      </c>
      <c r="D634" s="14">
        <v>100.0</v>
      </c>
      <c r="E634" s="14" t="s">
        <v>318</v>
      </c>
      <c r="F634" s="14" t="s">
        <v>2232</v>
      </c>
      <c r="G634" s="14" t="s">
        <v>2233</v>
      </c>
      <c r="H634" s="13"/>
      <c r="I634" s="13"/>
      <c r="J634" s="13"/>
      <c r="K634" s="13"/>
      <c r="L634" s="13"/>
      <c r="M634" s="13"/>
      <c r="N634" s="13"/>
      <c r="O634" s="13"/>
      <c r="P634" s="13"/>
      <c r="Q634" s="13"/>
      <c r="R634" s="13"/>
      <c r="S634" s="13"/>
    </row>
    <row r="635" ht="15.75" customHeight="1">
      <c r="A635" s="14" t="s">
        <v>2234</v>
      </c>
      <c r="B635" s="14" t="s">
        <v>316</v>
      </c>
      <c r="C635" s="14" t="s">
        <v>2235</v>
      </c>
      <c r="D635" s="14">
        <v>100.0</v>
      </c>
      <c r="E635" s="14" t="s">
        <v>318</v>
      </c>
      <c r="F635" s="14" t="s">
        <v>2236</v>
      </c>
      <c r="G635" s="14" t="s">
        <v>2237</v>
      </c>
      <c r="H635" s="13"/>
      <c r="I635" s="13"/>
      <c r="J635" s="13"/>
      <c r="K635" s="13"/>
      <c r="L635" s="13"/>
      <c r="M635" s="13"/>
      <c r="N635" s="13"/>
      <c r="O635" s="13"/>
      <c r="P635" s="13"/>
      <c r="Q635" s="13"/>
      <c r="R635" s="13"/>
      <c r="S635" s="13"/>
    </row>
    <row r="636" ht="15.75" customHeight="1">
      <c r="A636" s="14" t="s">
        <v>2238</v>
      </c>
      <c r="B636" s="14" t="s">
        <v>316</v>
      </c>
      <c r="C636" s="14" t="s">
        <v>2239</v>
      </c>
      <c r="D636" s="14">
        <v>100.0</v>
      </c>
      <c r="E636" s="14" t="s">
        <v>318</v>
      </c>
      <c r="F636" s="14" t="s">
        <v>2240</v>
      </c>
      <c r="G636" s="14" t="s">
        <v>2241</v>
      </c>
      <c r="H636" s="13"/>
      <c r="I636" s="13"/>
      <c r="J636" s="13"/>
      <c r="K636" s="13"/>
      <c r="L636" s="13"/>
      <c r="M636" s="13"/>
      <c r="N636" s="13"/>
      <c r="O636" s="13"/>
      <c r="P636" s="13"/>
      <c r="Q636" s="13"/>
      <c r="R636" s="13"/>
      <c r="S636" s="13"/>
    </row>
    <row r="637" ht="15.75" customHeight="1">
      <c r="A637" s="14" t="s">
        <v>2242</v>
      </c>
      <c r="B637" s="14" t="s">
        <v>316</v>
      </c>
      <c r="C637" s="14" t="s">
        <v>2243</v>
      </c>
      <c r="D637" s="14">
        <v>100.0</v>
      </c>
      <c r="E637" s="14" t="s">
        <v>318</v>
      </c>
      <c r="F637" s="14" t="s">
        <v>1114</v>
      </c>
      <c r="G637" s="14" t="s">
        <v>2244</v>
      </c>
      <c r="H637" s="13"/>
      <c r="I637" s="13"/>
      <c r="J637" s="13"/>
      <c r="K637" s="13"/>
      <c r="L637" s="13"/>
      <c r="M637" s="13"/>
      <c r="N637" s="13"/>
      <c r="O637" s="13"/>
      <c r="P637" s="13"/>
      <c r="Q637" s="13"/>
      <c r="R637" s="13"/>
      <c r="S637" s="13"/>
    </row>
    <row r="638" ht="15.75" customHeight="1">
      <c r="A638" s="14" t="s">
        <v>2245</v>
      </c>
      <c r="B638" s="14" t="s">
        <v>316</v>
      </c>
      <c r="C638" s="14" t="s">
        <v>2246</v>
      </c>
      <c r="D638" s="14">
        <v>100.0</v>
      </c>
      <c r="E638" s="14" t="s">
        <v>318</v>
      </c>
      <c r="F638" s="14" t="s">
        <v>2247</v>
      </c>
      <c r="G638" s="14" t="s">
        <v>2248</v>
      </c>
      <c r="H638" s="13"/>
      <c r="I638" s="13"/>
      <c r="J638" s="13"/>
      <c r="K638" s="13"/>
      <c r="L638" s="13"/>
      <c r="M638" s="13"/>
      <c r="N638" s="13"/>
      <c r="O638" s="13"/>
      <c r="P638" s="13"/>
      <c r="Q638" s="13"/>
      <c r="R638" s="13"/>
      <c r="S638" s="13"/>
    </row>
    <row r="639" ht="15.75" customHeight="1">
      <c r="A639" s="14" t="s">
        <v>2249</v>
      </c>
      <c r="B639" s="14" t="s">
        <v>316</v>
      </c>
      <c r="C639" s="14" t="s">
        <v>2250</v>
      </c>
      <c r="D639" s="14">
        <v>100.0</v>
      </c>
      <c r="E639" s="14" t="s">
        <v>318</v>
      </c>
      <c r="F639" s="14" t="s">
        <v>2251</v>
      </c>
      <c r="G639" s="14" t="s">
        <v>2252</v>
      </c>
      <c r="H639" s="13"/>
      <c r="I639" s="13"/>
      <c r="J639" s="13"/>
      <c r="K639" s="13"/>
      <c r="L639" s="13"/>
      <c r="M639" s="13"/>
      <c r="N639" s="13"/>
      <c r="O639" s="13"/>
      <c r="P639" s="13"/>
      <c r="Q639" s="13"/>
      <c r="R639" s="13"/>
      <c r="S639" s="13"/>
    </row>
    <row r="640" ht="15.75" customHeight="1">
      <c r="A640" s="14" t="s">
        <v>2253</v>
      </c>
      <c r="B640" s="14" t="s">
        <v>316</v>
      </c>
      <c r="C640" s="14" t="s">
        <v>2254</v>
      </c>
      <c r="D640" s="14">
        <v>100.0</v>
      </c>
      <c r="E640" s="14" t="s">
        <v>318</v>
      </c>
      <c r="F640" s="14" t="s">
        <v>2255</v>
      </c>
      <c r="G640" s="14" t="s">
        <v>2256</v>
      </c>
      <c r="H640" s="13"/>
      <c r="I640" s="13"/>
      <c r="J640" s="13"/>
      <c r="K640" s="13"/>
      <c r="L640" s="13"/>
      <c r="M640" s="13"/>
      <c r="N640" s="13"/>
      <c r="O640" s="13"/>
      <c r="P640" s="13"/>
      <c r="Q640" s="13"/>
      <c r="R640" s="13"/>
      <c r="S640" s="13"/>
    </row>
    <row r="641" ht="15.75" customHeight="1">
      <c r="A641" s="14" t="s">
        <v>2257</v>
      </c>
      <c r="B641" s="14" t="s">
        <v>316</v>
      </c>
      <c r="C641" s="14" t="s">
        <v>2258</v>
      </c>
      <c r="D641" s="14">
        <v>100.0</v>
      </c>
      <c r="E641" s="14" t="s">
        <v>318</v>
      </c>
      <c r="F641" s="14" t="s">
        <v>2259</v>
      </c>
      <c r="G641" s="14" t="s">
        <v>2260</v>
      </c>
      <c r="H641" s="13"/>
      <c r="I641" s="13"/>
      <c r="J641" s="13"/>
      <c r="K641" s="13"/>
      <c r="L641" s="13"/>
      <c r="M641" s="13"/>
      <c r="N641" s="13"/>
      <c r="O641" s="13"/>
      <c r="P641" s="13"/>
      <c r="Q641" s="13"/>
      <c r="R641" s="13"/>
      <c r="S641" s="13"/>
    </row>
    <row r="642" ht="15.75" customHeight="1">
      <c r="A642" s="14" t="s">
        <v>2261</v>
      </c>
      <c r="B642" s="14" t="s">
        <v>316</v>
      </c>
      <c r="C642" s="14" t="s">
        <v>2262</v>
      </c>
      <c r="D642" s="14">
        <v>100.0</v>
      </c>
      <c r="E642" s="14" t="s">
        <v>318</v>
      </c>
      <c r="F642" s="14" t="s">
        <v>2263</v>
      </c>
      <c r="G642" s="14" t="s">
        <v>2264</v>
      </c>
      <c r="H642" s="13"/>
      <c r="I642" s="13"/>
      <c r="J642" s="13"/>
      <c r="K642" s="13"/>
      <c r="L642" s="13"/>
      <c r="M642" s="13"/>
      <c r="N642" s="13"/>
      <c r="O642" s="13"/>
      <c r="P642" s="13"/>
      <c r="Q642" s="13"/>
      <c r="R642" s="13"/>
      <c r="S642" s="13"/>
    </row>
    <row r="643" ht="15.75" customHeight="1">
      <c r="A643" s="14" t="s">
        <v>2265</v>
      </c>
      <c r="B643" s="14" t="s">
        <v>316</v>
      </c>
      <c r="C643" s="14" t="s">
        <v>2266</v>
      </c>
      <c r="D643" s="14">
        <v>100.0</v>
      </c>
      <c r="E643" s="14" t="s">
        <v>318</v>
      </c>
      <c r="F643" s="14" t="s">
        <v>2267</v>
      </c>
      <c r="G643" s="14" t="s">
        <v>2268</v>
      </c>
      <c r="H643" s="13"/>
      <c r="I643" s="13"/>
      <c r="J643" s="13"/>
      <c r="K643" s="13"/>
      <c r="L643" s="13"/>
      <c r="M643" s="13"/>
      <c r="N643" s="13"/>
      <c r="O643" s="13"/>
      <c r="P643" s="13"/>
      <c r="Q643" s="13"/>
      <c r="R643" s="13"/>
      <c r="S643" s="13"/>
    </row>
    <row r="644" ht="15.75" customHeight="1">
      <c r="A644" s="14" t="s">
        <v>2269</v>
      </c>
      <c r="B644" s="14" t="s">
        <v>316</v>
      </c>
      <c r="C644" s="14" t="s">
        <v>2270</v>
      </c>
      <c r="D644" s="14">
        <v>100.0</v>
      </c>
      <c r="E644" s="14" t="s">
        <v>318</v>
      </c>
      <c r="F644" s="14" t="s">
        <v>2271</v>
      </c>
      <c r="G644" s="14" t="s">
        <v>2272</v>
      </c>
      <c r="H644" s="13"/>
      <c r="I644" s="13"/>
      <c r="J644" s="13"/>
      <c r="K644" s="13"/>
      <c r="L644" s="13"/>
      <c r="M644" s="13"/>
      <c r="N644" s="13"/>
      <c r="O644" s="13"/>
      <c r="P644" s="13"/>
      <c r="Q644" s="13"/>
      <c r="R644" s="13"/>
      <c r="S644" s="13"/>
    </row>
    <row r="645" ht="15.75" customHeight="1">
      <c r="A645" s="14" t="s">
        <v>2273</v>
      </c>
      <c r="B645" s="14" t="s">
        <v>316</v>
      </c>
      <c r="C645" s="14" t="s">
        <v>2274</v>
      </c>
      <c r="D645" s="14">
        <v>100.0</v>
      </c>
      <c r="E645" s="14" t="s">
        <v>318</v>
      </c>
      <c r="F645" s="14" t="s">
        <v>1732</v>
      </c>
      <c r="G645" s="14" t="s">
        <v>2275</v>
      </c>
      <c r="H645" s="13"/>
      <c r="I645" s="13"/>
      <c r="J645" s="13"/>
      <c r="K645" s="13"/>
      <c r="L645" s="13"/>
      <c r="M645" s="13"/>
      <c r="N645" s="13"/>
      <c r="O645" s="13"/>
      <c r="P645" s="13"/>
      <c r="Q645" s="13"/>
      <c r="R645" s="13"/>
      <c r="S645" s="13"/>
    </row>
    <row r="646" ht="15.75" customHeight="1">
      <c r="A646" s="14" t="s">
        <v>2276</v>
      </c>
      <c r="B646" s="14" t="s">
        <v>316</v>
      </c>
      <c r="C646" s="14" t="s">
        <v>2277</v>
      </c>
      <c r="D646" s="14">
        <v>100.0</v>
      </c>
      <c r="E646" s="14" t="s">
        <v>318</v>
      </c>
      <c r="F646" s="14" t="s">
        <v>2278</v>
      </c>
      <c r="G646" s="14" t="s">
        <v>2279</v>
      </c>
      <c r="H646" s="13"/>
      <c r="I646" s="13"/>
      <c r="J646" s="13"/>
      <c r="K646" s="13"/>
      <c r="L646" s="13"/>
      <c r="M646" s="13"/>
      <c r="N646" s="13"/>
      <c r="O646" s="13"/>
      <c r="P646" s="13"/>
      <c r="Q646" s="13"/>
      <c r="R646" s="13"/>
      <c r="S646" s="13"/>
    </row>
    <row r="647" ht="15.75" customHeight="1">
      <c r="A647" s="14" t="s">
        <v>2280</v>
      </c>
      <c r="B647" s="14" t="s">
        <v>316</v>
      </c>
      <c r="C647" s="14" t="s">
        <v>2281</v>
      </c>
      <c r="D647" s="14">
        <v>100.0</v>
      </c>
      <c r="E647" s="14" t="s">
        <v>318</v>
      </c>
      <c r="F647" s="14" t="s">
        <v>2282</v>
      </c>
      <c r="G647" s="14" t="s">
        <v>2283</v>
      </c>
      <c r="H647" s="13"/>
      <c r="I647" s="13"/>
      <c r="J647" s="13"/>
      <c r="K647" s="13"/>
      <c r="L647" s="13"/>
      <c r="M647" s="13"/>
      <c r="N647" s="13"/>
      <c r="O647" s="13"/>
      <c r="P647" s="13"/>
      <c r="Q647" s="13"/>
      <c r="R647" s="13"/>
      <c r="S647" s="13"/>
    </row>
    <row r="648" ht="15.75" customHeight="1">
      <c r="A648" s="14" t="s">
        <v>2284</v>
      </c>
      <c r="B648" s="14" t="s">
        <v>316</v>
      </c>
      <c r="C648" s="14" t="s">
        <v>2285</v>
      </c>
      <c r="D648" s="14">
        <v>100.0</v>
      </c>
      <c r="E648" s="14" t="s">
        <v>318</v>
      </c>
      <c r="F648" s="14" t="s">
        <v>2286</v>
      </c>
      <c r="G648" s="14" t="s">
        <v>2287</v>
      </c>
      <c r="H648" s="13"/>
      <c r="I648" s="13"/>
      <c r="J648" s="13"/>
      <c r="K648" s="13"/>
      <c r="L648" s="13"/>
      <c r="M648" s="13"/>
      <c r="N648" s="13"/>
      <c r="O648" s="13"/>
      <c r="P648" s="13"/>
      <c r="Q648" s="13"/>
      <c r="R648" s="13"/>
      <c r="S648" s="13"/>
    </row>
    <row r="649" ht="15.75" customHeight="1">
      <c r="A649" s="14" t="s">
        <v>2288</v>
      </c>
      <c r="B649" s="14" t="s">
        <v>316</v>
      </c>
      <c r="C649" s="14" t="s">
        <v>2289</v>
      </c>
      <c r="D649" s="14">
        <v>100.0</v>
      </c>
      <c r="E649" s="14" t="s">
        <v>318</v>
      </c>
      <c r="F649" s="14" t="s">
        <v>2290</v>
      </c>
      <c r="G649" s="14" t="s">
        <v>2291</v>
      </c>
      <c r="H649" s="13"/>
      <c r="I649" s="13"/>
      <c r="J649" s="13"/>
      <c r="K649" s="13"/>
      <c r="L649" s="13"/>
      <c r="M649" s="13"/>
      <c r="N649" s="13"/>
      <c r="O649" s="13"/>
      <c r="P649" s="13"/>
      <c r="Q649" s="13"/>
      <c r="R649" s="13"/>
      <c r="S649" s="13"/>
    </row>
    <row r="650" ht="15.75" customHeight="1">
      <c r="A650" s="14" t="s">
        <v>2292</v>
      </c>
      <c r="B650" s="14" t="s">
        <v>316</v>
      </c>
      <c r="C650" s="14" t="s">
        <v>2293</v>
      </c>
      <c r="D650" s="14">
        <v>100.0</v>
      </c>
      <c r="E650" s="14" t="s">
        <v>318</v>
      </c>
      <c r="F650" s="14" t="s">
        <v>2294</v>
      </c>
      <c r="G650" s="14" t="s">
        <v>2295</v>
      </c>
      <c r="H650" s="13"/>
      <c r="I650" s="13"/>
      <c r="J650" s="13"/>
      <c r="K650" s="13"/>
      <c r="L650" s="13"/>
      <c r="M650" s="13"/>
      <c r="N650" s="13"/>
      <c r="O650" s="13"/>
      <c r="P650" s="13"/>
      <c r="Q650" s="13"/>
      <c r="R650" s="13"/>
      <c r="S650" s="13"/>
    </row>
    <row r="651" ht="15.75" customHeight="1">
      <c r="A651" s="14" t="s">
        <v>2296</v>
      </c>
      <c r="B651" s="14" t="s">
        <v>316</v>
      </c>
      <c r="C651" s="14" t="s">
        <v>2297</v>
      </c>
      <c r="D651" s="14">
        <v>100.0</v>
      </c>
      <c r="E651" s="14" t="s">
        <v>318</v>
      </c>
      <c r="F651" s="14" t="s">
        <v>2298</v>
      </c>
      <c r="G651" s="14" t="s">
        <v>2299</v>
      </c>
      <c r="H651" s="13"/>
      <c r="I651" s="13"/>
      <c r="J651" s="13"/>
      <c r="K651" s="13"/>
      <c r="L651" s="13"/>
      <c r="M651" s="13"/>
      <c r="N651" s="13"/>
      <c r="O651" s="13"/>
      <c r="P651" s="13"/>
      <c r="Q651" s="13"/>
      <c r="R651" s="13"/>
      <c r="S651" s="13"/>
    </row>
    <row r="652" ht="15.75" customHeight="1">
      <c r="A652" s="14" t="s">
        <v>2300</v>
      </c>
      <c r="B652" s="14" t="s">
        <v>316</v>
      </c>
      <c r="C652" s="14" t="s">
        <v>590</v>
      </c>
      <c r="D652" s="14">
        <v>100.0</v>
      </c>
      <c r="E652" s="14" t="s">
        <v>318</v>
      </c>
      <c r="F652" s="14" t="s">
        <v>755</v>
      </c>
      <c r="G652" s="14" t="s">
        <v>2301</v>
      </c>
      <c r="H652" s="13"/>
      <c r="I652" s="13"/>
      <c r="J652" s="13"/>
      <c r="K652" s="13"/>
      <c r="L652" s="13"/>
      <c r="M652" s="13"/>
      <c r="N652" s="13"/>
      <c r="O652" s="13"/>
      <c r="P652" s="13"/>
      <c r="Q652" s="13"/>
      <c r="R652" s="13"/>
      <c r="S652" s="13"/>
    </row>
    <row r="653" ht="15.75" customHeight="1">
      <c r="A653" s="14" t="s">
        <v>2302</v>
      </c>
      <c r="B653" s="14" t="s">
        <v>316</v>
      </c>
      <c r="C653" s="14" t="s">
        <v>2303</v>
      </c>
      <c r="D653" s="14">
        <v>100.0</v>
      </c>
      <c r="E653" s="14" t="s">
        <v>318</v>
      </c>
      <c r="F653" s="14" t="s">
        <v>2304</v>
      </c>
      <c r="G653" s="14" t="s">
        <v>2305</v>
      </c>
      <c r="H653" s="13"/>
      <c r="I653" s="13"/>
      <c r="J653" s="13"/>
      <c r="K653" s="13"/>
      <c r="L653" s="13"/>
      <c r="M653" s="13"/>
      <c r="N653" s="13"/>
      <c r="O653" s="13"/>
      <c r="P653" s="13"/>
      <c r="Q653" s="13"/>
      <c r="R653" s="13"/>
      <c r="S653" s="13"/>
    </row>
    <row r="654" ht="15.75" customHeight="1">
      <c r="A654" s="14" t="s">
        <v>2306</v>
      </c>
      <c r="B654" s="14" t="s">
        <v>316</v>
      </c>
      <c r="C654" s="14" t="s">
        <v>2307</v>
      </c>
      <c r="D654" s="14">
        <v>100.0</v>
      </c>
      <c r="E654" s="14" t="s">
        <v>318</v>
      </c>
      <c r="F654" s="14" t="s">
        <v>2308</v>
      </c>
      <c r="G654" s="14" t="s">
        <v>2309</v>
      </c>
      <c r="H654" s="13"/>
      <c r="I654" s="13"/>
      <c r="J654" s="13"/>
      <c r="K654" s="13"/>
      <c r="L654" s="13"/>
      <c r="M654" s="13"/>
      <c r="N654" s="13"/>
      <c r="O654" s="13"/>
      <c r="P654" s="13"/>
      <c r="Q654" s="13"/>
      <c r="R654" s="13"/>
      <c r="S654" s="13"/>
    </row>
    <row r="655" ht="15.75" customHeight="1">
      <c r="A655" s="14" t="s">
        <v>2310</v>
      </c>
      <c r="B655" s="14" t="s">
        <v>316</v>
      </c>
      <c r="C655" s="14" t="s">
        <v>2311</v>
      </c>
      <c r="D655" s="14">
        <v>100.0</v>
      </c>
      <c r="E655" s="14" t="s">
        <v>318</v>
      </c>
      <c r="F655" s="14" t="s">
        <v>2312</v>
      </c>
      <c r="G655" s="14" t="s">
        <v>2313</v>
      </c>
      <c r="H655" s="13"/>
      <c r="I655" s="13"/>
      <c r="J655" s="13"/>
      <c r="K655" s="13"/>
      <c r="L655" s="13"/>
      <c r="M655" s="13"/>
      <c r="N655" s="13"/>
      <c r="O655" s="13"/>
      <c r="P655" s="13"/>
      <c r="Q655" s="13"/>
      <c r="R655" s="13"/>
      <c r="S655" s="13"/>
    </row>
    <row r="656" ht="15.75" customHeight="1">
      <c r="A656" s="14" t="s">
        <v>2314</v>
      </c>
      <c r="B656" s="14" t="s">
        <v>316</v>
      </c>
      <c r="C656" s="14" t="s">
        <v>2315</v>
      </c>
      <c r="D656" s="14">
        <v>100.0</v>
      </c>
      <c r="E656" s="14" t="s">
        <v>318</v>
      </c>
      <c r="F656" s="14" t="s">
        <v>2316</v>
      </c>
      <c r="G656" s="14" t="s">
        <v>2317</v>
      </c>
      <c r="H656" s="13"/>
      <c r="I656" s="13"/>
      <c r="J656" s="13"/>
      <c r="K656" s="13"/>
      <c r="L656" s="13"/>
      <c r="M656" s="13"/>
      <c r="N656" s="13"/>
      <c r="O656" s="13"/>
      <c r="P656" s="13"/>
      <c r="Q656" s="13"/>
      <c r="R656" s="13"/>
      <c r="S656" s="13"/>
    </row>
    <row r="657" ht="15.75" customHeight="1">
      <c r="A657" s="14" t="s">
        <v>2318</v>
      </c>
      <c r="B657" s="14" t="s">
        <v>316</v>
      </c>
      <c r="C657" s="14" t="s">
        <v>2319</v>
      </c>
      <c r="D657" s="14">
        <v>100.0</v>
      </c>
      <c r="E657" s="14" t="s">
        <v>318</v>
      </c>
      <c r="F657" s="14" t="s">
        <v>2320</v>
      </c>
      <c r="G657" s="14" t="s">
        <v>2321</v>
      </c>
      <c r="H657" s="13"/>
      <c r="I657" s="13"/>
      <c r="J657" s="13"/>
      <c r="K657" s="13"/>
      <c r="L657" s="13"/>
      <c r="M657" s="13"/>
      <c r="N657" s="13"/>
      <c r="O657" s="13"/>
      <c r="P657" s="13"/>
      <c r="Q657" s="13"/>
      <c r="R657" s="13"/>
      <c r="S657" s="13"/>
    </row>
    <row r="658" ht="15.75" customHeight="1">
      <c r="A658" s="14" t="s">
        <v>2322</v>
      </c>
      <c r="B658" s="14" t="s">
        <v>316</v>
      </c>
      <c r="C658" s="14" t="s">
        <v>2323</v>
      </c>
      <c r="D658" s="14">
        <v>100.0</v>
      </c>
      <c r="E658" s="14" t="s">
        <v>318</v>
      </c>
      <c r="F658" s="14" t="s">
        <v>2324</v>
      </c>
      <c r="G658" s="14" t="s">
        <v>2325</v>
      </c>
      <c r="H658" s="13"/>
      <c r="I658" s="13"/>
      <c r="J658" s="13"/>
      <c r="K658" s="13"/>
      <c r="L658" s="13"/>
      <c r="M658" s="13"/>
      <c r="N658" s="13"/>
      <c r="O658" s="13"/>
      <c r="P658" s="13"/>
      <c r="Q658" s="13"/>
      <c r="R658" s="13"/>
      <c r="S658" s="13"/>
    </row>
    <row r="659" ht="15.75" customHeight="1">
      <c r="A659" s="14" t="s">
        <v>2326</v>
      </c>
      <c r="B659" s="14" t="s">
        <v>316</v>
      </c>
      <c r="C659" s="14" t="s">
        <v>2327</v>
      </c>
      <c r="D659" s="14">
        <v>100.0</v>
      </c>
      <c r="E659" s="14" t="s">
        <v>318</v>
      </c>
      <c r="F659" s="14" t="s">
        <v>2328</v>
      </c>
      <c r="G659" s="14" t="s">
        <v>2329</v>
      </c>
      <c r="H659" s="13"/>
      <c r="I659" s="13"/>
      <c r="J659" s="13"/>
      <c r="K659" s="13"/>
      <c r="L659" s="13"/>
      <c r="M659" s="13"/>
      <c r="N659" s="13"/>
      <c r="O659" s="13"/>
      <c r="P659" s="13"/>
      <c r="Q659" s="13"/>
      <c r="R659" s="13"/>
      <c r="S659" s="13"/>
    </row>
    <row r="660" ht="15.75" customHeight="1">
      <c r="A660" s="14" t="s">
        <v>2330</v>
      </c>
      <c r="B660" s="14" t="s">
        <v>316</v>
      </c>
      <c r="C660" s="14" t="s">
        <v>2331</v>
      </c>
      <c r="D660" s="14">
        <v>100.0</v>
      </c>
      <c r="E660" s="14" t="s">
        <v>318</v>
      </c>
      <c r="F660" s="14" t="s">
        <v>2332</v>
      </c>
      <c r="G660" s="14" t="s">
        <v>2333</v>
      </c>
      <c r="H660" s="13"/>
      <c r="I660" s="13"/>
      <c r="J660" s="13"/>
      <c r="K660" s="13"/>
      <c r="L660" s="13"/>
      <c r="M660" s="13"/>
      <c r="N660" s="13"/>
      <c r="O660" s="13"/>
      <c r="P660" s="13"/>
      <c r="Q660" s="13"/>
      <c r="R660" s="13"/>
      <c r="S660" s="13"/>
    </row>
    <row r="661" ht="15.75" customHeight="1">
      <c r="A661" s="14" t="s">
        <v>2334</v>
      </c>
      <c r="B661" s="14" t="s">
        <v>316</v>
      </c>
      <c r="C661" s="14" t="s">
        <v>2335</v>
      </c>
      <c r="D661" s="14">
        <v>100.0</v>
      </c>
      <c r="E661" s="14" t="s">
        <v>318</v>
      </c>
      <c r="F661" s="14" t="s">
        <v>2336</v>
      </c>
      <c r="G661" s="14" t="s">
        <v>2337</v>
      </c>
      <c r="H661" s="13"/>
      <c r="I661" s="13"/>
      <c r="J661" s="13"/>
      <c r="K661" s="13"/>
      <c r="L661" s="13"/>
      <c r="M661" s="13"/>
      <c r="N661" s="13"/>
      <c r="O661" s="13"/>
      <c r="P661" s="13"/>
      <c r="Q661" s="13"/>
      <c r="R661" s="13"/>
      <c r="S661" s="13"/>
    </row>
    <row r="662" ht="15.75" customHeight="1">
      <c r="A662" s="14" t="s">
        <v>2338</v>
      </c>
      <c r="B662" s="14" t="s">
        <v>316</v>
      </c>
      <c r="C662" s="14" t="s">
        <v>2339</v>
      </c>
      <c r="D662" s="14">
        <v>100.0</v>
      </c>
      <c r="E662" s="14" t="s">
        <v>318</v>
      </c>
      <c r="F662" s="14" t="s">
        <v>1299</v>
      </c>
      <c r="G662" s="14" t="s">
        <v>2340</v>
      </c>
      <c r="H662" s="13"/>
      <c r="I662" s="13"/>
      <c r="J662" s="13"/>
      <c r="K662" s="13"/>
      <c r="L662" s="13"/>
      <c r="M662" s="13"/>
      <c r="N662" s="13"/>
      <c r="O662" s="13"/>
      <c r="P662" s="13"/>
      <c r="Q662" s="13"/>
      <c r="R662" s="13"/>
      <c r="S662" s="13"/>
    </row>
    <row r="663" ht="15.75" customHeight="1">
      <c r="A663" s="14" t="s">
        <v>2341</v>
      </c>
      <c r="B663" s="14" t="s">
        <v>316</v>
      </c>
      <c r="C663" s="14" t="s">
        <v>2342</v>
      </c>
      <c r="D663" s="14">
        <v>100.0</v>
      </c>
      <c r="E663" s="14" t="s">
        <v>318</v>
      </c>
      <c r="F663" s="14" t="s">
        <v>2343</v>
      </c>
      <c r="G663" s="14" t="s">
        <v>2344</v>
      </c>
      <c r="H663" s="13"/>
      <c r="I663" s="13"/>
      <c r="J663" s="13"/>
      <c r="K663" s="13"/>
      <c r="L663" s="13"/>
      <c r="M663" s="13"/>
      <c r="N663" s="13"/>
      <c r="O663" s="13"/>
      <c r="P663" s="13"/>
      <c r="Q663" s="13"/>
      <c r="R663" s="13"/>
      <c r="S663" s="13"/>
    </row>
    <row r="664" ht="15.75" customHeight="1">
      <c r="A664" s="14" t="s">
        <v>2345</v>
      </c>
      <c r="B664" s="14" t="s">
        <v>316</v>
      </c>
      <c r="C664" s="14" t="s">
        <v>2346</v>
      </c>
      <c r="D664" s="14">
        <v>100.0</v>
      </c>
      <c r="E664" s="14" t="s">
        <v>318</v>
      </c>
      <c r="F664" s="14" t="s">
        <v>2347</v>
      </c>
      <c r="G664" s="14" t="s">
        <v>2348</v>
      </c>
      <c r="H664" s="13"/>
      <c r="I664" s="13"/>
      <c r="J664" s="13"/>
      <c r="K664" s="13"/>
      <c r="L664" s="13"/>
      <c r="M664" s="13"/>
      <c r="N664" s="13"/>
      <c r="O664" s="13"/>
      <c r="P664" s="13"/>
      <c r="Q664" s="13"/>
      <c r="R664" s="13"/>
      <c r="S664" s="13"/>
    </row>
    <row r="665" ht="15.75" customHeight="1">
      <c r="A665" s="14" t="s">
        <v>2349</v>
      </c>
      <c r="B665" s="14" t="s">
        <v>316</v>
      </c>
      <c r="C665" s="14" t="s">
        <v>2350</v>
      </c>
      <c r="D665" s="14">
        <v>100.0</v>
      </c>
      <c r="E665" s="14" t="s">
        <v>318</v>
      </c>
      <c r="F665" s="14" t="s">
        <v>2351</v>
      </c>
      <c r="G665" s="14" t="s">
        <v>2352</v>
      </c>
      <c r="H665" s="13"/>
      <c r="I665" s="13"/>
      <c r="J665" s="13"/>
      <c r="K665" s="13"/>
      <c r="L665" s="13"/>
      <c r="M665" s="13"/>
      <c r="N665" s="13"/>
      <c r="O665" s="13"/>
      <c r="P665" s="13"/>
      <c r="Q665" s="13"/>
      <c r="R665" s="13"/>
      <c r="S665" s="13"/>
    </row>
    <row r="666" ht="15.75" customHeight="1">
      <c r="A666" s="14" t="s">
        <v>2353</v>
      </c>
      <c r="B666" s="14" t="s">
        <v>316</v>
      </c>
      <c r="C666" s="14" t="s">
        <v>2354</v>
      </c>
      <c r="D666" s="14">
        <v>100.0</v>
      </c>
      <c r="E666" s="14" t="s">
        <v>318</v>
      </c>
      <c r="F666" s="14" t="s">
        <v>732</v>
      </c>
      <c r="G666" s="14" t="s">
        <v>2355</v>
      </c>
      <c r="H666" s="13"/>
      <c r="I666" s="13"/>
      <c r="J666" s="13"/>
      <c r="K666" s="13"/>
      <c r="L666" s="13"/>
      <c r="M666" s="13"/>
      <c r="N666" s="13"/>
      <c r="O666" s="13"/>
      <c r="P666" s="13"/>
      <c r="Q666" s="13"/>
      <c r="R666" s="13"/>
      <c r="S666" s="13"/>
    </row>
    <row r="667" ht="15.75" customHeight="1">
      <c r="A667" s="14" t="s">
        <v>2356</v>
      </c>
      <c r="B667" s="14" t="s">
        <v>316</v>
      </c>
      <c r="C667" s="14" t="s">
        <v>2357</v>
      </c>
      <c r="D667" s="14">
        <v>100.0</v>
      </c>
      <c r="E667" s="14" t="s">
        <v>318</v>
      </c>
      <c r="F667" s="14" t="s">
        <v>2358</v>
      </c>
      <c r="G667" s="14" t="s">
        <v>2359</v>
      </c>
      <c r="H667" s="13"/>
      <c r="I667" s="13"/>
      <c r="J667" s="13"/>
      <c r="K667" s="13"/>
      <c r="L667" s="13"/>
      <c r="M667" s="13"/>
      <c r="N667" s="13"/>
      <c r="O667" s="13"/>
      <c r="P667" s="13"/>
      <c r="Q667" s="13"/>
      <c r="R667" s="13"/>
      <c r="S667" s="13"/>
    </row>
    <row r="668" ht="15.75" customHeight="1">
      <c r="A668" s="14" t="s">
        <v>2360</v>
      </c>
      <c r="B668" s="14" t="s">
        <v>316</v>
      </c>
      <c r="C668" s="14" t="s">
        <v>2361</v>
      </c>
      <c r="D668" s="14">
        <v>100.0</v>
      </c>
      <c r="E668" s="14" t="s">
        <v>318</v>
      </c>
      <c r="F668" s="14" t="s">
        <v>2362</v>
      </c>
      <c r="G668" s="14" t="s">
        <v>2363</v>
      </c>
      <c r="H668" s="13"/>
      <c r="I668" s="13"/>
      <c r="J668" s="13"/>
      <c r="K668" s="13"/>
      <c r="L668" s="13"/>
      <c r="M668" s="13"/>
      <c r="N668" s="13"/>
      <c r="O668" s="13"/>
      <c r="P668" s="13"/>
      <c r="Q668" s="13"/>
      <c r="R668" s="13"/>
      <c r="S668" s="13"/>
    </row>
    <row r="669" ht="15.75" customHeight="1">
      <c r="A669" s="14" t="s">
        <v>2364</v>
      </c>
      <c r="B669" s="14" t="s">
        <v>316</v>
      </c>
      <c r="C669" s="14" t="s">
        <v>2365</v>
      </c>
      <c r="D669" s="14">
        <v>100.0</v>
      </c>
      <c r="E669" s="14" t="s">
        <v>318</v>
      </c>
      <c r="F669" s="14" t="s">
        <v>2366</v>
      </c>
      <c r="G669" s="14" t="s">
        <v>2367</v>
      </c>
      <c r="H669" s="13"/>
      <c r="I669" s="13"/>
      <c r="J669" s="13"/>
      <c r="K669" s="13"/>
      <c r="L669" s="13"/>
      <c r="M669" s="13"/>
      <c r="N669" s="13"/>
      <c r="O669" s="13"/>
      <c r="P669" s="13"/>
      <c r="Q669" s="13"/>
      <c r="R669" s="13"/>
      <c r="S669" s="13"/>
    </row>
    <row r="670" ht="15.75" customHeight="1">
      <c r="A670" s="14" t="s">
        <v>2368</v>
      </c>
      <c r="B670" s="14" t="s">
        <v>316</v>
      </c>
      <c r="C670" s="14" t="s">
        <v>2369</v>
      </c>
      <c r="D670" s="14">
        <v>100.0</v>
      </c>
      <c r="E670" s="14" t="s">
        <v>318</v>
      </c>
      <c r="F670" s="14" t="s">
        <v>2370</v>
      </c>
      <c r="G670" s="14" t="s">
        <v>2371</v>
      </c>
      <c r="H670" s="13"/>
      <c r="I670" s="13"/>
      <c r="J670" s="13"/>
      <c r="K670" s="13"/>
      <c r="L670" s="13"/>
      <c r="M670" s="13"/>
      <c r="N670" s="13"/>
      <c r="O670" s="13"/>
      <c r="P670" s="13"/>
      <c r="Q670" s="13"/>
      <c r="R670" s="13"/>
      <c r="S670" s="13"/>
    </row>
    <row r="671" ht="15.75" customHeight="1">
      <c r="A671" s="14" t="s">
        <v>2372</v>
      </c>
      <c r="B671" s="14" t="s">
        <v>316</v>
      </c>
      <c r="C671" s="14" t="s">
        <v>2373</v>
      </c>
      <c r="D671" s="14">
        <v>100.0</v>
      </c>
      <c r="E671" s="14" t="s">
        <v>318</v>
      </c>
      <c r="F671" s="14" t="s">
        <v>2374</v>
      </c>
      <c r="G671" s="14" t="s">
        <v>2375</v>
      </c>
      <c r="H671" s="13"/>
      <c r="I671" s="13"/>
      <c r="J671" s="13"/>
      <c r="K671" s="13"/>
      <c r="L671" s="13"/>
      <c r="M671" s="13"/>
      <c r="N671" s="13"/>
      <c r="O671" s="13"/>
      <c r="P671" s="13"/>
      <c r="Q671" s="13"/>
      <c r="R671" s="13"/>
      <c r="S671" s="13"/>
    </row>
    <row r="672" ht="15.75" customHeight="1">
      <c r="A672" s="14" t="s">
        <v>2376</v>
      </c>
      <c r="B672" s="14" t="s">
        <v>316</v>
      </c>
      <c r="C672" s="14" t="s">
        <v>2377</v>
      </c>
      <c r="D672" s="14">
        <v>100.0</v>
      </c>
      <c r="E672" s="14" t="s">
        <v>318</v>
      </c>
      <c r="F672" s="14" t="s">
        <v>2378</v>
      </c>
      <c r="G672" s="14" t="s">
        <v>2379</v>
      </c>
      <c r="H672" s="13"/>
      <c r="I672" s="13"/>
      <c r="J672" s="13"/>
      <c r="K672" s="13"/>
      <c r="L672" s="13"/>
      <c r="M672" s="13"/>
      <c r="N672" s="13"/>
      <c r="O672" s="13"/>
      <c r="P672" s="13"/>
      <c r="Q672" s="13"/>
      <c r="R672" s="13"/>
      <c r="S672" s="13"/>
    </row>
    <row r="673" ht="15.75" customHeight="1">
      <c r="A673" s="14" t="s">
        <v>2380</v>
      </c>
      <c r="B673" s="14" t="s">
        <v>316</v>
      </c>
      <c r="C673" s="14" t="s">
        <v>1593</v>
      </c>
      <c r="D673" s="14">
        <v>100.0</v>
      </c>
      <c r="E673" s="14" t="s">
        <v>318</v>
      </c>
      <c r="F673" s="14" t="s">
        <v>755</v>
      </c>
      <c r="G673" s="14" t="s">
        <v>2381</v>
      </c>
      <c r="H673" s="13"/>
      <c r="I673" s="13"/>
      <c r="J673" s="13"/>
      <c r="K673" s="13"/>
      <c r="L673" s="13"/>
      <c r="M673" s="13"/>
      <c r="N673" s="13"/>
      <c r="O673" s="13"/>
      <c r="P673" s="13"/>
      <c r="Q673" s="13"/>
      <c r="R673" s="13"/>
      <c r="S673" s="13"/>
    </row>
    <row r="674" ht="15.75" customHeight="1">
      <c r="A674" s="14" t="s">
        <v>2382</v>
      </c>
      <c r="B674" s="14" t="s">
        <v>316</v>
      </c>
      <c r="C674" s="14" t="s">
        <v>2383</v>
      </c>
      <c r="D674" s="14">
        <v>100.0</v>
      </c>
      <c r="E674" s="14" t="s">
        <v>318</v>
      </c>
      <c r="F674" s="14" t="s">
        <v>664</v>
      </c>
      <c r="G674" s="14" t="s">
        <v>2384</v>
      </c>
      <c r="H674" s="13"/>
      <c r="I674" s="13"/>
      <c r="J674" s="13"/>
      <c r="K674" s="13"/>
      <c r="L674" s="13"/>
      <c r="M674" s="13"/>
      <c r="N674" s="13"/>
      <c r="O674" s="13"/>
      <c r="P674" s="13"/>
      <c r="Q674" s="13"/>
      <c r="R674" s="13"/>
      <c r="S674" s="13"/>
    </row>
    <row r="675" ht="15.75" customHeight="1">
      <c r="A675" s="14" t="s">
        <v>2385</v>
      </c>
      <c r="B675" s="14" t="s">
        <v>316</v>
      </c>
      <c r="C675" s="14" t="s">
        <v>2386</v>
      </c>
      <c r="D675" s="14">
        <v>100.0</v>
      </c>
      <c r="E675" s="14" t="s">
        <v>318</v>
      </c>
      <c r="F675" s="14" t="s">
        <v>2387</v>
      </c>
      <c r="G675" s="14" t="s">
        <v>2388</v>
      </c>
      <c r="H675" s="13"/>
      <c r="I675" s="13"/>
      <c r="J675" s="13"/>
      <c r="K675" s="13"/>
      <c r="L675" s="13"/>
      <c r="M675" s="13"/>
      <c r="N675" s="13"/>
      <c r="O675" s="13"/>
      <c r="P675" s="13"/>
      <c r="Q675" s="13"/>
      <c r="R675" s="13"/>
      <c r="S675" s="13"/>
    </row>
    <row r="676" ht="15.75" customHeight="1">
      <c r="A676" s="14" t="s">
        <v>2389</v>
      </c>
      <c r="B676" s="14" t="s">
        <v>316</v>
      </c>
      <c r="C676" s="14" t="s">
        <v>2390</v>
      </c>
      <c r="D676" s="14">
        <v>100.0</v>
      </c>
      <c r="E676" s="14" t="s">
        <v>318</v>
      </c>
      <c r="F676" s="14" t="s">
        <v>2391</v>
      </c>
      <c r="G676" s="14" t="s">
        <v>2392</v>
      </c>
      <c r="H676" s="13"/>
      <c r="I676" s="13"/>
      <c r="J676" s="13"/>
      <c r="K676" s="13"/>
      <c r="L676" s="13"/>
      <c r="M676" s="13"/>
      <c r="N676" s="13"/>
      <c r="O676" s="13"/>
      <c r="P676" s="13"/>
      <c r="Q676" s="13"/>
      <c r="R676" s="13"/>
      <c r="S676" s="13"/>
    </row>
    <row r="677" ht="15.75" customHeight="1">
      <c r="A677" s="14" t="s">
        <v>2393</v>
      </c>
      <c r="B677" s="14" t="s">
        <v>316</v>
      </c>
      <c r="C677" s="14" t="s">
        <v>2394</v>
      </c>
      <c r="D677" s="14">
        <v>100.0</v>
      </c>
      <c r="E677" s="14" t="s">
        <v>318</v>
      </c>
      <c r="F677" s="14" t="s">
        <v>2395</v>
      </c>
      <c r="G677" s="14" t="s">
        <v>2396</v>
      </c>
      <c r="H677" s="13"/>
      <c r="I677" s="13"/>
      <c r="J677" s="13"/>
      <c r="K677" s="13"/>
      <c r="L677" s="13"/>
      <c r="M677" s="13"/>
      <c r="N677" s="13"/>
      <c r="O677" s="13"/>
      <c r="P677" s="13"/>
      <c r="Q677" s="13"/>
      <c r="R677" s="13"/>
      <c r="S677" s="13"/>
    </row>
    <row r="678" ht="15.75" customHeight="1">
      <c r="A678" s="14" t="s">
        <v>2397</v>
      </c>
      <c r="B678" s="14" t="s">
        <v>316</v>
      </c>
      <c r="C678" s="14" t="s">
        <v>2398</v>
      </c>
      <c r="D678" s="14">
        <v>100.0</v>
      </c>
      <c r="E678" s="14" t="s">
        <v>318</v>
      </c>
      <c r="F678" s="14" t="s">
        <v>2399</v>
      </c>
      <c r="G678" s="14" t="s">
        <v>2400</v>
      </c>
      <c r="H678" s="13"/>
      <c r="I678" s="13"/>
      <c r="J678" s="13"/>
      <c r="K678" s="13"/>
      <c r="L678" s="13"/>
      <c r="M678" s="13"/>
      <c r="N678" s="13"/>
      <c r="O678" s="13"/>
      <c r="P678" s="13"/>
      <c r="Q678" s="13"/>
      <c r="R678" s="13"/>
      <c r="S678" s="13"/>
    </row>
    <row r="679" ht="15.75" customHeight="1">
      <c r="A679" s="14" t="s">
        <v>2401</v>
      </c>
      <c r="B679" s="14" t="s">
        <v>316</v>
      </c>
      <c r="C679" s="14" t="s">
        <v>2402</v>
      </c>
      <c r="D679" s="14">
        <v>100.0</v>
      </c>
      <c r="E679" s="14" t="s">
        <v>318</v>
      </c>
      <c r="F679" s="14" t="s">
        <v>2403</v>
      </c>
      <c r="G679" s="14" t="s">
        <v>2404</v>
      </c>
      <c r="H679" s="13"/>
      <c r="I679" s="13"/>
      <c r="J679" s="13"/>
      <c r="K679" s="13"/>
      <c r="L679" s="13"/>
      <c r="M679" s="13"/>
      <c r="N679" s="13"/>
      <c r="O679" s="13"/>
      <c r="P679" s="13"/>
      <c r="Q679" s="13"/>
      <c r="R679" s="13"/>
      <c r="S679" s="13"/>
    </row>
    <row r="680" ht="15.75" customHeight="1">
      <c r="A680" s="14" t="s">
        <v>2405</v>
      </c>
      <c r="B680" s="14" t="s">
        <v>316</v>
      </c>
      <c r="C680" s="14" t="s">
        <v>2406</v>
      </c>
      <c r="D680" s="14">
        <v>100.0</v>
      </c>
      <c r="E680" s="14" t="s">
        <v>318</v>
      </c>
      <c r="F680" s="14" t="s">
        <v>2407</v>
      </c>
      <c r="G680" s="14" t="s">
        <v>2408</v>
      </c>
      <c r="H680" s="13"/>
      <c r="I680" s="13"/>
      <c r="J680" s="13"/>
      <c r="K680" s="13"/>
      <c r="L680" s="13"/>
      <c r="M680" s="13"/>
      <c r="N680" s="13"/>
      <c r="O680" s="13"/>
      <c r="P680" s="13"/>
      <c r="Q680" s="13"/>
      <c r="R680" s="13"/>
      <c r="S680" s="13"/>
    </row>
    <row r="681" ht="15.75" customHeight="1">
      <c r="A681" s="14" t="s">
        <v>2409</v>
      </c>
      <c r="B681" s="14" t="s">
        <v>316</v>
      </c>
      <c r="C681" s="14" t="s">
        <v>2410</v>
      </c>
      <c r="D681" s="14">
        <v>100.0</v>
      </c>
      <c r="E681" s="14" t="s">
        <v>318</v>
      </c>
      <c r="F681" s="14" t="s">
        <v>2411</v>
      </c>
      <c r="G681" s="14" t="s">
        <v>2412</v>
      </c>
      <c r="H681" s="13"/>
      <c r="I681" s="13"/>
      <c r="J681" s="13"/>
      <c r="K681" s="13"/>
      <c r="L681" s="13"/>
      <c r="M681" s="13"/>
      <c r="N681" s="13"/>
      <c r="O681" s="13"/>
      <c r="P681" s="13"/>
      <c r="Q681" s="13"/>
      <c r="R681" s="13"/>
      <c r="S681" s="13"/>
    </row>
    <row r="682" ht="15.75" customHeight="1">
      <c r="A682" s="14" t="s">
        <v>2413</v>
      </c>
      <c r="B682" s="14" t="s">
        <v>316</v>
      </c>
      <c r="C682" s="14" t="s">
        <v>2414</v>
      </c>
      <c r="D682" s="14">
        <v>100.0</v>
      </c>
      <c r="E682" s="14" t="s">
        <v>318</v>
      </c>
      <c r="F682" s="14" t="s">
        <v>2415</v>
      </c>
      <c r="G682" s="14" t="s">
        <v>2416</v>
      </c>
      <c r="H682" s="13"/>
      <c r="I682" s="13"/>
      <c r="J682" s="13"/>
      <c r="K682" s="13"/>
      <c r="L682" s="13"/>
      <c r="M682" s="13"/>
      <c r="N682" s="13"/>
      <c r="O682" s="13"/>
      <c r="P682" s="13"/>
      <c r="Q682" s="13"/>
      <c r="R682" s="13"/>
      <c r="S682" s="13"/>
    </row>
    <row r="683" ht="15.75" customHeight="1">
      <c r="A683" s="14" t="s">
        <v>2417</v>
      </c>
      <c r="B683" s="14" t="s">
        <v>316</v>
      </c>
      <c r="C683" s="14" t="s">
        <v>2418</v>
      </c>
      <c r="D683" s="14">
        <v>100.0</v>
      </c>
      <c r="E683" s="14" t="s">
        <v>318</v>
      </c>
      <c r="F683" s="14" t="s">
        <v>2419</v>
      </c>
      <c r="G683" s="14" t="s">
        <v>2420</v>
      </c>
      <c r="H683" s="13"/>
      <c r="I683" s="13"/>
      <c r="J683" s="13"/>
      <c r="K683" s="13"/>
      <c r="L683" s="13"/>
      <c r="M683" s="13"/>
      <c r="N683" s="13"/>
      <c r="O683" s="13"/>
      <c r="P683" s="13"/>
      <c r="Q683" s="13"/>
      <c r="R683" s="13"/>
      <c r="S683" s="13"/>
    </row>
    <row r="684" ht="15.75" customHeight="1">
      <c r="A684" s="14" t="s">
        <v>2421</v>
      </c>
      <c r="B684" s="14" t="s">
        <v>316</v>
      </c>
      <c r="C684" s="14" t="s">
        <v>2422</v>
      </c>
      <c r="D684" s="14">
        <v>100.0</v>
      </c>
      <c r="E684" s="14" t="s">
        <v>318</v>
      </c>
      <c r="F684" s="14" t="s">
        <v>2423</v>
      </c>
      <c r="G684" s="14" t="s">
        <v>2424</v>
      </c>
      <c r="H684" s="13"/>
      <c r="I684" s="13"/>
      <c r="J684" s="13"/>
      <c r="K684" s="13"/>
      <c r="L684" s="13"/>
      <c r="M684" s="13"/>
      <c r="N684" s="13"/>
      <c r="O684" s="13"/>
      <c r="P684" s="13"/>
      <c r="Q684" s="13"/>
      <c r="R684" s="13"/>
      <c r="S684" s="13"/>
    </row>
    <row r="685" ht="15.75" customHeight="1">
      <c r="A685" s="14" t="s">
        <v>2425</v>
      </c>
      <c r="B685" s="14" t="s">
        <v>316</v>
      </c>
      <c r="C685" s="14" t="s">
        <v>2426</v>
      </c>
      <c r="D685" s="14">
        <v>100.0</v>
      </c>
      <c r="E685" s="14" t="s">
        <v>318</v>
      </c>
      <c r="F685" s="14" t="s">
        <v>2427</v>
      </c>
      <c r="G685" s="14" t="s">
        <v>2428</v>
      </c>
      <c r="H685" s="13"/>
      <c r="I685" s="13"/>
      <c r="J685" s="13"/>
      <c r="K685" s="13"/>
      <c r="L685" s="13"/>
      <c r="M685" s="13"/>
      <c r="N685" s="13"/>
      <c r="O685" s="13"/>
      <c r="P685" s="13"/>
      <c r="Q685" s="13"/>
      <c r="R685" s="13"/>
      <c r="S685" s="13"/>
    </row>
    <row r="686" ht="15.75" customHeight="1">
      <c r="A686" s="14" t="s">
        <v>2429</v>
      </c>
      <c r="B686" s="14" t="s">
        <v>316</v>
      </c>
      <c r="C686" s="14" t="s">
        <v>2430</v>
      </c>
      <c r="D686" s="14">
        <v>100.0</v>
      </c>
      <c r="E686" s="14" t="s">
        <v>318</v>
      </c>
      <c r="F686" s="14" t="s">
        <v>2431</v>
      </c>
      <c r="G686" s="14" t="s">
        <v>2432</v>
      </c>
      <c r="H686" s="13"/>
      <c r="I686" s="13"/>
      <c r="J686" s="13"/>
      <c r="K686" s="13"/>
      <c r="L686" s="13"/>
      <c r="M686" s="13"/>
      <c r="N686" s="13"/>
      <c r="O686" s="13"/>
      <c r="P686" s="13"/>
      <c r="Q686" s="13"/>
      <c r="R686" s="13"/>
      <c r="S686" s="13"/>
    </row>
    <row r="687" ht="15.75" customHeight="1">
      <c r="A687" s="14" t="s">
        <v>2433</v>
      </c>
      <c r="B687" s="14" t="s">
        <v>316</v>
      </c>
      <c r="C687" s="14" t="s">
        <v>2434</v>
      </c>
      <c r="D687" s="14">
        <v>100.0</v>
      </c>
      <c r="E687" s="14" t="s">
        <v>318</v>
      </c>
      <c r="F687" s="14" t="s">
        <v>2435</v>
      </c>
      <c r="G687" s="14" t="s">
        <v>2436</v>
      </c>
      <c r="H687" s="13"/>
      <c r="I687" s="13"/>
      <c r="J687" s="13"/>
      <c r="K687" s="13"/>
      <c r="L687" s="13"/>
      <c r="M687" s="13"/>
      <c r="N687" s="13"/>
      <c r="O687" s="13"/>
      <c r="P687" s="13"/>
      <c r="Q687" s="13"/>
      <c r="R687" s="13"/>
      <c r="S687" s="13"/>
    </row>
    <row r="688" ht="15.75" customHeight="1">
      <c r="A688" s="14" t="s">
        <v>2437</v>
      </c>
      <c r="B688" s="14" t="s">
        <v>316</v>
      </c>
      <c r="C688" s="14" t="s">
        <v>2438</v>
      </c>
      <c r="D688" s="14">
        <v>100.0</v>
      </c>
      <c r="E688" s="14" t="s">
        <v>318</v>
      </c>
      <c r="F688" s="14" t="s">
        <v>2431</v>
      </c>
      <c r="G688" s="14" t="s">
        <v>2439</v>
      </c>
      <c r="H688" s="13"/>
      <c r="I688" s="13"/>
      <c r="J688" s="13"/>
      <c r="K688" s="13"/>
      <c r="L688" s="13"/>
      <c r="M688" s="13"/>
      <c r="N688" s="13"/>
      <c r="O688" s="13"/>
      <c r="P688" s="13"/>
      <c r="Q688" s="13"/>
      <c r="R688" s="13"/>
      <c r="S688" s="13"/>
    </row>
    <row r="689" ht="15.75" customHeight="1">
      <c r="A689" s="14" t="s">
        <v>2440</v>
      </c>
      <c r="B689" s="14" t="s">
        <v>316</v>
      </c>
      <c r="C689" s="14" t="s">
        <v>2441</v>
      </c>
      <c r="D689" s="14">
        <v>100.0</v>
      </c>
      <c r="E689" s="14" t="s">
        <v>318</v>
      </c>
      <c r="F689" s="14" t="s">
        <v>2442</v>
      </c>
      <c r="G689" s="14" t="s">
        <v>2443</v>
      </c>
      <c r="H689" s="13"/>
      <c r="I689" s="13"/>
      <c r="J689" s="13"/>
      <c r="K689" s="13"/>
      <c r="L689" s="13"/>
      <c r="M689" s="13"/>
      <c r="N689" s="13"/>
      <c r="O689" s="13"/>
      <c r="P689" s="13"/>
      <c r="Q689" s="13"/>
      <c r="R689" s="13"/>
      <c r="S689" s="13"/>
    </row>
    <row r="690" ht="15.75" customHeight="1">
      <c r="A690" s="14" t="s">
        <v>2444</v>
      </c>
      <c r="B690" s="14" t="s">
        <v>316</v>
      </c>
      <c r="C690" s="14" t="s">
        <v>2445</v>
      </c>
      <c r="D690" s="14">
        <v>100.0</v>
      </c>
      <c r="E690" s="14" t="s">
        <v>318</v>
      </c>
      <c r="F690" s="14" t="s">
        <v>2446</v>
      </c>
      <c r="G690" s="14" t="s">
        <v>2447</v>
      </c>
      <c r="H690" s="13"/>
      <c r="I690" s="13"/>
      <c r="J690" s="13"/>
      <c r="K690" s="13"/>
      <c r="L690" s="13"/>
      <c r="M690" s="13"/>
      <c r="N690" s="13"/>
      <c r="O690" s="13"/>
      <c r="P690" s="13"/>
      <c r="Q690" s="13"/>
      <c r="R690" s="13"/>
      <c r="S690" s="13"/>
    </row>
    <row r="691" ht="15.75" customHeight="1">
      <c r="A691" s="14" t="s">
        <v>2448</v>
      </c>
      <c r="B691" s="14" t="s">
        <v>316</v>
      </c>
      <c r="C691" s="14" t="s">
        <v>2449</v>
      </c>
      <c r="D691" s="14">
        <v>100.0</v>
      </c>
      <c r="E691" s="14" t="s">
        <v>318</v>
      </c>
      <c r="F691" s="14" t="s">
        <v>2450</v>
      </c>
      <c r="G691" s="14"/>
      <c r="H691" s="13"/>
      <c r="I691" s="13"/>
      <c r="J691" s="13"/>
      <c r="K691" s="13"/>
      <c r="L691" s="13"/>
      <c r="M691" s="13"/>
      <c r="N691" s="13"/>
      <c r="O691" s="13"/>
      <c r="P691" s="13"/>
      <c r="Q691" s="13"/>
      <c r="R691" s="13"/>
      <c r="S691" s="13"/>
    </row>
    <row r="692" ht="15.75" customHeight="1">
      <c r="A692" s="14" t="s">
        <v>2451</v>
      </c>
      <c r="B692" s="14" t="s">
        <v>2452</v>
      </c>
      <c r="C692" s="14"/>
      <c r="D692" s="14"/>
      <c r="E692" s="14"/>
      <c r="F692" s="14"/>
      <c r="G692" s="14"/>
      <c r="H692" s="13"/>
      <c r="I692" s="13"/>
      <c r="J692" s="13"/>
      <c r="K692" s="13"/>
      <c r="L692" s="13"/>
      <c r="M692" s="13"/>
      <c r="N692" s="13"/>
      <c r="O692" s="13"/>
      <c r="P692" s="13"/>
      <c r="Q692" s="13"/>
      <c r="R692" s="13"/>
      <c r="S692" s="13"/>
    </row>
    <row r="693" ht="15.75" customHeight="1">
      <c r="A693" s="14" t="s">
        <v>2453</v>
      </c>
      <c r="B693" s="14" t="s">
        <v>316</v>
      </c>
      <c r="C693" s="14" t="s">
        <v>2454</v>
      </c>
      <c r="D693" s="14">
        <v>100.0</v>
      </c>
      <c r="E693" s="14" t="s">
        <v>318</v>
      </c>
      <c r="F693" s="14" t="s">
        <v>2450</v>
      </c>
      <c r="G693" s="14"/>
      <c r="H693" s="13"/>
      <c r="I693" s="13"/>
      <c r="J693" s="13"/>
      <c r="K693" s="13"/>
      <c r="L693" s="13"/>
      <c r="M693" s="13"/>
      <c r="N693" s="13"/>
      <c r="O693" s="13"/>
      <c r="P693" s="13"/>
      <c r="Q693" s="13"/>
      <c r="R693" s="13"/>
      <c r="S693" s="13"/>
    </row>
    <row r="694" ht="15.75" customHeight="1">
      <c r="A694" s="14" t="s">
        <v>2451</v>
      </c>
      <c r="B694" s="14" t="s">
        <v>2455</v>
      </c>
      <c r="C694" s="14"/>
      <c r="D694" s="14"/>
      <c r="E694" s="14"/>
      <c r="F694" s="14"/>
      <c r="G694" s="14"/>
      <c r="H694" s="13"/>
      <c r="I694" s="13"/>
      <c r="J694" s="13"/>
      <c r="K694" s="13"/>
      <c r="L694" s="13"/>
      <c r="M694" s="13"/>
      <c r="N694" s="13"/>
      <c r="O694" s="13"/>
      <c r="P694" s="13"/>
      <c r="Q694" s="13"/>
      <c r="R694" s="13"/>
      <c r="S694" s="13"/>
    </row>
    <row r="695" ht="15.75" customHeight="1">
      <c r="A695" s="14" t="s">
        <v>2456</v>
      </c>
      <c r="B695" s="14" t="s">
        <v>316</v>
      </c>
      <c r="C695" s="14" t="s">
        <v>2457</v>
      </c>
      <c r="D695" s="14">
        <v>100.0</v>
      </c>
      <c r="E695" s="14" t="s">
        <v>318</v>
      </c>
      <c r="F695" s="14" t="s">
        <v>2458</v>
      </c>
      <c r="G695" s="14" t="s">
        <v>2459</v>
      </c>
      <c r="H695" s="13"/>
      <c r="I695" s="13"/>
      <c r="J695" s="13"/>
      <c r="K695" s="13"/>
      <c r="L695" s="13"/>
      <c r="M695" s="13"/>
      <c r="N695" s="13"/>
      <c r="O695" s="13"/>
      <c r="P695" s="13"/>
      <c r="Q695" s="13"/>
      <c r="R695" s="13"/>
      <c r="S695" s="13"/>
    </row>
    <row r="696" ht="15.75" customHeight="1">
      <c r="A696" s="14" t="s">
        <v>2460</v>
      </c>
      <c r="B696" s="14" t="s">
        <v>316</v>
      </c>
      <c r="C696" s="14" t="s">
        <v>2461</v>
      </c>
      <c r="D696" s="14">
        <v>100.0</v>
      </c>
      <c r="E696" s="14" t="s">
        <v>318</v>
      </c>
      <c r="F696" s="14" t="s">
        <v>2462</v>
      </c>
      <c r="G696" s="14" t="s">
        <v>2463</v>
      </c>
      <c r="H696" s="13"/>
      <c r="I696" s="13"/>
      <c r="J696" s="13"/>
      <c r="K696" s="13"/>
      <c r="L696" s="13"/>
      <c r="M696" s="13"/>
      <c r="N696" s="13"/>
      <c r="O696" s="13"/>
      <c r="P696" s="13"/>
      <c r="Q696" s="13"/>
      <c r="R696" s="13"/>
      <c r="S696" s="13"/>
    </row>
    <row r="697" ht="15.75" customHeight="1">
      <c r="A697" s="14" t="s">
        <v>2464</v>
      </c>
      <c r="B697" s="14" t="s">
        <v>316</v>
      </c>
      <c r="C697" s="14" t="s">
        <v>2465</v>
      </c>
      <c r="D697" s="14">
        <v>100.0</v>
      </c>
      <c r="E697" s="14" t="s">
        <v>318</v>
      </c>
      <c r="F697" s="14" t="s">
        <v>637</v>
      </c>
      <c r="G697" s="14" t="s">
        <v>2466</v>
      </c>
      <c r="H697" s="13"/>
      <c r="I697" s="13"/>
      <c r="J697" s="13"/>
      <c r="K697" s="13"/>
      <c r="L697" s="13"/>
      <c r="M697" s="13"/>
      <c r="N697" s="13"/>
      <c r="O697" s="13"/>
      <c r="P697" s="13"/>
      <c r="Q697" s="13"/>
      <c r="R697" s="13"/>
      <c r="S697" s="13"/>
    </row>
    <row r="698" ht="15.75" customHeight="1">
      <c r="A698" s="14" t="s">
        <v>2467</v>
      </c>
      <c r="B698" s="14" t="s">
        <v>316</v>
      </c>
      <c r="C698" s="14" t="s">
        <v>2468</v>
      </c>
      <c r="D698" s="14">
        <v>100.0</v>
      </c>
      <c r="E698" s="14" t="s">
        <v>318</v>
      </c>
      <c r="F698" s="14" t="s">
        <v>451</v>
      </c>
      <c r="G698" s="14" t="s">
        <v>2469</v>
      </c>
      <c r="H698" s="13"/>
      <c r="I698" s="13"/>
      <c r="J698" s="13"/>
      <c r="K698" s="13"/>
      <c r="L698" s="13"/>
      <c r="M698" s="13"/>
      <c r="N698" s="13"/>
      <c r="O698" s="13"/>
      <c r="P698" s="13"/>
      <c r="Q698" s="13"/>
      <c r="R698" s="13"/>
      <c r="S698" s="13"/>
    </row>
    <row r="699" ht="15.75" customHeight="1">
      <c r="A699" s="14" t="s">
        <v>2470</v>
      </c>
      <c r="B699" s="14" t="s">
        <v>316</v>
      </c>
      <c r="C699" s="14" t="s">
        <v>2471</v>
      </c>
      <c r="D699" s="14">
        <v>100.0</v>
      </c>
      <c r="E699" s="14" t="s">
        <v>318</v>
      </c>
      <c r="F699" s="14" t="s">
        <v>2472</v>
      </c>
      <c r="G699" s="14" t="s">
        <v>2473</v>
      </c>
      <c r="H699" s="13"/>
      <c r="I699" s="13"/>
      <c r="J699" s="13"/>
      <c r="K699" s="13"/>
      <c r="L699" s="13"/>
      <c r="M699" s="13"/>
      <c r="N699" s="13"/>
      <c r="O699" s="13"/>
      <c r="P699" s="13"/>
      <c r="Q699" s="13"/>
      <c r="R699" s="13"/>
      <c r="S699" s="13"/>
    </row>
    <row r="700" ht="15.75" customHeight="1">
      <c r="A700" s="14" t="s">
        <v>2474</v>
      </c>
      <c r="B700" s="14" t="s">
        <v>316</v>
      </c>
      <c r="C700" s="14" t="s">
        <v>2475</v>
      </c>
      <c r="D700" s="14">
        <v>100.0</v>
      </c>
      <c r="E700" s="14" t="s">
        <v>318</v>
      </c>
      <c r="F700" s="14" t="s">
        <v>2476</v>
      </c>
      <c r="G700" s="14" t="s">
        <v>2477</v>
      </c>
      <c r="H700" s="13"/>
      <c r="I700" s="13"/>
      <c r="J700" s="13"/>
      <c r="K700" s="13"/>
      <c r="L700" s="13"/>
      <c r="M700" s="13"/>
      <c r="N700" s="13"/>
      <c r="O700" s="13"/>
      <c r="P700" s="13"/>
      <c r="Q700" s="13"/>
      <c r="R700" s="13"/>
      <c r="S700" s="13"/>
    </row>
    <row r="701" ht="15.75" customHeight="1">
      <c r="A701" s="14" t="s">
        <v>2478</v>
      </c>
      <c r="B701" s="14" t="s">
        <v>316</v>
      </c>
      <c r="C701" s="14" t="s">
        <v>2479</v>
      </c>
      <c r="D701" s="14">
        <v>100.0</v>
      </c>
      <c r="E701" s="14" t="s">
        <v>318</v>
      </c>
      <c r="F701" s="14" t="s">
        <v>2480</v>
      </c>
      <c r="G701" s="14" t="s">
        <v>2481</v>
      </c>
      <c r="H701" s="13"/>
      <c r="I701" s="13"/>
      <c r="J701" s="13"/>
      <c r="K701" s="13"/>
      <c r="L701" s="13"/>
      <c r="M701" s="13"/>
      <c r="N701" s="13"/>
      <c r="O701" s="13"/>
      <c r="P701" s="13"/>
      <c r="Q701" s="13"/>
      <c r="R701" s="13"/>
      <c r="S701" s="13"/>
    </row>
    <row r="702" ht="15.75" customHeight="1">
      <c r="A702" s="14" t="s">
        <v>2482</v>
      </c>
      <c r="B702" s="14" t="s">
        <v>316</v>
      </c>
      <c r="C702" s="14" t="s">
        <v>2483</v>
      </c>
      <c r="D702" s="14">
        <v>100.0</v>
      </c>
      <c r="E702" s="14" t="s">
        <v>318</v>
      </c>
      <c r="F702" s="14" t="s">
        <v>591</v>
      </c>
      <c r="G702" s="14" t="s">
        <v>2484</v>
      </c>
      <c r="H702" s="13"/>
      <c r="I702" s="13"/>
      <c r="J702" s="13"/>
      <c r="K702" s="13"/>
      <c r="L702" s="13"/>
      <c r="M702" s="13"/>
      <c r="N702" s="13"/>
      <c r="O702" s="13"/>
      <c r="P702" s="13"/>
      <c r="Q702" s="13"/>
      <c r="R702" s="13"/>
      <c r="S702" s="13"/>
    </row>
    <row r="703" ht="15.75" customHeight="1">
      <c r="A703" s="14" t="s">
        <v>2485</v>
      </c>
      <c r="B703" s="14" t="s">
        <v>316</v>
      </c>
      <c r="C703" s="14" t="s">
        <v>2486</v>
      </c>
      <c r="D703" s="14">
        <v>100.0</v>
      </c>
      <c r="E703" s="14" t="s">
        <v>318</v>
      </c>
      <c r="F703" s="14" t="s">
        <v>2487</v>
      </c>
      <c r="G703" s="14" t="s">
        <v>2488</v>
      </c>
      <c r="H703" s="13"/>
      <c r="I703" s="13"/>
      <c r="J703" s="13"/>
      <c r="K703" s="13"/>
      <c r="L703" s="13"/>
      <c r="M703" s="13"/>
      <c r="N703" s="13"/>
      <c r="O703" s="13"/>
      <c r="P703" s="13"/>
      <c r="Q703" s="13"/>
      <c r="R703" s="13"/>
      <c r="S703" s="13"/>
    </row>
    <row r="704" ht="15.75" customHeight="1">
      <c r="A704" s="14" t="s">
        <v>2489</v>
      </c>
      <c r="B704" s="14" t="s">
        <v>316</v>
      </c>
      <c r="C704" s="14" t="s">
        <v>2490</v>
      </c>
      <c r="D704" s="14">
        <v>100.0</v>
      </c>
      <c r="E704" s="14" t="s">
        <v>318</v>
      </c>
      <c r="F704" s="14" t="s">
        <v>2491</v>
      </c>
      <c r="G704" s="14" t="s">
        <v>2492</v>
      </c>
      <c r="H704" s="13"/>
      <c r="I704" s="13"/>
      <c r="J704" s="13"/>
      <c r="K704" s="13"/>
      <c r="L704" s="13"/>
      <c r="M704" s="13"/>
      <c r="N704" s="13"/>
      <c r="O704" s="13"/>
      <c r="P704" s="13"/>
      <c r="Q704" s="13"/>
      <c r="R704" s="13"/>
      <c r="S704" s="13"/>
    </row>
    <row r="705" ht="15.75" customHeight="1">
      <c r="A705" s="14" t="s">
        <v>2493</v>
      </c>
      <c r="B705" s="14" t="s">
        <v>316</v>
      </c>
      <c r="C705" s="14" t="s">
        <v>2494</v>
      </c>
      <c r="D705" s="14">
        <v>100.0</v>
      </c>
      <c r="E705" s="14" t="s">
        <v>318</v>
      </c>
      <c r="F705" s="14" t="s">
        <v>2495</v>
      </c>
      <c r="G705" s="14" t="s">
        <v>2496</v>
      </c>
      <c r="H705" s="13"/>
      <c r="I705" s="13"/>
      <c r="J705" s="13"/>
      <c r="K705" s="13"/>
      <c r="L705" s="13"/>
      <c r="M705" s="13"/>
      <c r="N705" s="13"/>
      <c r="O705" s="13"/>
      <c r="P705" s="13"/>
      <c r="Q705" s="13"/>
      <c r="R705" s="13"/>
      <c r="S705" s="13"/>
    </row>
    <row r="706" ht="15.75" customHeight="1">
      <c r="A706" s="14" t="s">
        <v>2497</v>
      </c>
      <c r="B706" s="14" t="s">
        <v>316</v>
      </c>
      <c r="C706" s="14" t="s">
        <v>2498</v>
      </c>
      <c r="D706" s="14">
        <v>100.0</v>
      </c>
      <c r="E706" s="14" t="s">
        <v>318</v>
      </c>
      <c r="F706" s="14" t="s">
        <v>2499</v>
      </c>
      <c r="G706" s="14" t="s">
        <v>2500</v>
      </c>
      <c r="H706" s="13"/>
      <c r="I706" s="13"/>
      <c r="J706" s="13"/>
      <c r="K706" s="13"/>
      <c r="L706" s="13"/>
      <c r="M706" s="13"/>
      <c r="N706" s="13"/>
      <c r="O706" s="13"/>
      <c r="P706" s="13"/>
      <c r="Q706" s="13"/>
      <c r="R706" s="13"/>
      <c r="S706" s="13"/>
    </row>
    <row r="707" ht="15.75" customHeight="1">
      <c r="A707" s="14" t="s">
        <v>2501</v>
      </c>
      <c r="B707" s="14" t="s">
        <v>316</v>
      </c>
      <c r="C707" s="14" t="s">
        <v>2502</v>
      </c>
      <c r="D707" s="14">
        <v>100.0</v>
      </c>
      <c r="E707" s="14" t="s">
        <v>318</v>
      </c>
      <c r="F707" s="14" t="s">
        <v>2503</v>
      </c>
      <c r="G707" s="14" t="s">
        <v>2504</v>
      </c>
      <c r="H707" s="13"/>
      <c r="I707" s="13"/>
      <c r="J707" s="13"/>
      <c r="K707" s="13"/>
      <c r="L707" s="13"/>
      <c r="M707" s="13"/>
      <c r="N707" s="13"/>
      <c r="O707" s="13"/>
      <c r="P707" s="13"/>
      <c r="Q707" s="13"/>
      <c r="R707" s="13"/>
      <c r="S707" s="13"/>
    </row>
    <row r="708" ht="15.75" customHeight="1">
      <c r="A708" s="14" t="s">
        <v>2505</v>
      </c>
      <c r="B708" s="14" t="s">
        <v>316</v>
      </c>
      <c r="C708" s="14" t="s">
        <v>2506</v>
      </c>
      <c r="D708" s="14">
        <v>100.0</v>
      </c>
      <c r="E708" s="14" t="s">
        <v>318</v>
      </c>
      <c r="F708" s="14" t="s">
        <v>2507</v>
      </c>
      <c r="G708" s="14" t="s">
        <v>2508</v>
      </c>
      <c r="H708" s="13"/>
      <c r="I708" s="13"/>
      <c r="J708" s="13"/>
      <c r="K708" s="13"/>
      <c r="L708" s="13"/>
      <c r="M708" s="13"/>
      <c r="N708" s="13"/>
      <c r="O708" s="13"/>
      <c r="P708" s="13"/>
      <c r="Q708" s="13"/>
      <c r="R708" s="13"/>
      <c r="S708" s="13"/>
    </row>
    <row r="709" ht="15.75" customHeight="1">
      <c r="A709" s="14" t="s">
        <v>2509</v>
      </c>
      <c r="B709" s="14" t="s">
        <v>316</v>
      </c>
      <c r="C709" s="14" t="s">
        <v>2510</v>
      </c>
      <c r="D709" s="14">
        <v>100.0</v>
      </c>
      <c r="E709" s="14" t="s">
        <v>318</v>
      </c>
      <c r="F709" s="14" t="s">
        <v>2511</v>
      </c>
      <c r="G709" s="14" t="s">
        <v>2512</v>
      </c>
      <c r="H709" s="13"/>
      <c r="I709" s="13"/>
      <c r="J709" s="13"/>
      <c r="K709" s="13"/>
      <c r="L709" s="13"/>
      <c r="M709" s="13"/>
      <c r="N709" s="13"/>
      <c r="O709" s="13"/>
      <c r="P709" s="13"/>
      <c r="Q709" s="13"/>
      <c r="R709" s="13"/>
      <c r="S709" s="13"/>
    </row>
    <row r="710" ht="15.75" customHeight="1">
      <c r="A710" s="14" t="s">
        <v>2513</v>
      </c>
      <c r="B710" s="14" t="s">
        <v>316</v>
      </c>
      <c r="C710" s="14" t="s">
        <v>2514</v>
      </c>
      <c r="D710" s="14">
        <v>100.0</v>
      </c>
      <c r="E710" s="14" t="s">
        <v>318</v>
      </c>
      <c r="F710" s="14" t="s">
        <v>2515</v>
      </c>
      <c r="G710" s="14" t="s">
        <v>2516</v>
      </c>
      <c r="H710" s="13"/>
      <c r="I710" s="13"/>
      <c r="J710" s="13"/>
      <c r="K710" s="13"/>
      <c r="L710" s="13"/>
      <c r="M710" s="13"/>
      <c r="N710" s="13"/>
      <c r="O710" s="13"/>
      <c r="P710" s="13"/>
      <c r="Q710" s="13"/>
      <c r="R710" s="13"/>
      <c r="S710" s="13"/>
    </row>
    <row r="711" ht="15.75" customHeight="1">
      <c r="A711" s="14" t="s">
        <v>2517</v>
      </c>
      <c r="B711" s="14" t="s">
        <v>316</v>
      </c>
      <c r="C711" s="14" t="s">
        <v>2518</v>
      </c>
      <c r="D711" s="14">
        <v>100.0</v>
      </c>
      <c r="E711" s="14" t="s">
        <v>318</v>
      </c>
      <c r="F711" s="14" t="s">
        <v>2519</v>
      </c>
      <c r="G711" s="14" t="s">
        <v>2520</v>
      </c>
      <c r="H711" s="13"/>
      <c r="I711" s="13"/>
      <c r="J711" s="13"/>
      <c r="K711" s="13"/>
      <c r="L711" s="13"/>
      <c r="M711" s="13"/>
      <c r="N711" s="13"/>
      <c r="O711" s="13"/>
      <c r="P711" s="13"/>
      <c r="Q711" s="13"/>
      <c r="R711" s="13"/>
      <c r="S711" s="13"/>
    </row>
    <row r="712" ht="15.75" customHeight="1">
      <c r="A712" s="14" t="s">
        <v>2521</v>
      </c>
      <c r="B712" s="14" t="s">
        <v>316</v>
      </c>
      <c r="C712" s="14" t="s">
        <v>2522</v>
      </c>
      <c r="D712" s="14">
        <v>100.0</v>
      </c>
      <c r="E712" s="14" t="s">
        <v>318</v>
      </c>
      <c r="F712" s="14" t="s">
        <v>664</v>
      </c>
      <c r="G712" s="14" t="s">
        <v>2523</v>
      </c>
      <c r="H712" s="13"/>
      <c r="I712" s="13"/>
      <c r="J712" s="13"/>
      <c r="K712" s="13"/>
      <c r="L712" s="13"/>
      <c r="M712" s="13"/>
      <c r="N712" s="13"/>
      <c r="O712" s="13"/>
      <c r="P712" s="13"/>
      <c r="Q712" s="13"/>
      <c r="R712" s="13"/>
      <c r="S712" s="13"/>
    </row>
    <row r="713" ht="15.75" customHeight="1">
      <c r="A713" s="14" t="s">
        <v>2524</v>
      </c>
      <c r="B713" s="14" t="s">
        <v>316</v>
      </c>
      <c r="C713" s="14" t="s">
        <v>2525</v>
      </c>
      <c r="D713" s="14">
        <v>100.0</v>
      </c>
      <c r="E713" s="14" t="s">
        <v>318</v>
      </c>
      <c r="F713" s="14" t="s">
        <v>2526</v>
      </c>
      <c r="G713" s="14" t="s">
        <v>2527</v>
      </c>
      <c r="H713" s="13"/>
      <c r="I713" s="13"/>
      <c r="J713" s="13"/>
      <c r="K713" s="13"/>
      <c r="L713" s="13"/>
      <c r="M713" s="13"/>
      <c r="N713" s="13"/>
      <c r="O713" s="13"/>
      <c r="P713" s="13"/>
      <c r="Q713" s="13"/>
      <c r="R713" s="13"/>
      <c r="S713" s="13"/>
    </row>
    <row r="714" ht="15.75" customHeight="1">
      <c r="A714" s="14" t="s">
        <v>2528</v>
      </c>
      <c r="B714" s="14" t="s">
        <v>316</v>
      </c>
      <c r="C714" s="14" t="s">
        <v>2529</v>
      </c>
      <c r="D714" s="14">
        <v>100.0</v>
      </c>
      <c r="E714" s="14" t="s">
        <v>318</v>
      </c>
      <c r="F714" s="14" t="s">
        <v>2530</v>
      </c>
      <c r="G714" s="14" t="s">
        <v>2531</v>
      </c>
      <c r="H714" s="13"/>
      <c r="I714" s="13"/>
      <c r="J714" s="13"/>
      <c r="K714" s="13"/>
      <c r="L714" s="13"/>
      <c r="M714" s="13"/>
      <c r="N714" s="13"/>
      <c r="O714" s="13"/>
      <c r="P714" s="13"/>
      <c r="Q714" s="13"/>
      <c r="R714" s="13"/>
      <c r="S714" s="13"/>
    </row>
    <row r="715" ht="15.75" customHeight="1">
      <c r="A715" s="14" t="s">
        <v>2532</v>
      </c>
      <c r="B715" s="14" t="s">
        <v>316</v>
      </c>
      <c r="C715" s="14" t="s">
        <v>2533</v>
      </c>
      <c r="D715" s="14">
        <v>100.0</v>
      </c>
      <c r="E715" s="14" t="s">
        <v>318</v>
      </c>
      <c r="F715" s="14" t="s">
        <v>1797</v>
      </c>
      <c r="G715" s="14" t="s">
        <v>2534</v>
      </c>
      <c r="H715" s="13"/>
      <c r="I715" s="13"/>
      <c r="J715" s="13"/>
      <c r="K715" s="13"/>
      <c r="L715" s="13"/>
      <c r="M715" s="13"/>
      <c r="N715" s="13"/>
      <c r="O715" s="13"/>
      <c r="P715" s="13"/>
      <c r="Q715" s="13"/>
      <c r="R715" s="13"/>
      <c r="S715" s="13"/>
    </row>
    <row r="716" ht="15.75" customHeight="1">
      <c r="A716" s="14" t="s">
        <v>2535</v>
      </c>
      <c r="B716" s="14" t="s">
        <v>316</v>
      </c>
      <c r="C716" s="14" t="s">
        <v>2536</v>
      </c>
      <c r="D716" s="14">
        <v>100.0</v>
      </c>
      <c r="E716" s="14" t="s">
        <v>318</v>
      </c>
      <c r="F716" s="14" t="s">
        <v>2537</v>
      </c>
      <c r="G716" s="14" t="s">
        <v>2538</v>
      </c>
      <c r="H716" s="13"/>
      <c r="I716" s="13"/>
      <c r="J716" s="13"/>
      <c r="K716" s="13"/>
      <c r="L716" s="13"/>
      <c r="M716" s="13"/>
      <c r="N716" s="13"/>
      <c r="O716" s="13"/>
      <c r="P716" s="13"/>
      <c r="Q716" s="13"/>
      <c r="R716" s="13"/>
      <c r="S716" s="13"/>
    </row>
    <row r="717" ht="15.75" customHeight="1">
      <c r="A717" s="14" t="s">
        <v>2539</v>
      </c>
      <c r="B717" s="14" t="s">
        <v>316</v>
      </c>
      <c r="C717" s="14" t="s">
        <v>2540</v>
      </c>
      <c r="D717" s="14">
        <v>100.0</v>
      </c>
      <c r="E717" s="14" t="s">
        <v>318</v>
      </c>
      <c r="F717" s="14" t="s">
        <v>2541</v>
      </c>
      <c r="G717" s="14" t="s">
        <v>2542</v>
      </c>
      <c r="H717" s="13"/>
      <c r="I717" s="13"/>
      <c r="J717" s="13"/>
      <c r="K717" s="13"/>
      <c r="L717" s="13"/>
      <c r="M717" s="13"/>
      <c r="N717" s="13"/>
      <c r="O717" s="13"/>
      <c r="P717" s="13"/>
      <c r="Q717" s="13"/>
      <c r="R717" s="13"/>
      <c r="S717" s="13"/>
    </row>
    <row r="718" ht="15.75" customHeight="1">
      <c r="A718" s="14" t="s">
        <v>2543</v>
      </c>
      <c r="B718" s="14" t="s">
        <v>316</v>
      </c>
      <c r="C718" s="14" t="s">
        <v>2544</v>
      </c>
      <c r="D718" s="14">
        <v>100.0</v>
      </c>
      <c r="E718" s="14" t="s">
        <v>318</v>
      </c>
      <c r="F718" s="14" t="s">
        <v>2545</v>
      </c>
      <c r="G718" s="14" t="s">
        <v>2546</v>
      </c>
      <c r="H718" s="13"/>
      <c r="I718" s="13"/>
      <c r="J718" s="13"/>
      <c r="K718" s="13"/>
      <c r="L718" s="13"/>
      <c r="M718" s="13"/>
      <c r="N718" s="13"/>
      <c r="O718" s="13"/>
      <c r="P718" s="13"/>
      <c r="Q718" s="13"/>
      <c r="R718" s="13"/>
      <c r="S718" s="13"/>
    </row>
    <row r="719" ht="15.75" customHeight="1">
      <c r="A719" s="14" t="s">
        <v>2547</v>
      </c>
      <c r="B719" s="14" t="s">
        <v>316</v>
      </c>
      <c r="C719" s="14" t="s">
        <v>2548</v>
      </c>
      <c r="D719" s="14">
        <v>100.0</v>
      </c>
      <c r="E719" s="14" t="s">
        <v>318</v>
      </c>
      <c r="F719" s="14" t="s">
        <v>2549</v>
      </c>
      <c r="G719" s="14" t="s">
        <v>2550</v>
      </c>
      <c r="H719" s="13"/>
      <c r="I719" s="13"/>
      <c r="J719" s="13"/>
      <c r="K719" s="13"/>
      <c r="L719" s="13"/>
      <c r="M719" s="13"/>
      <c r="N719" s="13"/>
      <c r="O719" s="13"/>
      <c r="P719" s="13"/>
      <c r="Q719" s="13"/>
      <c r="R719" s="13"/>
      <c r="S719" s="13"/>
    </row>
    <row r="720" ht="15.75" customHeight="1">
      <c r="A720" s="14" t="s">
        <v>2551</v>
      </c>
      <c r="B720" s="14" t="s">
        <v>316</v>
      </c>
      <c r="C720" s="14" t="s">
        <v>2552</v>
      </c>
      <c r="D720" s="14">
        <v>100.0</v>
      </c>
      <c r="E720" s="14" t="s">
        <v>318</v>
      </c>
      <c r="F720" s="14" t="s">
        <v>2553</v>
      </c>
      <c r="G720" s="14" t="s">
        <v>2554</v>
      </c>
      <c r="H720" s="13"/>
      <c r="I720" s="13"/>
      <c r="J720" s="13"/>
      <c r="K720" s="13"/>
      <c r="L720" s="13"/>
      <c r="M720" s="13"/>
      <c r="N720" s="13"/>
      <c r="O720" s="13"/>
      <c r="P720" s="13"/>
      <c r="Q720" s="13"/>
      <c r="R720" s="13"/>
      <c r="S720" s="13"/>
    </row>
    <row r="721" ht="15.75" customHeight="1">
      <c r="A721" s="14" t="s">
        <v>2555</v>
      </c>
      <c r="B721" s="14" t="s">
        <v>316</v>
      </c>
      <c r="C721" s="14" t="s">
        <v>2556</v>
      </c>
      <c r="D721" s="14">
        <v>100.0</v>
      </c>
      <c r="E721" s="14" t="s">
        <v>318</v>
      </c>
      <c r="F721" s="14" t="s">
        <v>2557</v>
      </c>
      <c r="G721" s="14" t="s">
        <v>2558</v>
      </c>
      <c r="H721" s="13"/>
      <c r="I721" s="13"/>
      <c r="J721" s="13"/>
      <c r="K721" s="13"/>
      <c r="L721" s="13"/>
      <c r="M721" s="13"/>
      <c r="N721" s="13"/>
      <c r="O721" s="13"/>
      <c r="P721" s="13"/>
      <c r="Q721" s="13"/>
      <c r="R721" s="13"/>
      <c r="S721" s="13"/>
    </row>
    <row r="722" ht="15.75" customHeight="1">
      <c r="A722" s="14" t="s">
        <v>2559</v>
      </c>
      <c r="B722" s="14" t="s">
        <v>316</v>
      </c>
      <c r="C722" s="14" t="s">
        <v>2560</v>
      </c>
      <c r="D722" s="14">
        <v>100.0</v>
      </c>
      <c r="E722" s="14" t="s">
        <v>318</v>
      </c>
      <c r="F722" s="14" t="s">
        <v>2561</v>
      </c>
      <c r="G722" s="14" t="s">
        <v>2562</v>
      </c>
      <c r="H722" s="13"/>
      <c r="I722" s="13"/>
      <c r="J722" s="13"/>
      <c r="K722" s="13"/>
      <c r="L722" s="13"/>
      <c r="M722" s="13"/>
      <c r="N722" s="13"/>
      <c r="O722" s="13"/>
      <c r="P722" s="13"/>
      <c r="Q722" s="13"/>
      <c r="R722" s="13"/>
      <c r="S722" s="13"/>
    </row>
    <row r="723" ht="15.75" customHeight="1">
      <c r="A723" s="14" t="s">
        <v>2563</v>
      </c>
      <c r="B723" s="14" t="s">
        <v>316</v>
      </c>
      <c r="C723" s="14" t="s">
        <v>2564</v>
      </c>
      <c r="D723" s="14">
        <v>100.0</v>
      </c>
      <c r="E723" s="14" t="s">
        <v>318</v>
      </c>
      <c r="F723" s="14" t="s">
        <v>2565</v>
      </c>
      <c r="G723" s="14" t="s">
        <v>2566</v>
      </c>
      <c r="H723" s="13"/>
      <c r="I723" s="13"/>
      <c r="J723" s="13"/>
      <c r="K723" s="13"/>
      <c r="L723" s="13"/>
      <c r="M723" s="13"/>
      <c r="N723" s="13"/>
      <c r="O723" s="13"/>
      <c r="P723" s="13"/>
      <c r="Q723" s="13"/>
      <c r="R723" s="13"/>
      <c r="S723" s="13"/>
    </row>
    <row r="724" ht="15.75" customHeight="1">
      <c r="A724" s="14" t="s">
        <v>2567</v>
      </c>
      <c r="B724" s="14" t="s">
        <v>316</v>
      </c>
      <c r="C724" s="14" t="s">
        <v>2568</v>
      </c>
      <c r="D724" s="14">
        <v>100.0</v>
      </c>
      <c r="E724" s="14" t="s">
        <v>318</v>
      </c>
      <c r="F724" s="14" t="s">
        <v>2569</v>
      </c>
      <c r="G724" s="14" t="s">
        <v>2570</v>
      </c>
      <c r="H724" s="13"/>
      <c r="I724" s="13"/>
      <c r="J724" s="13"/>
      <c r="K724" s="13"/>
      <c r="L724" s="13"/>
      <c r="M724" s="13"/>
      <c r="N724" s="13"/>
      <c r="O724" s="13"/>
      <c r="P724" s="13"/>
      <c r="Q724" s="13"/>
      <c r="R724" s="13"/>
      <c r="S724" s="13"/>
    </row>
    <row r="725" ht="15.75" customHeight="1">
      <c r="A725" s="14" t="s">
        <v>2571</v>
      </c>
      <c r="B725" s="14" t="s">
        <v>316</v>
      </c>
      <c r="C725" s="14" t="s">
        <v>2572</v>
      </c>
      <c r="D725" s="14">
        <v>100.0</v>
      </c>
      <c r="E725" s="14" t="s">
        <v>318</v>
      </c>
      <c r="F725" s="14" t="s">
        <v>2573</v>
      </c>
      <c r="G725" s="14" t="s">
        <v>2574</v>
      </c>
      <c r="H725" s="13"/>
      <c r="I725" s="13"/>
      <c r="J725" s="13"/>
      <c r="K725" s="13"/>
      <c r="L725" s="13"/>
      <c r="M725" s="13"/>
      <c r="N725" s="13"/>
      <c r="O725" s="13"/>
      <c r="P725" s="13"/>
      <c r="Q725" s="13"/>
      <c r="R725" s="13"/>
      <c r="S725" s="13"/>
    </row>
    <row r="726" ht="15.75" customHeight="1">
      <c r="A726" s="14" t="s">
        <v>2575</v>
      </c>
      <c r="B726" s="14" t="s">
        <v>316</v>
      </c>
      <c r="C726" s="14" t="s">
        <v>2576</v>
      </c>
      <c r="D726" s="14">
        <v>100.0</v>
      </c>
      <c r="E726" s="14" t="s">
        <v>318</v>
      </c>
      <c r="F726" s="14" t="s">
        <v>2577</v>
      </c>
      <c r="G726" s="14" t="s">
        <v>2578</v>
      </c>
      <c r="H726" s="13"/>
      <c r="I726" s="13"/>
      <c r="J726" s="13"/>
      <c r="K726" s="13"/>
      <c r="L726" s="13"/>
      <c r="M726" s="13"/>
      <c r="N726" s="13"/>
      <c r="O726" s="13"/>
      <c r="P726" s="13"/>
      <c r="Q726" s="13"/>
      <c r="R726" s="13"/>
      <c r="S726" s="13"/>
    </row>
    <row r="727" ht="15.75" customHeight="1">
      <c r="A727" s="14" t="s">
        <v>2579</v>
      </c>
      <c r="B727" s="14" t="s">
        <v>316</v>
      </c>
      <c r="C727" s="14" t="s">
        <v>2580</v>
      </c>
      <c r="D727" s="14">
        <v>100.0</v>
      </c>
      <c r="E727" s="14" t="s">
        <v>318</v>
      </c>
      <c r="F727" s="14" t="s">
        <v>1047</v>
      </c>
      <c r="G727" s="14" t="s">
        <v>2581</v>
      </c>
      <c r="H727" s="13"/>
      <c r="I727" s="13"/>
      <c r="J727" s="13"/>
      <c r="K727" s="13"/>
      <c r="L727" s="13"/>
      <c r="M727" s="13"/>
      <c r="N727" s="13"/>
      <c r="O727" s="13"/>
      <c r="P727" s="13"/>
      <c r="Q727" s="13"/>
      <c r="R727" s="13"/>
      <c r="S727" s="13"/>
    </row>
    <row r="728" ht="15.75" customHeight="1">
      <c r="A728" s="14" t="s">
        <v>2582</v>
      </c>
      <c r="B728" s="14" t="s">
        <v>316</v>
      </c>
      <c r="C728" s="14" t="s">
        <v>2583</v>
      </c>
      <c r="D728" s="14">
        <v>100.0</v>
      </c>
      <c r="E728" s="14" t="s">
        <v>318</v>
      </c>
      <c r="F728" s="14" t="s">
        <v>850</v>
      </c>
      <c r="G728" s="14" t="s">
        <v>2584</v>
      </c>
      <c r="H728" s="13"/>
      <c r="I728" s="13"/>
      <c r="J728" s="13"/>
      <c r="K728" s="13"/>
      <c r="L728" s="13"/>
      <c r="M728" s="13"/>
      <c r="N728" s="13"/>
      <c r="O728" s="13"/>
      <c r="P728" s="13"/>
      <c r="Q728" s="13"/>
      <c r="R728" s="13"/>
      <c r="S728" s="13"/>
    </row>
    <row r="729" ht="15.75" customHeight="1">
      <c r="A729" s="14" t="s">
        <v>2585</v>
      </c>
      <c r="B729" s="14" t="s">
        <v>316</v>
      </c>
      <c r="C729" s="14" t="s">
        <v>2586</v>
      </c>
      <c r="D729" s="14">
        <v>100.0</v>
      </c>
      <c r="E729" s="14" t="s">
        <v>318</v>
      </c>
      <c r="F729" s="14" t="s">
        <v>2587</v>
      </c>
      <c r="G729" s="14" t="s">
        <v>2588</v>
      </c>
      <c r="H729" s="13"/>
      <c r="I729" s="13"/>
      <c r="J729" s="13"/>
      <c r="K729" s="13"/>
      <c r="L729" s="13"/>
      <c r="M729" s="13"/>
      <c r="N729" s="13"/>
      <c r="O729" s="13"/>
      <c r="P729" s="13"/>
      <c r="Q729" s="13"/>
      <c r="R729" s="13"/>
      <c r="S729" s="13"/>
    </row>
    <row r="730" ht="15.75" customHeight="1">
      <c r="A730" s="14" t="s">
        <v>2589</v>
      </c>
      <c r="B730" s="14" t="s">
        <v>316</v>
      </c>
      <c r="C730" s="14" t="s">
        <v>2590</v>
      </c>
      <c r="D730" s="14">
        <v>100.0</v>
      </c>
      <c r="E730" s="14" t="s">
        <v>318</v>
      </c>
      <c r="F730" s="14" t="s">
        <v>2591</v>
      </c>
      <c r="G730" s="14" t="s">
        <v>2592</v>
      </c>
      <c r="H730" s="13"/>
      <c r="I730" s="13"/>
      <c r="J730" s="13"/>
      <c r="K730" s="13"/>
      <c r="L730" s="13"/>
      <c r="M730" s="13"/>
      <c r="N730" s="13"/>
      <c r="O730" s="13"/>
      <c r="P730" s="13"/>
      <c r="Q730" s="13"/>
      <c r="R730" s="13"/>
      <c r="S730" s="13"/>
    </row>
    <row r="731" ht="15.75" customHeight="1">
      <c r="A731" s="14" t="s">
        <v>2593</v>
      </c>
      <c r="B731" s="14" t="s">
        <v>316</v>
      </c>
      <c r="C731" s="14" t="s">
        <v>2594</v>
      </c>
      <c r="D731" s="14">
        <v>100.0</v>
      </c>
      <c r="E731" s="14" t="s">
        <v>318</v>
      </c>
      <c r="F731" s="14" t="s">
        <v>2595</v>
      </c>
      <c r="G731" s="14" t="s">
        <v>2596</v>
      </c>
      <c r="H731" s="13"/>
      <c r="I731" s="13"/>
      <c r="J731" s="13"/>
      <c r="K731" s="13"/>
      <c r="L731" s="13"/>
      <c r="M731" s="13"/>
      <c r="N731" s="13"/>
      <c r="O731" s="13"/>
      <c r="P731" s="13"/>
      <c r="Q731" s="13"/>
      <c r="R731" s="13"/>
      <c r="S731" s="13"/>
    </row>
    <row r="732" ht="15.75" customHeight="1">
      <c r="A732" s="14" t="s">
        <v>2597</v>
      </c>
      <c r="B732" s="14" t="s">
        <v>316</v>
      </c>
      <c r="C732" s="14" t="s">
        <v>2598</v>
      </c>
      <c r="D732" s="14">
        <v>100.0</v>
      </c>
      <c r="E732" s="14" t="s">
        <v>318</v>
      </c>
      <c r="F732" s="14" t="s">
        <v>988</v>
      </c>
      <c r="G732" s="14" t="s">
        <v>2599</v>
      </c>
      <c r="H732" s="13"/>
      <c r="I732" s="13"/>
      <c r="J732" s="13"/>
      <c r="K732" s="13"/>
      <c r="L732" s="13"/>
      <c r="M732" s="13"/>
      <c r="N732" s="13"/>
      <c r="O732" s="13"/>
      <c r="P732" s="13"/>
      <c r="Q732" s="13"/>
      <c r="R732" s="13"/>
      <c r="S732" s="13"/>
    </row>
    <row r="733" ht="15.75" customHeight="1">
      <c r="A733" s="14" t="s">
        <v>2600</v>
      </c>
      <c r="B733" s="14" t="s">
        <v>316</v>
      </c>
      <c r="C733" s="14" t="s">
        <v>2601</v>
      </c>
      <c r="D733" s="14">
        <v>100.0</v>
      </c>
      <c r="E733" s="14" t="s">
        <v>318</v>
      </c>
      <c r="F733" s="14" t="s">
        <v>2602</v>
      </c>
      <c r="G733" s="14" t="s">
        <v>2603</v>
      </c>
      <c r="H733" s="13"/>
      <c r="I733" s="13"/>
      <c r="J733" s="13"/>
      <c r="K733" s="13"/>
      <c r="L733" s="13"/>
      <c r="M733" s="13"/>
      <c r="N733" s="13"/>
      <c r="O733" s="13"/>
      <c r="P733" s="13"/>
      <c r="Q733" s="13"/>
      <c r="R733" s="13"/>
      <c r="S733" s="13"/>
    </row>
    <row r="734" ht="15.75" customHeight="1">
      <c r="A734" s="14" t="s">
        <v>2604</v>
      </c>
      <c r="B734" s="14" t="s">
        <v>316</v>
      </c>
      <c r="C734" s="14" t="s">
        <v>2605</v>
      </c>
      <c r="D734" s="14">
        <v>100.0</v>
      </c>
      <c r="E734" s="14" t="s">
        <v>318</v>
      </c>
      <c r="F734" s="14" t="s">
        <v>2606</v>
      </c>
      <c r="G734" s="14" t="s">
        <v>2607</v>
      </c>
      <c r="H734" s="13"/>
      <c r="I734" s="13"/>
      <c r="J734" s="13"/>
      <c r="K734" s="13"/>
      <c r="L734" s="13"/>
      <c r="M734" s="13"/>
      <c r="N734" s="13"/>
      <c r="O734" s="13"/>
      <c r="P734" s="13"/>
      <c r="Q734" s="13"/>
      <c r="R734" s="13"/>
      <c r="S734" s="13"/>
    </row>
    <row r="735" ht="15.75" customHeight="1">
      <c r="A735" s="14" t="s">
        <v>2608</v>
      </c>
      <c r="B735" s="14" t="s">
        <v>316</v>
      </c>
      <c r="C735" s="14" t="s">
        <v>2609</v>
      </c>
      <c r="D735" s="14">
        <v>100.0</v>
      </c>
      <c r="E735" s="14" t="s">
        <v>318</v>
      </c>
      <c r="F735" s="14" t="s">
        <v>2610</v>
      </c>
      <c r="G735" s="14" t="s">
        <v>2611</v>
      </c>
      <c r="H735" s="13"/>
      <c r="I735" s="13"/>
      <c r="J735" s="13"/>
      <c r="K735" s="13"/>
      <c r="L735" s="13"/>
      <c r="M735" s="13"/>
      <c r="N735" s="13"/>
      <c r="O735" s="13"/>
      <c r="P735" s="13"/>
      <c r="Q735" s="13"/>
      <c r="R735" s="13"/>
      <c r="S735" s="13"/>
    </row>
    <row r="736" ht="15.75" customHeight="1">
      <c r="A736" s="14" t="s">
        <v>2612</v>
      </c>
      <c r="B736" s="14" t="s">
        <v>316</v>
      </c>
      <c r="C736" s="14" t="s">
        <v>2613</v>
      </c>
      <c r="D736" s="14">
        <v>100.0</v>
      </c>
      <c r="E736" s="14" t="s">
        <v>318</v>
      </c>
      <c r="F736" s="14" t="s">
        <v>755</v>
      </c>
      <c r="G736" s="14" t="s">
        <v>2614</v>
      </c>
      <c r="H736" s="13"/>
      <c r="I736" s="13"/>
      <c r="J736" s="13"/>
      <c r="K736" s="13"/>
      <c r="L736" s="13"/>
      <c r="M736" s="13"/>
      <c r="N736" s="13"/>
      <c r="O736" s="13"/>
      <c r="P736" s="13"/>
      <c r="Q736" s="13"/>
      <c r="R736" s="13"/>
      <c r="S736" s="13"/>
    </row>
    <row r="737" ht="15.75" customHeight="1">
      <c r="A737" s="14" t="s">
        <v>2615</v>
      </c>
      <c r="B737" s="14" t="s">
        <v>316</v>
      </c>
      <c r="C737" s="14" t="s">
        <v>2616</v>
      </c>
      <c r="D737" s="14">
        <v>100.0</v>
      </c>
      <c r="E737" s="14" t="s">
        <v>318</v>
      </c>
      <c r="F737" s="14" t="s">
        <v>2617</v>
      </c>
      <c r="G737" s="14" t="s">
        <v>2618</v>
      </c>
      <c r="H737" s="13"/>
      <c r="I737" s="13"/>
      <c r="J737" s="13"/>
      <c r="K737" s="13"/>
      <c r="L737" s="13"/>
      <c r="M737" s="13"/>
      <c r="N737" s="13"/>
      <c r="O737" s="13"/>
      <c r="P737" s="13"/>
      <c r="Q737" s="13"/>
      <c r="R737" s="13"/>
      <c r="S737" s="13"/>
    </row>
    <row r="738" ht="15.75" customHeight="1">
      <c r="A738" s="14" t="s">
        <v>2619</v>
      </c>
      <c r="B738" s="14" t="s">
        <v>316</v>
      </c>
      <c r="C738" s="14" t="s">
        <v>2620</v>
      </c>
      <c r="D738" s="14">
        <v>100.0</v>
      </c>
      <c r="E738" s="14" t="s">
        <v>318</v>
      </c>
      <c r="F738" s="14" t="s">
        <v>2621</v>
      </c>
      <c r="G738" s="14" t="s">
        <v>2622</v>
      </c>
      <c r="H738" s="13"/>
      <c r="I738" s="13"/>
      <c r="J738" s="13"/>
      <c r="K738" s="13"/>
      <c r="L738" s="13"/>
      <c r="M738" s="13"/>
      <c r="N738" s="13"/>
      <c r="O738" s="13"/>
      <c r="P738" s="13"/>
      <c r="Q738" s="13"/>
      <c r="R738" s="13"/>
      <c r="S738" s="13"/>
    </row>
    <row r="739" ht="15.75" customHeight="1">
      <c r="A739" s="14" t="s">
        <v>2623</v>
      </c>
      <c r="B739" s="14" t="s">
        <v>316</v>
      </c>
      <c r="C739" s="14" t="s">
        <v>2624</v>
      </c>
      <c r="D739" s="14">
        <v>100.0</v>
      </c>
      <c r="E739" s="14" t="s">
        <v>318</v>
      </c>
      <c r="F739" s="14" t="s">
        <v>2625</v>
      </c>
      <c r="G739" s="14" t="s">
        <v>2626</v>
      </c>
      <c r="H739" s="13"/>
      <c r="I739" s="13"/>
      <c r="J739" s="13"/>
      <c r="K739" s="13"/>
      <c r="L739" s="13"/>
      <c r="M739" s="13"/>
      <c r="N739" s="13"/>
      <c r="O739" s="13"/>
      <c r="P739" s="13"/>
      <c r="Q739" s="13"/>
      <c r="R739" s="13"/>
      <c r="S739" s="13"/>
    </row>
    <row r="740" ht="15.75" customHeight="1">
      <c r="A740" s="14" t="s">
        <v>2627</v>
      </c>
      <c r="B740" s="14" t="s">
        <v>316</v>
      </c>
      <c r="C740" s="14" t="s">
        <v>2628</v>
      </c>
      <c r="D740" s="14">
        <v>100.0</v>
      </c>
      <c r="E740" s="14" t="s">
        <v>318</v>
      </c>
      <c r="F740" s="14" t="s">
        <v>2629</v>
      </c>
      <c r="G740" s="14" t="s">
        <v>2630</v>
      </c>
      <c r="H740" s="13"/>
      <c r="I740" s="13"/>
      <c r="J740" s="13"/>
      <c r="K740" s="13"/>
      <c r="L740" s="13"/>
      <c r="M740" s="13"/>
      <c r="N740" s="13"/>
      <c r="O740" s="13"/>
      <c r="P740" s="13"/>
      <c r="Q740" s="13"/>
      <c r="R740" s="13"/>
      <c r="S740" s="13"/>
    </row>
    <row r="741" ht="15.75" customHeight="1">
      <c r="A741" s="14" t="s">
        <v>2631</v>
      </c>
      <c r="B741" s="14" t="s">
        <v>316</v>
      </c>
      <c r="C741" s="14" t="s">
        <v>2632</v>
      </c>
      <c r="D741" s="14">
        <v>100.0</v>
      </c>
      <c r="E741" s="14" t="s">
        <v>318</v>
      </c>
      <c r="F741" s="14" t="s">
        <v>2633</v>
      </c>
      <c r="G741" s="14" t="s">
        <v>2634</v>
      </c>
      <c r="H741" s="13"/>
      <c r="I741" s="13"/>
      <c r="J741" s="13"/>
      <c r="K741" s="13"/>
      <c r="L741" s="13"/>
      <c r="M741" s="13"/>
      <c r="N741" s="13"/>
      <c r="O741" s="13"/>
      <c r="P741" s="13"/>
      <c r="Q741" s="13"/>
      <c r="R741" s="13"/>
      <c r="S741" s="13"/>
    </row>
    <row r="742" ht="15.75" customHeight="1">
      <c r="A742" s="14" t="s">
        <v>2635</v>
      </c>
      <c r="B742" s="14" t="s">
        <v>316</v>
      </c>
      <c r="C742" s="14" t="s">
        <v>2636</v>
      </c>
      <c r="D742" s="14">
        <v>100.0</v>
      </c>
      <c r="E742" s="14" t="s">
        <v>318</v>
      </c>
      <c r="F742" s="14" t="s">
        <v>2637</v>
      </c>
      <c r="G742" s="14" t="s">
        <v>2638</v>
      </c>
      <c r="H742" s="13"/>
      <c r="I742" s="13"/>
      <c r="J742" s="13"/>
      <c r="K742" s="13"/>
      <c r="L742" s="13"/>
      <c r="M742" s="13"/>
      <c r="N742" s="13"/>
      <c r="O742" s="13"/>
      <c r="P742" s="13"/>
      <c r="Q742" s="13"/>
      <c r="R742" s="13"/>
      <c r="S742" s="13"/>
    </row>
    <row r="743" ht="15.75" customHeight="1">
      <c r="A743" s="14" t="s">
        <v>2639</v>
      </c>
      <c r="B743" s="14" t="s">
        <v>316</v>
      </c>
      <c r="C743" s="14" t="s">
        <v>2640</v>
      </c>
      <c r="D743" s="14">
        <v>100.0</v>
      </c>
      <c r="E743" s="14" t="s">
        <v>318</v>
      </c>
      <c r="F743" s="14" t="s">
        <v>2641</v>
      </c>
      <c r="G743" s="14" t="s">
        <v>2642</v>
      </c>
      <c r="H743" s="13"/>
      <c r="I743" s="13"/>
      <c r="J743" s="13"/>
      <c r="K743" s="13"/>
      <c r="L743" s="13"/>
      <c r="M743" s="13"/>
      <c r="N743" s="13"/>
      <c r="O743" s="13"/>
      <c r="P743" s="13"/>
      <c r="Q743" s="13"/>
      <c r="R743" s="13"/>
      <c r="S743" s="13"/>
    </row>
    <row r="744" ht="15.75" customHeight="1">
      <c r="A744" s="14" t="s">
        <v>2643</v>
      </c>
      <c r="B744" s="14" t="s">
        <v>316</v>
      </c>
      <c r="C744" s="14" t="s">
        <v>2644</v>
      </c>
      <c r="D744" s="14">
        <v>100.0</v>
      </c>
      <c r="E744" s="14" t="s">
        <v>318</v>
      </c>
      <c r="F744" s="14" t="s">
        <v>2645</v>
      </c>
      <c r="G744" s="14" t="s">
        <v>2646</v>
      </c>
      <c r="H744" s="13"/>
      <c r="I744" s="13"/>
      <c r="J744" s="13"/>
      <c r="K744" s="13"/>
      <c r="L744" s="13"/>
      <c r="M744" s="13"/>
      <c r="N744" s="13"/>
      <c r="O744" s="13"/>
      <c r="P744" s="13"/>
      <c r="Q744" s="13"/>
      <c r="R744" s="13"/>
      <c r="S744" s="13"/>
    </row>
    <row r="745" ht="15.75" customHeight="1">
      <c r="A745" s="14" t="s">
        <v>2647</v>
      </c>
      <c r="B745" s="14" t="s">
        <v>316</v>
      </c>
      <c r="C745" s="14" t="s">
        <v>2648</v>
      </c>
      <c r="D745" s="14">
        <v>100.0</v>
      </c>
      <c r="E745" s="14" t="s">
        <v>318</v>
      </c>
      <c r="F745" s="14" t="s">
        <v>2278</v>
      </c>
      <c r="G745" s="14" t="s">
        <v>2649</v>
      </c>
      <c r="H745" s="13"/>
      <c r="I745" s="13"/>
      <c r="J745" s="13"/>
      <c r="K745" s="13"/>
      <c r="L745" s="13"/>
      <c r="M745" s="13"/>
      <c r="N745" s="13"/>
      <c r="O745" s="13"/>
      <c r="P745" s="13"/>
      <c r="Q745" s="13"/>
      <c r="R745" s="13"/>
      <c r="S745" s="13"/>
    </row>
    <row r="746" ht="15.75" customHeight="1">
      <c r="A746" s="14" t="s">
        <v>2650</v>
      </c>
      <c r="B746" s="14" t="s">
        <v>316</v>
      </c>
      <c r="C746" s="14" t="s">
        <v>2651</v>
      </c>
      <c r="D746" s="14">
        <v>100.0</v>
      </c>
      <c r="E746" s="14" t="s">
        <v>318</v>
      </c>
      <c r="F746" s="14" t="s">
        <v>2652</v>
      </c>
      <c r="G746" s="14" t="s">
        <v>2653</v>
      </c>
      <c r="H746" s="13"/>
      <c r="I746" s="13"/>
      <c r="J746" s="13"/>
      <c r="K746" s="13"/>
      <c r="L746" s="13"/>
      <c r="M746" s="13"/>
      <c r="N746" s="13"/>
      <c r="O746" s="13"/>
      <c r="P746" s="13"/>
      <c r="Q746" s="13"/>
      <c r="R746" s="13"/>
      <c r="S746" s="13"/>
    </row>
    <row r="747" ht="15.75" customHeight="1">
      <c r="A747" s="14" t="s">
        <v>2654</v>
      </c>
      <c r="B747" s="14" t="s">
        <v>316</v>
      </c>
      <c r="C747" s="14" t="s">
        <v>2655</v>
      </c>
      <c r="D747" s="14">
        <v>100.0</v>
      </c>
      <c r="E747" s="14" t="s">
        <v>318</v>
      </c>
      <c r="F747" s="14" t="s">
        <v>2656</v>
      </c>
      <c r="G747" s="14" t="s">
        <v>2657</v>
      </c>
      <c r="H747" s="13"/>
      <c r="I747" s="13"/>
      <c r="J747" s="13"/>
      <c r="K747" s="13"/>
      <c r="L747" s="13"/>
      <c r="M747" s="13"/>
      <c r="N747" s="13"/>
      <c r="O747" s="13"/>
      <c r="P747" s="13"/>
      <c r="Q747" s="13"/>
      <c r="R747" s="13"/>
      <c r="S747" s="13"/>
    </row>
    <row r="748" ht="15.75" customHeight="1">
      <c r="A748" s="14" t="s">
        <v>2658</v>
      </c>
      <c r="B748" s="14" t="s">
        <v>316</v>
      </c>
      <c r="C748" s="14" t="s">
        <v>2659</v>
      </c>
      <c r="D748" s="14">
        <v>100.0</v>
      </c>
      <c r="E748" s="14" t="s">
        <v>318</v>
      </c>
      <c r="F748" s="14" t="s">
        <v>2660</v>
      </c>
      <c r="G748" s="14" t="s">
        <v>2661</v>
      </c>
      <c r="H748" s="13"/>
      <c r="I748" s="13"/>
      <c r="J748" s="13"/>
      <c r="K748" s="13"/>
      <c r="L748" s="13"/>
      <c r="M748" s="13"/>
      <c r="N748" s="13"/>
      <c r="O748" s="13"/>
      <c r="P748" s="13"/>
      <c r="Q748" s="13"/>
      <c r="R748" s="13"/>
      <c r="S748" s="13"/>
    </row>
    <row r="749" ht="15.75" customHeight="1">
      <c r="A749" s="14" t="s">
        <v>2662</v>
      </c>
      <c r="B749" s="14" t="s">
        <v>316</v>
      </c>
      <c r="C749" s="14" t="s">
        <v>2663</v>
      </c>
      <c r="D749" s="14">
        <v>100.0</v>
      </c>
      <c r="E749" s="14" t="s">
        <v>318</v>
      </c>
      <c r="F749" s="14" t="s">
        <v>2664</v>
      </c>
      <c r="G749" s="14" t="s">
        <v>2665</v>
      </c>
      <c r="H749" s="13"/>
      <c r="I749" s="13"/>
      <c r="J749" s="13"/>
      <c r="K749" s="13"/>
      <c r="L749" s="13"/>
      <c r="M749" s="13"/>
      <c r="N749" s="13"/>
      <c r="O749" s="13"/>
      <c r="P749" s="13"/>
      <c r="Q749" s="13"/>
      <c r="R749" s="13"/>
      <c r="S749" s="13"/>
    </row>
    <row r="750" ht="15.75" customHeight="1">
      <c r="A750" s="14" t="s">
        <v>2666</v>
      </c>
      <c r="B750" s="14" t="s">
        <v>316</v>
      </c>
      <c r="C750" s="14" t="s">
        <v>2667</v>
      </c>
      <c r="D750" s="14">
        <v>100.0</v>
      </c>
      <c r="E750" s="14" t="s">
        <v>318</v>
      </c>
      <c r="F750" s="14" t="s">
        <v>2668</v>
      </c>
      <c r="G750" s="14" t="s">
        <v>2669</v>
      </c>
      <c r="H750" s="13"/>
      <c r="I750" s="13"/>
      <c r="J750" s="13"/>
      <c r="K750" s="13"/>
      <c r="L750" s="13"/>
      <c r="M750" s="13"/>
      <c r="N750" s="13"/>
      <c r="O750" s="13"/>
      <c r="P750" s="13"/>
      <c r="Q750" s="13"/>
      <c r="R750" s="13"/>
      <c r="S750" s="13"/>
    </row>
    <row r="751" ht="15.75" customHeight="1">
      <c r="A751" s="14" t="s">
        <v>2670</v>
      </c>
      <c r="B751" s="14" t="s">
        <v>316</v>
      </c>
      <c r="C751" s="14" t="s">
        <v>2671</v>
      </c>
      <c r="D751" s="14">
        <v>100.0</v>
      </c>
      <c r="E751" s="14" t="s">
        <v>318</v>
      </c>
      <c r="F751" s="14" t="s">
        <v>2672</v>
      </c>
      <c r="G751" s="14" t="s">
        <v>2673</v>
      </c>
      <c r="H751" s="13"/>
      <c r="I751" s="13"/>
      <c r="J751" s="13"/>
      <c r="K751" s="13"/>
      <c r="L751" s="13"/>
      <c r="M751" s="13"/>
      <c r="N751" s="13"/>
      <c r="O751" s="13"/>
      <c r="P751" s="13"/>
      <c r="Q751" s="13"/>
      <c r="R751" s="13"/>
      <c r="S751" s="13"/>
    </row>
    <row r="752" ht="15.75" customHeight="1">
      <c r="A752" s="14" t="s">
        <v>2674</v>
      </c>
      <c r="B752" s="14" t="s">
        <v>316</v>
      </c>
      <c r="C752" s="14" t="s">
        <v>2675</v>
      </c>
      <c r="D752" s="14">
        <v>100.0</v>
      </c>
      <c r="E752" s="14" t="s">
        <v>318</v>
      </c>
      <c r="F752" s="14" t="s">
        <v>2676</v>
      </c>
      <c r="G752" s="14" t="s">
        <v>2677</v>
      </c>
      <c r="H752" s="13"/>
      <c r="I752" s="13"/>
      <c r="J752" s="13"/>
      <c r="K752" s="13"/>
      <c r="L752" s="13"/>
      <c r="M752" s="13"/>
      <c r="N752" s="13"/>
      <c r="O752" s="13"/>
      <c r="P752" s="13"/>
      <c r="Q752" s="13"/>
      <c r="R752" s="13"/>
      <c r="S752" s="13"/>
    </row>
    <row r="753" ht="15.75" customHeight="1">
      <c r="A753" s="14" t="s">
        <v>2678</v>
      </c>
      <c r="B753" s="14" t="s">
        <v>316</v>
      </c>
      <c r="C753" s="14" t="s">
        <v>2679</v>
      </c>
      <c r="D753" s="14">
        <v>100.0</v>
      </c>
      <c r="E753" s="14" t="s">
        <v>318</v>
      </c>
      <c r="F753" s="14" t="s">
        <v>637</v>
      </c>
      <c r="G753" s="14" t="s">
        <v>2680</v>
      </c>
      <c r="H753" s="13"/>
      <c r="I753" s="13"/>
      <c r="J753" s="13"/>
      <c r="K753" s="13"/>
      <c r="L753" s="13"/>
      <c r="M753" s="13"/>
      <c r="N753" s="13"/>
      <c r="O753" s="13"/>
      <c r="P753" s="13"/>
      <c r="Q753" s="13"/>
      <c r="R753" s="13"/>
      <c r="S753" s="13"/>
    </row>
    <row r="754" ht="15.75" customHeight="1">
      <c r="A754" s="14" t="s">
        <v>2681</v>
      </c>
      <c r="B754" s="14" t="s">
        <v>316</v>
      </c>
      <c r="C754" s="14" t="s">
        <v>2682</v>
      </c>
      <c r="D754" s="14">
        <v>100.0</v>
      </c>
      <c r="E754" s="14" t="s">
        <v>318</v>
      </c>
      <c r="F754" s="14" t="s">
        <v>1836</v>
      </c>
      <c r="G754" s="14" t="s">
        <v>2683</v>
      </c>
      <c r="H754" s="13"/>
      <c r="I754" s="13"/>
      <c r="J754" s="13"/>
      <c r="K754" s="13"/>
      <c r="L754" s="13"/>
      <c r="M754" s="13"/>
      <c r="N754" s="13"/>
      <c r="O754" s="13"/>
      <c r="P754" s="13"/>
      <c r="Q754" s="13"/>
      <c r="R754" s="13"/>
      <c r="S754" s="13"/>
    </row>
    <row r="755" ht="15.75" customHeight="1">
      <c r="A755" s="14" t="s">
        <v>2684</v>
      </c>
      <c r="B755" s="14" t="s">
        <v>316</v>
      </c>
      <c r="C755" s="14" t="s">
        <v>2685</v>
      </c>
      <c r="D755" s="14">
        <v>100.0</v>
      </c>
      <c r="E755" s="14" t="s">
        <v>318</v>
      </c>
      <c r="F755" s="14" t="s">
        <v>2686</v>
      </c>
      <c r="G755" s="14"/>
      <c r="H755" s="13"/>
      <c r="I755" s="13"/>
      <c r="J755" s="13"/>
      <c r="K755" s="13"/>
      <c r="L755" s="13"/>
      <c r="M755" s="13"/>
      <c r="N755" s="13"/>
      <c r="O755" s="13"/>
      <c r="P755" s="13"/>
      <c r="Q755" s="13"/>
      <c r="R755" s="13"/>
      <c r="S755" s="13"/>
    </row>
    <row r="756" ht="15.75" customHeight="1">
      <c r="A756" s="14" t="s">
        <v>1614</v>
      </c>
      <c r="B756" s="14" t="s">
        <v>2687</v>
      </c>
      <c r="C756" s="14"/>
      <c r="D756" s="14"/>
      <c r="E756" s="14"/>
      <c r="F756" s="14"/>
      <c r="G756" s="14"/>
      <c r="H756" s="13"/>
      <c r="I756" s="13"/>
      <c r="J756" s="13"/>
      <c r="K756" s="13"/>
      <c r="L756" s="13"/>
      <c r="M756" s="13"/>
      <c r="N756" s="13"/>
      <c r="O756" s="13"/>
      <c r="P756" s="13"/>
      <c r="Q756" s="13"/>
      <c r="R756" s="13"/>
      <c r="S756" s="13"/>
    </row>
    <row r="757" ht="15.75" customHeight="1">
      <c r="A757" s="14" t="s">
        <v>2688</v>
      </c>
      <c r="B757" s="14" t="s">
        <v>316</v>
      </c>
      <c r="C757" s="14" t="s">
        <v>2689</v>
      </c>
      <c r="D757" s="14">
        <v>100.0</v>
      </c>
      <c r="E757" s="14" t="s">
        <v>318</v>
      </c>
      <c r="F757" s="14" t="s">
        <v>2690</v>
      </c>
      <c r="G757" s="14" t="s">
        <v>2691</v>
      </c>
      <c r="H757" s="13"/>
      <c r="I757" s="13"/>
      <c r="J757" s="13"/>
      <c r="K757" s="13"/>
      <c r="L757" s="13"/>
      <c r="M757" s="13"/>
      <c r="N757" s="13"/>
      <c r="O757" s="13"/>
      <c r="P757" s="13"/>
      <c r="Q757" s="13"/>
      <c r="R757" s="13"/>
      <c r="S757" s="13"/>
    </row>
    <row r="758" ht="15.75" customHeight="1">
      <c r="A758" s="14" t="s">
        <v>2692</v>
      </c>
      <c r="B758" s="14" t="s">
        <v>316</v>
      </c>
      <c r="C758" s="14" t="s">
        <v>2693</v>
      </c>
      <c r="D758" s="14">
        <v>100.0</v>
      </c>
      <c r="E758" s="14" t="s">
        <v>318</v>
      </c>
      <c r="F758" s="14" t="s">
        <v>2694</v>
      </c>
      <c r="G758" s="14" t="s">
        <v>2695</v>
      </c>
      <c r="H758" s="13"/>
      <c r="I758" s="13"/>
      <c r="J758" s="13"/>
      <c r="K758" s="13"/>
      <c r="L758" s="13"/>
      <c r="M758" s="13"/>
      <c r="N758" s="13"/>
      <c r="O758" s="13"/>
      <c r="P758" s="13"/>
      <c r="Q758" s="13"/>
      <c r="R758" s="13"/>
      <c r="S758" s="13"/>
    </row>
    <row r="759" ht="15.75" customHeight="1">
      <c r="A759" s="14" t="s">
        <v>2696</v>
      </c>
      <c r="B759" s="14" t="s">
        <v>316</v>
      </c>
      <c r="C759" s="14" t="s">
        <v>2697</v>
      </c>
      <c r="D759" s="14">
        <v>100.0</v>
      </c>
      <c r="E759" s="14" t="s">
        <v>318</v>
      </c>
      <c r="F759" s="14" t="s">
        <v>2698</v>
      </c>
      <c r="G759" s="14" t="s">
        <v>2699</v>
      </c>
      <c r="H759" s="13"/>
      <c r="I759" s="13"/>
      <c r="J759" s="13"/>
      <c r="K759" s="13"/>
      <c r="L759" s="13"/>
      <c r="M759" s="13"/>
      <c r="N759" s="13"/>
      <c r="O759" s="13"/>
      <c r="P759" s="13"/>
      <c r="Q759" s="13"/>
      <c r="R759" s="13"/>
      <c r="S759" s="13"/>
    </row>
    <row r="760" ht="15.75" customHeight="1">
      <c r="A760" s="14" t="s">
        <v>2700</v>
      </c>
      <c r="B760" s="14" t="s">
        <v>316</v>
      </c>
      <c r="C760" s="14" t="s">
        <v>2701</v>
      </c>
      <c r="D760" s="14">
        <v>100.0</v>
      </c>
      <c r="E760" s="14" t="s">
        <v>318</v>
      </c>
      <c r="F760" s="14" t="s">
        <v>595</v>
      </c>
      <c r="G760" s="14" t="s">
        <v>2702</v>
      </c>
      <c r="H760" s="13"/>
      <c r="I760" s="13"/>
      <c r="J760" s="13"/>
      <c r="K760" s="13"/>
      <c r="L760" s="13"/>
      <c r="M760" s="13"/>
      <c r="N760" s="13"/>
      <c r="O760" s="13"/>
      <c r="P760" s="13"/>
      <c r="Q760" s="13"/>
      <c r="R760" s="13"/>
      <c r="S760" s="13"/>
    </row>
    <row r="761" ht="15.75" customHeight="1">
      <c r="A761" s="14" t="s">
        <v>2703</v>
      </c>
      <c r="B761" s="14" t="s">
        <v>316</v>
      </c>
      <c r="C761" s="14" t="s">
        <v>2704</v>
      </c>
      <c r="D761" s="14">
        <v>100.0</v>
      </c>
      <c r="E761" s="14" t="s">
        <v>318</v>
      </c>
      <c r="F761" s="14" t="s">
        <v>2705</v>
      </c>
      <c r="G761" s="14" t="s">
        <v>2706</v>
      </c>
      <c r="H761" s="13"/>
      <c r="I761" s="13"/>
      <c r="J761" s="13"/>
      <c r="K761" s="13"/>
      <c r="L761" s="13"/>
      <c r="M761" s="13"/>
      <c r="N761" s="13"/>
      <c r="O761" s="13"/>
      <c r="P761" s="13"/>
      <c r="Q761" s="13"/>
      <c r="R761" s="13"/>
      <c r="S761" s="13"/>
    </row>
    <row r="762" ht="15.75" customHeight="1">
      <c r="A762" s="14" t="s">
        <v>2707</v>
      </c>
      <c r="B762" s="14" t="s">
        <v>316</v>
      </c>
      <c r="C762" s="14" t="s">
        <v>2708</v>
      </c>
      <c r="D762" s="14">
        <v>100.0</v>
      </c>
      <c r="E762" s="14" t="s">
        <v>318</v>
      </c>
      <c r="F762" s="14" t="s">
        <v>2709</v>
      </c>
      <c r="G762" s="14" t="s">
        <v>2710</v>
      </c>
      <c r="H762" s="13"/>
      <c r="I762" s="13"/>
      <c r="J762" s="13"/>
      <c r="K762" s="13"/>
      <c r="L762" s="13"/>
      <c r="M762" s="13"/>
      <c r="N762" s="13"/>
      <c r="O762" s="13"/>
      <c r="P762" s="13"/>
      <c r="Q762" s="13"/>
      <c r="R762" s="13"/>
      <c r="S762" s="13"/>
    </row>
    <row r="763" ht="15.75" customHeight="1">
      <c r="A763" s="14" t="s">
        <v>2711</v>
      </c>
      <c r="B763" s="14" t="s">
        <v>316</v>
      </c>
      <c r="C763" s="14" t="s">
        <v>2712</v>
      </c>
      <c r="D763" s="14">
        <v>100.0</v>
      </c>
      <c r="E763" s="14" t="s">
        <v>318</v>
      </c>
      <c r="F763" s="14" t="s">
        <v>2713</v>
      </c>
      <c r="G763" s="14" t="s">
        <v>2714</v>
      </c>
      <c r="H763" s="13"/>
      <c r="I763" s="13"/>
      <c r="J763" s="13"/>
      <c r="K763" s="13"/>
      <c r="L763" s="13"/>
      <c r="M763" s="13"/>
      <c r="N763" s="13"/>
      <c r="O763" s="13"/>
      <c r="P763" s="13"/>
      <c r="Q763" s="13"/>
      <c r="R763" s="13"/>
      <c r="S763" s="13"/>
    </row>
    <row r="764" ht="15.75" customHeight="1">
      <c r="A764" s="14" t="s">
        <v>2715</v>
      </c>
      <c r="B764" s="14" t="s">
        <v>316</v>
      </c>
      <c r="C764" s="14" t="s">
        <v>2716</v>
      </c>
      <c r="D764" s="14">
        <v>100.0</v>
      </c>
      <c r="E764" s="14" t="s">
        <v>318</v>
      </c>
      <c r="F764" s="14" t="s">
        <v>595</v>
      </c>
      <c r="G764" s="14" t="s">
        <v>2717</v>
      </c>
      <c r="H764" s="13"/>
      <c r="I764" s="13"/>
      <c r="J764" s="13"/>
      <c r="K764" s="13"/>
      <c r="L764" s="13"/>
      <c r="M764" s="13"/>
      <c r="N764" s="13"/>
      <c r="O764" s="13"/>
      <c r="P764" s="13"/>
      <c r="Q764" s="13"/>
      <c r="R764" s="13"/>
      <c r="S764" s="13"/>
    </row>
    <row r="765" ht="15.75" customHeight="1">
      <c r="A765" s="14" t="s">
        <v>2718</v>
      </c>
      <c r="B765" s="14" t="s">
        <v>316</v>
      </c>
      <c r="C765" s="14" t="s">
        <v>2719</v>
      </c>
      <c r="D765" s="14">
        <v>100.0</v>
      </c>
      <c r="E765" s="14" t="s">
        <v>318</v>
      </c>
      <c r="F765" s="14" t="s">
        <v>595</v>
      </c>
      <c r="G765" s="14" t="s">
        <v>2720</v>
      </c>
      <c r="H765" s="13"/>
      <c r="I765" s="13"/>
      <c r="J765" s="13"/>
      <c r="K765" s="13"/>
      <c r="L765" s="13"/>
      <c r="M765" s="13"/>
      <c r="N765" s="13"/>
      <c r="O765" s="13"/>
      <c r="P765" s="13"/>
      <c r="Q765" s="13"/>
      <c r="R765" s="13"/>
      <c r="S765" s="13"/>
    </row>
    <row r="766" ht="15.75" customHeight="1">
      <c r="A766" s="14" t="s">
        <v>2721</v>
      </c>
      <c r="B766" s="14" t="s">
        <v>316</v>
      </c>
      <c r="C766" s="14" t="s">
        <v>2722</v>
      </c>
      <c r="D766" s="14">
        <v>100.0</v>
      </c>
      <c r="E766" s="14" t="s">
        <v>318</v>
      </c>
      <c r="F766" s="14" t="s">
        <v>595</v>
      </c>
      <c r="G766" s="14" t="s">
        <v>2723</v>
      </c>
      <c r="H766" s="13"/>
      <c r="I766" s="13"/>
      <c r="J766" s="13"/>
      <c r="K766" s="13"/>
      <c r="L766" s="13"/>
      <c r="M766" s="13"/>
      <c r="N766" s="13"/>
      <c r="O766" s="13"/>
      <c r="P766" s="13"/>
      <c r="Q766" s="13"/>
      <c r="R766" s="13"/>
      <c r="S766" s="13"/>
    </row>
    <row r="767" ht="15.75" customHeight="1">
      <c r="A767" s="14" t="s">
        <v>2724</v>
      </c>
      <c r="B767" s="14" t="s">
        <v>316</v>
      </c>
      <c r="C767" s="14" t="s">
        <v>2725</v>
      </c>
      <c r="D767" s="14">
        <v>100.0</v>
      </c>
      <c r="E767" s="14" t="s">
        <v>318</v>
      </c>
      <c r="F767" s="14" t="s">
        <v>595</v>
      </c>
      <c r="G767" s="14" t="s">
        <v>2726</v>
      </c>
      <c r="H767" s="13"/>
      <c r="I767" s="13"/>
      <c r="J767" s="13"/>
      <c r="K767" s="13"/>
      <c r="L767" s="13"/>
      <c r="M767" s="13"/>
      <c r="N767" s="13"/>
      <c r="O767" s="13"/>
      <c r="P767" s="13"/>
      <c r="Q767" s="13"/>
      <c r="R767" s="13"/>
      <c r="S767" s="13"/>
    </row>
    <row r="768" ht="15.75" customHeight="1">
      <c r="A768" s="14" t="s">
        <v>2727</v>
      </c>
      <c r="B768" s="14" t="s">
        <v>316</v>
      </c>
      <c r="C768" s="14" t="s">
        <v>2728</v>
      </c>
      <c r="D768" s="14">
        <v>100.0</v>
      </c>
      <c r="E768" s="14" t="s">
        <v>318</v>
      </c>
      <c r="F768" s="14" t="s">
        <v>2729</v>
      </c>
      <c r="G768" s="14" t="s">
        <v>2730</v>
      </c>
      <c r="H768" s="13"/>
      <c r="I768" s="13"/>
      <c r="J768" s="13"/>
      <c r="K768" s="13"/>
      <c r="L768" s="13"/>
      <c r="M768" s="13"/>
      <c r="N768" s="13"/>
      <c r="O768" s="13"/>
      <c r="P768" s="13"/>
      <c r="Q768" s="13"/>
      <c r="R768" s="13"/>
      <c r="S768" s="13"/>
    </row>
    <row r="769" ht="15.75" customHeight="1">
      <c r="A769" s="14" t="s">
        <v>2731</v>
      </c>
      <c r="B769" s="14" t="s">
        <v>316</v>
      </c>
      <c r="C769" s="14" t="s">
        <v>2732</v>
      </c>
      <c r="D769" s="14">
        <v>100.0</v>
      </c>
      <c r="E769" s="14" t="s">
        <v>318</v>
      </c>
      <c r="F769" s="14" t="s">
        <v>2733</v>
      </c>
      <c r="G769" s="14" t="s">
        <v>2734</v>
      </c>
      <c r="H769" s="13"/>
      <c r="I769" s="13"/>
      <c r="J769" s="13"/>
      <c r="K769" s="13"/>
      <c r="L769" s="13"/>
      <c r="M769" s="13"/>
      <c r="N769" s="13"/>
      <c r="O769" s="13"/>
      <c r="P769" s="13"/>
      <c r="Q769" s="13"/>
      <c r="R769" s="13"/>
      <c r="S769" s="13"/>
    </row>
    <row r="770" ht="15.75" customHeight="1">
      <c r="A770" s="14" t="s">
        <v>2735</v>
      </c>
      <c r="B770" s="14" t="s">
        <v>316</v>
      </c>
      <c r="C770" s="14" t="s">
        <v>2736</v>
      </c>
      <c r="D770" s="14">
        <v>100.0</v>
      </c>
      <c r="E770" s="14" t="s">
        <v>318</v>
      </c>
      <c r="F770" s="14" t="s">
        <v>2733</v>
      </c>
      <c r="G770" s="14" t="s">
        <v>2737</v>
      </c>
      <c r="H770" s="13"/>
      <c r="I770" s="13"/>
      <c r="J770" s="13"/>
      <c r="K770" s="13"/>
      <c r="L770" s="13"/>
      <c r="M770" s="13"/>
      <c r="N770" s="13"/>
      <c r="O770" s="13"/>
      <c r="P770" s="13"/>
      <c r="Q770" s="13"/>
      <c r="R770" s="13"/>
      <c r="S770" s="13"/>
    </row>
    <row r="771" ht="15.75" customHeight="1">
      <c r="A771" s="14" t="s">
        <v>2738</v>
      </c>
      <c r="B771" s="14" t="s">
        <v>316</v>
      </c>
      <c r="C771" s="14" t="s">
        <v>2739</v>
      </c>
      <c r="D771" s="14">
        <v>100.0</v>
      </c>
      <c r="E771" s="14" t="s">
        <v>318</v>
      </c>
      <c r="F771" s="14" t="s">
        <v>2740</v>
      </c>
      <c r="G771" s="14" t="s">
        <v>2741</v>
      </c>
      <c r="H771" s="13"/>
      <c r="I771" s="13"/>
      <c r="J771" s="13"/>
      <c r="K771" s="13"/>
      <c r="L771" s="13"/>
      <c r="M771" s="13"/>
      <c r="N771" s="13"/>
      <c r="O771" s="13"/>
      <c r="P771" s="13"/>
      <c r="Q771" s="13"/>
      <c r="R771" s="13"/>
      <c r="S771" s="13"/>
    </row>
    <row r="772" ht="15.75" customHeight="1">
      <c r="A772" s="14" t="s">
        <v>2742</v>
      </c>
      <c r="B772" s="14" t="s">
        <v>316</v>
      </c>
      <c r="C772" s="14" t="s">
        <v>2743</v>
      </c>
      <c r="D772" s="14">
        <v>100.0</v>
      </c>
      <c r="E772" s="14" t="s">
        <v>318</v>
      </c>
      <c r="F772" s="14" t="s">
        <v>2744</v>
      </c>
      <c r="G772" s="14" t="s">
        <v>2745</v>
      </c>
      <c r="H772" s="13"/>
      <c r="I772" s="13"/>
      <c r="J772" s="13"/>
      <c r="K772" s="13"/>
      <c r="L772" s="13"/>
      <c r="M772" s="13"/>
      <c r="N772" s="13"/>
      <c r="O772" s="13"/>
      <c r="P772" s="13"/>
      <c r="Q772" s="13"/>
      <c r="R772" s="13"/>
      <c r="S772" s="13"/>
    </row>
    <row r="773" ht="15.75" customHeight="1">
      <c r="A773" s="14" t="s">
        <v>2746</v>
      </c>
      <c r="B773" s="14" t="s">
        <v>316</v>
      </c>
      <c r="C773" s="14" t="s">
        <v>2747</v>
      </c>
      <c r="D773" s="14">
        <v>100.0</v>
      </c>
      <c r="E773" s="14" t="s">
        <v>318</v>
      </c>
      <c r="F773" s="14" t="s">
        <v>2748</v>
      </c>
      <c r="G773" s="14" t="s">
        <v>2749</v>
      </c>
      <c r="H773" s="13"/>
      <c r="I773" s="13"/>
      <c r="J773" s="13"/>
      <c r="K773" s="13"/>
      <c r="L773" s="13"/>
      <c r="M773" s="13"/>
      <c r="N773" s="13"/>
      <c r="O773" s="13"/>
      <c r="P773" s="13"/>
      <c r="Q773" s="13"/>
      <c r="R773" s="13"/>
      <c r="S773" s="13"/>
    </row>
    <row r="774" ht="15.75" customHeight="1">
      <c r="A774" s="14" t="s">
        <v>2750</v>
      </c>
      <c r="B774" s="14" t="s">
        <v>316</v>
      </c>
      <c r="C774" s="14" t="s">
        <v>2751</v>
      </c>
      <c r="D774" s="14">
        <v>100.0</v>
      </c>
      <c r="E774" s="14" t="s">
        <v>318</v>
      </c>
      <c r="F774" s="14" t="s">
        <v>2515</v>
      </c>
      <c r="G774" s="14" t="s">
        <v>2752</v>
      </c>
      <c r="H774" s="13"/>
      <c r="I774" s="13"/>
      <c r="J774" s="13"/>
      <c r="K774" s="13"/>
      <c r="L774" s="13"/>
      <c r="M774" s="13"/>
      <c r="N774" s="13"/>
      <c r="O774" s="13"/>
      <c r="P774" s="13"/>
      <c r="Q774" s="13"/>
      <c r="R774" s="13"/>
      <c r="S774" s="13"/>
    </row>
    <row r="775" ht="15.75" customHeight="1">
      <c r="A775" s="14" t="s">
        <v>2753</v>
      </c>
      <c r="B775" s="14" t="s">
        <v>316</v>
      </c>
      <c r="C775" s="14" t="s">
        <v>2754</v>
      </c>
      <c r="D775" s="14">
        <v>100.0</v>
      </c>
      <c r="E775" s="14" t="s">
        <v>318</v>
      </c>
      <c r="F775" s="14" t="s">
        <v>2755</v>
      </c>
      <c r="G775" s="14" t="s">
        <v>2756</v>
      </c>
      <c r="H775" s="13"/>
      <c r="I775" s="13"/>
      <c r="J775" s="13"/>
      <c r="K775" s="13"/>
      <c r="L775" s="13"/>
      <c r="M775" s="13"/>
      <c r="N775" s="13"/>
      <c r="O775" s="13"/>
      <c r="P775" s="13"/>
      <c r="Q775" s="13"/>
      <c r="R775" s="13"/>
      <c r="S775" s="13"/>
    </row>
    <row r="776" ht="15.75" customHeight="1">
      <c r="A776" s="14" t="s">
        <v>2757</v>
      </c>
      <c r="B776" s="14" t="s">
        <v>316</v>
      </c>
      <c r="C776" s="14" t="s">
        <v>2758</v>
      </c>
      <c r="D776" s="14">
        <v>100.0</v>
      </c>
      <c r="E776" s="14" t="s">
        <v>318</v>
      </c>
      <c r="F776" s="14" t="s">
        <v>2759</v>
      </c>
      <c r="G776" s="14" t="s">
        <v>2760</v>
      </c>
      <c r="H776" s="13"/>
      <c r="I776" s="13"/>
      <c r="J776" s="13"/>
      <c r="K776" s="13"/>
      <c r="L776" s="13"/>
      <c r="M776" s="13"/>
      <c r="N776" s="13"/>
      <c r="O776" s="13"/>
      <c r="P776" s="13"/>
      <c r="Q776" s="13"/>
      <c r="R776" s="13"/>
      <c r="S776" s="13"/>
    </row>
    <row r="777" ht="15.75" customHeight="1">
      <c r="A777" s="14" t="s">
        <v>2761</v>
      </c>
      <c r="B777" s="14" t="s">
        <v>316</v>
      </c>
      <c r="C777" s="14" t="s">
        <v>2762</v>
      </c>
      <c r="D777" s="14">
        <v>100.0</v>
      </c>
      <c r="E777" s="14" t="s">
        <v>318</v>
      </c>
      <c r="F777" s="14" t="s">
        <v>2763</v>
      </c>
      <c r="G777" s="14" t="s">
        <v>2764</v>
      </c>
      <c r="H777" s="13"/>
      <c r="I777" s="13"/>
      <c r="J777" s="13"/>
      <c r="K777" s="13"/>
      <c r="L777" s="13"/>
      <c r="M777" s="13"/>
      <c r="N777" s="13"/>
      <c r="O777" s="13"/>
      <c r="P777" s="13"/>
      <c r="Q777" s="13"/>
      <c r="R777" s="13"/>
      <c r="S777" s="13"/>
    </row>
    <row r="778" ht="15.75" customHeight="1">
      <c r="A778" s="14" t="s">
        <v>2765</v>
      </c>
      <c r="B778" s="14" t="s">
        <v>316</v>
      </c>
      <c r="C778" s="14" t="s">
        <v>2766</v>
      </c>
      <c r="D778" s="14">
        <v>100.0</v>
      </c>
      <c r="E778" s="14" t="s">
        <v>318</v>
      </c>
      <c r="F778" s="14" t="s">
        <v>2767</v>
      </c>
      <c r="G778" s="14" t="s">
        <v>2768</v>
      </c>
      <c r="H778" s="13"/>
      <c r="I778" s="13"/>
      <c r="J778" s="13"/>
      <c r="K778" s="13"/>
      <c r="L778" s="13"/>
      <c r="M778" s="13"/>
      <c r="N778" s="13"/>
      <c r="O778" s="13"/>
      <c r="P778" s="13"/>
      <c r="Q778" s="13"/>
      <c r="R778" s="13"/>
      <c r="S778" s="13"/>
    </row>
    <row r="779" ht="15.75" customHeight="1">
      <c r="A779" s="14" t="s">
        <v>2769</v>
      </c>
      <c r="B779" s="14" t="s">
        <v>316</v>
      </c>
      <c r="C779" s="14" t="s">
        <v>2770</v>
      </c>
      <c r="D779" s="14">
        <v>100.0</v>
      </c>
      <c r="E779" s="14" t="s">
        <v>318</v>
      </c>
      <c r="F779" s="14" t="s">
        <v>2771</v>
      </c>
      <c r="G779" s="14" t="s">
        <v>2772</v>
      </c>
      <c r="H779" s="13"/>
      <c r="I779" s="13"/>
      <c r="J779" s="13"/>
      <c r="K779" s="13"/>
      <c r="L779" s="13"/>
      <c r="M779" s="13"/>
      <c r="N779" s="13"/>
      <c r="O779" s="13"/>
      <c r="P779" s="13"/>
      <c r="Q779" s="13"/>
      <c r="R779" s="13"/>
      <c r="S779" s="13"/>
    </row>
    <row r="780" ht="15.75" customHeight="1">
      <c r="A780" s="14" t="s">
        <v>2773</v>
      </c>
      <c r="B780" s="14" t="s">
        <v>316</v>
      </c>
      <c r="C780" s="14" t="s">
        <v>2774</v>
      </c>
      <c r="D780" s="14">
        <v>100.0</v>
      </c>
      <c r="E780" s="14" t="s">
        <v>318</v>
      </c>
      <c r="F780" s="14" t="s">
        <v>595</v>
      </c>
      <c r="G780" s="14" t="s">
        <v>2775</v>
      </c>
      <c r="H780" s="13"/>
      <c r="I780" s="13"/>
      <c r="J780" s="13"/>
      <c r="K780" s="13"/>
      <c r="L780" s="13"/>
      <c r="M780" s="13"/>
      <c r="N780" s="13"/>
      <c r="O780" s="13"/>
      <c r="P780" s="13"/>
      <c r="Q780" s="13"/>
      <c r="R780" s="13"/>
      <c r="S780" s="13"/>
    </row>
    <row r="781" ht="15.75" customHeight="1">
      <c r="A781" s="14" t="s">
        <v>2776</v>
      </c>
      <c r="B781" s="14" t="s">
        <v>316</v>
      </c>
      <c r="C781" s="14" t="s">
        <v>2777</v>
      </c>
      <c r="D781" s="14">
        <v>100.0</v>
      </c>
      <c r="E781" s="14" t="s">
        <v>318</v>
      </c>
      <c r="F781" s="14" t="s">
        <v>595</v>
      </c>
      <c r="G781" s="14" t="s">
        <v>2778</v>
      </c>
      <c r="H781" s="13"/>
      <c r="I781" s="13"/>
      <c r="J781" s="13"/>
      <c r="K781" s="13"/>
      <c r="L781" s="13"/>
      <c r="M781" s="13"/>
      <c r="N781" s="13"/>
      <c r="O781" s="13"/>
      <c r="P781" s="13"/>
      <c r="Q781" s="13"/>
      <c r="R781" s="13"/>
      <c r="S781" s="13"/>
    </row>
    <row r="782" ht="15.75" customHeight="1">
      <c r="A782" s="14" t="s">
        <v>2779</v>
      </c>
      <c r="B782" s="14" t="s">
        <v>316</v>
      </c>
      <c r="C782" s="14" t="s">
        <v>2780</v>
      </c>
      <c r="D782" s="14">
        <v>100.0</v>
      </c>
      <c r="E782" s="14" t="s">
        <v>318</v>
      </c>
      <c r="F782" s="14" t="s">
        <v>2781</v>
      </c>
      <c r="G782" s="14" t="s">
        <v>2782</v>
      </c>
      <c r="H782" s="13"/>
      <c r="I782" s="13"/>
      <c r="J782" s="13"/>
      <c r="K782" s="13"/>
      <c r="L782" s="13"/>
      <c r="M782" s="13"/>
      <c r="N782" s="13"/>
      <c r="O782" s="13"/>
      <c r="P782" s="13"/>
      <c r="Q782" s="13"/>
      <c r="R782" s="13"/>
      <c r="S782" s="13"/>
    </row>
    <row r="783" ht="15.75" customHeight="1">
      <c r="A783" s="14" t="s">
        <v>2783</v>
      </c>
      <c r="B783" s="14" t="s">
        <v>316</v>
      </c>
      <c r="C783" s="14" t="s">
        <v>2784</v>
      </c>
      <c r="D783" s="14">
        <v>100.0</v>
      </c>
      <c r="E783" s="14" t="s">
        <v>318</v>
      </c>
      <c r="F783" s="14" t="s">
        <v>1969</v>
      </c>
      <c r="G783" s="14" t="s">
        <v>2785</v>
      </c>
      <c r="H783" s="13"/>
      <c r="I783" s="13"/>
      <c r="J783" s="13"/>
      <c r="K783" s="13"/>
      <c r="L783" s="13"/>
      <c r="M783" s="13"/>
      <c r="N783" s="13"/>
      <c r="O783" s="13"/>
      <c r="P783" s="13"/>
      <c r="Q783" s="13"/>
      <c r="R783" s="13"/>
      <c r="S783" s="13"/>
    </row>
    <row r="784" ht="15.75" customHeight="1">
      <c r="A784" s="14" t="s">
        <v>2786</v>
      </c>
      <c r="B784" s="14" t="s">
        <v>316</v>
      </c>
      <c r="C784" s="14" t="s">
        <v>2787</v>
      </c>
      <c r="D784" s="14">
        <v>100.0</v>
      </c>
      <c r="E784" s="14" t="s">
        <v>318</v>
      </c>
      <c r="F784" s="14" t="s">
        <v>2788</v>
      </c>
      <c r="G784" s="14" t="s">
        <v>2789</v>
      </c>
      <c r="H784" s="13"/>
      <c r="I784" s="13"/>
      <c r="J784" s="13"/>
      <c r="K784" s="13"/>
      <c r="L784" s="13"/>
      <c r="M784" s="13"/>
      <c r="N784" s="13"/>
      <c r="O784" s="13"/>
      <c r="P784" s="13"/>
      <c r="Q784" s="13"/>
      <c r="R784" s="13"/>
      <c r="S784" s="13"/>
    </row>
    <row r="785" ht="15.75" customHeight="1">
      <c r="A785" s="14" t="s">
        <v>2790</v>
      </c>
      <c r="B785" s="14" t="s">
        <v>316</v>
      </c>
      <c r="C785" s="14" t="s">
        <v>2791</v>
      </c>
      <c r="D785" s="14">
        <v>100.0</v>
      </c>
      <c r="E785" s="14" t="s">
        <v>318</v>
      </c>
      <c r="F785" s="14" t="s">
        <v>2792</v>
      </c>
      <c r="G785" s="14" t="s">
        <v>2793</v>
      </c>
      <c r="H785" s="13"/>
      <c r="I785" s="13"/>
      <c r="J785" s="13"/>
      <c r="K785" s="13"/>
      <c r="L785" s="13"/>
      <c r="M785" s="13"/>
      <c r="N785" s="13"/>
      <c r="O785" s="13"/>
      <c r="P785" s="13"/>
      <c r="Q785" s="13"/>
      <c r="R785" s="13"/>
      <c r="S785" s="13"/>
    </row>
    <row r="786" ht="15.75" customHeight="1">
      <c r="A786" s="14" t="s">
        <v>2794</v>
      </c>
      <c r="B786" s="14" t="s">
        <v>316</v>
      </c>
      <c r="C786" s="14" t="s">
        <v>2795</v>
      </c>
      <c r="D786" s="14">
        <v>100.0</v>
      </c>
      <c r="E786" s="14" t="s">
        <v>318</v>
      </c>
      <c r="F786" s="14" t="s">
        <v>2796</v>
      </c>
      <c r="G786" s="14" t="s">
        <v>2797</v>
      </c>
      <c r="H786" s="13"/>
      <c r="I786" s="13"/>
      <c r="J786" s="13"/>
      <c r="K786" s="13"/>
      <c r="L786" s="13"/>
      <c r="M786" s="13"/>
      <c r="N786" s="13"/>
      <c r="O786" s="13"/>
      <c r="P786" s="13"/>
      <c r="Q786" s="13"/>
      <c r="R786" s="13"/>
      <c r="S786" s="13"/>
    </row>
    <row r="787" ht="15.75" customHeight="1">
      <c r="A787" s="14" t="s">
        <v>2798</v>
      </c>
      <c r="B787" s="14" t="s">
        <v>316</v>
      </c>
      <c r="C787" s="14" t="s">
        <v>2799</v>
      </c>
      <c r="D787" s="14">
        <v>100.0</v>
      </c>
      <c r="E787" s="14" t="s">
        <v>318</v>
      </c>
      <c r="F787" s="14" t="s">
        <v>2800</v>
      </c>
      <c r="G787" s="14" t="s">
        <v>2801</v>
      </c>
      <c r="H787" s="13"/>
      <c r="I787" s="13"/>
      <c r="J787" s="13"/>
      <c r="K787" s="13"/>
      <c r="L787" s="13"/>
      <c r="M787" s="13"/>
      <c r="N787" s="13"/>
      <c r="O787" s="13"/>
      <c r="P787" s="13"/>
      <c r="Q787" s="13"/>
      <c r="R787" s="13"/>
      <c r="S787" s="13"/>
    </row>
    <row r="788" ht="15.75" customHeight="1">
      <c r="A788" s="14" t="s">
        <v>2802</v>
      </c>
      <c r="B788" s="14" t="s">
        <v>316</v>
      </c>
      <c r="C788" s="14" t="s">
        <v>2803</v>
      </c>
      <c r="D788" s="14">
        <v>100.0</v>
      </c>
      <c r="E788" s="14" t="s">
        <v>318</v>
      </c>
      <c r="F788" s="14" t="s">
        <v>2796</v>
      </c>
      <c r="G788" s="14" t="s">
        <v>2804</v>
      </c>
      <c r="H788" s="13"/>
      <c r="I788" s="13"/>
      <c r="J788" s="13"/>
      <c r="K788" s="13"/>
      <c r="L788" s="13"/>
      <c r="M788" s="13"/>
      <c r="N788" s="13"/>
      <c r="O788" s="13"/>
      <c r="P788" s="13"/>
      <c r="Q788" s="13"/>
      <c r="R788" s="13"/>
      <c r="S788" s="13"/>
    </row>
    <row r="789" ht="15.75" customHeight="1">
      <c r="A789" s="14" t="s">
        <v>2805</v>
      </c>
      <c r="B789" s="14" t="s">
        <v>316</v>
      </c>
      <c r="C789" s="14" t="s">
        <v>2806</v>
      </c>
      <c r="D789" s="14">
        <v>100.0</v>
      </c>
      <c r="E789" s="14" t="s">
        <v>318</v>
      </c>
      <c r="F789" s="14" t="s">
        <v>2807</v>
      </c>
      <c r="G789" s="14" t="s">
        <v>2808</v>
      </c>
      <c r="H789" s="13"/>
      <c r="I789" s="13"/>
      <c r="J789" s="13"/>
      <c r="K789" s="13"/>
      <c r="L789" s="13"/>
      <c r="M789" s="13"/>
      <c r="N789" s="13"/>
      <c r="O789" s="13"/>
      <c r="P789" s="13"/>
      <c r="Q789" s="13"/>
      <c r="R789" s="13"/>
      <c r="S789" s="13"/>
    </row>
    <row r="790" ht="15.75" customHeight="1">
      <c r="A790" s="14" t="s">
        <v>2809</v>
      </c>
      <c r="B790" s="14" t="s">
        <v>316</v>
      </c>
      <c r="C790" s="14" t="s">
        <v>2810</v>
      </c>
      <c r="D790" s="14">
        <v>100.0</v>
      </c>
      <c r="E790" s="14" t="s">
        <v>318</v>
      </c>
      <c r="F790" s="14" t="s">
        <v>2811</v>
      </c>
      <c r="G790" s="14" t="s">
        <v>2812</v>
      </c>
      <c r="H790" s="13"/>
      <c r="I790" s="13"/>
      <c r="J790" s="13"/>
      <c r="K790" s="13"/>
      <c r="L790" s="13"/>
      <c r="M790" s="13"/>
      <c r="N790" s="13"/>
      <c r="O790" s="13"/>
      <c r="P790" s="13"/>
      <c r="Q790" s="13"/>
      <c r="R790" s="13"/>
      <c r="S790" s="13"/>
    </row>
    <row r="791" ht="15.75" customHeight="1">
      <c r="A791" s="14" t="s">
        <v>2813</v>
      </c>
      <c r="B791" s="14" t="s">
        <v>316</v>
      </c>
      <c r="C791" s="14" t="s">
        <v>2814</v>
      </c>
      <c r="D791" s="14">
        <v>100.0</v>
      </c>
      <c r="E791" s="14" t="s">
        <v>318</v>
      </c>
      <c r="F791" s="14" t="s">
        <v>2815</v>
      </c>
      <c r="G791" s="14" t="s">
        <v>2816</v>
      </c>
      <c r="H791" s="13"/>
      <c r="I791" s="13"/>
      <c r="J791" s="13"/>
      <c r="K791" s="13"/>
      <c r="L791" s="13"/>
      <c r="M791" s="13"/>
      <c r="N791" s="13"/>
      <c r="O791" s="13"/>
      <c r="P791" s="13"/>
      <c r="Q791" s="13"/>
      <c r="R791" s="13"/>
      <c r="S791" s="13"/>
    </row>
    <row r="792" ht="15.75" customHeight="1">
      <c r="A792" s="14" t="s">
        <v>2817</v>
      </c>
      <c r="B792" s="14" t="s">
        <v>316</v>
      </c>
      <c r="C792" s="14" t="s">
        <v>2818</v>
      </c>
      <c r="D792" s="14">
        <v>100.0</v>
      </c>
      <c r="E792" s="14" t="s">
        <v>318</v>
      </c>
      <c r="F792" s="14" t="s">
        <v>2819</v>
      </c>
      <c r="G792" s="14" t="s">
        <v>2820</v>
      </c>
      <c r="H792" s="13"/>
      <c r="I792" s="13"/>
      <c r="J792" s="13"/>
      <c r="K792" s="13"/>
      <c r="L792" s="13"/>
      <c r="M792" s="13"/>
      <c r="N792" s="13"/>
      <c r="O792" s="13"/>
      <c r="P792" s="13"/>
      <c r="Q792" s="13"/>
      <c r="R792" s="13"/>
      <c r="S792" s="13"/>
    </row>
    <row r="793" ht="15.75" customHeight="1">
      <c r="A793" s="14" t="s">
        <v>2821</v>
      </c>
      <c r="B793" s="14" t="s">
        <v>316</v>
      </c>
      <c r="C793" s="14" t="s">
        <v>2822</v>
      </c>
      <c r="D793" s="14">
        <v>100.0</v>
      </c>
      <c r="E793" s="14" t="s">
        <v>318</v>
      </c>
      <c r="F793" s="14" t="s">
        <v>2819</v>
      </c>
      <c r="G793" s="14" t="s">
        <v>2823</v>
      </c>
      <c r="H793" s="13"/>
      <c r="I793" s="13"/>
      <c r="J793" s="13"/>
      <c r="K793" s="13"/>
      <c r="L793" s="13"/>
      <c r="M793" s="13"/>
      <c r="N793" s="13"/>
      <c r="O793" s="13"/>
      <c r="P793" s="13"/>
      <c r="Q793" s="13"/>
      <c r="R793" s="13"/>
      <c r="S793" s="13"/>
    </row>
    <row r="794" ht="15.75" customHeight="1">
      <c r="A794" s="14" t="s">
        <v>2824</v>
      </c>
      <c r="B794" s="14" t="s">
        <v>316</v>
      </c>
      <c r="C794" s="14" t="s">
        <v>2825</v>
      </c>
      <c r="D794" s="14">
        <v>100.0</v>
      </c>
      <c r="E794" s="14" t="s">
        <v>318</v>
      </c>
      <c r="F794" s="14" t="s">
        <v>2826</v>
      </c>
      <c r="G794" s="14" t="s">
        <v>2827</v>
      </c>
      <c r="H794" s="13"/>
      <c r="I794" s="13"/>
      <c r="J794" s="13"/>
      <c r="K794" s="13"/>
      <c r="L794" s="13"/>
      <c r="M794" s="13"/>
      <c r="N794" s="13"/>
      <c r="O794" s="13"/>
      <c r="P794" s="13"/>
      <c r="Q794" s="13"/>
      <c r="R794" s="13"/>
      <c r="S794" s="13"/>
    </row>
    <row r="795" ht="15.75" customHeight="1">
      <c r="A795" s="14" t="s">
        <v>2828</v>
      </c>
      <c r="B795" s="14" t="s">
        <v>316</v>
      </c>
      <c r="C795" s="14" t="s">
        <v>2829</v>
      </c>
      <c r="D795" s="14">
        <v>100.0</v>
      </c>
      <c r="E795" s="14" t="s">
        <v>318</v>
      </c>
      <c r="F795" s="14" t="s">
        <v>583</v>
      </c>
      <c r="G795" s="14" t="s">
        <v>2830</v>
      </c>
      <c r="H795" s="13"/>
      <c r="I795" s="13"/>
      <c r="J795" s="13"/>
      <c r="K795" s="13"/>
      <c r="L795" s="13"/>
      <c r="M795" s="13"/>
      <c r="N795" s="13"/>
      <c r="O795" s="13"/>
      <c r="P795" s="13"/>
      <c r="Q795" s="13"/>
      <c r="R795" s="13"/>
      <c r="S795" s="13"/>
    </row>
    <row r="796" ht="15.75" customHeight="1">
      <c r="A796" s="14" t="s">
        <v>2831</v>
      </c>
      <c r="B796" s="14" t="s">
        <v>316</v>
      </c>
      <c r="C796" s="14" t="s">
        <v>2832</v>
      </c>
      <c r="D796" s="14">
        <v>100.0</v>
      </c>
      <c r="E796" s="14" t="s">
        <v>318</v>
      </c>
      <c r="F796" s="14" t="s">
        <v>2833</v>
      </c>
      <c r="G796" s="14" t="s">
        <v>2834</v>
      </c>
      <c r="H796" s="13"/>
      <c r="I796" s="13"/>
      <c r="J796" s="13"/>
      <c r="K796" s="13"/>
      <c r="L796" s="13"/>
      <c r="M796" s="13"/>
      <c r="N796" s="13"/>
      <c r="O796" s="13"/>
      <c r="P796" s="13"/>
      <c r="Q796" s="13"/>
      <c r="R796" s="13"/>
      <c r="S796" s="13"/>
    </row>
    <row r="797" ht="15.75" customHeight="1">
      <c r="A797" s="14" t="s">
        <v>2835</v>
      </c>
      <c r="B797" s="14" t="s">
        <v>316</v>
      </c>
      <c r="C797" s="14" t="s">
        <v>2836</v>
      </c>
      <c r="D797" s="14">
        <v>100.0</v>
      </c>
      <c r="E797" s="14" t="s">
        <v>318</v>
      </c>
      <c r="F797" s="14" t="s">
        <v>2837</v>
      </c>
      <c r="G797" s="14" t="s">
        <v>2838</v>
      </c>
      <c r="H797" s="13"/>
      <c r="I797" s="13"/>
      <c r="J797" s="13"/>
      <c r="K797" s="13"/>
      <c r="L797" s="13"/>
      <c r="M797" s="13"/>
      <c r="N797" s="13"/>
      <c r="O797" s="13"/>
      <c r="P797" s="13"/>
      <c r="Q797" s="13"/>
      <c r="R797" s="13"/>
      <c r="S797" s="13"/>
    </row>
    <row r="798" ht="15.75" customHeight="1">
      <c r="A798" s="14" t="s">
        <v>2839</v>
      </c>
      <c r="B798" s="14" t="s">
        <v>316</v>
      </c>
      <c r="C798" s="14" t="s">
        <v>2840</v>
      </c>
      <c r="D798" s="14">
        <v>100.0</v>
      </c>
      <c r="E798" s="14" t="s">
        <v>318</v>
      </c>
      <c r="F798" s="14" t="s">
        <v>1114</v>
      </c>
      <c r="G798" s="14" t="s">
        <v>2841</v>
      </c>
      <c r="H798" s="13"/>
      <c r="I798" s="13"/>
      <c r="J798" s="13"/>
      <c r="K798" s="13"/>
      <c r="L798" s="13"/>
      <c r="M798" s="13"/>
      <c r="N798" s="13"/>
      <c r="O798" s="13"/>
      <c r="P798" s="13"/>
      <c r="Q798" s="13"/>
      <c r="R798" s="13"/>
      <c r="S798" s="13"/>
    </row>
    <row r="799" ht="15.75" customHeight="1">
      <c r="A799" s="14" t="s">
        <v>2842</v>
      </c>
      <c r="B799" s="14" t="s">
        <v>316</v>
      </c>
      <c r="C799" s="14" t="s">
        <v>2843</v>
      </c>
      <c r="D799" s="14">
        <v>100.0</v>
      </c>
      <c r="E799" s="14" t="s">
        <v>318</v>
      </c>
      <c r="F799" s="14" t="s">
        <v>2844</v>
      </c>
      <c r="G799" s="14" t="s">
        <v>2845</v>
      </c>
      <c r="H799" s="13"/>
      <c r="I799" s="13"/>
      <c r="J799" s="13"/>
      <c r="K799" s="13"/>
      <c r="L799" s="13"/>
      <c r="M799" s="13"/>
      <c r="N799" s="13"/>
      <c r="O799" s="13"/>
      <c r="P799" s="13"/>
      <c r="Q799" s="13"/>
      <c r="R799" s="13"/>
      <c r="S799" s="13"/>
    </row>
    <row r="800" ht="15.75" customHeight="1">
      <c r="A800" s="14" t="s">
        <v>2846</v>
      </c>
      <c r="B800" s="14" t="s">
        <v>316</v>
      </c>
      <c r="C800" s="14" t="s">
        <v>2847</v>
      </c>
      <c r="D800" s="14">
        <v>100.0</v>
      </c>
      <c r="E800" s="14" t="s">
        <v>318</v>
      </c>
      <c r="F800" s="14" t="s">
        <v>2848</v>
      </c>
      <c r="G800" s="14" t="s">
        <v>2849</v>
      </c>
      <c r="H800" s="13"/>
      <c r="I800" s="13"/>
      <c r="J800" s="13"/>
      <c r="K800" s="13"/>
      <c r="L800" s="13"/>
      <c r="M800" s="13"/>
      <c r="N800" s="13"/>
      <c r="O800" s="13"/>
      <c r="P800" s="13"/>
      <c r="Q800" s="13"/>
      <c r="R800" s="13"/>
      <c r="S800" s="13"/>
    </row>
    <row r="801" ht="15.75" customHeight="1">
      <c r="A801" s="14" t="s">
        <v>2850</v>
      </c>
      <c r="B801" s="14" t="s">
        <v>316</v>
      </c>
      <c r="C801" s="14" t="s">
        <v>2851</v>
      </c>
      <c r="D801" s="14">
        <v>100.0</v>
      </c>
      <c r="E801" s="14" t="s">
        <v>318</v>
      </c>
      <c r="F801" s="14" t="s">
        <v>2852</v>
      </c>
      <c r="G801" s="14" t="s">
        <v>2853</v>
      </c>
      <c r="H801" s="13"/>
      <c r="I801" s="13"/>
      <c r="J801" s="13"/>
      <c r="K801" s="13"/>
      <c r="L801" s="13"/>
      <c r="M801" s="13"/>
      <c r="N801" s="13"/>
      <c r="O801" s="13"/>
      <c r="P801" s="13"/>
      <c r="Q801" s="13"/>
      <c r="R801" s="13"/>
      <c r="S801" s="13"/>
    </row>
    <row r="802" ht="15.75" customHeight="1">
      <c r="A802" s="14" t="s">
        <v>2854</v>
      </c>
      <c r="B802" s="14" t="s">
        <v>316</v>
      </c>
      <c r="C802" s="14" t="s">
        <v>2855</v>
      </c>
      <c r="D802" s="14">
        <v>100.0</v>
      </c>
      <c r="E802" s="14" t="s">
        <v>318</v>
      </c>
      <c r="F802" s="14" t="s">
        <v>2856</v>
      </c>
      <c r="G802" s="14" t="s">
        <v>2857</v>
      </c>
      <c r="H802" s="13"/>
      <c r="I802" s="13"/>
      <c r="J802" s="13"/>
      <c r="K802" s="13"/>
      <c r="L802" s="13"/>
      <c r="M802" s="13"/>
      <c r="N802" s="13"/>
      <c r="O802" s="13"/>
      <c r="P802" s="13"/>
      <c r="Q802" s="13"/>
      <c r="R802" s="13"/>
      <c r="S802" s="13"/>
    </row>
    <row r="803" ht="15.75" customHeight="1">
      <c r="A803" s="14" t="s">
        <v>2858</v>
      </c>
      <c r="B803" s="14" t="s">
        <v>316</v>
      </c>
      <c r="C803" s="14" t="s">
        <v>2859</v>
      </c>
      <c r="D803" s="14">
        <v>100.0</v>
      </c>
      <c r="E803" s="14" t="s">
        <v>318</v>
      </c>
      <c r="F803" s="14" t="s">
        <v>2860</v>
      </c>
      <c r="G803" s="14" t="s">
        <v>2861</v>
      </c>
      <c r="H803" s="13"/>
      <c r="I803" s="13"/>
      <c r="J803" s="13"/>
      <c r="K803" s="13"/>
      <c r="L803" s="13"/>
      <c r="M803" s="13"/>
      <c r="N803" s="13"/>
      <c r="O803" s="13"/>
      <c r="P803" s="13"/>
      <c r="Q803" s="13"/>
      <c r="R803" s="13"/>
      <c r="S803" s="13"/>
    </row>
    <row r="804" ht="15.75" customHeight="1">
      <c r="A804" s="14" t="s">
        <v>2862</v>
      </c>
      <c r="B804" s="14" t="s">
        <v>316</v>
      </c>
      <c r="C804" s="14" t="s">
        <v>2863</v>
      </c>
      <c r="D804" s="14">
        <v>100.0</v>
      </c>
      <c r="E804" s="14" t="s">
        <v>318</v>
      </c>
      <c r="F804" s="14" t="s">
        <v>2864</v>
      </c>
      <c r="G804" s="14" t="s">
        <v>2865</v>
      </c>
      <c r="H804" s="13"/>
      <c r="I804" s="13"/>
      <c r="J804" s="13"/>
      <c r="K804" s="13"/>
      <c r="L804" s="13"/>
      <c r="M804" s="13"/>
      <c r="N804" s="13"/>
      <c r="O804" s="13"/>
      <c r="P804" s="13"/>
      <c r="Q804" s="13"/>
      <c r="R804" s="13"/>
      <c r="S804" s="13"/>
    </row>
    <row r="805" ht="15.75" customHeight="1">
      <c r="A805" s="14" t="s">
        <v>2866</v>
      </c>
      <c r="B805" s="14" t="s">
        <v>316</v>
      </c>
      <c r="C805" s="14" t="s">
        <v>2867</v>
      </c>
      <c r="D805" s="14">
        <v>100.0</v>
      </c>
      <c r="E805" s="14" t="s">
        <v>318</v>
      </c>
      <c r="F805" s="14" t="s">
        <v>2868</v>
      </c>
      <c r="G805" s="14" t="s">
        <v>2869</v>
      </c>
      <c r="H805" s="13"/>
      <c r="I805" s="13"/>
      <c r="J805" s="13"/>
      <c r="K805" s="13"/>
      <c r="L805" s="13"/>
      <c r="M805" s="13"/>
      <c r="N805" s="13"/>
      <c r="O805" s="13"/>
      <c r="P805" s="13"/>
      <c r="Q805" s="13"/>
      <c r="R805" s="13"/>
      <c r="S805" s="13"/>
    </row>
    <row r="806" ht="15.75" customHeight="1">
      <c r="A806" s="14" t="s">
        <v>2870</v>
      </c>
      <c r="B806" s="14" t="s">
        <v>316</v>
      </c>
      <c r="C806" s="14" t="s">
        <v>2871</v>
      </c>
      <c r="D806" s="14">
        <v>100.0</v>
      </c>
      <c r="E806" s="14" t="s">
        <v>318</v>
      </c>
      <c r="F806" s="14" t="s">
        <v>2868</v>
      </c>
      <c r="G806" s="14" t="s">
        <v>2872</v>
      </c>
      <c r="H806" s="13"/>
      <c r="I806" s="13"/>
      <c r="J806" s="13"/>
      <c r="K806" s="13"/>
      <c r="L806" s="13"/>
      <c r="M806" s="13"/>
      <c r="N806" s="13"/>
      <c r="O806" s="13"/>
      <c r="P806" s="13"/>
      <c r="Q806" s="13"/>
      <c r="R806" s="13"/>
      <c r="S806" s="13"/>
    </row>
    <row r="807" ht="15.75" customHeight="1">
      <c r="A807" s="14" t="s">
        <v>2873</v>
      </c>
      <c r="B807" s="14" t="s">
        <v>316</v>
      </c>
      <c r="C807" s="14" t="s">
        <v>2874</v>
      </c>
      <c r="D807" s="14">
        <v>100.0</v>
      </c>
      <c r="E807" s="14" t="s">
        <v>318</v>
      </c>
      <c r="F807" s="14" t="s">
        <v>2875</v>
      </c>
      <c r="G807" s="14" t="s">
        <v>2876</v>
      </c>
      <c r="H807" s="13"/>
      <c r="I807" s="13"/>
      <c r="J807" s="13"/>
      <c r="K807" s="13"/>
      <c r="L807" s="13"/>
      <c r="M807" s="13"/>
      <c r="N807" s="13"/>
      <c r="O807" s="13"/>
      <c r="P807" s="13"/>
      <c r="Q807" s="13"/>
      <c r="R807" s="13"/>
      <c r="S807" s="13"/>
    </row>
    <row r="808" ht="15.75" customHeight="1">
      <c r="A808" s="14" t="s">
        <v>2877</v>
      </c>
      <c r="B808" s="14" t="s">
        <v>316</v>
      </c>
      <c r="C808" s="14" t="s">
        <v>2878</v>
      </c>
      <c r="D808" s="14">
        <v>100.0</v>
      </c>
      <c r="E808" s="14" t="s">
        <v>318</v>
      </c>
      <c r="F808" s="14" t="s">
        <v>2569</v>
      </c>
      <c r="G808" s="14" t="s">
        <v>2879</v>
      </c>
      <c r="H808" s="13"/>
      <c r="I808" s="13"/>
      <c r="J808" s="13"/>
      <c r="K808" s="13"/>
      <c r="L808" s="13"/>
      <c r="M808" s="13"/>
      <c r="N808" s="13"/>
      <c r="O808" s="13"/>
      <c r="P808" s="13"/>
      <c r="Q808" s="13"/>
      <c r="R808" s="13"/>
      <c r="S808" s="13"/>
    </row>
    <row r="809" ht="15.75" customHeight="1">
      <c r="A809" s="14" t="s">
        <v>2880</v>
      </c>
      <c r="B809" s="14" t="s">
        <v>316</v>
      </c>
      <c r="C809" s="14" t="s">
        <v>2881</v>
      </c>
      <c r="D809" s="14">
        <v>100.0</v>
      </c>
      <c r="E809" s="14" t="s">
        <v>318</v>
      </c>
      <c r="F809" s="14" t="s">
        <v>2882</v>
      </c>
      <c r="G809" s="14" t="s">
        <v>2883</v>
      </c>
      <c r="H809" s="13"/>
      <c r="I809" s="13"/>
      <c r="J809" s="13"/>
      <c r="K809" s="13"/>
      <c r="L809" s="13"/>
      <c r="M809" s="13"/>
      <c r="N809" s="13"/>
      <c r="O809" s="13"/>
      <c r="P809" s="13"/>
      <c r="Q809" s="13"/>
      <c r="R809" s="13"/>
      <c r="S809" s="13"/>
    </row>
    <row r="810" ht="15.75" customHeight="1">
      <c r="A810" s="14" t="s">
        <v>2884</v>
      </c>
      <c r="B810" s="14" t="s">
        <v>316</v>
      </c>
      <c r="C810" s="14" t="s">
        <v>2885</v>
      </c>
      <c r="D810" s="14">
        <v>100.0</v>
      </c>
      <c r="E810" s="14" t="s">
        <v>318</v>
      </c>
      <c r="F810" s="14" t="s">
        <v>2886</v>
      </c>
      <c r="G810" s="14" t="s">
        <v>2887</v>
      </c>
      <c r="H810" s="13"/>
      <c r="I810" s="13"/>
      <c r="J810" s="13"/>
      <c r="K810" s="13"/>
      <c r="L810" s="13"/>
      <c r="M810" s="13"/>
      <c r="N810" s="13"/>
      <c r="O810" s="13"/>
      <c r="P810" s="13"/>
      <c r="Q810" s="13"/>
      <c r="R810" s="13"/>
      <c r="S810" s="13"/>
    </row>
    <row r="811" ht="15.75" customHeight="1">
      <c r="A811" s="14" t="s">
        <v>2888</v>
      </c>
      <c r="B811" s="14" t="s">
        <v>316</v>
      </c>
      <c r="C811" s="14" t="s">
        <v>2889</v>
      </c>
      <c r="D811" s="14">
        <v>100.0</v>
      </c>
      <c r="E811" s="14" t="s">
        <v>318</v>
      </c>
      <c r="F811" s="14" t="s">
        <v>2890</v>
      </c>
      <c r="G811" s="14" t="s">
        <v>2891</v>
      </c>
      <c r="H811" s="13"/>
      <c r="I811" s="13"/>
      <c r="J811" s="13"/>
      <c r="K811" s="13"/>
      <c r="L811" s="13"/>
      <c r="M811" s="13"/>
      <c r="N811" s="13"/>
      <c r="O811" s="13"/>
      <c r="P811" s="13"/>
      <c r="Q811" s="13"/>
      <c r="R811" s="13"/>
      <c r="S811" s="13"/>
    </row>
    <row r="812" ht="15.75" customHeight="1">
      <c r="A812" s="14" t="s">
        <v>2892</v>
      </c>
      <c r="B812" s="14" t="s">
        <v>316</v>
      </c>
      <c r="C812" s="14" t="s">
        <v>2893</v>
      </c>
      <c r="D812" s="14">
        <v>100.0</v>
      </c>
      <c r="E812" s="14" t="s">
        <v>318</v>
      </c>
      <c r="F812" s="14" t="s">
        <v>2894</v>
      </c>
      <c r="G812" s="14" t="s">
        <v>2895</v>
      </c>
      <c r="H812" s="13"/>
      <c r="I812" s="13"/>
      <c r="J812" s="13"/>
      <c r="K812" s="13"/>
      <c r="L812" s="13"/>
      <c r="M812" s="13"/>
      <c r="N812" s="13"/>
      <c r="O812" s="13"/>
      <c r="P812" s="13"/>
      <c r="Q812" s="13"/>
      <c r="R812" s="13"/>
      <c r="S812" s="13"/>
    </row>
    <row r="813" ht="15.75" customHeight="1">
      <c r="A813" s="14" t="s">
        <v>2896</v>
      </c>
      <c r="B813" s="14" t="s">
        <v>316</v>
      </c>
      <c r="C813" s="14" t="s">
        <v>2897</v>
      </c>
      <c r="D813" s="14">
        <v>100.0</v>
      </c>
      <c r="E813" s="14" t="s">
        <v>318</v>
      </c>
      <c r="F813" s="14" t="s">
        <v>451</v>
      </c>
      <c r="G813" s="14" t="s">
        <v>2898</v>
      </c>
      <c r="H813" s="13"/>
      <c r="I813" s="13"/>
      <c r="J813" s="13"/>
      <c r="K813" s="13"/>
      <c r="L813" s="13"/>
      <c r="M813" s="13"/>
      <c r="N813" s="13"/>
      <c r="O813" s="13"/>
      <c r="P813" s="13"/>
      <c r="Q813" s="13"/>
      <c r="R813" s="13"/>
      <c r="S813" s="13"/>
    </row>
    <row r="814" ht="15.75" customHeight="1">
      <c r="A814" s="14" t="s">
        <v>2899</v>
      </c>
      <c r="B814" s="14" t="s">
        <v>316</v>
      </c>
      <c r="C814" s="14" t="s">
        <v>2900</v>
      </c>
      <c r="D814" s="14">
        <v>100.0</v>
      </c>
      <c r="E814" s="14" t="s">
        <v>318</v>
      </c>
      <c r="F814" s="14" t="s">
        <v>2901</v>
      </c>
      <c r="G814" s="14" t="s">
        <v>2902</v>
      </c>
      <c r="H814" s="13"/>
      <c r="I814" s="13"/>
      <c r="J814" s="13"/>
      <c r="K814" s="13"/>
      <c r="L814" s="13"/>
      <c r="M814" s="13"/>
      <c r="N814" s="13"/>
      <c r="O814" s="13"/>
      <c r="P814" s="13"/>
      <c r="Q814" s="13"/>
      <c r="R814" s="13"/>
      <c r="S814" s="13"/>
    </row>
    <row r="815" ht="15.75" customHeight="1">
      <c r="A815" s="14" t="s">
        <v>2903</v>
      </c>
      <c r="B815" s="14" t="s">
        <v>316</v>
      </c>
      <c r="C815" s="14" t="s">
        <v>2904</v>
      </c>
      <c r="D815" s="14">
        <v>100.0</v>
      </c>
      <c r="E815" s="14" t="s">
        <v>318</v>
      </c>
      <c r="F815" s="14" t="s">
        <v>2905</v>
      </c>
      <c r="G815" s="14" t="s">
        <v>2906</v>
      </c>
      <c r="H815" s="13"/>
      <c r="I815" s="13"/>
      <c r="J815" s="13"/>
      <c r="K815" s="13"/>
      <c r="L815" s="13"/>
      <c r="M815" s="13"/>
      <c r="N815" s="13"/>
      <c r="O815" s="13"/>
      <c r="P815" s="13"/>
      <c r="Q815" s="13"/>
      <c r="R815" s="13"/>
      <c r="S815" s="13"/>
    </row>
    <row r="816" ht="15.75" customHeight="1">
      <c r="A816" s="14" t="s">
        <v>2907</v>
      </c>
      <c r="B816" s="14" t="s">
        <v>316</v>
      </c>
      <c r="C816" s="14" t="s">
        <v>2908</v>
      </c>
      <c r="D816" s="14">
        <v>100.0</v>
      </c>
      <c r="E816" s="14" t="s">
        <v>318</v>
      </c>
      <c r="F816" s="14" t="s">
        <v>2909</v>
      </c>
      <c r="G816" s="14" t="s">
        <v>2910</v>
      </c>
      <c r="H816" s="13"/>
      <c r="I816" s="13"/>
      <c r="J816" s="13"/>
      <c r="K816" s="13"/>
      <c r="L816" s="13"/>
      <c r="M816" s="13"/>
      <c r="N816" s="13"/>
      <c r="O816" s="13"/>
      <c r="P816" s="13"/>
      <c r="Q816" s="13"/>
      <c r="R816" s="13"/>
      <c r="S816" s="13"/>
    </row>
    <row r="817" ht="15.75" customHeight="1">
      <c r="A817" s="14" t="s">
        <v>2911</v>
      </c>
      <c r="B817" s="14" t="s">
        <v>316</v>
      </c>
      <c r="C817" s="14" t="s">
        <v>2912</v>
      </c>
      <c r="D817" s="14">
        <v>100.0</v>
      </c>
      <c r="E817" s="14" t="s">
        <v>318</v>
      </c>
      <c r="F817" s="14" t="s">
        <v>2913</v>
      </c>
      <c r="G817" s="14" t="s">
        <v>2914</v>
      </c>
      <c r="H817" s="13"/>
      <c r="I817" s="13"/>
      <c r="J817" s="13"/>
      <c r="K817" s="13"/>
      <c r="L817" s="13"/>
      <c r="M817" s="13"/>
      <c r="N817" s="13"/>
      <c r="O817" s="13"/>
      <c r="P817" s="13"/>
      <c r="Q817" s="13"/>
      <c r="R817" s="13"/>
      <c r="S817" s="13"/>
    </row>
    <row r="818" ht="15.75" customHeight="1">
      <c r="A818" s="14" t="s">
        <v>2915</v>
      </c>
      <c r="B818" s="14" t="s">
        <v>316</v>
      </c>
      <c r="C818" s="14" t="s">
        <v>2916</v>
      </c>
      <c r="D818" s="14">
        <v>100.0</v>
      </c>
      <c r="E818" s="14" t="s">
        <v>318</v>
      </c>
      <c r="F818" s="14" t="s">
        <v>2917</v>
      </c>
      <c r="G818" s="14" t="s">
        <v>2918</v>
      </c>
      <c r="H818" s="13"/>
      <c r="I818" s="13"/>
      <c r="J818" s="13"/>
      <c r="K818" s="13"/>
      <c r="L818" s="13"/>
      <c r="M818" s="13"/>
      <c r="N818" s="13"/>
      <c r="O818" s="13"/>
      <c r="P818" s="13"/>
      <c r="Q818" s="13"/>
      <c r="R818" s="13"/>
      <c r="S818" s="13"/>
    </row>
    <row r="819" ht="15.75" customHeight="1">
      <c r="A819" s="14" t="s">
        <v>2919</v>
      </c>
      <c r="B819" s="14" t="s">
        <v>316</v>
      </c>
      <c r="C819" s="14" t="s">
        <v>2920</v>
      </c>
      <c r="D819" s="14">
        <v>100.0</v>
      </c>
      <c r="E819" s="14" t="s">
        <v>318</v>
      </c>
      <c r="F819" s="14" t="s">
        <v>2921</v>
      </c>
      <c r="G819" s="14" t="s">
        <v>2922</v>
      </c>
      <c r="H819" s="13"/>
      <c r="I819" s="13"/>
      <c r="J819" s="13"/>
      <c r="K819" s="13"/>
      <c r="L819" s="13"/>
      <c r="M819" s="13"/>
      <c r="N819" s="13"/>
      <c r="O819" s="13"/>
      <c r="P819" s="13"/>
      <c r="Q819" s="13"/>
      <c r="R819" s="13"/>
      <c r="S819" s="13"/>
    </row>
    <row r="820" ht="15.75" customHeight="1">
      <c r="A820" s="14" t="s">
        <v>2923</v>
      </c>
      <c r="B820" s="14" t="s">
        <v>316</v>
      </c>
      <c r="C820" s="14" t="s">
        <v>2924</v>
      </c>
      <c r="D820" s="14">
        <v>100.0</v>
      </c>
      <c r="E820" s="14" t="s">
        <v>318</v>
      </c>
      <c r="F820" s="14" t="s">
        <v>2925</v>
      </c>
      <c r="G820" s="14" t="s">
        <v>2926</v>
      </c>
      <c r="H820" s="13"/>
      <c r="I820" s="13"/>
      <c r="J820" s="13"/>
      <c r="K820" s="13"/>
      <c r="L820" s="13"/>
      <c r="M820" s="13"/>
      <c r="N820" s="13"/>
      <c r="O820" s="13"/>
      <c r="P820" s="13"/>
      <c r="Q820" s="13"/>
      <c r="R820" s="13"/>
      <c r="S820" s="13"/>
    </row>
    <row r="821" ht="15.75" customHeight="1">
      <c r="A821" s="14" t="s">
        <v>2927</v>
      </c>
      <c r="B821" s="14" t="s">
        <v>316</v>
      </c>
      <c r="C821" s="14" t="s">
        <v>2928</v>
      </c>
      <c r="D821" s="14">
        <v>100.0</v>
      </c>
      <c r="E821" s="14" t="s">
        <v>318</v>
      </c>
      <c r="F821" s="14" t="s">
        <v>1732</v>
      </c>
      <c r="G821" s="14" t="s">
        <v>2929</v>
      </c>
      <c r="H821" s="13"/>
      <c r="I821" s="13"/>
      <c r="J821" s="13"/>
      <c r="K821" s="13"/>
      <c r="L821" s="13"/>
      <c r="M821" s="13"/>
      <c r="N821" s="13"/>
      <c r="O821" s="13"/>
      <c r="P821" s="13"/>
      <c r="Q821" s="13"/>
      <c r="R821" s="13"/>
      <c r="S821" s="13"/>
    </row>
    <row r="822" ht="15.75" customHeight="1">
      <c r="A822" s="14" t="s">
        <v>2930</v>
      </c>
      <c r="B822" s="14" t="s">
        <v>316</v>
      </c>
      <c r="C822" s="14" t="s">
        <v>2931</v>
      </c>
      <c r="D822" s="14">
        <v>100.0</v>
      </c>
      <c r="E822" s="14" t="s">
        <v>318</v>
      </c>
      <c r="F822" s="14" t="s">
        <v>2755</v>
      </c>
      <c r="G822" s="14" t="s">
        <v>2932</v>
      </c>
      <c r="H822" s="13"/>
      <c r="I822" s="13"/>
      <c r="J822" s="13"/>
      <c r="K822" s="13"/>
      <c r="L822" s="13"/>
      <c r="M822" s="13"/>
      <c r="N822" s="13"/>
      <c r="O822" s="13"/>
      <c r="P822" s="13"/>
      <c r="Q822" s="13"/>
      <c r="R822" s="13"/>
      <c r="S822" s="13"/>
    </row>
    <row r="823" ht="15.75" customHeight="1">
      <c r="A823" s="14" t="s">
        <v>2933</v>
      </c>
      <c r="B823" s="14" t="s">
        <v>316</v>
      </c>
      <c r="C823" s="14" t="s">
        <v>2934</v>
      </c>
      <c r="D823" s="14">
        <v>100.0</v>
      </c>
      <c r="E823" s="14" t="s">
        <v>318</v>
      </c>
      <c r="F823" s="14" t="s">
        <v>2935</v>
      </c>
      <c r="G823" s="14" t="s">
        <v>2936</v>
      </c>
      <c r="H823" s="13"/>
      <c r="I823" s="13"/>
      <c r="J823" s="13"/>
      <c r="K823" s="13"/>
      <c r="L823" s="13"/>
      <c r="M823" s="13"/>
      <c r="N823" s="13"/>
      <c r="O823" s="13"/>
      <c r="P823" s="13"/>
      <c r="Q823" s="13"/>
      <c r="R823" s="13"/>
      <c r="S823" s="13"/>
    </row>
    <row r="824" ht="15.75" customHeight="1">
      <c r="A824" s="14" t="s">
        <v>2937</v>
      </c>
      <c r="B824" s="14" t="s">
        <v>316</v>
      </c>
      <c r="C824" s="14" t="s">
        <v>2938</v>
      </c>
      <c r="D824" s="14">
        <v>100.0</v>
      </c>
      <c r="E824" s="14" t="s">
        <v>318</v>
      </c>
      <c r="F824" s="14" t="s">
        <v>2939</v>
      </c>
      <c r="G824" s="14" t="s">
        <v>2940</v>
      </c>
      <c r="H824" s="13"/>
      <c r="I824" s="13"/>
      <c r="J824" s="13"/>
      <c r="K824" s="13"/>
      <c r="L824" s="13"/>
      <c r="M824" s="13"/>
      <c r="N824" s="13"/>
      <c r="O824" s="13"/>
      <c r="P824" s="13"/>
      <c r="Q824" s="13"/>
      <c r="R824" s="13"/>
      <c r="S824" s="13"/>
    </row>
    <row r="825" ht="15.75" customHeight="1">
      <c r="A825" s="14" t="s">
        <v>2941</v>
      </c>
      <c r="B825" s="14" t="s">
        <v>316</v>
      </c>
      <c r="C825" s="14" t="s">
        <v>2942</v>
      </c>
      <c r="D825" s="14">
        <v>100.0</v>
      </c>
      <c r="E825" s="14" t="s">
        <v>318</v>
      </c>
      <c r="F825" s="14" t="s">
        <v>2943</v>
      </c>
      <c r="G825" s="14" t="s">
        <v>2944</v>
      </c>
      <c r="H825" s="13"/>
      <c r="I825" s="13"/>
      <c r="J825" s="13"/>
      <c r="K825" s="13"/>
      <c r="L825" s="13"/>
      <c r="M825" s="13"/>
      <c r="N825" s="13"/>
      <c r="O825" s="13"/>
      <c r="P825" s="13"/>
      <c r="Q825" s="13"/>
      <c r="R825" s="13"/>
      <c r="S825" s="13"/>
    </row>
    <row r="826" ht="15.75" customHeight="1">
      <c r="A826" s="14" t="s">
        <v>2945</v>
      </c>
      <c r="B826" s="14" t="s">
        <v>316</v>
      </c>
      <c r="C826" s="14" t="s">
        <v>2946</v>
      </c>
      <c r="D826" s="14">
        <v>100.0</v>
      </c>
      <c r="E826" s="14" t="s">
        <v>318</v>
      </c>
      <c r="F826" s="14" t="s">
        <v>2947</v>
      </c>
      <c r="G826" s="14" t="s">
        <v>2948</v>
      </c>
      <c r="H826" s="13"/>
      <c r="I826" s="13"/>
      <c r="J826" s="13"/>
      <c r="K826" s="13"/>
      <c r="L826" s="13"/>
      <c r="M826" s="13"/>
      <c r="N826" s="13"/>
      <c r="O826" s="13"/>
      <c r="P826" s="13"/>
      <c r="Q826" s="13"/>
      <c r="R826" s="13"/>
      <c r="S826" s="13"/>
    </row>
    <row r="827" ht="15.75" customHeight="1">
      <c r="A827" s="14" t="s">
        <v>2949</v>
      </c>
      <c r="B827" s="14" t="s">
        <v>316</v>
      </c>
      <c r="C827" s="14" t="s">
        <v>2950</v>
      </c>
      <c r="D827" s="14">
        <v>100.0</v>
      </c>
      <c r="E827" s="14" t="s">
        <v>318</v>
      </c>
      <c r="F827" s="14" t="s">
        <v>2951</v>
      </c>
      <c r="G827" s="14" t="s">
        <v>2952</v>
      </c>
      <c r="H827" s="13"/>
      <c r="I827" s="13"/>
      <c r="J827" s="13"/>
      <c r="K827" s="13"/>
      <c r="L827" s="13"/>
      <c r="M827" s="13"/>
      <c r="N827" s="13"/>
      <c r="O827" s="13"/>
      <c r="P827" s="13"/>
      <c r="Q827" s="13"/>
      <c r="R827" s="13"/>
      <c r="S827" s="13"/>
    </row>
    <row r="828" ht="15.75" customHeight="1">
      <c r="A828" s="14" t="s">
        <v>2953</v>
      </c>
      <c r="B828" s="14" t="s">
        <v>316</v>
      </c>
      <c r="C828" s="14" t="s">
        <v>2954</v>
      </c>
      <c r="D828" s="14">
        <v>100.0</v>
      </c>
      <c r="E828" s="14" t="s">
        <v>318</v>
      </c>
      <c r="F828" s="14" t="s">
        <v>2278</v>
      </c>
      <c r="G828" s="14" t="s">
        <v>2955</v>
      </c>
      <c r="H828" s="13"/>
      <c r="I828" s="13"/>
      <c r="J828" s="13"/>
      <c r="K828" s="13"/>
      <c r="L828" s="13"/>
      <c r="M828" s="13"/>
      <c r="N828" s="13"/>
      <c r="O828" s="13"/>
      <c r="P828" s="13"/>
      <c r="Q828" s="13"/>
      <c r="R828" s="13"/>
      <c r="S828" s="13"/>
    </row>
    <row r="829" ht="15.75" customHeight="1">
      <c r="A829" s="14" t="s">
        <v>2956</v>
      </c>
      <c r="B829" s="14" t="s">
        <v>316</v>
      </c>
      <c r="C829" s="14" t="s">
        <v>2957</v>
      </c>
      <c r="D829" s="14">
        <v>100.0</v>
      </c>
      <c r="E829" s="14" t="s">
        <v>318</v>
      </c>
      <c r="F829" s="14" t="s">
        <v>2958</v>
      </c>
      <c r="G829" s="14" t="s">
        <v>2959</v>
      </c>
      <c r="H829" s="13"/>
      <c r="I829" s="13"/>
      <c r="J829" s="13"/>
      <c r="K829" s="13"/>
      <c r="L829" s="13"/>
      <c r="M829" s="13"/>
      <c r="N829" s="13"/>
      <c r="O829" s="13"/>
      <c r="P829" s="13"/>
      <c r="Q829" s="13"/>
      <c r="R829" s="13"/>
      <c r="S829" s="13"/>
    </row>
    <row r="830" ht="15.75" customHeight="1">
      <c r="A830" s="14" t="s">
        <v>2960</v>
      </c>
      <c r="B830" s="14" t="s">
        <v>316</v>
      </c>
      <c r="C830" s="14" t="s">
        <v>2961</v>
      </c>
      <c r="D830" s="14">
        <v>100.0</v>
      </c>
      <c r="E830" s="14" t="s">
        <v>318</v>
      </c>
      <c r="F830" s="14" t="s">
        <v>2962</v>
      </c>
      <c r="G830" s="14" t="s">
        <v>2963</v>
      </c>
      <c r="H830" s="13"/>
      <c r="I830" s="13"/>
      <c r="J830" s="13"/>
      <c r="K830" s="13"/>
      <c r="L830" s="13"/>
      <c r="M830" s="13"/>
      <c r="N830" s="13"/>
      <c r="O830" s="13"/>
      <c r="P830" s="13"/>
      <c r="Q830" s="13"/>
      <c r="R830" s="13"/>
      <c r="S830" s="13"/>
    </row>
    <row r="831" ht="15.75" customHeight="1">
      <c r="A831" s="14" t="s">
        <v>2964</v>
      </c>
      <c r="B831" s="14" t="s">
        <v>316</v>
      </c>
      <c r="C831" s="14" t="s">
        <v>2965</v>
      </c>
      <c r="D831" s="14">
        <v>100.0</v>
      </c>
      <c r="E831" s="14" t="s">
        <v>318</v>
      </c>
      <c r="F831" s="14" t="s">
        <v>2917</v>
      </c>
      <c r="G831" s="14" t="s">
        <v>2966</v>
      </c>
      <c r="H831" s="13"/>
      <c r="I831" s="13"/>
      <c r="J831" s="13"/>
      <c r="K831" s="13"/>
      <c r="L831" s="13"/>
      <c r="M831" s="13"/>
      <c r="N831" s="13"/>
      <c r="O831" s="13"/>
      <c r="P831" s="13"/>
      <c r="Q831" s="13"/>
      <c r="R831" s="13"/>
      <c r="S831" s="13"/>
    </row>
    <row r="832" ht="15.75" customHeight="1">
      <c r="A832" s="14" t="s">
        <v>2967</v>
      </c>
      <c r="B832" s="14" t="s">
        <v>316</v>
      </c>
      <c r="C832" s="14" t="s">
        <v>2968</v>
      </c>
      <c r="D832" s="14">
        <v>100.0</v>
      </c>
      <c r="E832" s="14" t="s">
        <v>318</v>
      </c>
      <c r="F832" s="14" t="s">
        <v>2969</v>
      </c>
      <c r="G832" s="14" t="s">
        <v>2970</v>
      </c>
      <c r="H832" s="13"/>
      <c r="I832" s="13"/>
      <c r="J832" s="13"/>
      <c r="K832" s="13"/>
      <c r="L832" s="13"/>
      <c r="M832" s="13"/>
      <c r="N832" s="13"/>
      <c r="O832" s="13"/>
      <c r="P832" s="13"/>
      <c r="Q832" s="13"/>
      <c r="R832" s="13"/>
      <c r="S832" s="13"/>
    </row>
    <row r="833" ht="15.75" customHeight="1">
      <c r="A833" s="14" t="s">
        <v>2971</v>
      </c>
      <c r="B833" s="14" t="s">
        <v>316</v>
      </c>
      <c r="C833" s="14" t="s">
        <v>2972</v>
      </c>
      <c r="D833" s="14">
        <v>100.0</v>
      </c>
      <c r="E833" s="14" t="s">
        <v>318</v>
      </c>
      <c r="F833" s="14" t="s">
        <v>2973</v>
      </c>
      <c r="G833" s="14" t="s">
        <v>2974</v>
      </c>
      <c r="H833" s="13"/>
      <c r="I833" s="13"/>
      <c r="J833" s="13"/>
      <c r="K833" s="13"/>
      <c r="L833" s="13"/>
      <c r="M833" s="13"/>
      <c r="N833" s="13"/>
      <c r="O833" s="13"/>
      <c r="P833" s="13"/>
      <c r="Q833" s="13"/>
      <c r="R833" s="13"/>
      <c r="S833" s="13"/>
    </row>
    <row r="834" ht="15.75" customHeight="1">
      <c r="A834" s="14" t="s">
        <v>2975</v>
      </c>
      <c r="B834" s="14" t="s">
        <v>316</v>
      </c>
      <c r="C834" s="14" t="s">
        <v>2976</v>
      </c>
      <c r="D834" s="14">
        <v>100.0</v>
      </c>
      <c r="E834" s="14" t="s">
        <v>318</v>
      </c>
      <c r="F834" s="14" t="s">
        <v>2977</v>
      </c>
      <c r="G834" s="14" t="s">
        <v>2978</v>
      </c>
      <c r="H834" s="13"/>
      <c r="I834" s="13"/>
      <c r="J834" s="13"/>
      <c r="K834" s="13"/>
      <c r="L834" s="13"/>
      <c r="M834" s="13"/>
      <c r="N834" s="13"/>
      <c r="O834" s="13"/>
      <c r="P834" s="13"/>
      <c r="Q834" s="13"/>
      <c r="R834" s="13"/>
      <c r="S834" s="13"/>
    </row>
    <row r="835" ht="15.75" customHeight="1">
      <c r="A835" s="14" t="s">
        <v>2979</v>
      </c>
      <c r="B835" s="14" t="s">
        <v>316</v>
      </c>
      <c r="C835" s="14" t="s">
        <v>2980</v>
      </c>
      <c r="D835" s="14">
        <v>100.0</v>
      </c>
      <c r="E835" s="14" t="s">
        <v>318</v>
      </c>
      <c r="F835" s="14" t="s">
        <v>774</v>
      </c>
      <c r="G835" s="14" t="s">
        <v>2981</v>
      </c>
      <c r="H835" s="13"/>
      <c r="I835" s="13"/>
      <c r="J835" s="13"/>
      <c r="K835" s="13"/>
      <c r="L835" s="13"/>
      <c r="M835" s="13"/>
      <c r="N835" s="13"/>
      <c r="O835" s="13"/>
      <c r="P835" s="13"/>
      <c r="Q835" s="13"/>
      <c r="R835" s="13"/>
      <c r="S835" s="13"/>
    </row>
    <row r="836" ht="15.75" customHeight="1">
      <c r="A836" s="14" t="s">
        <v>2982</v>
      </c>
      <c r="B836" s="14" t="s">
        <v>316</v>
      </c>
      <c r="C836" s="14" t="s">
        <v>2983</v>
      </c>
      <c r="D836" s="14">
        <v>100.0</v>
      </c>
      <c r="E836" s="14" t="s">
        <v>318</v>
      </c>
      <c r="F836" s="14" t="s">
        <v>2984</v>
      </c>
      <c r="G836" s="14" t="s">
        <v>2985</v>
      </c>
      <c r="H836" s="13"/>
      <c r="I836" s="13"/>
      <c r="J836" s="13"/>
      <c r="K836" s="13"/>
      <c r="L836" s="13"/>
      <c r="M836" s="13"/>
      <c r="N836" s="13"/>
      <c r="O836" s="13"/>
      <c r="P836" s="13"/>
      <c r="Q836" s="13"/>
      <c r="R836" s="13"/>
      <c r="S836" s="13"/>
    </row>
    <row r="837" ht="15.75" customHeight="1">
      <c r="A837" s="14" t="s">
        <v>2986</v>
      </c>
      <c r="B837" s="14" t="s">
        <v>316</v>
      </c>
      <c r="C837" s="14" t="s">
        <v>2987</v>
      </c>
      <c r="D837" s="14">
        <v>100.0</v>
      </c>
      <c r="E837" s="14" t="s">
        <v>318</v>
      </c>
      <c r="F837" s="14" t="s">
        <v>2988</v>
      </c>
      <c r="G837" s="14" t="s">
        <v>2989</v>
      </c>
      <c r="H837" s="13"/>
      <c r="I837" s="13"/>
      <c r="J837" s="13"/>
      <c r="K837" s="13"/>
      <c r="L837" s="13"/>
      <c r="M837" s="13"/>
      <c r="N837" s="13"/>
      <c r="O837" s="13"/>
      <c r="P837" s="13"/>
      <c r="Q837" s="13"/>
      <c r="R837" s="13"/>
      <c r="S837" s="13"/>
    </row>
    <row r="838" ht="15.75" customHeight="1">
      <c r="A838" s="14" t="s">
        <v>2990</v>
      </c>
      <c r="B838" s="14" t="s">
        <v>316</v>
      </c>
      <c r="C838" s="14" t="s">
        <v>2991</v>
      </c>
      <c r="D838" s="14">
        <v>100.0</v>
      </c>
      <c r="E838" s="14" t="s">
        <v>318</v>
      </c>
      <c r="F838" s="14" t="s">
        <v>2992</v>
      </c>
      <c r="G838" s="14" t="s">
        <v>2993</v>
      </c>
      <c r="H838" s="13"/>
      <c r="I838" s="13"/>
      <c r="J838" s="13"/>
      <c r="K838" s="13"/>
      <c r="L838" s="13"/>
      <c r="M838" s="13"/>
      <c r="N838" s="13"/>
      <c r="O838" s="13"/>
      <c r="P838" s="13"/>
      <c r="Q838" s="13"/>
      <c r="R838" s="13"/>
      <c r="S838" s="13"/>
    </row>
    <row r="839" ht="15.75" customHeight="1">
      <c r="A839" s="14" t="s">
        <v>2994</v>
      </c>
      <c r="B839" s="14" t="s">
        <v>316</v>
      </c>
      <c r="C839" s="14" t="s">
        <v>2995</v>
      </c>
      <c r="D839" s="14">
        <v>100.0</v>
      </c>
      <c r="E839" s="14" t="s">
        <v>318</v>
      </c>
      <c r="F839" s="14" t="s">
        <v>2996</v>
      </c>
      <c r="G839" s="14" t="s">
        <v>2997</v>
      </c>
      <c r="H839" s="13"/>
      <c r="I839" s="13"/>
      <c r="J839" s="13"/>
      <c r="K839" s="13"/>
      <c r="L839" s="13"/>
      <c r="M839" s="13"/>
      <c r="N839" s="13"/>
      <c r="O839" s="13"/>
      <c r="P839" s="13"/>
      <c r="Q839" s="13"/>
      <c r="R839" s="13"/>
      <c r="S839" s="13"/>
    </row>
    <row r="840" ht="15.75" customHeight="1">
      <c r="A840" s="14" t="s">
        <v>2998</v>
      </c>
      <c r="B840" s="14" t="s">
        <v>316</v>
      </c>
      <c r="C840" s="14" t="s">
        <v>2999</v>
      </c>
      <c r="D840" s="14">
        <v>100.0</v>
      </c>
      <c r="E840" s="14" t="s">
        <v>318</v>
      </c>
      <c r="F840" s="14" t="s">
        <v>3000</v>
      </c>
      <c r="G840" s="14" t="s">
        <v>3001</v>
      </c>
      <c r="H840" s="13"/>
      <c r="I840" s="13"/>
      <c r="J840" s="13"/>
      <c r="K840" s="13"/>
      <c r="L840" s="13"/>
      <c r="M840" s="13"/>
      <c r="N840" s="13"/>
      <c r="O840" s="13"/>
      <c r="P840" s="13"/>
      <c r="Q840" s="13"/>
      <c r="R840" s="13"/>
      <c r="S840" s="13"/>
    </row>
    <row r="841" ht="15.75" customHeight="1">
      <c r="A841" s="14" t="s">
        <v>3002</v>
      </c>
      <c r="B841" s="14" t="s">
        <v>316</v>
      </c>
      <c r="C841" s="14" t="s">
        <v>3003</v>
      </c>
      <c r="D841" s="14">
        <v>100.0</v>
      </c>
      <c r="E841" s="14" t="s">
        <v>318</v>
      </c>
      <c r="F841" s="14" t="s">
        <v>595</v>
      </c>
      <c r="G841" s="14" t="s">
        <v>3004</v>
      </c>
      <c r="H841" s="13"/>
      <c r="I841" s="13"/>
      <c r="J841" s="13"/>
      <c r="K841" s="13"/>
      <c r="L841" s="13"/>
      <c r="M841" s="13"/>
      <c r="N841" s="13"/>
      <c r="O841" s="13"/>
      <c r="P841" s="13"/>
      <c r="Q841" s="13"/>
      <c r="R841" s="13"/>
      <c r="S841" s="13"/>
    </row>
    <row r="842" ht="15.75" customHeight="1">
      <c r="A842" s="14" t="s">
        <v>3005</v>
      </c>
      <c r="B842" s="14" t="s">
        <v>316</v>
      </c>
      <c r="C842" s="14" t="s">
        <v>3006</v>
      </c>
      <c r="D842" s="14">
        <v>100.0</v>
      </c>
      <c r="E842" s="14" t="s">
        <v>318</v>
      </c>
      <c r="F842" s="14" t="s">
        <v>3007</v>
      </c>
      <c r="G842" s="14" t="s">
        <v>3008</v>
      </c>
      <c r="H842" s="13"/>
      <c r="I842" s="13"/>
      <c r="J842" s="13"/>
      <c r="K842" s="13"/>
      <c r="L842" s="13"/>
      <c r="M842" s="13"/>
      <c r="N842" s="13"/>
      <c r="O842" s="13"/>
      <c r="P842" s="13"/>
      <c r="Q842" s="13"/>
      <c r="R842" s="13"/>
      <c r="S842" s="13"/>
    </row>
    <row r="843" ht="15.75" customHeight="1">
      <c r="A843" s="14" t="s">
        <v>3009</v>
      </c>
      <c r="B843" s="14" t="s">
        <v>316</v>
      </c>
      <c r="C843" s="14" t="s">
        <v>3010</v>
      </c>
      <c r="D843" s="14">
        <v>100.0</v>
      </c>
      <c r="E843" s="14" t="s">
        <v>318</v>
      </c>
      <c r="F843" s="14" t="s">
        <v>3011</v>
      </c>
      <c r="G843" s="14" t="s">
        <v>3012</v>
      </c>
      <c r="H843" s="13"/>
      <c r="I843" s="13"/>
      <c r="J843" s="13"/>
      <c r="K843" s="13"/>
      <c r="L843" s="13"/>
      <c r="M843" s="13"/>
      <c r="N843" s="13"/>
      <c r="O843" s="13"/>
      <c r="P843" s="13"/>
      <c r="Q843" s="13"/>
      <c r="R843" s="13"/>
      <c r="S843" s="13"/>
    </row>
    <row r="844" ht="15.75" customHeight="1">
      <c r="A844" s="14" t="s">
        <v>3013</v>
      </c>
      <c r="B844" s="14" t="s">
        <v>316</v>
      </c>
      <c r="C844" s="14" t="s">
        <v>3014</v>
      </c>
      <c r="D844" s="14">
        <v>100.0</v>
      </c>
      <c r="E844" s="14" t="s">
        <v>318</v>
      </c>
      <c r="F844" s="14" t="s">
        <v>1639</v>
      </c>
      <c r="G844" s="14" t="s">
        <v>3015</v>
      </c>
      <c r="H844" s="13"/>
      <c r="I844" s="13"/>
      <c r="J844" s="13"/>
      <c r="K844" s="13"/>
      <c r="L844" s="13"/>
      <c r="M844" s="13"/>
      <c r="N844" s="13"/>
      <c r="O844" s="13"/>
      <c r="P844" s="13"/>
      <c r="Q844" s="13"/>
      <c r="R844" s="13"/>
      <c r="S844" s="13"/>
    </row>
    <row r="845" ht="15.75" customHeight="1">
      <c r="A845" s="14" t="s">
        <v>3016</v>
      </c>
      <c r="B845" s="14" t="s">
        <v>316</v>
      </c>
      <c r="C845" s="14" t="s">
        <v>3017</v>
      </c>
      <c r="D845" s="14">
        <v>100.0</v>
      </c>
      <c r="E845" s="14" t="s">
        <v>318</v>
      </c>
      <c r="F845" s="14" t="s">
        <v>3018</v>
      </c>
      <c r="G845" s="14" t="s">
        <v>3019</v>
      </c>
      <c r="H845" s="13"/>
      <c r="I845" s="13"/>
      <c r="J845" s="13"/>
      <c r="K845" s="13"/>
      <c r="L845" s="13"/>
      <c r="M845" s="13"/>
      <c r="N845" s="13"/>
      <c r="O845" s="13"/>
      <c r="P845" s="13"/>
      <c r="Q845" s="13"/>
      <c r="R845" s="13"/>
      <c r="S845" s="13"/>
    </row>
    <row r="846" ht="15.75" customHeight="1">
      <c r="A846" s="14" t="s">
        <v>3020</v>
      </c>
      <c r="B846" s="14" t="s">
        <v>316</v>
      </c>
      <c r="C846" s="14" t="s">
        <v>3021</v>
      </c>
      <c r="D846" s="14">
        <v>100.0</v>
      </c>
      <c r="E846" s="14" t="s">
        <v>318</v>
      </c>
      <c r="F846" s="14" t="s">
        <v>3022</v>
      </c>
      <c r="G846" s="14" t="s">
        <v>3023</v>
      </c>
      <c r="H846" s="13"/>
      <c r="I846" s="13"/>
      <c r="J846" s="13"/>
      <c r="K846" s="13"/>
      <c r="L846" s="13"/>
      <c r="M846" s="13"/>
      <c r="N846" s="13"/>
      <c r="O846" s="13"/>
      <c r="P846" s="13"/>
      <c r="Q846" s="13"/>
      <c r="R846" s="13"/>
      <c r="S846" s="13"/>
    </row>
    <row r="847" ht="15.75" customHeight="1">
      <c r="A847" s="14" t="s">
        <v>3024</v>
      </c>
      <c r="B847" s="14" t="s">
        <v>316</v>
      </c>
      <c r="C847" s="14" t="s">
        <v>3025</v>
      </c>
      <c r="D847" s="14">
        <v>100.0</v>
      </c>
      <c r="E847" s="14" t="s">
        <v>318</v>
      </c>
      <c r="F847" s="14" t="s">
        <v>3026</v>
      </c>
      <c r="G847" s="14" t="s">
        <v>3027</v>
      </c>
      <c r="H847" s="13"/>
      <c r="I847" s="13"/>
      <c r="J847" s="13"/>
      <c r="K847" s="13"/>
      <c r="L847" s="13"/>
      <c r="M847" s="13"/>
      <c r="N847" s="13"/>
      <c r="O847" s="13"/>
      <c r="P847" s="13"/>
      <c r="Q847" s="13"/>
      <c r="R847" s="13"/>
      <c r="S847" s="13"/>
    </row>
    <row r="848" ht="15.75" customHeight="1">
      <c r="A848" s="14" t="s">
        <v>3028</v>
      </c>
      <c r="B848" s="14" t="s">
        <v>316</v>
      </c>
      <c r="C848" s="14" t="s">
        <v>3029</v>
      </c>
      <c r="D848" s="14">
        <v>100.0</v>
      </c>
      <c r="E848" s="14" t="s">
        <v>318</v>
      </c>
      <c r="F848" s="14" t="s">
        <v>3030</v>
      </c>
      <c r="G848" s="14" t="s">
        <v>3031</v>
      </c>
      <c r="H848" s="13"/>
      <c r="I848" s="13"/>
      <c r="J848" s="13"/>
      <c r="K848" s="13"/>
      <c r="L848" s="13"/>
      <c r="M848" s="13"/>
      <c r="N848" s="13"/>
      <c r="O848" s="13"/>
      <c r="P848" s="13"/>
      <c r="Q848" s="13"/>
      <c r="R848" s="13"/>
      <c r="S848" s="13"/>
    </row>
    <row r="849" ht="15.75" customHeight="1">
      <c r="A849" s="14" t="s">
        <v>3032</v>
      </c>
      <c r="B849" s="14" t="s">
        <v>316</v>
      </c>
      <c r="C849" s="14" t="s">
        <v>3033</v>
      </c>
      <c r="D849" s="14">
        <v>100.0</v>
      </c>
      <c r="E849" s="14" t="s">
        <v>318</v>
      </c>
      <c r="F849" s="14" t="s">
        <v>3034</v>
      </c>
      <c r="G849" s="14" t="s">
        <v>3035</v>
      </c>
      <c r="H849" s="13"/>
      <c r="I849" s="13"/>
      <c r="J849" s="13"/>
      <c r="K849" s="13"/>
      <c r="L849" s="13"/>
      <c r="M849" s="13"/>
      <c r="N849" s="13"/>
      <c r="O849" s="13"/>
      <c r="P849" s="13"/>
      <c r="Q849" s="13"/>
      <c r="R849" s="13"/>
      <c r="S849" s="13"/>
    </row>
    <row r="850" ht="15.75" customHeight="1">
      <c r="A850" s="14" t="s">
        <v>3036</v>
      </c>
      <c r="B850" s="14" t="s">
        <v>316</v>
      </c>
      <c r="C850" s="14" t="s">
        <v>3037</v>
      </c>
      <c r="D850" s="14">
        <v>100.0</v>
      </c>
      <c r="E850" s="14" t="s">
        <v>318</v>
      </c>
      <c r="F850" s="14" t="s">
        <v>3038</v>
      </c>
      <c r="G850" s="14" t="s">
        <v>3039</v>
      </c>
      <c r="H850" s="13"/>
      <c r="I850" s="13"/>
      <c r="J850" s="13"/>
      <c r="K850" s="13"/>
      <c r="L850" s="13"/>
      <c r="M850" s="13"/>
      <c r="N850" s="13"/>
      <c r="O850" s="13"/>
      <c r="P850" s="13"/>
      <c r="Q850" s="13"/>
      <c r="R850" s="13"/>
      <c r="S850" s="13"/>
    </row>
    <row r="851" ht="15.75" customHeight="1">
      <c r="A851" s="14" t="s">
        <v>3040</v>
      </c>
      <c r="B851" s="14" t="s">
        <v>316</v>
      </c>
      <c r="C851" s="14" t="s">
        <v>3041</v>
      </c>
      <c r="D851" s="14">
        <v>100.0</v>
      </c>
      <c r="E851" s="14" t="s">
        <v>318</v>
      </c>
      <c r="F851" s="14" t="s">
        <v>595</v>
      </c>
      <c r="G851" s="14" t="s">
        <v>3042</v>
      </c>
      <c r="H851" s="13"/>
      <c r="I851" s="13"/>
      <c r="J851" s="13"/>
      <c r="K851" s="13"/>
      <c r="L851" s="13"/>
      <c r="M851" s="13"/>
      <c r="N851" s="13"/>
      <c r="O851" s="13"/>
      <c r="P851" s="13"/>
      <c r="Q851" s="13"/>
      <c r="R851" s="13"/>
      <c r="S851" s="13"/>
    </row>
    <row r="852" ht="15.75" customHeight="1">
      <c r="A852" s="14" t="s">
        <v>3043</v>
      </c>
      <c r="B852" s="14" t="s">
        <v>316</v>
      </c>
      <c r="C852" s="14" t="s">
        <v>3044</v>
      </c>
      <c r="D852" s="14">
        <v>100.0</v>
      </c>
      <c r="E852" s="14" t="s">
        <v>318</v>
      </c>
      <c r="F852" s="14" t="s">
        <v>3045</v>
      </c>
      <c r="G852" s="14" t="s">
        <v>3046</v>
      </c>
      <c r="H852" s="13"/>
      <c r="I852" s="13"/>
      <c r="J852" s="13"/>
      <c r="K852" s="13"/>
      <c r="L852" s="13"/>
      <c r="M852" s="13"/>
      <c r="N852" s="13"/>
      <c r="O852" s="13"/>
      <c r="P852" s="13"/>
      <c r="Q852" s="13"/>
      <c r="R852" s="13"/>
      <c r="S852" s="13"/>
    </row>
    <row r="853" ht="15.75" customHeight="1">
      <c r="A853" s="14" t="s">
        <v>3047</v>
      </c>
      <c r="B853" s="14" t="s">
        <v>316</v>
      </c>
      <c r="C853" s="14" t="s">
        <v>3048</v>
      </c>
      <c r="D853" s="14">
        <v>100.0</v>
      </c>
      <c r="E853" s="14" t="s">
        <v>318</v>
      </c>
      <c r="F853" s="14" t="s">
        <v>3049</v>
      </c>
      <c r="G853" s="14" t="s">
        <v>3050</v>
      </c>
      <c r="H853" s="13"/>
      <c r="I853" s="13"/>
      <c r="J853" s="13"/>
      <c r="K853" s="13"/>
      <c r="L853" s="13"/>
      <c r="M853" s="13"/>
      <c r="N853" s="13"/>
      <c r="O853" s="13"/>
      <c r="P853" s="13"/>
      <c r="Q853" s="13"/>
      <c r="R853" s="13"/>
      <c r="S853" s="13"/>
    </row>
    <row r="854" ht="15.75" customHeight="1">
      <c r="A854" s="14" t="s">
        <v>3051</v>
      </c>
      <c r="B854" s="14" t="s">
        <v>316</v>
      </c>
      <c r="C854" s="14" t="s">
        <v>3052</v>
      </c>
      <c r="D854" s="14">
        <v>100.0</v>
      </c>
      <c r="E854" s="14" t="s">
        <v>318</v>
      </c>
      <c r="F854" s="14" t="s">
        <v>3053</v>
      </c>
      <c r="G854" s="14" t="s">
        <v>3054</v>
      </c>
      <c r="H854" s="13"/>
      <c r="I854" s="13"/>
      <c r="J854" s="13"/>
      <c r="K854" s="13"/>
      <c r="L854" s="13"/>
      <c r="M854" s="13"/>
      <c r="N854" s="13"/>
      <c r="O854" s="13"/>
      <c r="P854" s="13"/>
      <c r="Q854" s="13"/>
      <c r="R854" s="13"/>
      <c r="S854" s="13"/>
    </row>
    <row r="855" ht="15.75" customHeight="1">
      <c r="A855" s="14" t="s">
        <v>3055</v>
      </c>
      <c r="B855" s="14" t="s">
        <v>316</v>
      </c>
      <c r="C855" s="14" t="s">
        <v>3056</v>
      </c>
      <c r="D855" s="14">
        <v>100.0</v>
      </c>
      <c r="E855" s="14" t="s">
        <v>318</v>
      </c>
      <c r="F855" s="14" t="s">
        <v>755</v>
      </c>
      <c r="G855" s="14" t="s">
        <v>3057</v>
      </c>
      <c r="H855" s="13"/>
      <c r="I855" s="13"/>
      <c r="J855" s="13"/>
      <c r="K855" s="13"/>
      <c r="L855" s="13"/>
      <c r="M855" s="13"/>
      <c r="N855" s="13"/>
      <c r="O855" s="13"/>
      <c r="P855" s="13"/>
      <c r="Q855" s="13"/>
      <c r="R855" s="13"/>
      <c r="S855" s="13"/>
    </row>
    <row r="856" ht="15.75" customHeight="1">
      <c r="A856" s="14" t="s">
        <v>3058</v>
      </c>
      <c r="B856" s="14" t="s">
        <v>316</v>
      </c>
      <c r="C856" s="14" t="s">
        <v>3059</v>
      </c>
      <c r="D856" s="14">
        <v>100.0</v>
      </c>
      <c r="E856" s="14" t="s">
        <v>318</v>
      </c>
      <c r="F856" s="14" t="s">
        <v>3060</v>
      </c>
      <c r="G856" s="14" t="s">
        <v>3061</v>
      </c>
      <c r="H856" s="13"/>
      <c r="I856" s="13"/>
      <c r="J856" s="13"/>
      <c r="K856" s="13"/>
      <c r="L856" s="13"/>
      <c r="M856" s="13"/>
      <c r="N856" s="13"/>
      <c r="O856" s="13"/>
      <c r="P856" s="13"/>
      <c r="Q856" s="13"/>
      <c r="R856" s="13"/>
      <c r="S856" s="13"/>
    </row>
    <row r="857" ht="15.75" customHeight="1">
      <c r="A857" s="14" t="s">
        <v>3062</v>
      </c>
      <c r="B857" s="14" t="s">
        <v>316</v>
      </c>
      <c r="C857" s="14" t="s">
        <v>3063</v>
      </c>
      <c r="D857" s="14">
        <v>100.0</v>
      </c>
      <c r="E857" s="14" t="s">
        <v>318</v>
      </c>
      <c r="F857" s="14" t="s">
        <v>3064</v>
      </c>
      <c r="G857" s="14" t="s">
        <v>3065</v>
      </c>
      <c r="H857" s="13"/>
      <c r="I857" s="13"/>
      <c r="J857" s="13"/>
      <c r="K857" s="13"/>
      <c r="L857" s="13"/>
      <c r="M857" s="13"/>
      <c r="N857" s="13"/>
      <c r="O857" s="13"/>
      <c r="P857" s="13"/>
      <c r="Q857" s="13"/>
      <c r="R857" s="13"/>
      <c r="S857" s="13"/>
    </row>
    <row r="858" ht="15.75" customHeight="1">
      <c r="A858" s="14" t="s">
        <v>3066</v>
      </c>
      <c r="B858" s="14" t="s">
        <v>316</v>
      </c>
      <c r="C858" s="14" t="s">
        <v>3067</v>
      </c>
      <c r="D858" s="14">
        <v>100.0</v>
      </c>
      <c r="E858" s="14" t="s">
        <v>318</v>
      </c>
      <c r="F858" s="14" t="s">
        <v>3068</v>
      </c>
      <c r="G858" s="14" t="s">
        <v>3069</v>
      </c>
      <c r="H858" s="13"/>
      <c r="I858" s="13"/>
      <c r="J858" s="13"/>
      <c r="K858" s="13"/>
      <c r="L858" s="13"/>
      <c r="M858" s="13"/>
      <c r="N858" s="13"/>
      <c r="O858" s="13"/>
      <c r="P858" s="13"/>
      <c r="Q858" s="13"/>
      <c r="R858" s="13"/>
      <c r="S858" s="13"/>
    </row>
    <row r="859" ht="15.75" customHeight="1">
      <c r="A859" s="14" t="s">
        <v>3070</v>
      </c>
      <c r="B859" s="14" t="s">
        <v>316</v>
      </c>
      <c r="C859" s="14" t="s">
        <v>3071</v>
      </c>
      <c r="D859" s="14">
        <v>100.0</v>
      </c>
      <c r="E859" s="14" t="s">
        <v>318</v>
      </c>
      <c r="F859" s="14" t="s">
        <v>3072</v>
      </c>
      <c r="G859" s="14" t="s">
        <v>3073</v>
      </c>
      <c r="H859" s="13"/>
      <c r="I859" s="13"/>
      <c r="J859" s="13"/>
      <c r="K859" s="13"/>
      <c r="L859" s="13"/>
      <c r="M859" s="13"/>
      <c r="N859" s="13"/>
      <c r="O859" s="13"/>
      <c r="P859" s="13"/>
      <c r="Q859" s="13"/>
      <c r="R859" s="13"/>
      <c r="S859" s="13"/>
    </row>
    <row r="860" ht="15.75" customHeight="1">
      <c r="A860" s="14" t="s">
        <v>3074</v>
      </c>
      <c r="B860" s="14" t="s">
        <v>316</v>
      </c>
      <c r="C860" s="14" t="s">
        <v>3075</v>
      </c>
      <c r="D860" s="14">
        <v>100.0</v>
      </c>
      <c r="E860" s="14" t="s">
        <v>318</v>
      </c>
      <c r="F860" s="14" t="s">
        <v>1047</v>
      </c>
      <c r="G860" s="14" t="s">
        <v>3076</v>
      </c>
      <c r="H860" s="13"/>
      <c r="I860" s="13"/>
      <c r="J860" s="13"/>
      <c r="K860" s="13"/>
      <c r="L860" s="13"/>
      <c r="M860" s="13"/>
      <c r="N860" s="13"/>
      <c r="O860" s="13"/>
      <c r="P860" s="13"/>
      <c r="Q860" s="13"/>
      <c r="R860" s="13"/>
      <c r="S860" s="13"/>
    </row>
    <row r="861" ht="15.75" customHeight="1">
      <c r="A861" s="14" t="s">
        <v>3077</v>
      </c>
      <c r="B861" s="14" t="s">
        <v>316</v>
      </c>
      <c r="C861" s="14" t="s">
        <v>3078</v>
      </c>
      <c r="D861" s="14">
        <v>100.0</v>
      </c>
      <c r="E861" s="14" t="s">
        <v>318</v>
      </c>
      <c r="F861" s="14" t="s">
        <v>3079</v>
      </c>
      <c r="G861" s="14" t="s">
        <v>3080</v>
      </c>
      <c r="H861" s="13"/>
      <c r="I861" s="13"/>
      <c r="J861" s="13"/>
      <c r="K861" s="13"/>
      <c r="L861" s="13"/>
      <c r="M861" s="13"/>
      <c r="N861" s="13"/>
      <c r="O861" s="13"/>
      <c r="P861" s="13"/>
      <c r="Q861" s="13"/>
      <c r="R861" s="13"/>
      <c r="S861" s="13"/>
    </row>
    <row r="862" ht="15.75" customHeight="1">
      <c r="A862" s="14" t="s">
        <v>3081</v>
      </c>
      <c r="B862" s="14" t="s">
        <v>316</v>
      </c>
      <c r="C862" s="14" t="s">
        <v>3082</v>
      </c>
      <c r="D862" s="14">
        <v>100.0</v>
      </c>
      <c r="E862" s="14" t="s">
        <v>318</v>
      </c>
      <c r="F862" s="14" t="s">
        <v>3083</v>
      </c>
      <c r="G862" s="14" t="s">
        <v>3084</v>
      </c>
      <c r="H862" s="13"/>
      <c r="I862" s="13"/>
      <c r="J862" s="13"/>
      <c r="K862" s="13"/>
      <c r="L862" s="13"/>
      <c r="M862" s="13"/>
      <c r="N862" s="13"/>
      <c r="O862" s="13"/>
      <c r="P862" s="13"/>
      <c r="Q862" s="13"/>
      <c r="R862" s="13"/>
      <c r="S862" s="13"/>
    </row>
    <row r="863" ht="15.75" customHeight="1">
      <c r="A863" s="14" t="s">
        <v>3085</v>
      </c>
      <c r="B863" s="14" t="s">
        <v>316</v>
      </c>
      <c r="C863" s="14" t="s">
        <v>3086</v>
      </c>
      <c r="D863" s="14">
        <v>100.0</v>
      </c>
      <c r="E863" s="14" t="s">
        <v>318</v>
      </c>
      <c r="F863" s="14" t="s">
        <v>1158</v>
      </c>
      <c r="G863" s="14" t="s">
        <v>3087</v>
      </c>
      <c r="H863" s="13"/>
      <c r="I863" s="13"/>
      <c r="J863" s="13"/>
      <c r="K863" s="13"/>
      <c r="L863" s="13"/>
      <c r="M863" s="13"/>
      <c r="N863" s="13"/>
      <c r="O863" s="13"/>
      <c r="P863" s="13"/>
      <c r="Q863" s="13"/>
      <c r="R863" s="13"/>
      <c r="S863" s="13"/>
    </row>
    <row r="864" ht="15.75" customHeight="1">
      <c r="A864" s="14" t="s">
        <v>3088</v>
      </c>
      <c r="B864" s="14" t="s">
        <v>316</v>
      </c>
      <c r="C864" s="14" t="s">
        <v>3089</v>
      </c>
      <c r="D864" s="14">
        <v>100.0</v>
      </c>
      <c r="E864" s="14" t="s">
        <v>318</v>
      </c>
      <c r="F864" s="14" t="s">
        <v>3090</v>
      </c>
      <c r="G864" s="14" t="s">
        <v>3091</v>
      </c>
      <c r="H864" s="13"/>
      <c r="I864" s="13"/>
      <c r="J864" s="13"/>
      <c r="K864" s="13"/>
      <c r="L864" s="13"/>
      <c r="M864" s="13"/>
      <c r="N864" s="13"/>
      <c r="O864" s="13"/>
      <c r="P864" s="13"/>
      <c r="Q864" s="13"/>
      <c r="R864" s="13"/>
      <c r="S864" s="13"/>
    </row>
    <row r="865" ht="15.75" customHeight="1">
      <c r="A865" s="14" t="s">
        <v>3092</v>
      </c>
      <c r="B865" s="14" t="s">
        <v>316</v>
      </c>
      <c r="C865" s="14" t="s">
        <v>3093</v>
      </c>
      <c r="D865" s="14">
        <v>100.0</v>
      </c>
      <c r="E865" s="14" t="s">
        <v>318</v>
      </c>
      <c r="F865" s="14" t="s">
        <v>3094</v>
      </c>
      <c r="G865" s="14" t="s">
        <v>3095</v>
      </c>
      <c r="H865" s="13"/>
      <c r="I865" s="13"/>
      <c r="J865" s="13"/>
      <c r="K865" s="13"/>
      <c r="L865" s="13"/>
      <c r="M865" s="13"/>
      <c r="N865" s="13"/>
      <c r="O865" s="13"/>
      <c r="P865" s="13"/>
      <c r="Q865" s="13"/>
      <c r="R865" s="13"/>
      <c r="S865" s="13"/>
    </row>
    <row r="866" ht="15.75" customHeight="1">
      <c r="A866" s="14" t="s">
        <v>3096</v>
      </c>
      <c r="B866" s="14" t="s">
        <v>316</v>
      </c>
      <c r="C866" s="14" t="s">
        <v>3097</v>
      </c>
      <c r="D866" s="14">
        <v>100.0</v>
      </c>
      <c r="E866" s="14" t="s">
        <v>318</v>
      </c>
      <c r="F866" s="14" t="s">
        <v>3098</v>
      </c>
      <c r="G866" s="14" t="s">
        <v>3099</v>
      </c>
      <c r="H866" s="13"/>
      <c r="I866" s="13"/>
      <c r="J866" s="13"/>
      <c r="K866" s="13"/>
      <c r="L866" s="13"/>
      <c r="M866" s="13"/>
      <c r="N866" s="13"/>
      <c r="O866" s="13"/>
      <c r="P866" s="13"/>
      <c r="Q866" s="13"/>
      <c r="R866" s="13"/>
      <c r="S866" s="13"/>
    </row>
    <row r="867" ht="15.75" customHeight="1">
      <c r="A867" s="14" t="s">
        <v>3100</v>
      </c>
      <c r="B867" s="14" t="s">
        <v>316</v>
      </c>
      <c r="C867" s="14" t="s">
        <v>3101</v>
      </c>
      <c r="D867" s="14">
        <v>100.0</v>
      </c>
      <c r="E867" s="14" t="s">
        <v>318</v>
      </c>
      <c r="F867" s="14" t="s">
        <v>3102</v>
      </c>
      <c r="G867" s="14" t="s">
        <v>3103</v>
      </c>
      <c r="H867" s="13"/>
      <c r="I867" s="13"/>
      <c r="J867" s="13"/>
      <c r="K867" s="13"/>
      <c r="L867" s="13"/>
      <c r="M867" s="13"/>
      <c r="N867" s="13"/>
      <c r="O867" s="13"/>
      <c r="P867" s="13"/>
      <c r="Q867" s="13"/>
      <c r="R867" s="13"/>
      <c r="S867" s="13"/>
    </row>
    <row r="868" ht="15.75" customHeight="1">
      <c r="A868" s="14" t="s">
        <v>3104</v>
      </c>
      <c r="B868" s="14" t="s">
        <v>316</v>
      </c>
      <c r="C868" s="14" t="s">
        <v>3105</v>
      </c>
      <c r="D868" s="14">
        <v>100.0</v>
      </c>
      <c r="E868" s="14" t="s">
        <v>318</v>
      </c>
      <c r="F868" s="14" t="s">
        <v>3106</v>
      </c>
      <c r="G868" s="14" t="s">
        <v>3107</v>
      </c>
      <c r="H868" s="13"/>
      <c r="I868" s="13"/>
      <c r="J868" s="13"/>
      <c r="K868" s="13"/>
      <c r="L868" s="13"/>
      <c r="M868" s="13"/>
      <c r="N868" s="13"/>
      <c r="O868" s="13"/>
      <c r="P868" s="13"/>
      <c r="Q868" s="13"/>
      <c r="R868" s="13"/>
      <c r="S868" s="13"/>
    </row>
    <row r="869" ht="15.75" customHeight="1">
      <c r="A869" s="14" t="s">
        <v>3108</v>
      </c>
      <c r="B869" s="14" t="s">
        <v>316</v>
      </c>
      <c r="C869" s="14" t="s">
        <v>3109</v>
      </c>
      <c r="D869" s="14">
        <v>100.0</v>
      </c>
      <c r="E869" s="14" t="s">
        <v>318</v>
      </c>
      <c r="F869" s="14" t="s">
        <v>3110</v>
      </c>
      <c r="G869" s="14" t="s">
        <v>3111</v>
      </c>
      <c r="H869" s="13"/>
      <c r="I869" s="13"/>
      <c r="J869" s="13"/>
      <c r="K869" s="13"/>
      <c r="L869" s="13"/>
      <c r="M869" s="13"/>
      <c r="N869" s="13"/>
      <c r="O869" s="13"/>
      <c r="P869" s="13"/>
      <c r="Q869" s="13"/>
      <c r="R869" s="13"/>
      <c r="S869" s="13"/>
    </row>
    <row r="870" ht="15.75" customHeight="1">
      <c r="A870" s="14" t="s">
        <v>3112</v>
      </c>
      <c r="B870" s="14" t="s">
        <v>316</v>
      </c>
      <c r="C870" s="14" t="s">
        <v>3113</v>
      </c>
      <c r="D870" s="14">
        <v>100.0</v>
      </c>
      <c r="E870" s="14" t="s">
        <v>318</v>
      </c>
      <c r="F870" s="14" t="s">
        <v>3114</v>
      </c>
      <c r="G870" s="14" t="s">
        <v>3115</v>
      </c>
      <c r="H870" s="13"/>
      <c r="I870" s="13"/>
      <c r="J870" s="13"/>
      <c r="K870" s="13"/>
      <c r="L870" s="13"/>
      <c r="M870" s="13"/>
      <c r="N870" s="13"/>
      <c r="O870" s="13"/>
      <c r="P870" s="13"/>
      <c r="Q870" s="13"/>
      <c r="R870" s="13"/>
      <c r="S870" s="13"/>
    </row>
    <row r="871" ht="15.75" customHeight="1">
      <c r="A871" s="14" t="s">
        <v>3116</v>
      </c>
      <c r="B871" s="14" t="s">
        <v>316</v>
      </c>
      <c r="C871" s="14" t="s">
        <v>3117</v>
      </c>
      <c r="D871" s="14">
        <v>100.0</v>
      </c>
      <c r="E871" s="14" t="s">
        <v>318</v>
      </c>
      <c r="F871" s="14" t="s">
        <v>3118</v>
      </c>
      <c r="G871" s="14" t="s">
        <v>3119</v>
      </c>
      <c r="H871" s="13"/>
      <c r="I871" s="13"/>
      <c r="J871" s="13"/>
      <c r="K871" s="13"/>
      <c r="L871" s="13"/>
      <c r="M871" s="13"/>
      <c r="N871" s="13"/>
      <c r="O871" s="13"/>
      <c r="P871" s="13"/>
      <c r="Q871" s="13"/>
      <c r="R871" s="13"/>
      <c r="S871" s="13"/>
    </row>
    <row r="872" ht="15.75" customHeight="1">
      <c r="A872" s="14" t="s">
        <v>3120</v>
      </c>
      <c r="B872" s="14" t="s">
        <v>316</v>
      </c>
      <c r="C872" s="14" t="s">
        <v>3121</v>
      </c>
      <c r="D872" s="14">
        <v>100.0</v>
      </c>
      <c r="E872" s="14" t="s">
        <v>318</v>
      </c>
      <c r="F872" s="14" t="s">
        <v>3122</v>
      </c>
      <c r="G872" s="14" t="s">
        <v>3123</v>
      </c>
      <c r="H872" s="13"/>
      <c r="I872" s="13"/>
      <c r="J872" s="13"/>
      <c r="K872" s="13"/>
      <c r="L872" s="13"/>
      <c r="M872" s="13"/>
      <c r="N872" s="13"/>
      <c r="O872" s="13"/>
      <c r="P872" s="13"/>
      <c r="Q872" s="13"/>
      <c r="R872" s="13"/>
      <c r="S872" s="13"/>
    </row>
    <row r="873" ht="15.75" customHeight="1">
      <c r="A873" s="14" t="s">
        <v>3124</v>
      </c>
      <c r="B873" s="14" t="s">
        <v>316</v>
      </c>
      <c r="C873" s="14" t="s">
        <v>3125</v>
      </c>
      <c r="D873" s="14">
        <v>100.0</v>
      </c>
      <c r="E873" s="14" t="s">
        <v>318</v>
      </c>
      <c r="F873" s="14" t="s">
        <v>3126</v>
      </c>
      <c r="G873" s="14" t="s">
        <v>3127</v>
      </c>
      <c r="H873" s="13"/>
      <c r="I873" s="13"/>
      <c r="J873" s="13"/>
      <c r="K873" s="13"/>
      <c r="L873" s="13"/>
      <c r="M873" s="13"/>
      <c r="N873" s="13"/>
      <c r="O873" s="13"/>
      <c r="P873" s="13"/>
      <c r="Q873" s="13"/>
      <c r="R873" s="13"/>
      <c r="S873" s="13"/>
    </row>
    <row r="874" ht="15.75" customHeight="1">
      <c r="A874" s="14" t="s">
        <v>3128</v>
      </c>
      <c r="B874" s="14" t="s">
        <v>316</v>
      </c>
      <c r="C874" s="14" t="s">
        <v>3129</v>
      </c>
      <c r="D874" s="14">
        <v>100.0</v>
      </c>
      <c r="E874" s="14" t="s">
        <v>318</v>
      </c>
      <c r="F874" s="14" t="s">
        <v>3130</v>
      </c>
      <c r="G874" s="14" t="s">
        <v>3131</v>
      </c>
      <c r="H874" s="13"/>
      <c r="I874" s="13"/>
      <c r="J874" s="13"/>
      <c r="K874" s="13"/>
      <c r="L874" s="13"/>
      <c r="M874" s="13"/>
      <c r="N874" s="13"/>
      <c r="O874" s="13"/>
      <c r="P874" s="13"/>
      <c r="Q874" s="13"/>
      <c r="R874" s="13"/>
      <c r="S874" s="13"/>
    </row>
    <row r="875" ht="15.75" customHeight="1">
      <c r="A875" s="14" t="s">
        <v>3132</v>
      </c>
      <c r="B875" s="14" t="s">
        <v>316</v>
      </c>
      <c r="C875" s="14" t="s">
        <v>3133</v>
      </c>
      <c r="D875" s="14">
        <v>100.0</v>
      </c>
      <c r="E875" s="14" t="s">
        <v>318</v>
      </c>
      <c r="F875" s="14" t="s">
        <v>3134</v>
      </c>
      <c r="G875" s="14" t="s">
        <v>3135</v>
      </c>
      <c r="H875" s="13"/>
      <c r="I875" s="13"/>
      <c r="J875" s="13"/>
      <c r="K875" s="13"/>
      <c r="L875" s="13"/>
      <c r="M875" s="13"/>
      <c r="N875" s="13"/>
      <c r="O875" s="13"/>
      <c r="P875" s="13"/>
      <c r="Q875" s="13"/>
      <c r="R875" s="13"/>
      <c r="S875" s="13"/>
    </row>
    <row r="876" ht="15.75" customHeight="1">
      <c r="A876" s="14" t="s">
        <v>3136</v>
      </c>
      <c r="B876" s="14" t="s">
        <v>316</v>
      </c>
      <c r="C876" s="14" t="s">
        <v>3137</v>
      </c>
      <c r="D876" s="14">
        <v>100.0</v>
      </c>
      <c r="E876" s="14" t="s">
        <v>318</v>
      </c>
      <c r="F876" s="14" t="s">
        <v>3138</v>
      </c>
      <c r="G876" s="14" t="s">
        <v>3139</v>
      </c>
      <c r="H876" s="13"/>
      <c r="I876" s="13"/>
      <c r="J876" s="13"/>
      <c r="K876" s="13"/>
      <c r="L876" s="13"/>
      <c r="M876" s="13"/>
      <c r="N876" s="13"/>
      <c r="O876" s="13"/>
      <c r="P876" s="13"/>
      <c r="Q876" s="13"/>
      <c r="R876" s="13"/>
      <c r="S876" s="13"/>
    </row>
    <row r="877" ht="15.75" customHeight="1">
      <c r="A877" s="14" t="s">
        <v>3140</v>
      </c>
      <c r="B877" s="14" t="s">
        <v>316</v>
      </c>
      <c r="C877" s="14" t="s">
        <v>3141</v>
      </c>
      <c r="D877" s="14">
        <v>100.0</v>
      </c>
      <c r="E877" s="14" t="s">
        <v>318</v>
      </c>
      <c r="F877" s="14" t="s">
        <v>3142</v>
      </c>
      <c r="G877" s="14" t="s">
        <v>3143</v>
      </c>
      <c r="H877" s="13"/>
      <c r="I877" s="13"/>
      <c r="J877" s="13"/>
      <c r="K877" s="13"/>
      <c r="L877" s="13"/>
      <c r="M877" s="13"/>
      <c r="N877" s="13"/>
      <c r="O877" s="13"/>
      <c r="P877" s="13"/>
      <c r="Q877" s="13"/>
      <c r="R877" s="13"/>
      <c r="S877" s="13"/>
    </row>
    <row r="878" ht="15.75" customHeight="1">
      <c r="A878" s="14" t="s">
        <v>3144</v>
      </c>
      <c r="B878" s="14" t="s">
        <v>316</v>
      </c>
      <c r="C878" s="14" t="s">
        <v>3145</v>
      </c>
      <c r="D878" s="14">
        <v>100.0</v>
      </c>
      <c r="E878" s="14" t="s">
        <v>318</v>
      </c>
      <c r="F878" s="14" t="s">
        <v>3146</v>
      </c>
      <c r="G878" s="14" t="s">
        <v>3147</v>
      </c>
      <c r="H878" s="13"/>
      <c r="I878" s="13"/>
      <c r="J878" s="13"/>
      <c r="K878" s="13"/>
      <c r="L878" s="13"/>
      <c r="M878" s="13"/>
      <c r="N878" s="13"/>
      <c r="O878" s="13"/>
      <c r="P878" s="13"/>
      <c r="Q878" s="13"/>
      <c r="R878" s="13"/>
      <c r="S878" s="13"/>
    </row>
    <row r="879" ht="15.75" customHeight="1">
      <c r="A879" s="14" t="s">
        <v>3148</v>
      </c>
      <c r="B879" s="14" t="s">
        <v>316</v>
      </c>
      <c r="C879" s="14" t="s">
        <v>3149</v>
      </c>
      <c r="D879" s="14">
        <v>100.0</v>
      </c>
      <c r="E879" s="14" t="s">
        <v>318</v>
      </c>
      <c r="F879" s="14" t="s">
        <v>3150</v>
      </c>
      <c r="G879" s="14" t="s">
        <v>3151</v>
      </c>
      <c r="H879" s="13"/>
      <c r="I879" s="13"/>
      <c r="J879" s="13"/>
      <c r="K879" s="13"/>
      <c r="L879" s="13"/>
      <c r="M879" s="13"/>
      <c r="N879" s="13"/>
      <c r="O879" s="13"/>
      <c r="P879" s="13"/>
      <c r="Q879" s="13"/>
      <c r="R879" s="13"/>
      <c r="S879" s="13"/>
    </row>
    <row r="880" ht="15.75" customHeight="1">
      <c r="A880" s="14" t="s">
        <v>3152</v>
      </c>
      <c r="B880" s="14" t="s">
        <v>316</v>
      </c>
      <c r="C880" s="14" t="s">
        <v>3153</v>
      </c>
      <c r="D880" s="14">
        <v>100.0</v>
      </c>
      <c r="E880" s="14" t="s">
        <v>318</v>
      </c>
      <c r="F880" s="14" t="s">
        <v>3154</v>
      </c>
      <c r="G880" s="14" t="s">
        <v>3155</v>
      </c>
      <c r="H880" s="13"/>
      <c r="I880" s="13"/>
      <c r="J880" s="13"/>
      <c r="K880" s="13"/>
      <c r="L880" s="13"/>
      <c r="M880" s="13"/>
      <c r="N880" s="13"/>
      <c r="O880" s="13"/>
      <c r="P880" s="13"/>
      <c r="Q880" s="13"/>
      <c r="R880" s="13"/>
      <c r="S880" s="13"/>
    </row>
    <row r="881" ht="15.75" customHeight="1">
      <c r="A881" s="14" t="s">
        <v>3156</v>
      </c>
      <c r="B881" s="14" t="s">
        <v>316</v>
      </c>
      <c r="C881" s="14" t="s">
        <v>3157</v>
      </c>
      <c r="D881" s="14">
        <v>100.0</v>
      </c>
      <c r="E881" s="14" t="s">
        <v>318</v>
      </c>
      <c r="F881" s="14" t="s">
        <v>3158</v>
      </c>
      <c r="G881" s="14" t="s">
        <v>3159</v>
      </c>
      <c r="H881" s="13"/>
      <c r="I881" s="13"/>
      <c r="J881" s="13"/>
      <c r="K881" s="13"/>
      <c r="L881" s="13"/>
      <c r="M881" s="13"/>
      <c r="N881" s="13"/>
      <c r="O881" s="13"/>
      <c r="P881" s="13"/>
      <c r="Q881" s="13"/>
      <c r="R881" s="13"/>
      <c r="S881" s="13"/>
    </row>
    <row r="882" ht="15.75" customHeight="1">
      <c r="A882" s="14" t="s">
        <v>3160</v>
      </c>
      <c r="B882" s="14" t="s">
        <v>316</v>
      </c>
      <c r="C882" s="14" t="s">
        <v>3161</v>
      </c>
      <c r="D882" s="14">
        <v>100.0</v>
      </c>
      <c r="E882" s="14" t="s">
        <v>318</v>
      </c>
      <c r="F882" s="14" t="s">
        <v>591</v>
      </c>
      <c r="G882" s="14" t="s">
        <v>3162</v>
      </c>
      <c r="H882" s="13"/>
      <c r="I882" s="13"/>
      <c r="J882" s="13"/>
      <c r="K882" s="13"/>
      <c r="L882" s="13"/>
      <c r="M882" s="13"/>
      <c r="N882" s="13"/>
      <c r="O882" s="13"/>
      <c r="P882" s="13"/>
      <c r="Q882" s="13"/>
      <c r="R882" s="13"/>
      <c r="S882" s="13"/>
    </row>
    <row r="883" ht="15.75" customHeight="1">
      <c r="A883" s="14" t="s">
        <v>3163</v>
      </c>
      <c r="B883" s="14" t="s">
        <v>316</v>
      </c>
      <c r="C883" s="14" t="s">
        <v>3164</v>
      </c>
      <c r="D883" s="14">
        <v>100.0</v>
      </c>
      <c r="E883" s="14" t="s">
        <v>318</v>
      </c>
      <c r="F883" s="14" t="s">
        <v>3165</v>
      </c>
      <c r="G883" s="14" t="s">
        <v>3166</v>
      </c>
      <c r="H883" s="13"/>
      <c r="I883" s="13"/>
      <c r="J883" s="13"/>
      <c r="K883" s="13"/>
      <c r="L883" s="13"/>
      <c r="M883" s="13"/>
      <c r="N883" s="13"/>
      <c r="O883" s="13"/>
      <c r="P883" s="13"/>
      <c r="Q883" s="13"/>
      <c r="R883" s="13"/>
      <c r="S883" s="13"/>
    </row>
    <row r="884" ht="15.75" customHeight="1">
      <c r="A884" s="14" t="s">
        <v>3167</v>
      </c>
      <c r="B884" s="14" t="s">
        <v>316</v>
      </c>
      <c r="C884" s="14" t="s">
        <v>3168</v>
      </c>
      <c r="D884" s="14">
        <v>100.0</v>
      </c>
      <c r="E884" s="14" t="s">
        <v>318</v>
      </c>
      <c r="F884" s="14" t="s">
        <v>3169</v>
      </c>
      <c r="G884" s="14" t="s">
        <v>3170</v>
      </c>
      <c r="H884" s="13"/>
      <c r="I884" s="13"/>
      <c r="J884" s="13"/>
      <c r="K884" s="13"/>
      <c r="L884" s="13"/>
      <c r="M884" s="13"/>
      <c r="N884" s="13"/>
      <c r="O884" s="13"/>
      <c r="P884" s="13"/>
      <c r="Q884" s="13"/>
      <c r="R884" s="13"/>
      <c r="S884" s="13"/>
    </row>
    <row r="885" ht="15.75" customHeight="1">
      <c r="A885" s="14" t="s">
        <v>3171</v>
      </c>
      <c r="B885" s="14" t="s">
        <v>316</v>
      </c>
      <c r="C885" s="14" t="s">
        <v>3172</v>
      </c>
      <c r="D885" s="14">
        <v>100.0</v>
      </c>
      <c r="E885" s="14" t="s">
        <v>318</v>
      </c>
      <c r="F885" s="14" t="s">
        <v>3173</v>
      </c>
      <c r="G885" s="14" t="s">
        <v>3174</v>
      </c>
      <c r="H885" s="13"/>
      <c r="I885" s="13"/>
      <c r="J885" s="13"/>
      <c r="K885" s="13"/>
      <c r="L885" s="13"/>
      <c r="M885" s="13"/>
      <c r="N885" s="13"/>
      <c r="O885" s="13"/>
      <c r="P885" s="13"/>
      <c r="Q885" s="13"/>
      <c r="R885" s="13"/>
      <c r="S885" s="13"/>
    </row>
    <row r="886" ht="15.75" customHeight="1">
      <c r="A886" s="14" t="s">
        <v>3175</v>
      </c>
      <c r="B886" s="14" t="s">
        <v>316</v>
      </c>
      <c r="C886" s="14" t="s">
        <v>3176</v>
      </c>
      <c r="D886" s="14">
        <v>100.0</v>
      </c>
      <c r="E886" s="14" t="s">
        <v>318</v>
      </c>
      <c r="F886" s="14" t="s">
        <v>3177</v>
      </c>
      <c r="G886" s="14" t="s">
        <v>3178</v>
      </c>
      <c r="H886" s="13"/>
      <c r="I886" s="13"/>
      <c r="J886" s="13"/>
      <c r="K886" s="13"/>
      <c r="L886" s="13"/>
      <c r="M886" s="13"/>
      <c r="N886" s="13"/>
      <c r="O886" s="13"/>
      <c r="P886" s="13"/>
      <c r="Q886" s="13"/>
      <c r="R886" s="13"/>
      <c r="S886" s="13"/>
    </row>
    <row r="887" ht="15.75" customHeight="1">
      <c r="A887" s="14" t="s">
        <v>3179</v>
      </c>
      <c r="B887" s="14" t="s">
        <v>316</v>
      </c>
      <c r="C887" s="14" t="s">
        <v>3180</v>
      </c>
      <c r="D887" s="14">
        <v>100.0</v>
      </c>
      <c r="E887" s="14" t="s">
        <v>318</v>
      </c>
      <c r="F887" s="14" t="s">
        <v>3181</v>
      </c>
      <c r="G887" s="14" t="s">
        <v>3182</v>
      </c>
      <c r="H887" s="13"/>
      <c r="I887" s="13"/>
      <c r="J887" s="13"/>
      <c r="K887" s="13"/>
      <c r="L887" s="13"/>
      <c r="M887" s="13"/>
      <c r="N887" s="13"/>
      <c r="O887" s="13"/>
      <c r="P887" s="13"/>
      <c r="Q887" s="13"/>
      <c r="R887" s="13"/>
      <c r="S887" s="13"/>
    </row>
    <row r="888" ht="15.75" customHeight="1">
      <c r="A888" s="14" t="s">
        <v>3183</v>
      </c>
      <c r="B888" s="14" t="s">
        <v>316</v>
      </c>
      <c r="C888" s="14" t="s">
        <v>3184</v>
      </c>
      <c r="D888" s="14">
        <v>100.0</v>
      </c>
      <c r="E888" s="14" t="s">
        <v>318</v>
      </c>
      <c r="F888" s="14" t="s">
        <v>3185</v>
      </c>
      <c r="G888" s="14" t="s">
        <v>3186</v>
      </c>
      <c r="H888" s="13"/>
      <c r="I888" s="13"/>
      <c r="J888" s="13"/>
      <c r="K888" s="13"/>
      <c r="L888" s="13"/>
      <c r="M888" s="13"/>
      <c r="N888" s="13"/>
      <c r="O888" s="13"/>
      <c r="P888" s="13"/>
      <c r="Q888" s="13"/>
      <c r="R888" s="13"/>
      <c r="S888" s="13"/>
    </row>
    <row r="889" ht="15.75" customHeight="1">
      <c r="A889" s="14" t="s">
        <v>3187</v>
      </c>
      <c r="B889" s="14" t="s">
        <v>316</v>
      </c>
      <c r="C889" s="14" t="s">
        <v>3188</v>
      </c>
      <c r="D889" s="14">
        <v>100.0</v>
      </c>
      <c r="E889" s="14" t="s">
        <v>318</v>
      </c>
      <c r="F889" s="14" t="s">
        <v>3189</v>
      </c>
      <c r="G889" s="14" t="s">
        <v>3190</v>
      </c>
      <c r="H889" s="13"/>
      <c r="I889" s="13"/>
      <c r="J889" s="13"/>
      <c r="K889" s="13"/>
      <c r="L889" s="13"/>
      <c r="M889" s="13"/>
      <c r="N889" s="13"/>
      <c r="O889" s="13"/>
      <c r="P889" s="13"/>
      <c r="Q889" s="13"/>
      <c r="R889" s="13"/>
      <c r="S889" s="13"/>
    </row>
    <row r="890" ht="15.75" customHeight="1">
      <c r="A890" s="14" t="s">
        <v>3191</v>
      </c>
      <c r="B890" s="14" t="s">
        <v>316</v>
      </c>
      <c r="C890" s="14" t="s">
        <v>3192</v>
      </c>
      <c r="D890" s="14">
        <v>100.0</v>
      </c>
      <c r="E890" s="14" t="s">
        <v>318</v>
      </c>
      <c r="F890" s="14" t="s">
        <v>3193</v>
      </c>
      <c r="G890" s="14" t="s">
        <v>3194</v>
      </c>
      <c r="H890" s="13"/>
      <c r="I890" s="13"/>
      <c r="J890" s="13"/>
      <c r="K890" s="13"/>
      <c r="L890" s="13"/>
      <c r="M890" s="13"/>
      <c r="N890" s="13"/>
      <c r="O890" s="13"/>
      <c r="P890" s="13"/>
      <c r="Q890" s="13"/>
      <c r="R890" s="13"/>
      <c r="S890" s="13"/>
    </row>
    <row r="891" ht="15.75" customHeight="1">
      <c r="A891" s="14" t="s">
        <v>3195</v>
      </c>
      <c r="B891" s="14" t="s">
        <v>316</v>
      </c>
      <c r="C891" s="14" t="s">
        <v>3196</v>
      </c>
      <c r="D891" s="14">
        <v>100.0</v>
      </c>
      <c r="E891" s="14" t="s">
        <v>318</v>
      </c>
      <c r="F891" s="14" t="s">
        <v>3197</v>
      </c>
      <c r="G891" s="14" t="s">
        <v>3198</v>
      </c>
      <c r="H891" s="13"/>
      <c r="I891" s="13"/>
      <c r="J891" s="13"/>
      <c r="K891" s="13"/>
      <c r="L891" s="13"/>
      <c r="M891" s="13"/>
      <c r="N891" s="13"/>
      <c r="O891" s="13"/>
      <c r="P891" s="13"/>
      <c r="Q891" s="13"/>
      <c r="R891" s="13"/>
      <c r="S891" s="13"/>
    </row>
    <row r="892" ht="15.75" customHeight="1">
      <c r="A892" s="14" t="s">
        <v>3199</v>
      </c>
      <c r="B892" s="14" t="s">
        <v>316</v>
      </c>
      <c r="C892" s="14" t="s">
        <v>3200</v>
      </c>
      <c r="D892" s="14">
        <v>100.0</v>
      </c>
      <c r="E892" s="14" t="s">
        <v>318</v>
      </c>
      <c r="F892" s="14" t="s">
        <v>3201</v>
      </c>
      <c r="G892" s="14" t="s">
        <v>3202</v>
      </c>
      <c r="H892" s="13"/>
      <c r="I892" s="13"/>
      <c r="J892" s="13"/>
      <c r="K892" s="13"/>
      <c r="L892" s="13"/>
      <c r="M892" s="13"/>
      <c r="N892" s="13"/>
      <c r="O892" s="13"/>
      <c r="P892" s="13"/>
      <c r="Q892" s="13"/>
      <c r="R892" s="13"/>
      <c r="S892" s="13"/>
    </row>
    <row r="893" ht="15.75" customHeight="1">
      <c r="A893" s="14" t="s">
        <v>3203</v>
      </c>
      <c r="B893" s="14" t="s">
        <v>316</v>
      </c>
      <c r="C893" s="14" t="s">
        <v>3204</v>
      </c>
      <c r="D893" s="14">
        <v>100.0</v>
      </c>
      <c r="E893" s="14" t="s">
        <v>318</v>
      </c>
      <c r="F893" s="14" t="s">
        <v>3205</v>
      </c>
      <c r="G893" s="14" t="s">
        <v>3206</v>
      </c>
      <c r="H893" s="13"/>
      <c r="I893" s="13"/>
      <c r="J893" s="13"/>
      <c r="K893" s="13"/>
      <c r="L893" s="13"/>
      <c r="M893" s="13"/>
      <c r="N893" s="13"/>
      <c r="O893" s="13"/>
      <c r="P893" s="13"/>
      <c r="Q893" s="13"/>
      <c r="R893" s="13"/>
      <c r="S893" s="13"/>
    </row>
    <row r="894" ht="15.75" customHeight="1">
      <c r="A894" s="14" t="s">
        <v>3207</v>
      </c>
      <c r="B894" s="14" t="s">
        <v>316</v>
      </c>
      <c r="C894" s="14" t="s">
        <v>3208</v>
      </c>
      <c r="D894" s="14">
        <v>100.0</v>
      </c>
      <c r="E894" s="14" t="s">
        <v>318</v>
      </c>
      <c r="F894" s="14" t="s">
        <v>3209</v>
      </c>
      <c r="G894" s="14" t="s">
        <v>3210</v>
      </c>
      <c r="H894" s="13"/>
      <c r="I894" s="13"/>
      <c r="J894" s="13"/>
      <c r="K894" s="13"/>
      <c r="L894" s="13"/>
      <c r="M894" s="13"/>
      <c r="N894" s="13"/>
      <c r="O894" s="13"/>
      <c r="P894" s="13"/>
      <c r="Q894" s="13"/>
      <c r="R894" s="13"/>
      <c r="S894" s="13"/>
    </row>
    <row r="895" ht="15.75" customHeight="1">
      <c r="A895" s="14" t="s">
        <v>3211</v>
      </c>
      <c r="B895" s="14" t="s">
        <v>316</v>
      </c>
      <c r="C895" s="14" t="s">
        <v>3212</v>
      </c>
      <c r="D895" s="14">
        <v>100.0</v>
      </c>
      <c r="E895" s="14" t="s">
        <v>318</v>
      </c>
      <c r="F895" s="14" t="s">
        <v>3213</v>
      </c>
      <c r="G895" s="14" t="s">
        <v>3214</v>
      </c>
      <c r="H895" s="13"/>
      <c r="I895" s="13"/>
      <c r="J895" s="13"/>
      <c r="K895" s="13"/>
      <c r="L895" s="13"/>
      <c r="M895" s="13"/>
      <c r="N895" s="13"/>
      <c r="O895" s="13"/>
      <c r="P895" s="13"/>
      <c r="Q895" s="13"/>
      <c r="R895" s="13"/>
      <c r="S895" s="13"/>
    </row>
    <row r="896" ht="15.75" customHeight="1">
      <c r="A896" s="14" t="s">
        <v>3215</v>
      </c>
      <c r="B896" s="14" t="s">
        <v>316</v>
      </c>
      <c r="C896" s="14" t="s">
        <v>3216</v>
      </c>
      <c r="D896" s="14">
        <v>100.0</v>
      </c>
      <c r="E896" s="14" t="s">
        <v>318</v>
      </c>
      <c r="F896" s="14" t="s">
        <v>3217</v>
      </c>
      <c r="G896" s="14" t="s">
        <v>3218</v>
      </c>
      <c r="H896" s="13"/>
      <c r="I896" s="13"/>
      <c r="J896" s="13"/>
      <c r="K896" s="13"/>
      <c r="L896" s="13"/>
      <c r="M896" s="13"/>
      <c r="N896" s="13"/>
      <c r="O896" s="13"/>
      <c r="P896" s="13"/>
      <c r="Q896" s="13"/>
      <c r="R896" s="13"/>
      <c r="S896" s="13"/>
    </row>
    <row r="897" ht="15.75" customHeight="1">
      <c r="A897" s="14" t="s">
        <v>3219</v>
      </c>
      <c r="B897" s="14" t="s">
        <v>316</v>
      </c>
      <c r="C897" s="14" t="s">
        <v>3220</v>
      </c>
      <c r="D897" s="14">
        <v>100.0</v>
      </c>
      <c r="E897" s="14" t="s">
        <v>318</v>
      </c>
      <c r="F897" s="14" t="s">
        <v>3221</v>
      </c>
      <c r="G897" s="14"/>
      <c r="H897" s="13"/>
      <c r="I897" s="13"/>
      <c r="J897" s="13"/>
      <c r="K897" s="13"/>
      <c r="L897" s="13"/>
      <c r="M897" s="13"/>
      <c r="N897" s="13"/>
      <c r="O897" s="13"/>
      <c r="P897" s="13"/>
      <c r="Q897" s="13"/>
      <c r="R897" s="13"/>
      <c r="S897" s="13"/>
    </row>
    <row r="898" ht="15.75" customHeight="1">
      <c r="A898" s="14" t="s">
        <v>3222</v>
      </c>
      <c r="B898" s="14" t="s">
        <v>3223</v>
      </c>
      <c r="C898" s="14"/>
      <c r="D898" s="14"/>
      <c r="E898" s="14"/>
      <c r="F898" s="14"/>
      <c r="G898" s="14"/>
      <c r="H898" s="13"/>
      <c r="I898" s="13"/>
      <c r="J898" s="13"/>
      <c r="K898" s="13"/>
      <c r="L898" s="13"/>
      <c r="M898" s="13"/>
      <c r="N898" s="13"/>
      <c r="O898" s="13"/>
      <c r="P898" s="13"/>
      <c r="Q898" s="13"/>
      <c r="R898" s="13"/>
      <c r="S898" s="13"/>
    </row>
    <row r="899" ht="15.75" customHeight="1">
      <c r="A899" s="14" t="s">
        <v>3224</v>
      </c>
      <c r="B899" s="14" t="s">
        <v>316</v>
      </c>
      <c r="C899" s="14" t="s">
        <v>3225</v>
      </c>
      <c r="D899" s="14">
        <v>100.0</v>
      </c>
      <c r="E899" s="14" t="s">
        <v>318</v>
      </c>
      <c r="F899" s="14" t="s">
        <v>3226</v>
      </c>
      <c r="G899" s="14" t="s">
        <v>3227</v>
      </c>
      <c r="H899" s="13"/>
      <c r="I899" s="13"/>
      <c r="J899" s="13"/>
      <c r="K899" s="13"/>
      <c r="L899" s="13"/>
      <c r="M899" s="13"/>
      <c r="N899" s="13"/>
      <c r="O899" s="13"/>
      <c r="P899" s="13"/>
      <c r="Q899" s="13"/>
      <c r="R899" s="13"/>
      <c r="S899" s="13"/>
    </row>
    <row r="900" ht="15.75" customHeight="1">
      <c r="A900" s="14" t="s">
        <v>3228</v>
      </c>
      <c r="B900" s="14" t="s">
        <v>316</v>
      </c>
      <c r="C900" s="14" t="s">
        <v>3229</v>
      </c>
      <c r="D900" s="14">
        <v>100.0</v>
      </c>
      <c r="E900" s="14" t="s">
        <v>318</v>
      </c>
      <c r="F900" s="14" t="s">
        <v>732</v>
      </c>
      <c r="G900" s="14" t="s">
        <v>3230</v>
      </c>
      <c r="H900" s="13"/>
      <c r="I900" s="13"/>
      <c r="J900" s="13"/>
      <c r="K900" s="13"/>
      <c r="L900" s="13"/>
      <c r="M900" s="13"/>
      <c r="N900" s="13"/>
      <c r="O900" s="13"/>
      <c r="P900" s="13"/>
      <c r="Q900" s="13"/>
      <c r="R900" s="13"/>
      <c r="S900" s="13"/>
    </row>
    <row r="901" ht="15.75" customHeight="1">
      <c r="A901" s="14" t="s">
        <v>3231</v>
      </c>
      <c r="B901" s="14" t="s">
        <v>316</v>
      </c>
      <c r="C901" s="14" t="s">
        <v>3232</v>
      </c>
      <c r="D901" s="14">
        <v>100.0</v>
      </c>
      <c r="E901" s="14" t="s">
        <v>318</v>
      </c>
      <c r="F901" s="14" t="s">
        <v>3233</v>
      </c>
      <c r="G901" s="14" t="s">
        <v>3234</v>
      </c>
      <c r="H901" s="13"/>
      <c r="I901" s="13"/>
      <c r="J901" s="13"/>
      <c r="K901" s="13"/>
      <c r="L901" s="13"/>
      <c r="M901" s="13"/>
      <c r="N901" s="13"/>
      <c r="O901" s="13"/>
      <c r="P901" s="13"/>
      <c r="Q901" s="13"/>
      <c r="R901" s="13"/>
      <c r="S901" s="13"/>
    </row>
    <row r="902" ht="15.75" customHeight="1">
      <c r="A902" s="14" t="s">
        <v>3235</v>
      </c>
      <c r="B902" s="14" t="s">
        <v>316</v>
      </c>
      <c r="C902" s="14" t="s">
        <v>3236</v>
      </c>
      <c r="D902" s="14">
        <v>100.0</v>
      </c>
      <c r="E902" s="14" t="s">
        <v>318</v>
      </c>
      <c r="F902" s="14" t="s">
        <v>1114</v>
      </c>
      <c r="G902" s="14" t="s">
        <v>3237</v>
      </c>
      <c r="H902" s="13"/>
      <c r="I902" s="13"/>
      <c r="J902" s="13"/>
      <c r="K902" s="13"/>
      <c r="L902" s="13"/>
      <c r="M902" s="13"/>
      <c r="N902" s="13"/>
      <c r="O902" s="13"/>
      <c r="P902" s="13"/>
      <c r="Q902" s="13"/>
      <c r="R902" s="13"/>
      <c r="S902" s="13"/>
    </row>
    <row r="903" ht="15.75" customHeight="1">
      <c r="A903" s="14" t="s">
        <v>3238</v>
      </c>
      <c r="B903" s="14" t="s">
        <v>316</v>
      </c>
      <c r="C903" s="14" t="s">
        <v>3239</v>
      </c>
      <c r="D903" s="14">
        <v>100.0</v>
      </c>
      <c r="E903" s="14" t="s">
        <v>318</v>
      </c>
      <c r="F903" s="14" t="s">
        <v>3240</v>
      </c>
      <c r="G903" s="14" t="s">
        <v>3241</v>
      </c>
      <c r="H903" s="13"/>
      <c r="I903" s="13"/>
      <c r="J903" s="13"/>
      <c r="K903" s="13"/>
      <c r="L903" s="13"/>
      <c r="M903" s="13"/>
      <c r="N903" s="13"/>
      <c r="O903" s="13"/>
      <c r="P903" s="13"/>
      <c r="Q903" s="13"/>
      <c r="R903" s="13"/>
      <c r="S903" s="13"/>
    </row>
    <row r="904" ht="15.75" customHeight="1">
      <c r="A904" s="14" t="s">
        <v>3242</v>
      </c>
      <c r="B904" s="14" t="s">
        <v>316</v>
      </c>
      <c r="C904" s="14" t="s">
        <v>3243</v>
      </c>
      <c r="D904" s="14">
        <v>100.0</v>
      </c>
      <c r="E904" s="14" t="s">
        <v>318</v>
      </c>
      <c r="F904" s="14" t="s">
        <v>3244</v>
      </c>
      <c r="G904" s="14" t="s">
        <v>3245</v>
      </c>
      <c r="H904" s="13"/>
      <c r="I904" s="13"/>
      <c r="J904" s="13"/>
      <c r="K904" s="13"/>
      <c r="L904" s="13"/>
      <c r="M904" s="13"/>
      <c r="N904" s="13"/>
      <c r="O904" s="13"/>
      <c r="P904" s="13"/>
      <c r="Q904" s="13"/>
      <c r="R904" s="13"/>
      <c r="S904" s="13"/>
    </row>
    <row r="905" ht="15.75" customHeight="1">
      <c r="A905" s="14" t="s">
        <v>3246</v>
      </c>
      <c r="B905" s="14" t="s">
        <v>316</v>
      </c>
      <c r="C905" s="14" t="s">
        <v>3247</v>
      </c>
      <c r="D905" s="14">
        <v>100.0</v>
      </c>
      <c r="E905" s="14" t="s">
        <v>318</v>
      </c>
      <c r="F905" s="14" t="s">
        <v>3248</v>
      </c>
      <c r="G905" s="14" t="s">
        <v>3249</v>
      </c>
      <c r="H905" s="13"/>
      <c r="I905" s="13"/>
      <c r="J905" s="13"/>
      <c r="K905" s="13"/>
      <c r="L905" s="13"/>
      <c r="M905" s="13"/>
      <c r="N905" s="13"/>
      <c r="O905" s="13"/>
      <c r="P905" s="13"/>
      <c r="Q905" s="13"/>
      <c r="R905" s="13"/>
      <c r="S905" s="13"/>
    </row>
    <row r="906" ht="15.75" customHeight="1">
      <c r="A906" s="14" t="s">
        <v>3250</v>
      </c>
      <c r="B906" s="14" t="s">
        <v>316</v>
      </c>
      <c r="C906" s="14" t="s">
        <v>3251</v>
      </c>
      <c r="D906" s="14">
        <v>100.0</v>
      </c>
      <c r="E906" s="14" t="s">
        <v>318</v>
      </c>
      <c r="F906" s="14" t="s">
        <v>2419</v>
      </c>
      <c r="G906" s="14" t="s">
        <v>3252</v>
      </c>
      <c r="H906" s="13"/>
      <c r="I906" s="13"/>
      <c r="J906" s="13"/>
      <c r="K906" s="13"/>
      <c r="L906" s="13"/>
      <c r="M906" s="13"/>
      <c r="N906" s="13"/>
      <c r="O906" s="13"/>
      <c r="P906" s="13"/>
      <c r="Q906" s="13"/>
      <c r="R906" s="13"/>
      <c r="S906" s="13"/>
    </row>
    <row r="907" ht="15.75" customHeight="1">
      <c r="A907" s="14" t="s">
        <v>3253</v>
      </c>
      <c r="B907" s="14" t="s">
        <v>316</v>
      </c>
      <c r="C907" s="14" t="s">
        <v>3254</v>
      </c>
      <c r="D907" s="14">
        <v>100.0</v>
      </c>
      <c r="E907" s="14" t="s">
        <v>318</v>
      </c>
      <c r="F907" s="14" t="s">
        <v>3255</v>
      </c>
      <c r="G907" s="14" t="s">
        <v>3256</v>
      </c>
      <c r="H907" s="13"/>
      <c r="I907" s="13"/>
      <c r="J907" s="13"/>
      <c r="K907" s="13"/>
      <c r="L907" s="13"/>
      <c r="M907" s="13"/>
      <c r="N907" s="13"/>
      <c r="O907" s="13"/>
      <c r="P907" s="13"/>
      <c r="Q907" s="13"/>
      <c r="R907" s="13"/>
      <c r="S907" s="13"/>
    </row>
    <row r="908" ht="15.75" customHeight="1">
      <c r="A908" s="14" t="s">
        <v>3257</v>
      </c>
      <c r="B908" s="14" t="s">
        <v>316</v>
      </c>
      <c r="C908" s="14" t="s">
        <v>3258</v>
      </c>
      <c r="D908" s="14">
        <v>100.0</v>
      </c>
      <c r="E908" s="14" t="s">
        <v>318</v>
      </c>
      <c r="F908" s="14" t="s">
        <v>1836</v>
      </c>
      <c r="G908" s="14" t="s">
        <v>3259</v>
      </c>
      <c r="H908" s="13"/>
      <c r="I908" s="13"/>
      <c r="J908" s="13"/>
      <c r="K908" s="13"/>
      <c r="L908" s="13"/>
      <c r="M908" s="13"/>
      <c r="N908" s="13"/>
      <c r="O908" s="13"/>
      <c r="P908" s="13"/>
      <c r="Q908" s="13"/>
      <c r="R908" s="13"/>
      <c r="S908" s="13"/>
    </row>
    <row r="909" ht="15.75" customHeight="1">
      <c r="A909" s="14" t="s">
        <v>3260</v>
      </c>
      <c r="B909" s="14" t="s">
        <v>316</v>
      </c>
      <c r="C909" s="14" t="s">
        <v>3261</v>
      </c>
      <c r="D909" s="14">
        <v>100.0</v>
      </c>
      <c r="E909" s="14" t="s">
        <v>318</v>
      </c>
      <c r="F909" s="14" t="s">
        <v>3262</v>
      </c>
      <c r="G909" s="14" t="s">
        <v>3263</v>
      </c>
      <c r="H909" s="13"/>
      <c r="I909" s="13"/>
      <c r="J909" s="13"/>
      <c r="K909" s="13"/>
      <c r="L909" s="13"/>
      <c r="M909" s="13"/>
      <c r="N909" s="13"/>
      <c r="O909" s="13"/>
      <c r="P909" s="13"/>
      <c r="Q909" s="13"/>
      <c r="R909" s="13"/>
      <c r="S909" s="13"/>
    </row>
    <row r="910" ht="15.75" customHeight="1">
      <c r="A910" s="14" t="s">
        <v>3264</v>
      </c>
      <c r="B910" s="14" t="s">
        <v>316</v>
      </c>
      <c r="C910" s="14" t="s">
        <v>3265</v>
      </c>
      <c r="D910" s="14">
        <v>100.0</v>
      </c>
      <c r="E910" s="14" t="s">
        <v>318</v>
      </c>
      <c r="F910" s="14" t="s">
        <v>664</v>
      </c>
      <c r="G910" s="14" t="s">
        <v>3266</v>
      </c>
      <c r="H910" s="13"/>
      <c r="I910" s="13"/>
      <c r="J910" s="13"/>
      <c r="K910" s="13"/>
      <c r="L910" s="13"/>
      <c r="M910" s="13"/>
      <c r="N910" s="13"/>
      <c r="O910" s="13"/>
      <c r="P910" s="13"/>
      <c r="Q910" s="13"/>
      <c r="R910" s="13"/>
      <c r="S910" s="13"/>
    </row>
    <row r="911" ht="15.75" customHeight="1">
      <c r="A911" s="14" t="s">
        <v>3267</v>
      </c>
      <c r="B911" s="14" t="s">
        <v>316</v>
      </c>
      <c r="C911" s="14" t="s">
        <v>3268</v>
      </c>
      <c r="D911" s="14">
        <v>100.0</v>
      </c>
      <c r="E911" s="14" t="s">
        <v>318</v>
      </c>
      <c r="F911" s="14" t="s">
        <v>3269</v>
      </c>
      <c r="G911" s="14" t="s">
        <v>3270</v>
      </c>
      <c r="H911" s="13"/>
      <c r="I911" s="13"/>
      <c r="J911" s="13"/>
      <c r="K911" s="13"/>
      <c r="L911" s="13"/>
      <c r="M911" s="13"/>
      <c r="N911" s="13"/>
      <c r="O911" s="13"/>
      <c r="P911" s="13"/>
      <c r="Q911" s="13"/>
      <c r="R911" s="13"/>
      <c r="S911" s="13"/>
    </row>
    <row r="912" ht="15.75" customHeight="1">
      <c r="A912" s="14" t="s">
        <v>3271</v>
      </c>
      <c r="B912" s="14" t="s">
        <v>316</v>
      </c>
      <c r="C912" s="14" t="s">
        <v>3272</v>
      </c>
      <c r="D912" s="14">
        <v>100.0</v>
      </c>
      <c r="E912" s="14" t="s">
        <v>318</v>
      </c>
      <c r="F912" s="14" t="s">
        <v>3273</v>
      </c>
      <c r="G912" s="14" t="s">
        <v>3274</v>
      </c>
      <c r="H912" s="13"/>
      <c r="I912" s="13"/>
      <c r="J912" s="13"/>
      <c r="K912" s="13"/>
      <c r="L912" s="13"/>
      <c r="M912" s="13"/>
      <c r="N912" s="13"/>
      <c r="O912" s="13"/>
      <c r="P912" s="13"/>
      <c r="Q912" s="13"/>
      <c r="R912" s="13"/>
      <c r="S912" s="13"/>
    </row>
    <row r="913" ht="15.75" customHeight="1">
      <c r="A913" s="14" t="s">
        <v>3275</v>
      </c>
      <c r="B913" s="14" t="s">
        <v>316</v>
      </c>
      <c r="C913" s="14" t="s">
        <v>3276</v>
      </c>
      <c r="D913" s="14">
        <v>100.0</v>
      </c>
      <c r="E913" s="14" t="s">
        <v>318</v>
      </c>
      <c r="F913" s="14" t="s">
        <v>3277</v>
      </c>
      <c r="G913" s="14" t="s">
        <v>3278</v>
      </c>
      <c r="H913" s="13"/>
      <c r="I913" s="13"/>
      <c r="J913" s="13"/>
      <c r="K913" s="13"/>
      <c r="L913" s="13"/>
      <c r="M913" s="13"/>
      <c r="N913" s="13"/>
      <c r="O913" s="13"/>
      <c r="P913" s="13"/>
      <c r="Q913" s="13"/>
      <c r="R913" s="13"/>
      <c r="S913" s="13"/>
    </row>
    <row r="914" ht="15.75" customHeight="1">
      <c r="A914" s="14" t="s">
        <v>3279</v>
      </c>
      <c r="B914" s="14" t="s">
        <v>316</v>
      </c>
      <c r="C914" s="14" t="s">
        <v>3280</v>
      </c>
      <c r="D914" s="14">
        <v>100.0</v>
      </c>
      <c r="E914" s="14" t="s">
        <v>318</v>
      </c>
      <c r="F914" s="14" t="s">
        <v>3281</v>
      </c>
      <c r="G914" s="14" t="s">
        <v>3282</v>
      </c>
      <c r="H914" s="13"/>
      <c r="I914" s="13"/>
      <c r="J914" s="13"/>
      <c r="K914" s="13"/>
      <c r="L914" s="13"/>
      <c r="M914" s="13"/>
      <c r="N914" s="13"/>
      <c r="O914" s="13"/>
      <c r="P914" s="13"/>
      <c r="Q914" s="13"/>
      <c r="R914" s="13"/>
      <c r="S914" s="13"/>
    </row>
    <row r="915" ht="15.75" customHeight="1">
      <c r="A915" s="14" t="s">
        <v>3283</v>
      </c>
      <c r="B915" s="14" t="s">
        <v>316</v>
      </c>
      <c r="C915" s="14" t="s">
        <v>3284</v>
      </c>
      <c r="D915" s="14">
        <v>100.0</v>
      </c>
      <c r="E915" s="14" t="s">
        <v>318</v>
      </c>
      <c r="F915" s="14" t="s">
        <v>850</v>
      </c>
      <c r="G915" s="14" t="s">
        <v>3285</v>
      </c>
      <c r="H915" s="13"/>
      <c r="I915" s="13"/>
      <c r="J915" s="13"/>
      <c r="K915" s="13"/>
      <c r="L915" s="13"/>
      <c r="M915" s="13"/>
      <c r="N915" s="13"/>
      <c r="O915" s="13"/>
      <c r="P915" s="13"/>
      <c r="Q915" s="13"/>
      <c r="R915" s="13"/>
      <c r="S915" s="13"/>
    </row>
    <row r="916" ht="15.75" customHeight="1">
      <c r="A916" s="14" t="s">
        <v>3286</v>
      </c>
      <c r="B916" s="14" t="s">
        <v>316</v>
      </c>
      <c r="C916" s="14" t="s">
        <v>3287</v>
      </c>
      <c r="D916" s="14">
        <v>100.0</v>
      </c>
      <c r="E916" s="14" t="s">
        <v>318</v>
      </c>
      <c r="F916" s="14" t="s">
        <v>3288</v>
      </c>
      <c r="G916" s="14" t="s">
        <v>3289</v>
      </c>
      <c r="H916" s="13"/>
      <c r="I916" s="13"/>
      <c r="J916" s="13"/>
      <c r="K916" s="13"/>
      <c r="L916" s="13"/>
      <c r="M916" s="13"/>
      <c r="N916" s="13"/>
      <c r="O916" s="13"/>
      <c r="P916" s="13"/>
      <c r="Q916" s="13"/>
      <c r="R916" s="13"/>
      <c r="S916" s="13"/>
    </row>
    <row r="917" ht="15.75" customHeight="1">
      <c r="A917" s="14" t="s">
        <v>3290</v>
      </c>
      <c r="B917" s="14" t="s">
        <v>316</v>
      </c>
      <c r="C917" s="14" t="s">
        <v>3291</v>
      </c>
      <c r="D917" s="14">
        <v>100.0</v>
      </c>
      <c r="E917" s="14" t="s">
        <v>318</v>
      </c>
      <c r="F917" s="14" t="s">
        <v>3292</v>
      </c>
      <c r="G917" s="14" t="s">
        <v>3293</v>
      </c>
      <c r="H917" s="13"/>
      <c r="I917" s="13"/>
      <c r="J917" s="13"/>
      <c r="K917" s="13"/>
      <c r="L917" s="13"/>
      <c r="M917" s="13"/>
      <c r="N917" s="13"/>
      <c r="O917" s="13"/>
      <c r="P917" s="13"/>
      <c r="Q917" s="13"/>
      <c r="R917" s="13"/>
      <c r="S917" s="13"/>
    </row>
    <row r="918" ht="15.75" customHeight="1">
      <c r="A918" s="14" t="s">
        <v>3294</v>
      </c>
      <c r="B918" s="14" t="s">
        <v>316</v>
      </c>
      <c r="C918" s="14" t="s">
        <v>3295</v>
      </c>
      <c r="D918" s="14">
        <v>100.0</v>
      </c>
      <c r="E918" s="14" t="s">
        <v>318</v>
      </c>
      <c r="F918" s="14" t="s">
        <v>3296</v>
      </c>
      <c r="G918" s="14" t="s">
        <v>3297</v>
      </c>
      <c r="H918" s="13"/>
      <c r="I918" s="13"/>
      <c r="J918" s="13"/>
      <c r="K918" s="13"/>
      <c r="L918" s="13"/>
      <c r="M918" s="13"/>
      <c r="N918" s="13"/>
      <c r="O918" s="13"/>
      <c r="P918" s="13"/>
      <c r="Q918" s="13"/>
      <c r="R918" s="13"/>
      <c r="S918" s="13"/>
    </row>
    <row r="919" ht="15.75" customHeight="1">
      <c r="A919" s="14" t="s">
        <v>3298</v>
      </c>
      <c r="B919" s="14" t="s">
        <v>316</v>
      </c>
      <c r="C919" s="14" t="s">
        <v>3299</v>
      </c>
      <c r="D919" s="14">
        <v>100.0</v>
      </c>
      <c r="E919" s="14" t="s">
        <v>318</v>
      </c>
      <c r="F919" s="14" t="s">
        <v>3300</v>
      </c>
      <c r="G919" s="14" t="s">
        <v>3301</v>
      </c>
      <c r="H919" s="13"/>
      <c r="I919" s="13"/>
      <c r="J919" s="13"/>
      <c r="K919" s="13"/>
      <c r="L919" s="13"/>
      <c r="M919" s="13"/>
      <c r="N919" s="13"/>
      <c r="O919" s="13"/>
      <c r="P919" s="13"/>
      <c r="Q919" s="13"/>
      <c r="R919" s="13"/>
      <c r="S919" s="13"/>
    </row>
    <row r="920" ht="15.75" customHeight="1">
      <c r="A920" s="14" t="s">
        <v>3302</v>
      </c>
      <c r="B920" s="14" t="s">
        <v>316</v>
      </c>
      <c r="C920" s="14" t="s">
        <v>3303</v>
      </c>
      <c r="D920" s="14">
        <v>100.0</v>
      </c>
      <c r="E920" s="14" t="s">
        <v>318</v>
      </c>
      <c r="F920" s="14" t="s">
        <v>3304</v>
      </c>
      <c r="G920" s="14" t="s">
        <v>3305</v>
      </c>
      <c r="H920" s="13"/>
      <c r="I920" s="13"/>
      <c r="J920" s="13"/>
      <c r="K920" s="13"/>
      <c r="L920" s="13"/>
      <c r="M920" s="13"/>
      <c r="N920" s="13"/>
      <c r="O920" s="13"/>
      <c r="P920" s="13"/>
      <c r="Q920" s="13"/>
      <c r="R920" s="13"/>
      <c r="S920" s="13"/>
    </row>
    <row r="921" ht="15.75" customHeight="1">
      <c r="A921" s="14" t="s">
        <v>3306</v>
      </c>
      <c r="B921" s="14" t="s">
        <v>316</v>
      </c>
      <c r="C921" s="14" t="s">
        <v>3307</v>
      </c>
      <c r="D921" s="14">
        <v>100.0</v>
      </c>
      <c r="E921" s="14" t="s">
        <v>318</v>
      </c>
      <c r="F921" s="14" t="s">
        <v>3308</v>
      </c>
      <c r="G921" s="14" t="s">
        <v>3309</v>
      </c>
      <c r="H921" s="13"/>
      <c r="I921" s="13"/>
      <c r="J921" s="13"/>
      <c r="K921" s="13"/>
      <c r="L921" s="13"/>
      <c r="M921" s="13"/>
      <c r="N921" s="13"/>
      <c r="O921" s="13"/>
      <c r="P921" s="13"/>
      <c r="Q921" s="13"/>
      <c r="R921" s="13"/>
      <c r="S921" s="13"/>
    </row>
    <row r="922" ht="15.75" customHeight="1">
      <c r="A922" s="14" t="s">
        <v>3310</v>
      </c>
      <c r="B922" s="14" t="s">
        <v>316</v>
      </c>
      <c r="C922" s="14" t="s">
        <v>3311</v>
      </c>
      <c r="D922" s="14">
        <v>100.0</v>
      </c>
      <c r="E922" s="14" t="s">
        <v>318</v>
      </c>
      <c r="F922" s="14" t="s">
        <v>3312</v>
      </c>
      <c r="G922" s="14" t="s">
        <v>3313</v>
      </c>
      <c r="H922" s="13"/>
      <c r="I922" s="13"/>
      <c r="J922" s="13"/>
      <c r="K922" s="13"/>
      <c r="L922" s="13"/>
      <c r="M922" s="13"/>
      <c r="N922" s="13"/>
      <c r="O922" s="13"/>
      <c r="P922" s="13"/>
      <c r="Q922" s="13"/>
      <c r="R922" s="13"/>
      <c r="S922" s="13"/>
    </row>
    <row r="923" ht="15.75" customHeight="1">
      <c r="A923" s="14" t="s">
        <v>3314</v>
      </c>
      <c r="B923" s="14" t="s">
        <v>316</v>
      </c>
      <c r="C923" s="14" t="s">
        <v>3315</v>
      </c>
      <c r="D923" s="14">
        <v>100.0</v>
      </c>
      <c r="E923" s="14" t="s">
        <v>318</v>
      </c>
      <c r="F923" s="14" t="s">
        <v>3316</v>
      </c>
      <c r="G923" s="14" t="s">
        <v>3317</v>
      </c>
      <c r="H923" s="13"/>
      <c r="I923" s="13"/>
      <c r="J923" s="13"/>
      <c r="K923" s="13"/>
      <c r="L923" s="13"/>
      <c r="M923" s="13"/>
      <c r="N923" s="13"/>
      <c r="O923" s="13"/>
      <c r="P923" s="13"/>
      <c r="Q923" s="13"/>
      <c r="R923" s="13"/>
      <c r="S923" s="13"/>
    </row>
    <row r="924" ht="15.75" customHeight="1">
      <c r="A924" s="14" t="s">
        <v>3318</v>
      </c>
      <c r="B924" s="14" t="s">
        <v>316</v>
      </c>
      <c r="C924" s="14" t="s">
        <v>3319</v>
      </c>
      <c r="D924" s="14">
        <v>100.0</v>
      </c>
      <c r="E924" s="14" t="s">
        <v>318</v>
      </c>
      <c r="F924" s="14" t="s">
        <v>1035</v>
      </c>
      <c r="G924" s="14" t="s">
        <v>3320</v>
      </c>
      <c r="H924" s="13"/>
      <c r="I924" s="13"/>
      <c r="J924" s="13"/>
      <c r="K924" s="13"/>
      <c r="L924" s="13"/>
      <c r="M924" s="13"/>
      <c r="N924" s="13"/>
      <c r="O924" s="13"/>
      <c r="P924" s="13"/>
      <c r="Q924" s="13"/>
      <c r="R924" s="13"/>
      <c r="S924" s="13"/>
    </row>
    <row r="925" ht="15.75" customHeight="1">
      <c r="A925" s="14" t="s">
        <v>3321</v>
      </c>
      <c r="B925" s="14" t="s">
        <v>316</v>
      </c>
      <c r="C925" s="14" t="s">
        <v>3322</v>
      </c>
      <c r="D925" s="14">
        <v>100.0</v>
      </c>
      <c r="E925" s="14" t="s">
        <v>318</v>
      </c>
      <c r="F925" s="14" t="s">
        <v>3323</v>
      </c>
      <c r="G925" s="14" t="s">
        <v>3324</v>
      </c>
      <c r="H925" s="13"/>
      <c r="I925" s="13"/>
      <c r="J925" s="13"/>
      <c r="K925" s="13"/>
      <c r="L925" s="13"/>
      <c r="M925" s="13"/>
      <c r="N925" s="13"/>
      <c r="O925" s="13"/>
      <c r="P925" s="13"/>
      <c r="Q925" s="13"/>
      <c r="R925" s="13"/>
      <c r="S925" s="13"/>
    </row>
    <row r="926" ht="15.75" customHeight="1">
      <c r="A926" s="14" t="s">
        <v>3325</v>
      </c>
      <c r="B926" s="14" t="s">
        <v>316</v>
      </c>
      <c r="C926" s="14" t="s">
        <v>3326</v>
      </c>
      <c r="D926" s="14">
        <v>100.0</v>
      </c>
      <c r="E926" s="14" t="s">
        <v>318</v>
      </c>
      <c r="F926" s="14" t="s">
        <v>3327</v>
      </c>
      <c r="G926" s="14" t="s">
        <v>3328</v>
      </c>
      <c r="H926" s="13"/>
      <c r="I926" s="13"/>
      <c r="J926" s="13"/>
      <c r="K926" s="13"/>
      <c r="L926" s="13"/>
      <c r="M926" s="13"/>
      <c r="N926" s="13"/>
      <c r="O926" s="13"/>
      <c r="P926" s="13"/>
      <c r="Q926" s="13"/>
      <c r="R926" s="13"/>
      <c r="S926" s="13"/>
    </row>
    <row r="927" ht="15.75" customHeight="1">
      <c r="A927" s="14" t="s">
        <v>3329</v>
      </c>
      <c r="B927" s="14" t="s">
        <v>316</v>
      </c>
      <c r="C927" s="14" t="s">
        <v>3330</v>
      </c>
      <c r="D927" s="14">
        <v>100.0</v>
      </c>
      <c r="E927" s="14" t="s">
        <v>318</v>
      </c>
      <c r="F927" s="14" t="s">
        <v>3331</v>
      </c>
      <c r="G927" s="14" t="s">
        <v>3332</v>
      </c>
      <c r="H927" s="13"/>
      <c r="I927" s="13"/>
      <c r="J927" s="13"/>
      <c r="K927" s="13"/>
      <c r="L927" s="13"/>
      <c r="M927" s="13"/>
      <c r="N927" s="13"/>
      <c r="O927" s="13"/>
      <c r="P927" s="13"/>
      <c r="Q927" s="13"/>
      <c r="R927" s="13"/>
      <c r="S927" s="13"/>
    </row>
    <row r="928" ht="15.75" customHeight="1">
      <c r="A928" s="14" t="s">
        <v>3333</v>
      </c>
      <c r="B928" s="14" t="s">
        <v>316</v>
      </c>
      <c r="C928" s="14" t="s">
        <v>3334</v>
      </c>
      <c r="D928" s="14">
        <v>100.0</v>
      </c>
      <c r="E928" s="14" t="s">
        <v>318</v>
      </c>
      <c r="F928" s="14" t="s">
        <v>3165</v>
      </c>
      <c r="G928" s="14" t="s">
        <v>3335</v>
      </c>
      <c r="H928" s="13"/>
      <c r="I928" s="13"/>
      <c r="J928" s="13"/>
      <c r="K928" s="13"/>
      <c r="L928" s="13"/>
      <c r="M928" s="13"/>
      <c r="N928" s="13"/>
      <c r="O928" s="13"/>
      <c r="P928" s="13"/>
      <c r="Q928" s="13"/>
      <c r="R928" s="13"/>
      <c r="S928" s="13"/>
    </row>
    <row r="929" ht="15.75" customHeight="1">
      <c r="A929" s="14" t="s">
        <v>3336</v>
      </c>
      <c r="B929" s="14" t="s">
        <v>316</v>
      </c>
      <c r="C929" s="14" t="s">
        <v>3337</v>
      </c>
      <c r="D929" s="14">
        <v>100.0</v>
      </c>
      <c r="E929" s="14" t="s">
        <v>318</v>
      </c>
      <c r="F929" s="14" t="s">
        <v>3338</v>
      </c>
      <c r="G929" s="14" t="s">
        <v>3339</v>
      </c>
      <c r="H929" s="13"/>
      <c r="I929" s="13"/>
      <c r="J929" s="13"/>
      <c r="K929" s="13"/>
      <c r="L929" s="13"/>
      <c r="M929" s="13"/>
      <c r="N929" s="13"/>
      <c r="O929" s="13"/>
      <c r="P929" s="13"/>
      <c r="Q929" s="13"/>
      <c r="R929" s="13"/>
      <c r="S929" s="13"/>
    </row>
    <row r="930" ht="15.75" customHeight="1">
      <c r="A930" s="14" t="s">
        <v>3340</v>
      </c>
      <c r="B930" s="14" t="s">
        <v>316</v>
      </c>
      <c r="C930" s="14" t="s">
        <v>3341</v>
      </c>
      <c r="D930" s="14">
        <v>100.0</v>
      </c>
      <c r="E930" s="14" t="s">
        <v>318</v>
      </c>
      <c r="F930" s="14" t="s">
        <v>3342</v>
      </c>
      <c r="G930" s="14" t="s">
        <v>3343</v>
      </c>
      <c r="H930" s="13"/>
      <c r="I930" s="13"/>
      <c r="J930" s="13"/>
      <c r="K930" s="13"/>
      <c r="L930" s="13"/>
      <c r="M930" s="13"/>
      <c r="N930" s="13"/>
      <c r="O930" s="13"/>
      <c r="P930" s="13"/>
      <c r="Q930" s="13"/>
      <c r="R930" s="13"/>
      <c r="S930" s="13"/>
    </row>
    <row r="931" ht="15.75" customHeight="1">
      <c r="A931" s="14" t="s">
        <v>3344</v>
      </c>
      <c r="B931" s="14" t="s">
        <v>316</v>
      </c>
      <c r="C931" s="14" t="s">
        <v>3345</v>
      </c>
      <c r="D931" s="14">
        <v>100.0</v>
      </c>
      <c r="E931" s="14" t="s">
        <v>318</v>
      </c>
      <c r="F931" s="14" t="s">
        <v>591</v>
      </c>
      <c r="G931" s="14" t="s">
        <v>3346</v>
      </c>
      <c r="H931" s="13"/>
      <c r="I931" s="13"/>
      <c r="J931" s="13"/>
      <c r="K931" s="13"/>
      <c r="L931" s="13"/>
      <c r="M931" s="13"/>
      <c r="N931" s="13"/>
      <c r="O931" s="13"/>
      <c r="P931" s="13"/>
      <c r="Q931" s="13"/>
      <c r="R931" s="13"/>
      <c r="S931" s="13"/>
    </row>
    <row r="932" ht="15.75" customHeight="1">
      <c r="A932" s="14" t="s">
        <v>3347</v>
      </c>
      <c r="B932" s="14" t="s">
        <v>316</v>
      </c>
      <c r="C932" s="14" t="s">
        <v>3348</v>
      </c>
      <c r="D932" s="14">
        <v>100.0</v>
      </c>
      <c r="E932" s="14" t="s">
        <v>318</v>
      </c>
      <c r="F932" s="14" t="s">
        <v>3349</v>
      </c>
      <c r="G932" s="14" t="s">
        <v>3350</v>
      </c>
      <c r="H932" s="13"/>
      <c r="I932" s="13"/>
      <c r="J932" s="13"/>
      <c r="K932" s="13"/>
      <c r="L932" s="13"/>
      <c r="M932" s="13"/>
      <c r="N932" s="13"/>
      <c r="O932" s="13"/>
      <c r="P932" s="13"/>
      <c r="Q932" s="13"/>
      <c r="R932" s="13"/>
      <c r="S932" s="13"/>
    </row>
    <row r="933" ht="15.75" customHeight="1">
      <c r="A933" s="14" t="s">
        <v>3351</v>
      </c>
      <c r="B933" s="14" t="s">
        <v>316</v>
      </c>
      <c r="C933" s="14" t="s">
        <v>3352</v>
      </c>
      <c r="D933" s="14">
        <v>100.0</v>
      </c>
      <c r="E933" s="14" t="s">
        <v>318</v>
      </c>
      <c r="F933" s="14" t="s">
        <v>3353</v>
      </c>
      <c r="G933" s="14" t="s">
        <v>3354</v>
      </c>
      <c r="H933" s="13"/>
      <c r="I933" s="13"/>
      <c r="J933" s="13"/>
      <c r="K933" s="13"/>
      <c r="L933" s="13"/>
      <c r="M933" s="13"/>
      <c r="N933" s="13"/>
      <c r="O933" s="13"/>
      <c r="P933" s="13"/>
      <c r="Q933" s="13"/>
      <c r="R933" s="13"/>
      <c r="S933" s="13"/>
    </row>
    <row r="934" ht="15.75" customHeight="1">
      <c r="A934" s="14" t="s">
        <v>3355</v>
      </c>
      <c r="B934" s="14" t="s">
        <v>316</v>
      </c>
      <c r="C934" s="14" t="s">
        <v>3356</v>
      </c>
      <c r="D934" s="14">
        <v>100.0</v>
      </c>
      <c r="E934" s="14" t="s">
        <v>318</v>
      </c>
      <c r="F934" s="14" t="s">
        <v>3357</v>
      </c>
      <c r="G934" s="14" t="s">
        <v>3358</v>
      </c>
      <c r="H934" s="13"/>
      <c r="I934" s="13"/>
      <c r="J934" s="13"/>
      <c r="K934" s="13"/>
      <c r="L934" s="13"/>
      <c r="M934" s="13"/>
      <c r="N934" s="13"/>
      <c r="O934" s="13"/>
      <c r="P934" s="13"/>
      <c r="Q934" s="13"/>
      <c r="R934" s="13"/>
      <c r="S934" s="13"/>
    </row>
    <row r="935" ht="15.75" customHeight="1">
      <c r="A935" s="14" t="s">
        <v>3359</v>
      </c>
      <c r="B935" s="14" t="s">
        <v>316</v>
      </c>
      <c r="C935" s="14" t="s">
        <v>3360</v>
      </c>
      <c r="D935" s="14">
        <v>100.0</v>
      </c>
      <c r="E935" s="14" t="s">
        <v>318</v>
      </c>
      <c r="F935" s="14" t="s">
        <v>3361</v>
      </c>
      <c r="G935" s="14" t="s">
        <v>3362</v>
      </c>
      <c r="H935" s="13"/>
      <c r="I935" s="13"/>
      <c r="J935" s="13"/>
      <c r="K935" s="13"/>
      <c r="L935" s="13"/>
      <c r="M935" s="13"/>
      <c r="N935" s="13"/>
      <c r="O935" s="13"/>
      <c r="P935" s="13"/>
      <c r="Q935" s="13"/>
      <c r="R935" s="13"/>
      <c r="S935" s="13"/>
    </row>
    <row r="936" ht="15.75" customHeight="1">
      <c r="A936" s="14" t="s">
        <v>3363</v>
      </c>
      <c r="B936" s="14" t="s">
        <v>316</v>
      </c>
      <c r="C936" s="14" t="s">
        <v>3364</v>
      </c>
      <c r="D936" s="14">
        <v>100.0</v>
      </c>
      <c r="E936" s="14" t="s">
        <v>318</v>
      </c>
      <c r="F936" s="14" t="s">
        <v>3365</v>
      </c>
      <c r="G936" s="14" t="s">
        <v>3366</v>
      </c>
      <c r="H936" s="13"/>
      <c r="I936" s="13"/>
      <c r="J936" s="13"/>
      <c r="K936" s="13"/>
      <c r="L936" s="13"/>
      <c r="M936" s="13"/>
      <c r="N936" s="13"/>
      <c r="O936" s="13"/>
      <c r="P936" s="13"/>
      <c r="Q936" s="13"/>
      <c r="R936" s="13"/>
      <c r="S936" s="13"/>
    </row>
    <row r="937" ht="15.75" customHeight="1">
      <c r="A937" s="14" t="s">
        <v>3367</v>
      </c>
      <c r="B937" s="14" t="s">
        <v>316</v>
      </c>
      <c r="C937" s="14" t="s">
        <v>3368</v>
      </c>
      <c r="D937" s="14">
        <v>100.0</v>
      </c>
      <c r="E937" s="14" t="s">
        <v>318</v>
      </c>
      <c r="F937" s="14" t="s">
        <v>3369</v>
      </c>
      <c r="G937" s="14" t="s">
        <v>3370</v>
      </c>
      <c r="H937" s="13"/>
      <c r="I937" s="13"/>
      <c r="J937" s="13"/>
      <c r="K937" s="13"/>
      <c r="L937" s="13"/>
      <c r="M937" s="13"/>
      <c r="N937" s="13"/>
      <c r="O937" s="13"/>
      <c r="P937" s="13"/>
      <c r="Q937" s="13"/>
      <c r="R937" s="13"/>
      <c r="S937" s="13"/>
    </row>
    <row r="938" ht="15.75" customHeight="1">
      <c r="A938" s="14" t="s">
        <v>3371</v>
      </c>
      <c r="B938" s="14" t="s">
        <v>316</v>
      </c>
      <c r="C938" s="14" t="s">
        <v>3372</v>
      </c>
      <c r="D938" s="14">
        <v>100.0</v>
      </c>
      <c r="E938" s="14" t="s">
        <v>318</v>
      </c>
      <c r="F938" s="14" t="s">
        <v>3373</v>
      </c>
      <c r="G938" s="14" t="s">
        <v>3374</v>
      </c>
      <c r="H938" s="13"/>
      <c r="I938" s="13"/>
      <c r="J938" s="13"/>
      <c r="K938" s="13"/>
      <c r="L938" s="13"/>
      <c r="M938" s="13"/>
      <c r="N938" s="13"/>
      <c r="O938" s="13"/>
      <c r="P938" s="13"/>
      <c r="Q938" s="13"/>
      <c r="R938" s="13"/>
      <c r="S938" s="13"/>
    </row>
    <row r="939" ht="15.75" customHeight="1">
      <c r="A939" s="14" t="s">
        <v>3375</v>
      </c>
      <c r="B939" s="14" t="s">
        <v>316</v>
      </c>
      <c r="C939" s="14" t="s">
        <v>3376</v>
      </c>
      <c r="D939" s="14">
        <v>100.0</v>
      </c>
      <c r="E939" s="14" t="s">
        <v>318</v>
      </c>
      <c r="F939" s="14" t="s">
        <v>3377</v>
      </c>
      <c r="G939" s="14" t="s">
        <v>3378</v>
      </c>
      <c r="H939" s="13"/>
      <c r="I939" s="13"/>
      <c r="J939" s="13"/>
      <c r="K939" s="13"/>
      <c r="L939" s="13"/>
      <c r="M939" s="13"/>
      <c r="N939" s="13"/>
      <c r="O939" s="13"/>
      <c r="P939" s="13"/>
      <c r="Q939" s="13"/>
      <c r="R939" s="13"/>
      <c r="S939" s="13"/>
    </row>
    <row r="940" ht="15.75" customHeight="1">
      <c r="A940" s="14" t="s">
        <v>3379</v>
      </c>
      <c r="B940" s="14" t="s">
        <v>316</v>
      </c>
      <c r="C940" s="14" t="s">
        <v>3380</v>
      </c>
      <c r="D940" s="14">
        <v>100.0</v>
      </c>
      <c r="E940" s="14" t="s">
        <v>318</v>
      </c>
      <c r="F940" s="14" t="s">
        <v>2122</v>
      </c>
      <c r="G940" s="14" t="s">
        <v>3381</v>
      </c>
      <c r="H940" s="13"/>
      <c r="I940" s="13"/>
      <c r="J940" s="13"/>
      <c r="K940" s="13"/>
      <c r="L940" s="13"/>
      <c r="M940" s="13"/>
      <c r="N940" s="13"/>
      <c r="O940" s="13"/>
      <c r="P940" s="13"/>
      <c r="Q940" s="13"/>
      <c r="R940" s="13"/>
      <c r="S940" s="13"/>
    </row>
    <row r="941" ht="15.75" customHeight="1">
      <c r="A941" s="14" t="s">
        <v>3382</v>
      </c>
      <c r="B941" s="14" t="s">
        <v>316</v>
      </c>
      <c r="C941" s="14" t="s">
        <v>3383</v>
      </c>
      <c r="D941" s="14">
        <v>100.0</v>
      </c>
      <c r="E941" s="14" t="s">
        <v>318</v>
      </c>
      <c r="F941" s="14" t="s">
        <v>1299</v>
      </c>
      <c r="G941" s="14" t="s">
        <v>3384</v>
      </c>
      <c r="H941" s="13"/>
      <c r="I941" s="13"/>
      <c r="J941" s="13"/>
      <c r="K941" s="13"/>
      <c r="L941" s="13"/>
      <c r="M941" s="13"/>
      <c r="N941" s="13"/>
      <c r="O941" s="13"/>
      <c r="P941" s="13"/>
      <c r="Q941" s="13"/>
      <c r="R941" s="13"/>
      <c r="S941" s="13"/>
    </row>
    <row r="942" ht="15.75" customHeight="1">
      <c r="A942" s="14" t="s">
        <v>3385</v>
      </c>
      <c r="B942" s="14" t="s">
        <v>316</v>
      </c>
      <c r="C942" s="14" t="s">
        <v>3386</v>
      </c>
      <c r="D942" s="14">
        <v>100.0</v>
      </c>
      <c r="E942" s="14" t="s">
        <v>318</v>
      </c>
      <c r="F942" s="14" t="s">
        <v>595</v>
      </c>
      <c r="G942" s="14" t="s">
        <v>3387</v>
      </c>
      <c r="H942" s="13"/>
      <c r="I942" s="13"/>
      <c r="J942" s="13"/>
      <c r="K942" s="13"/>
      <c r="L942" s="13"/>
      <c r="M942" s="13"/>
      <c r="N942" s="13"/>
      <c r="O942" s="13"/>
      <c r="P942" s="13"/>
      <c r="Q942" s="13"/>
      <c r="R942" s="13"/>
      <c r="S942" s="13"/>
    </row>
    <row r="943" ht="15.75" customHeight="1">
      <c r="A943" s="14" t="s">
        <v>3388</v>
      </c>
      <c r="B943" s="14" t="s">
        <v>316</v>
      </c>
      <c r="C943" s="14" t="s">
        <v>3389</v>
      </c>
      <c r="D943" s="14">
        <v>100.0</v>
      </c>
      <c r="E943" s="14" t="s">
        <v>318</v>
      </c>
      <c r="F943" s="14" t="s">
        <v>1114</v>
      </c>
      <c r="G943" s="14" t="s">
        <v>3390</v>
      </c>
      <c r="H943" s="13"/>
      <c r="I943" s="13"/>
      <c r="J943" s="13"/>
      <c r="K943" s="13"/>
      <c r="L943" s="13"/>
      <c r="M943" s="13"/>
      <c r="N943" s="13"/>
      <c r="O943" s="13"/>
      <c r="P943" s="13"/>
      <c r="Q943" s="13"/>
      <c r="R943" s="13"/>
      <c r="S943" s="13"/>
    </row>
    <row r="944" ht="15.75" customHeight="1">
      <c r="A944" s="14" t="s">
        <v>3391</v>
      </c>
      <c r="B944" s="14" t="s">
        <v>316</v>
      </c>
      <c r="C944" s="14" t="s">
        <v>3392</v>
      </c>
      <c r="D944" s="14">
        <v>100.0</v>
      </c>
      <c r="E944" s="14" t="s">
        <v>318</v>
      </c>
      <c r="F944" s="14" t="s">
        <v>3393</v>
      </c>
      <c r="G944" s="14" t="s">
        <v>3394</v>
      </c>
      <c r="H944" s="13"/>
      <c r="I944" s="13"/>
      <c r="J944" s="13"/>
      <c r="K944" s="13"/>
      <c r="L944" s="13"/>
      <c r="M944" s="13"/>
      <c r="N944" s="13"/>
      <c r="O944" s="13"/>
      <c r="P944" s="13"/>
      <c r="Q944" s="13"/>
      <c r="R944" s="13"/>
      <c r="S944" s="13"/>
    </row>
    <row r="945" ht="15.75" customHeight="1">
      <c r="A945" s="14" t="s">
        <v>3395</v>
      </c>
      <c r="B945" s="14" t="s">
        <v>316</v>
      </c>
      <c r="C945" s="14" t="s">
        <v>3396</v>
      </c>
      <c r="D945" s="14">
        <v>100.0</v>
      </c>
      <c r="E945" s="14" t="s">
        <v>318</v>
      </c>
      <c r="F945" s="14" t="s">
        <v>3397</v>
      </c>
      <c r="G945" s="14" t="s">
        <v>3398</v>
      </c>
      <c r="H945" s="13"/>
      <c r="I945" s="13"/>
      <c r="J945" s="13"/>
      <c r="K945" s="13"/>
      <c r="L945" s="13"/>
      <c r="M945" s="13"/>
      <c r="N945" s="13"/>
      <c r="O945" s="13"/>
      <c r="P945" s="13"/>
      <c r="Q945" s="13"/>
      <c r="R945" s="13"/>
      <c r="S945" s="13"/>
    </row>
    <row r="946" ht="15.75" customHeight="1">
      <c r="A946" s="14" t="s">
        <v>3399</v>
      </c>
      <c r="B946" s="14" t="s">
        <v>316</v>
      </c>
      <c r="C946" s="14" t="s">
        <v>3400</v>
      </c>
      <c r="D946" s="14">
        <v>100.0</v>
      </c>
      <c r="E946" s="14" t="s">
        <v>318</v>
      </c>
      <c r="F946" s="14" t="s">
        <v>3401</v>
      </c>
      <c r="G946" s="14" t="s">
        <v>3402</v>
      </c>
      <c r="H946" s="13"/>
      <c r="I946" s="13"/>
      <c r="J946" s="13"/>
      <c r="K946" s="13"/>
      <c r="L946" s="13"/>
      <c r="M946" s="13"/>
      <c r="N946" s="13"/>
      <c r="O946" s="13"/>
      <c r="P946" s="13"/>
      <c r="Q946" s="13"/>
      <c r="R946" s="13"/>
      <c r="S946" s="13"/>
    </row>
    <row r="947" ht="15.75" customHeight="1">
      <c r="A947" s="14" t="s">
        <v>3403</v>
      </c>
      <c r="B947" s="14" t="s">
        <v>316</v>
      </c>
      <c r="C947" s="14" t="s">
        <v>3404</v>
      </c>
      <c r="D947" s="14">
        <v>100.0</v>
      </c>
      <c r="E947" s="14" t="s">
        <v>318</v>
      </c>
      <c r="F947" s="14" t="s">
        <v>1107</v>
      </c>
      <c r="G947" s="14" t="s">
        <v>3405</v>
      </c>
      <c r="H947" s="13"/>
      <c r="I947" s="13"/>
      <c r="J947" s="13"/>
      <c r="K947" s="13"/>
      <c r="L947" s="13"/>
      <c r="M947" s="13"/>
      <c r="N947" s="13"/>
      <c r="O947" s="13"/>
      <c r="P947" s="13"/>
      <c r="Q947" s="13"/>
      <c r="R947" s="13"/>
      <c r="S947" s="13"/>
    </row>
    <row r="948" ht="15.75" customHeight="1">
      <c r="A948" s="14" t="s">
        <v>3406</v>
      </c>
      <c r="B948" s="14" t="s">
        <v>316</v>
      </c>
      <c r="C948" s="14" t="s">
        <v>3407</v>
      </c>
      <c r="D948" s="14">
        <v>100.0</v>
      </c>
      <c r="E948" s="14" t="s">
        <v>318</v>
      </c>
      <c r="F948" s="14" t="s">
        <v>3408</v>
      </c>
      <c r="G948" s="14" t="s">
        <v>3409</v>
      </c>
      <c r="H948" s="13"/>
      <c r="I948" s="13"/>
      <c r="J948" s="13"/>
      <c r="K948" s="13"/>
      <c r="L948" s="13"/>
      <c r="M948" s="13"/>
      <c r="N948" s="13"/>
      <c r="O948" s="13"/>
      <c r="P948" s="13"/>
      <c r="Q948" s="13"/>
      <c r="R948" s="13"/>
      <c r="S948" s="13"/>
    </row>
    <row r="949" ht="15.75" customHeight="1">
      <c r="A949" s="14" t="s">
        <v>3410</v>
      </c>
      <c r="B949" s="14" t="s">
        <v>316</v>
      </c>
      <c r="C949" s="14" t="s">
        <v>3411</v>
      </c>
      <c r="D949" s="14">
        <v>100.0</v>
      </c>
      <c r="E949" s="14" t="s">
        <v>318</v>
      </c>
      <c r="F949" s="14" t="s">
        <v>3412</v>
      </c>
      <c r="G949" s="14" t="s">
        <v>3413</v>
      </c>
      <c r="H949" s="13"/>
      <c r="I949" s="13"/>
      <c r="J949" s="13"/>
      <c r="K949" s="13"/>
      <c r="L949" s="13"/>
      <c r="M949" s="13"/>
      <c r="N949" s="13"/>
      <c r="O949" s="13"/>
      <c r="P949" s="13"/>
      <c r="Q949" s="13"/>
      <c r="R949" s="13"/>
      <c r="S949" s="13"/>
    </row>
    <row r="950" ht="15.75" customHeight="1">
      <c r="A950" s="14" t="s">
        <v>3414</v>
      </c>
      <c r="B950" s="14" t="s">
        <v>316</v>
      </c>
      <c r="C950" s="14" t="s">
        <v>3415</v>
      </c>
      <c r="D950" s="14">
        <v>100.0</v>
      </c>
      <c r="E950" s="14" t="s">
        <v>318</v>
      </c>
      <c r="F950" s="14" t="s">
        <v>3416</v>
      </c>
      <c r="G950" s="14" t="s">
        <v>3417</v>
      </c>
      <c r="H950" s="13"/>
      <c r="I950" s="13"/>
      <c r="J950" s="13"/>
      <c r="K950" s="13"/>
      <c r="L950" s="13"/>
      <c r="M950" s="13"/>
      <c r="N950" s="13"/>
      <c r="O950" s="13"/>
      <c r="P950" s="13"/>
      <c r="Q950" s="13"/>
      <c r="R950" s="13"/>
      <c r="S950" s="13"/>
    </row>
    <row r="951" ht="15.75" customHeight="1">
      <c r="A951" s="14" t="s">
        <v>3418</v>
      </c>
      <c r="B951" s="14" t="s">
        <v>316</v>
      </c>
      <c r="C951" s="14" t="s">
        <v>3419</v>
      </c>
      <c r="D951" s="14">
        <v>100.0</v>
      </c>
      <c r="E951" s="14" t="s">
        <v>318</v>
      </c>
      <c r="F951" s="14" t="s">
        <v>3045</v>
      </c>
      <c r="G951" s="14" t="s">
        <v>3420</v>
      </c>
      <c r="H951" s="13"/>
      <c r="I951" s="13"/>
      <c r="J951" s="13"/>
      <c r="K951" s="13"/>
      <c r="L951" s="13"/>
      <c r="M951" s="13"/>
      <c r="N951" s="13"/>
      <c r="O951" s="13"/>
      <c r="P951" s="13"/>
      <c r="Q951" s="13"/>
      <c r="R951" s="13"/>
      <c r="S951" s="13"/>
    </row>
    <row r="952" ht="15.75" customHeight="1">
      <c r="A952" s="14" t="s">
        <v>3421</v>
      </c>
      <c r="B952" s="14" t="s">
        <v>316</v>
      </c>
      <c r="C952" s="14" t="s">
        <v>3422</v>
      </c>
      <c r="D952" s="14">
        <v>100.0</v>
      </c>
      <c r="E952" s="14" t="s">
        <v>318</v>
      </c>
      <c r="F952" s="14" t="s">
        <v>591</v>
      </c>
      <c r="G952" s="14" t="s">
        <v>3423</v>
      </c>
      <c r="H952" s="13"/>
      <c r="I952" s="13"/>
      <c r="J952" s="13"/>
      <c r="K952" s="13"/>
      <c r="L952" s="13"/>
      <c r="M952" s="13"/>
      <c r="N952" s="13"/>
      <c r="O952" s="13"/>
      <c r="P952" s="13"/>
      <c r="Q952" s="13"/>
      <c r="R952" s="13"/>
      <c r="S952" s="13"/>
    </row>
    <row r="953" ht="15.75" customHeight="1">
      <c r="A953" s="14" t="s">
        <v>3424</v>
      </c>
      <c r="B953" s="14" t="s">
        <v>316</v>
      </c>
      <c r="C953" s="14" t="s">
        <v>3425</v>
      </c>
      <c r="D953" s="14">
        <v>100.0</v>
      </c>
      <c r="E953" s="14" t="s">
        <v>318</v>
      </c>
      <c r="F953" s="14" t="s">
        <v>3426</v>
      </c>
      <c r="G953" s="14" t="s">
        <v>3427</v>
      </c>
      <c r="H953" s="13"/>
      <c r="I953" s="13"/>
      <c r="J953" s="13"/>
      <c r="K953" s="13"/>
      <c r="L953" s="13"/>
      <c r="M953" s="13"/>
      <c r="N953" s="13"/>
      <c r="O953" s="13"/>
      <c r="P953" s="13"/>
      <c r="Q953" s="13"/>
      <c r="R953" s="13"/>
      <c r="S953" s="13"/>
    </row>
    <row r="954" ht="15.75" customHeight="1">
      <c r="A954" s="14" t="s">
        <v>3428</v>
      </c>
      <c r="B954" s="14" t="s">
        <v>316</v>
      </c>
      <c r="C954" s="14" t="s">
        <v>3429</v>
      </c>
      <c r="D954" s="14">
        <v>100.0</v>
      </c>
      <c r="E954" s="14" t="s">
        <v>318</v>
      </c>
      <c r="F954" s="14" t="s">
        <v>3430</v>
      </c>
      <c r="G954" s="14" t="s">
        <v>3431</v>
      </c>
      <c r="H954" s="13"/>
      <c r="I954" s="13"/>
      <c r="J954" s="13"/>
      <c r="K954" s="13"/>
      <c r="L954" s="13"/>
      <c r="M954" s="13"/>
      <c r="N954" s="13"/>
      <c r="O954" s="13"/>
      <c r="P954" s="13"/>
      <c r="Q954" s="13"/>
      <c r="R954" s="13"/>
      <c r="S954" s="13"/>
    </row>
    <row r="955" ht="15.75" customHeight="1">
      <c r="A955" s="14" t="s">
        <v>3432</v>
      </c>
      <c r="B955" s="14" t="s">
        <v>316</v>
      </c>
      <c r="C955" s="14" t="s">
        <v>3433</v>
      </c>
      <c r="D955" s="14">
        <v>100.0</v>
      </c>
      <c r="E955" s="14" t="s">
        <v>318</v>
      </c>
      <c r="F955" s="14" t="s">
        <v>3434</v>
      </c>
      <c r="G955" s="14" t="s">
        <v>3435</v>
      </c>
      <c r="H955" s="13"/>
      <c r="I955" s="13"/>
      <c r="J955" s="13"/>
      <c r="K955" s="13"/>
      <c r="L955" s="13"/>
      <c r="M955" s="13"/>
      <c r="N955" s="13"/>
      <c r="O955" s="13"/>
      <c r="P955" s="13"/>
      <c r="Q955" s="13"/>
      <c r="R955" s="13"/>
      <c r="S955" s="13"/>
    </row>
    <row r="956" ht="15.75" customHeight="1">
      <c r="A956" s="14" t="s">
        <v>3436</v>
      </c>
      <c r="B956" s="14" t="s">
        <v>316</v>
      </c>
      <c r="C956" s="14" t="s">
        <v>3437</v>
      </c>
      <c r="D956" s="14">
        <v>100.0</v>
      </c>
      <c r="E956" s="14" t="s">
        <v>318</v>
      </c>
      <c r="F956" s="14" t="s">
        <v>3438</v>
      </c>
      <c r="G956" s="14" t="s">
        <v>3439</v>
      </c>
      <c r="H956" s="13"/>
      <c r="I956" s="13"/>
      <c r="J956" s="13"/>
      <c r="K956" s="13"/>
      <c r="L956" s="13"/>
      <c r="M956" s="13"/>
      <c r="N956" s="13"/>
      <c r="O956" s="13"/>
      <c r="P956" s="13"/>
      <c r="Q956" s="13"/>
      <c r="R956" s="13"/>
      <c r="S956" s="13"/>
    </row>
    <row r="957" ht="15.75" customHeight="1">
      <c r="A957" s="14" t="s">
        <v>3440</v>
      </c>
      <c r="B957" s="14" t="s">
        <v>316</v>
      </c>
      <c r="C957" s="14" t="s">
        <v>3441</v>
      </c>
      <c r="D957" s="14">
        <v>100.0</v>
      </c>
      <c r="E957" s="14" t="s">
        <v>318</v>
      </c>
      <c r="F957" s="14" t="s">
        <v>1774</v>
      </c>
      <c r="G957" s="14" t="s">
        <v>3442</v>
      </c>
      <c r="H957" s="13"/>
      <c r="I957" s="13"/>
      <c r="J957" s="13"/>
      <c r="K957" s="13"/>
      <c r="L957" s="13"/>
      <c r="M957" s="13"/>
      <c r="N957" s="13"/>
      <c r="O957" s="13"/>
      <c r="P957" s="13"/>
      <c r="Q957" s="13"/>
      <c r="R957" s="13"/>
      <c r="S957" s="13"/>
    </row>
    <row r="958" ht="15.75" customHeight="1">
      <c r="A958" s="14" t="s">
        <v>3443</v>
      </c>
      <c r="B958" s="14" t="s">
        <v>316</v>
      </c>
      <c r="C958" s="14" t="s">
        <v>3444</v>
      </c>
      <c r="D958" s="14">
        <v>100.0</v>
      </c>
      <c r="E958" s="14" t="s">
        <v>318</v>
      </c>
      <c r="F958" s="14" t="s">
        <v>3445</v>
      </c>
      <c r="G958" s="14" t="s">
        <v>3446</v>
      </c>
      <c r="H958" s="13"/>
      <c r="I958" s="13"/>
      <c r="J958" s="13"/>
      <c r="K958" s="13"/>
      <c r="L958" s="13"/>
      <c r="M958" s="13"/>
      <c r="N958" s="13"/>
      <c r="O958" s="13"/>
      <c r="P958" s="13"/>
      <c r="Q958" s="13"/>
      <c r="R958" s="13"/>
      <c r="S958" s="13"/>
    </row>
    <row r="959" ht="15.75" customHeight="1">
      <c r="A959" s="14" t="s">
        <v>3447</v>
      </c>
      <c r="B959" s="14" t="s">
        <v>316</v>
      </c>
      <c r="C959" s="14" t="s">
        <v>3448</v>
      </c>
      <c r="D959" s="14">
        <v>100.0</v>
      </c>
      <c r="E959" s="14" t="s">
        <v>318</v>
      </c>
      <c r="F959" s="14" t="s">
        <v>3445</v>
      </c>
      <c r="G959" s="14" t="s">
        <v>3449</v>
      </c>
      <c r="H959" s="13"/>
      <c r="I959" s="13"/>
      <c r="J959" s="13"/>
      <c r="K959" s="13"/>
      <c r="L959" s="13"/>
      <c r="M959" s="13"/>
      <c r="N959" s="13"/>
      <c r="O959" s="13"/>
      <c r="P959" s="13"/>
      <c r="Q959" s="13"/>
      <c r="R959" s="13"/>
      <c r="S959" s="13"/>
    </row>
    <row r="960" ht="15.75" customHeight="1">
      <c r="A960" s="14" t="s">
        <v>3450</v>
      </c>
      <c r="B960" s="14" t="s">
        <v>316</v>
      </c>
      <c r="C960" s="14" t="s">
        <v>3451</v>
      </c>
      <c r="D960" s="14">
        <v>100.0</v>
      </c>
      <c r="E960" s="14" t="s">
        <v>318</v>
      </c>
      <c r="F960" s="14" t="s">
        <v>3452</v>
      </c>
      <c r="G960" s="14" t="s">
        <v>3453</v>
      </c>
      <c r="H960" s="13"/>
      <c r="I960" s="13"/>
      <c r="J960" s="13"/>
      <c r="K960" s="13"/>
      <c r="L960" s="13"/>
      <c r="M960" s="13"/>
      <c r="N960" s="13"/>
      <c r="O960" s="13"/>
      <c r="P960" s="13"/>
      <c r="Q960" s="13"/>
      <c r="R960" s="13"/>
      <c r="S960" s="13"/>
    </row>
    <row r="961" ht="15.75" customHeight="1">
      <c r="A961" s="14" t="s">
        <v>3454</v>
      </c>
      <c r="B961" s="14" t="s">
        <v>316</v>
      </c>
      <c r="C961" s="14" t="s">
        <v>3455</v>
      </c>
      <c r="D961" s="14">
        <v>100.0</v>
      </c>
      <c r="E961" s="14" t="s">
        <v>318</v>
      </c>
      <c r="F961" s="14" t="s">
        <v>3456</v>
      </c>
      <c r="G961" s="14" t="s">
        <v>3457</v>
      </c>
      <c r="H961" s="13"/>
      <c r="I961" s="13"/>
      <c r="J961" s="13"/>
      <c r="K961" s="13"/>
      <c r="L961" s="13"/>
      <c r="M961" s="13"/>
      <c r="N961" s="13"/>
      <c r="O961" s="13"/>
      <c r="P961" s="13"/>
      <c r="Q961" s="13"/>
      <c r="R961" s="13"/>
      <c r="S961" s="13"/>
    </row>
    <row r="962" ht="15.75" customHeight="1">
      <c r="A962" s="14" t="s">
        <v>3458</v>
      </c>
      <c r="B962" s="14" t="s">
        <v>316</v>
      </c>
      <c r="C962" s="14" t="s">
        <v>3459</v>
      </c>
      <c r="D962" s="14">
        <v>100.0</v>
      </c>
      <c r="E962" s="14" t="s">
        <v>318</v>
      </c>
      <c r="F962" s="14" t="s">
        <v>3460</v>
      </c>
      <c r="G962" s="14" t="s">
        <v>3461</v>
      </c>
      <c r="H962" s="13"/>
      <c r="I962" s="13"/>
      <c r="J962" s="13"/>
      <c r="K962" s="13"/>
      <c r="L962" s="13"/>
      <c r="M962" s="13"/>
      <c r="N962" s="13"/>
      <c r="O962" s="13"/>
      <c r="P962" s="13"/>
      <c r="Q962" s="13"/>
      <c r="R962" s="13"/>
      <c r="S962" s="13"/>
    </row>
    <row r="963" ht="15.75" customHeight="1">
      <c r="A963" s="14" t="s">
        <v>3462</v>
      </c>
      <c r="B963" s="14" t="s">
        <v>316</v>
      </c>
      <c r="C963" s="14" t="s">
        <v>3463</v>
      </c>
      <c r="D963" s="14">
        <v>100.0</v>
      </c>
      <c r="E963" s="14" t="s">
        <v>318</v>
      </c>
      <c r="F963" s="14" t="s">
        <v>3464</v>
      </c>
      <c r="G963" s="14" t="s">
        <v>3465</v>
      </c>
      <c r="H963" s="13"/>
      <c r="I963" s="13"/>
      <c r="J963" s="13"/>
      <c r="K963" s="13"/>
      <c r="L963" s="13"/>
      <c r="M963" s="13"/>
      <c r="N963" s="13"/>
      <c r="O963" s="13"/>
      <c r="P963" s="13"/>
      <c r="Q963" s="13"/>
      <c r="R963" s="13"/>
      <c r="S963" s="13"/>
    </row>
    <row r="964" ht="15.75" customHeight="1">
      <c r="A964" s="14" t="s">
        <v>3466</v>
      </c>
      <c r="B964" s="14" t="s">
        <v>316</v>
      </c>
      <c r="C964" s="14" t="s">
        <v>3467</v>
      </c>
      <c r="D964" s="14">
        <v>100.0</v>
      </c>
      <c r="E964" s="14" t="s">
        <v>318</v>
      </c>
      <c r="F964" s="14" t="s">
        <v>664</v>
      </c>
      <c r="G964" s="14" t="s">
        <v>3468</v>
      </c>
      <c r="H964" s="13"/>
      <c r="I964" s="13"/>
      <c r="J964" s="13"/>
      <c r="K964" s="13"/>
      <c r="L964" s="13"/>
      <c r="M964" s="13"/>
      <c r="N964" s="13"/>
      <c r="O964" s="13"/>
      <c r="P964" s="13"/>
      <c r="Q964" s="13"/>
      <c r="R964" s="13"/>
      <c r="S964" s="13"/>
    </row>
    <row r="965" ht="15.75" customHeight="1">
      <c r="A965" s="14" t="s">
        <v>3469</v>
      </c>
      <c r="B965" s="14" t="s">
        <v>316</v>
      </c>
      <c r="C965" s="14" t="s">
        <v>3470</v>
      </c>
      <c r="D965" s="14">
        <v>100.0</v>
      </c>
      <c r="E965" s="14" t="s">
        <v>318</v>
      </c>
      <c r="F965" s="14" t="s">
        <v>3471</v>
      </c>
      <c r="G965" s="14" t="s">
        <v>3472</v>
      </c>
      <c r="H965" s="13"/>
      <c r="I965" s="13"/>
      <c r="J965" s="13"/>
      <c r="K965" s="13"/>
      <c r="L965" s="13"/>
      <c r="M965" s="13"/>
      <c r="N965" s="13"/>
      <c r="O965" s="13"/>
      <c r="P965" s="13"/>
      <c r="Q965" s="13"/>
      <c r="R965" s="13"/>
      <c r="S965" s="13"/>
    </row>
    <row r="966" ht="15.75" customHeight="1">
      <c r="A966" s="14" t="s">
        <v>3473</v>
      </c>
      <c r="B966" s="14" t="s">
        <v>316</v>
      </c>
      <c r="C966" s="14" t="s">
        <v>3474</v>
      </c>
      <c r="D966" s="14">
        <v>100.0</v>
      </c>
      <c r="E966" s="14" t="s">
        <v>318</v>
      </c>
      <c r="F966" s="14" t="s">
        <v>1682</v>
      </c>
      <c r="G966" s="14" t="s">
        <v>3475</v>
      </c>
      <c r="H966" s="13"/>
      <c r="I966" s="13"/>
      <c r="J966" s="13"/>
      <c r="K966" s="13"/>
      <c r="L966" s="13"/>
      <c r="M966" s="13"/>
      <c r="N966" s="13"/>
      <c r="O966" s="13"/>
      <c r="P966" s="13"/>
      <c r="Q966" s="13"/>
      <c r="R966" s="13"/>
      <c r="S966" s="13"/>
    </row>
    <row r="967" ht="15.75" customHeight="1">
      <c r="A967" s="14" t="s">
        <v>3476</v>
      </c>
      <c r="B967" s="14" t="s">
        <v>316</v>
      </c>
      <c r="C967" s="14" t="s">
        <v>3477</v>
      </c>
      <c r="D967" s="14">
        <v>100.0</v>
      </c>
      <c r="E967" s="14" t="s">
        <v>318</v>
      </c>
      <c r="F967" s="14" t="s">
        <v>3478</v>
      </c>
      <c r="G967" s="14" t="s">
        <v>3479</v>
      </c>
      <c r="H967" s="13"/>
      <c r="I967" s="13"/>
      <c r="J967" s="13"/>
      <c r="K967" s="13"/>
      <c r="L967" s="13"/>
      <c r="M967" s="13"/>
      <c r="N967" s="13"/>
      <c r="O967" s="13"/>
      <c r="P967" s="13"/>
      <c r="Q967" s="13"/>
      <c r="R967" s="13"/>
      <c r="S967" s="13"/>
    </row>
    <row r="968" ht="15.75" customHeight="1">
      <c r="A968" s="14" t="s">
        <v>3480</v>
      </c>
      <c r="B968" s="14" t="s">
        <v>316</v>
      </c>
      <c r="C968" s="14" t="s">
        <v>3481</v>
      </c>
      <c r="D968" s="14">
        <v>100.0</v>
      </c>
      <c r="E968" s="14" t="s">
        <v>318</v>
      </c>
      <c r="F968" s="14" t="s">
        <v>1590</v>
      </c>
      <c r="G968" s="14" t="s">
        <v>3482</v>
      </c>
      <c r="H968" s="13"/>
      <c r="I968" s="13"/>
      <c r="J968" s="13"/>
      <c r="K968" s="13"/>
      <c r="L968" s="13"/>
      <c r="M968" s="13"/>
      <c r="N968" s="13"/>
      <c r="O968" s="13"/>
      <c r="P968" s="13"/>
      <c r="Q968" s="13"/>
      <c r="R968" s="13"/>
      <c r="S968" s="13"/>
    </row>
    <row r="969" ht="15.75" customHeight="1">
      <c r="A969" s="14" t="s">
        <v>3483</v>
      </c>
      <c r="B969" s="14" t="s">
        <v>316</v>
      </c>
      <c r="C969" s="14" t="s">
        <v>3484</v>
      </c>
      <c r="D969" s="14">
        <v>100.0</v>
      </c>
      <c r="E969" s="14" t="s">
        <v>318</v>
      </c>
      <c r="F969" s="14" t="s">
        <v>3226</v>
      </c>
      <c r="G969" s="14" t="s">
        <v>3485</v>
      </c>
      <c r="H969" s="13"/>
      <c r="I969" s="13"/>
      <c r="J969" s="13"/>
      <c r="K969" s="13"/>
      <c r="L969" s="13"/>
      <c r="M969" s="13"/>
      <c r="N969" s="13"/>
      <c r="O969" s="13"/>
      <c r="P969" s="13"/>
      <c r="Q969" s="13"/>
      <c r="R969" s="13"/>
      <c r="S969" s="13"/>
    </row>
    <row r="970" ht="15.75" customHeight="1">
      <c r="A970" s="14" t="s">
        <v>3486</v>
      </c>
      <c r="B970" s="14" t="s">
        <v>316</v>
      </c>
      <c r="C970" s="14" t="s">
        <v>3487</v>
      </c>
      <c r="D970" s="14">
        <v>100.0</v>
      </c>
      <c r="E970" s="14" t="s">
        <v>318</v>
      </c>
      <c r="F970" s="14" t="s">
        <v>3488</v>
      </c>
      <c r="G970" s="14" t="s">
        <v>3489</v>
      </c>
      <c r="H970" s="13"/>
      <c r="I970" s="13"/>
      <c r="J970" s="13"/>
      <c r="K970" s="13"/>
      <c r="L970" s="13"/>
      <c r="M970" s="13"/>
      <c r="N970" s="13"/>
      <c r="O970" s="13"/>
      <c r="P970" s="13"/>
      <c r="Q970" s="13"/>
      <c r="R970" s="13"/>
      <c r="S970" s="13"/>
    </row>
    <row r="971" ht="15.75" customHeight="1">
      <c r="A971" s="14" t="s">
        <v>3490</v>
      </c>
      <c r="B971" s="14" t="s">
        <v>316</v>
      </c>
      <c r="C971" s="14" t="s">
        <v>3491</v>
      </c>
      <c r="D971" s="14">
        <v>100.0</v>
      </c>
      <c r="E971" s="14" t="s">
        <v>318</v>
      </c>
      <c r="F971" s="14" t="s">
        <v>3492</v>
      </c>
      <c r="G971" s="14" t="s">
        <v>3493</v>
      </c>
      <c r="H971" s="13"/>
      <c r="I971" s="13"/>
      <c r="J971" s="13"/>
      <c r="K971" s="13"/>
      <c r="L971" s="13"/>
      <c r="M971" s="13"/>
      <c r="N971" s="13"/>
      <c r="O971" s="13"/>
      <c r="P971" s="13"/>
      <c r="Q971" s="13"/>
      <c r="R971" s="13"/>
      <c r="S971" s="13"/>
    </row>
    <row r="972" ht="15.75" customHeight="1">
      <c r="A972" s="14" t="s">
        <v>3494</v>
      </c>
      <c r="B972" s="14" t="s">
        <v>316</v>
      </c>
      <c r="C972" s="14" t="s">
        <v>3495</v>
      </c>
      <c r="D972" s="14">
        <v>100.0</v>
      </c>
      <c r="E972" s="14" t="s">
        <v>318</v>
      </c>
      <c r="F972" s="14" t="s">
        <v>3496</v>
      </c>
      <c r="G972" s="14" t="s">
        <v>3497</v>
      </c>
      <c r="H972" s="13"/>
      <c r="I972" s="13"/>
      <c r="J972" s="13"/>
      <c r="K972" s="13"/>
      <c r="L972" s="13"/>
      <c r="M972" s="13"/>
      <c r="N972" s="13"/>
      <c r="O972" s="13"/>
      <c r="P972" s="13"/>
      <c r="Q972" s="13"/>
      <c r="R972" s="13"/>
      <c r="S972" s="13"/>
    </row>
    <row r="973" ht="15.75" customHeight="1">
      <c r="A973" s="14" t="s">
        <v>3498</v>
      </c>
      <c r="B973" s="14" t="s">
        <v>316</v>
      </c>
      <c r="C973" s="14" t="s">
        <v>3499</v>
      </c>
      <c r="D973" s="14">
        <v>100.0</v>
      </c>
      <c r="E973" s="14" t="s">
        <v>318</v>
      </c>
      <c r="F973" s="14" t="s">
        <v>591</v>
      </c>
      <c r="G973" s="14" t="s">
        <v>3500</v>
      </c>
      <c r="H973" s="13"/>
      <c r="I973" s="13"/>
      <c r="J973" s="13"/>
      <c r="K973" s="13"/>
      <c r="L973" s="13"/>
      <c r="M973" s="13"/>
      <c r="N973" s="13"/>
      <c r="O973" s="13"/>
      <c r="P973" s="13"/>
      <c r="Q973" s="13"/>
      <c r="R973" s="13"/>
      <c r="S973" s="13"/>
    </row>
    <row r="974" ht="15.75" customHeight="1">
      <c r="A974" s="14" t="s">
        <v>3501</v>
      </c>
      <c r="B974" s="14" t="s">
        <v>316</v>
      </c>
      <c r="C974" s="14" t="s">
        <v>3502</v>
      </c>
      <c r="D974" s="14">
        <v>100.0</v>
      </c>
      <c r="E974" s="14" t="s">
        <v>318</v>
      </c>
      <c r="F974" s="14" t="s">
        <v>3503</v>
      </c>
      <c r="G974" s="14" t="s">
        <v>3504</v>
      </c>
      <c r="H974" s="13"/>
      <c r="I974" s="13"/>
      <c r="J974" s="13"/>
      <c r="K974" s="13"/>
      <c r="L974" s="13"/>
      <c r="M974" s="13"/>
      <c r="N974" s="13"/>
      <c r="O974" s="13"/>
      <c r="P974" s="13"/>
      <c r="Q974" s="13"/>
      <c r="R974" s="13"/>
      <c r="S974" s="13"/>
    </row>
    <row r="975" ht="15.75" customHeight="1">
      <c r="A975" s="14" t="s">
        <v>3505</v>
      </c>
      <c r="B975" s="14" t="s">
        <v>316</v>
      </c>
      <c r="C975" s="14" t="s">
        <v>3506</v>
      </c>
      <c r="D975" s="14">
        <v>100.0</v>
      </c>
      <c r="E975" s="14" t="s">
        <v>318</v>
      </c>
      <c r="F975" s="14" t="s">
        <v>3507</v>
      </c>
      <c r="G975" s="14" t="s">
        <v>3508</v>
      </c>
      <c r="H975" s="13"/>
      <c r="I975" s="13"/>
      <c r="J975" s="13"/>
      <c r="K975" s="13"/>
      <c r="L975" s="13"/>
      <c r="M975" s="13"/>
      <c r="N975" s="13"/>
      <c r="O975" s="13"/>
      <c r="P975" s="13"/>
      <c r="Q975" s="13"/>
      <c r="R975" s="13"/>
      <c r="S975" s="13"/>
    </row>
    <row r="976" ht="15.75" customHeight="1">
      <c r="A976" s="14" t="s">
        <v>3509</v>
      </c>
      <c r="B976" s="14" t="s">
        <v>316</v>
      </c>
      <c r="C976" s="14" t="s">
        <v>3510</v>
      </c>
      <c r="D976" s="14">
        <v>100.0</v>
      </c>
      <c r="E976" s="14" t="s">
        <v>318</v>
      </c>
      <c r="F976" s="14" t="s">
        <v>3511</v>
      </c>
      <c r="G976" s="14" t="s">
        <v>3512</v>
      </c>
      <c r="H976" s="13"/>
      <c r="I976" s="13"/>
      <c r="J976" s="13"/>
      <c r="K976" s="13"/>
      <c r="L976" s="13"/>
      <c r="M976" s="13"/>
      <c r="N976" s="13"/>
      <c r="O976" s="13"/>
      <c r="P976" s="13"/>
      <c r="Q976" s="13"/>
      <c r="R976" s="13"/>
      <c r="S976" s="13"/>
    </row>
    <row r="977" ht="15.75" customHeight="1">
      <c r="A977" s="14" t="s">
        <v>3513</v>
      </c>
      <c r="B977" s="14" t="s">
        <v>316</v>
      </c>
      <c r="C977" s="14" t="s">
        <v>3514</v>
      </c>
      <c r="D977" s="14">
        <v>100.0</v>
      </c>
      <c r="E977" s="14" t="s">
        <v>318</v>
      </c>
      <c r="F977" s="14" t="s">
        <v>3515</v>
      </c>
      <c r="G977" s="14" t="s">
        <v>3516</v>
      </c>
      <c r="H977" s="13"/>
      <c r="I977" s="13"/>
      <c r="J977" s="13"/>
      <c r="K977" s="13"/>
      <c r="L977" s="13"/>
      <c r="M977" s="13"/>
      <c r="N977" s="13"/>
      <c r="O977" s="13"/>
      <c r="P977" s="13"/>
      <c r="Q977" s="13"/>
      <c r="R977" s="13"/>
      <c r="S977" s="13"/>
    </row>
    <row r="978" ht="15.75" customHeight="1">
      <c r="A978" s="14" t="s">
        <v>3517</v>
      </c>
      <c r="B978" s="14" t="s">
        <v>316</v>
      </c>
      <c r="C978" s="14" t="s">
        <v>3518</v>
      </c>
      <c r="D978" s="14">
        <v>100.0</v>
      </c>
      <c r="E978" s="14" t="s">
        <v>318</v>
      </c>
      <c r="F978" s="14" t="s">
        <v>3519</v>
      </c>
      <c r="G978" s="14" t="s">
        <v>3520</v>
      </c>
      <c r="H978" s="13"/>
      <c r="I978" s="13"/>
      <c r="J978" s="13"/>
      <c r="K978" s="13"/>
      <c r="L978" s="13"/>
      <c r="M978" s="13"/>
      <c r="N978" s="13"/>
      <c r="O978" s="13"/>
      <c r="P978" s="13"/>
      <c r="Q978" s="13"/>
      <c r="R978" s="13"/>
      <c r="S978" s="13"/>
    </row>
    <row r="979" ht="15.75" customHeight="1">
      <c r="A979" s="14" t="s">
        <v>3521</v>
      </c>
      <c r="B979" s="14" t="s">
        <v>316</v>
      </c>
      <c r="C979" s="14" t="s">
        <v>3522</v>
      </c>
      <c r="D979" s="14">
        <v>100.0</v>
      </c>
      <c r="E979" s="14" t="s">
        <v>318</v>
      </c>
      <c r="F979" s="14" t="s">
        <v>3523</v>
      </c>
      <c r="G979" s="14" t="s">
        <v>3524</v>
      </c>
      <c r="H979" s="13"/>
      <c r="I979" s="13"/>
      <c r="J979" s="13"/>
      <c r="K979" s="13"/>
      <c r="L979" s="13"/>
      <c r="M979" s="13"/>
      <c r="N979" s="13"/>
      <c r="O979" s="13"/>
      <c r="P979" s="13"/>
      <c r="Q979" s="13"/>
      <c r="R979" s="13"/>
      <c r="S979" s="13"/>
    </row>
    <row r="980" ht="15.75" customHeight="1">
      <c r="A980" s="14" t="s">
        <v>3525</v>
      </c>
      <c r="B980" s="14" t="s">
        <v>316</v>
      </c>
      <c r="C980" s="14" t="s">
        <v>3526</v>
      </c>
      <c r="D980" s="14">
        <v>100.0</v>
      </c>
      <c r="E980" s="14" t="s">
        <v>318</v>
      </c>
      <c r="F980" s="14" t="s">
        <v>2495</v>
      </c>
      <c r="G980" s="14" t="s">
        <v>3527</v>
      </c>
      <c r="H980" s="13"/>
      <c r="I980" s="13"/>
      <c r="J980" s="13"/>
      <c r="K980" s="13"/>
      <c r="L980" s="13"/>
      <c r="M980" s="13"/>
      <c r="N980" s="13"/>
      <c r="O980" s="13"/>
      <c r="P980" s="13"/>
      <c r="Q980" s="13"/>
      <c r="R980" s="13"/>
      <c r="S980" s="13"/>
    </row>
    <row r="981" ht="15.75" customHeight="1">
      <c r="A981" s="14" t="s">
        <v>3528</v>
      </c>
      <c r="B981" s="14" t="s">
        <v>316</v>
      </c>
      <c r="C981" s="14" t="s">
        <v>3529</v>
      </c>
      <c r="D981" s="14">
        <v>100.0</v>
      </c>
      <c r="E981" s="14" t="s">
        <v>318</v>
      </c>
      <c r="F981" s="14" t="s">
        <v>3530</v>
      </c>
      <c r="G981" s="14" t="s">
        <v>3531</v>
      </c>
      <c r="H981" s="13"/>
      <c r="I981" s="13"/>
      <c r="J981" s="13"/>
      <c r="K981" s="13"/>
      <c r="L981" s="13"/>
      <c r="M981" s="13"/>
      <c r="N981" s="13"/>
      <c r="O981" s="13"/>
      <c r="P981" s="13"/>
      <c r="Q981" s="13"/>
      <c r="R981" s="13"/>
      <c r="S981" s="13"/>
    </row>
    <row r="982" ht="15.75" customHeight="1">
      <c r="A982" s="14" t="s">
        <v>3532</v>
      </c>
      <c r="B982" s="14" t="s">
        <v>316</v>
      </c>
      <c r="C982" s="14" t="s">
        <v>3533</v>
      </c>
      <c r="D982" s="14">
        <v>100.0</v>
      </c>
      <c r="E982" s="14" t="s">
        <v>318</v>
      </c>
      <c r="F982" s="14" t="s">
        <v>3534</v>
      </c>
      <c r="G982" s="14" t="s">
        <v>3535</v>
      </c>
      <c r="H982" s="13"/>
      <c r="I982" s="13"/>
      <c r="J982" s="13"/>
      <c r="K982" s="13"/>
      <c r="L982" s="13"/>
      <c r="M982" s="13"/>
      <c r="N982" s="13"/>
      <c r="O982" s="13"/>
      <c r="P982" s="13"/>
      <c r="Q982" s="13"/>
      <c r="R982" s="13"/>
      <c r="S982" s="13"/>
    </row>
    <row r="983" ht="15.75" customHeight="1">
      <c r="A983" s="14" t="s">
        <v>3536</v>
      </c>
      <c r="B983" s="14" t="s">
        <v>316</v>
      </c>
      <c r="C983" s="14" t="s">
        <v>3537</v>
      </c>
      <c r="D983" s="14">
        <v>100.0</v>
      </c>
      <c r="E983" s="14" t="s">
        <v>318</v>
      </c>
      <c r="F983" s="14" t="s">
        <v>3538</v>
      </c>
      <c r="G983" s="14" t="s">
        <v>3539</v>
      </c>
      <c r="H983" s="13"/>
      <c r="I983" s="13"/>
      <c r="J983" s="13"/>
      <c r="K983" s="13"/>
      <c r="L983" s="13"/>
      <c r="M983" s="13"/>
      <c r="N983" s="13"/>
      <c r="O983" s="13"/>
      <c r="P983" s="13"/>
      <c r="Q983" s="13"/>
      <c r="R983" s="13"/>
      <c r="S983" s="13"/>
    </row>
    <row r="984" ht="15.75" customHeight="1">
      <c r="A984" s="14" t="s">
        <v>3540</v>
      </c>
      <c r="B984" s="14" t="s">
        <v>316</v>
      </c>
      <c r="C984" s="14" t="s">
        <v>3541</v>
      </c>
      <c r="D984" s="14">
        <v>100.0</v>
      </c>
      <c r="E984" s="14" t="s">
        <v>318</v>
      </c>
      <c r="F984" s="14" t="s">
        <v>3542</v>
      </c>
      <c r="G984" s="14" t="s">
        <v>3543</v>
      </c>
      <c r="H984" s="13"/>
      <c r="I984" s="13"/>
      <c r="J984" s="13"/>
      <c r="K984" s="13"/>
      <c r="L984" s="13"/>
      <c r="M984" s="13"/>
      <c r="N984" s="13"/>
      <c r="O984" s="13"/>
      <c r="P984" s="13"/>
      <c r="Q984" s="13"/>
      <c r="R984" s="13"/>
      <c r="S984" s="13"/>
    </row>
    <row r="985" ht="15.75" customHeight="1">
      <c r="A985" s="14" t="s">
        <v>3544</v>
      </c>
      <c r="B985" s="14" t="s">
        <v>316</v>
      </c>
      <c r="C985" s="14" t="s">
        <v>3545</v>
      </c>
      <c r="D985" s="14">
        <v>100.0</v>
      </c>
      <c r="E985" s="14" t="s">
        <v>318</v>
      </c>
      <c r="F985" s="14" t="s">
        <v>3546</v>
      </c>
      <c r="G985" s="14" t="s">
        <v>3547</v>
      </c>
      <c r="H985" s="13"/>
      <c r="I985" s="13"/>
      <c r="J985" s="13"/>
      <c r="K985" s="13"/>
      <c r="L985" s="13"/>
      <c r="M985" s="13"/>
      <c r="N985" s="13"/>
      <c r="O985" s="13"/>
      <c r="P985" s="13"/>
      <c r="Q985" s="13"/>
      <c r="R985" s="13"/>
      <c r="S985" s="13"/>
    </row>
    <row r="986" ht="15.75" customHeight="1">
      <c r="A986" s="14" t="s">
        <v>3548</v>
      </c>
      <c r="B986" s="14" t="s">
        <v>316</v>
      </c>
      <c r="C986" s="14" t="s">
        <v>3549</v>
      </c>
      <c r="D986" s="14">
        <v>100.0</v>
      </c>
      <c r="E986" s="14" t="s">
        <v>318</v>
      </c>
      <c r="F986" s="14" t="s">
        <v>3550</v>
      </c>
      <c r="G986" s="14" t="s">
        <v>3551</v>
      </c>
      <c r="H986" s="13"/>
      <c r="I986" s="13"/>
      <c r="J986" s="13"/>
      <c r="K986" s="13"/>
      <c r="L986" s="13"/>
      <c r="M986" s="13"/>
      <c r="N986" s="13"/>
      <c r="O986" s="13"/>
      <c r="P986" s="13"/>
      <c r="Q986" s="13"/>
      <c r="R986" s="13"/>
      <c r="S986" s="13"/>
    </row>
    <row r="987" ht="15.75" customHeight="1">
      <c r="A987" s="14" t="s">
        <v>3552</v>
      </c>
      <c r="B987" s="14" t="s">
        <v>316</v>
      </c>
      <c r="C987" s="14" t="s">
        <v>3553</v>
      </c>
      <c r="D987" s="14">
        <v>100.0</v>
      </c>
      <c r="E987" s="14" t="s">
        <v>318</v>
      </c>
      <c r="F987" s="14" t="s">
        <v>3554</v>
      </c>
      <c r="G987" s="14" t="s">
        <v>3555</v>
      </c>
      <c r="H987" s="13"/>
      <c r="I987" s="13"/>
      <c r="J987" s="13"/>
      <c r="K987" s="13"/>
      <c r="L987" s="13"/>
      <c r="M987" s="13"/>
      <c r="N987" s="13"/>
      <c r="O987" s="13"/>
      <c r="P987" s="13"/>
      <c r="Q987" s="13"/>
      <c r="R987" s="13"/>
      <c r="S987" s="13"/>
    </row>
    <row r="988" ht="15.75" customHeight="1">
      <c r="A988" s="14" t="s">
        <v>3556</v>
      </c>
      <c r="B988" s="14" t="s">
        <v>316</v>
      </c>
      <c r="C988" s="14" t="s">
        <v>3557</v>
      </c>
      <c r="D988" s="14">
        <v>100.0</v>
      </c>
      <c r="E988" s="14" t="s">
        <v>318</v>
      </c>
      <c r="F988" s="14" t="s">
        <v>3558</v>
      </c>
      <c r="G988" s="14" t="s">
        <v>3559</v>
      </c>
      <c r="H988" s="13"/>
      <c r="I988" s="13"/>
      <c r="J988" s="13"/>
      <c r="K988" s="13"/>
      <c r="L988" s="13"/>
      <c r="M988" s="13"/>
      <c r="N988" s="13"/>
      <c r="O988" s="13"/>
      <c r="P988" s="13"/>
      <c r="Q988" s="13"/>
      <c r="R988" s="13"/>
      <c r="S988" s="13"/>
    </row>
    <row r="989" ht="15.75" customHeight="1">
      <c r="A989" s="14" t="s">
        <v>3560</v>
      </c>
      <c r="B989" s="14" t="s">
        <v>316</v>
      </c>
      <c r="C989" s="14" t="s">
        <v>3561</v>
      </c>
      <c r="D989" s="14">
        <v>100.0</v>
      </c>
      <c r="E989" s="14" t="s">
        <v>318</v>
      </c>
      <c r="F989" s="14" t="s">
        <v>858</v>
      </c>
      <c r="G989" s="14" t="s">
        <v>3562</v>
      </c>
      <c r="H989" s="13"/>
      <c r="I989" s="13"/>
      <c r="J989" s="13"/>
      <c r="K989" s="13"/>
      <c r="L989" s="13"/>
      <c r="M989" s="13"/>
      <c r="N989" s="13"/>
      <c r="O989" s="13"/>
      <c r="P989" s="13"/>
      <c r="Q989" s="13"/>
      <c r="R989" s="13"/>
      <c r="S989" s="13"/>
    </row>
    <row r="990" ht="15.75" customHeight="1">
      <c r="A990" s="14" t="s">
        <v>3563</v>
      </c>
      <c r="B990" s="14" t="s">
        <v>316</v>
      </c>
      <c r="C990" s="14" t="s">
        <v>3564</v>
      </c>
      <c r="D990" s="14">
        <v>100.0</v>
      </c>
      <c r="E990" s="14" t="s">
        <v>318</v>
      </c>
      <c r="F990" s="14" t="s">
        <v>3565</v>
      </c>
      <c r="G990" s="14" t="s">
        <v>3566</v>
      </c>
      <c r="H990" s="13"/>
      <c r="I990" s="13"/>
      <c r="J990" s="13"/>
      <c r="K990" s="13"/>
      <c r="L990" s="13"/>
      <c r="M990" s="13"/>
      <c r="N990" s="13"/>
      <c r="O990" s="13"/>
      <c r="P990" s="13"/>
      <c r="Q990" s="13"/>
      <c r="R990" s="13"/>
      <c r="S990" s="13"/>
    </row>
    <row r="991" ht="15.75" customHeight="1">
      <c r="A991" s="14" t="s">
        <v>3567</v>
      </c>
      <c r="B991" s="14" t="s">
        <v>316</v>
      </c>
      <c r="C991" s="14" t="s">
        <v>3568</v>
      </c>
      <c r="D991" s="14">
        <v>100.0</v>
      </c>
      <c r="E991" s="14" t="s">
        <v>318</v>
      </c>
      <c r="F991" s="14" t="s">
        <v>3569</v>
      </c>
      <c r="G991" s="14" t="s">
        <v>3570</v>
      </c>
      <c r="H991" s="13"/>
      <c r="I991" s="13"/>
      <c r="J991" s="13"/>
      <c r="K991" s="13"/>
      <c r="L991" s="13"/>
      <c r="M991" s="13"/>
      <c r="N991" s="13"/>
      <c r="O991" s="13"/>
      <c r="P991" s="13"/>
      <c r="Q991" s="13"/>
      <c r="R991" s="13"/>
      <c r="S991" s="13"/>
    </row>
    <row r="992" ht="15.75" customHeight="1">
      <c r="A992" s="14" t="s">
        <v>3571</v>
      </c>
      <c r="B992" s="14" t="s">
        <v>316</v>
      </c>
      <c r="C992" s="14" t="s">
        <v>3572</v>
      </c>
      <c r="D992" s="14">
        <v>100.0</v>
      </c>
      <c r="E992" s="14" t="s">
        <v>318</v>
      </c>
      <c r="F992" s="14" t="s">
        <v>1980</v>
      </c>
      <c r="G992" s="14" t="s">
        <v>3573</v>
      </c>
      <c r="H992" s="13"/>
      <c r="I992" s="13"/>
      <c r="J992" s="13"/>
      <c r="K992" s="13"/>
      <c r="L992" s="13"/>
      <c r="M992" s="13"/>
      <c r="N992" s="13"/>
      <c r="O992" s="13"/>
      <c r="P992" s="13"/>
      <c r="Q992" s="13"/>
      <c r="R992" s="13"/>
      <c r="S992" s="13"/>
    </row>
    <row r="993" ht="15.75" customHeight="1">
      <c r="A993" s="14" t="s">
        <v>3574</v>
      </c>
      <c r="B993" s="14" t="s">
        <v>316</v>
      </c>
      <c r="C993" s="14" t="s">
        <v>3575</v>
      </c>
      <c r="D993" s="14">
        <v>100.0</v>
      </c>
      <c r="E993" s="14" t="s">
        <v>318</v>
      </c>
      <c r="F993" s="14" t="s">
        <v>3576</v>
      </c>
      <c r="G993" s="14" t="s">
        <v>3577</v>
      </c>
      <c r="H993" s="13"/>
      <c r="I993" s="13"/>
      <c r="J993" s="13"/>
      <c r="K993" s="13"/>
      <c r="L993" s="13"/>
      <c r="M993" s="13"/>
      <c r="N993" s="13"/>
      <c r="O993" s="13"/>
      <c r="P993" s="13"/>
      <c r="Q993" s="13"/>
      <c r="R993" s="13"/>
      <c r="S993" s="13"/>
    </row>
    <row r="994" ht="15.75" customHeight="1">
      <c r="A994" s="14" t="s">
        <v>3578</v>
      </c>
      <c r="B994" s="14" t="s">
        <v>316</v>
      </c>
      <c r="C994" s="14" t="s">
        <v>3579</v>
      </c>
      <c r="D994" s="14">
        <v>100.0</v>
      </c>
      <c r="E994" s="14" t="s">
        <v>318</v>
      </c>
      <c r="F994" s="14" t="s">
        <v>3580</v>
      </c>
      <c r="G994" s="14" t="s">
        <v>3581</v>
      </c>
      <c r="H994" s="13"/>
      <c r="I994" s="13"/>
      <c r="J994" s="13"/>
      <c r="K994" s="13"/>
      <c r="L994" s="13"/>
      <c r="M994" s="13"/>
      <c r="N994" s="13"/>
      <c r="O994" s="13"/>
      <c r="P994" s="13"/>
      <c r="Q994" s="13"/>
      <c r="R994" s="13"/>
      <c r="S994" s="13"/>
    </row>
    <row r="995" ht="15.75" customHeight="1">
      <c r="A995" s="14" t="s">
        <v>3582</v>
      </c>
      <c r="B995" s="14" t="s">
        <v>316</v>
      </c>
      <c r="C995" s="14" t="s">
        <v>3583</v>
      </c>
      <c r="D995" s="14">
        <v>100.0</v>
      </c>
      <c r="E995" s="14" t="s">
        <v>318</v>
      </c>
      <c r="F995" s="14" t="s">
        <v>1035</v>
      </c>
      <c r="G995" s="14" t="s">
        <v>3584</v>
      </c>
      <c r="H995" s="13"/>
      <c r="I995" s="13"/>
      <c r="J995" s="13"/>
      <c r="K995" s="13"/>
      <c r="L995" s="13"/>
      <c r="M995" s="13"/>
      <c r="N995" s="13"/>
      <c r="O995" s="13"/>
      <c r="P995" s="13"/>
      <c r="Q995" s="13"/>
      <c r="R995" s="13"/>
      <c r="S995" s="13"/>
    </row>
    <row r="996" ht="15.75" customHeight="1">
      <c r="A996" s="14" t="s">
        <v>3585</v>
      </c>
      <c r="B996" s="14" t="s">
        <v>316</v>
      </c>
      <c r="C996" s="14" t="s">
        <v>3586</v>
      </c>
      <c r="D996" s="14">
        <v>100.0</v>
      </c>
      <c r="E996" s="14" t="s">
        <v>318</v>
      </c>
      <c r="F996" s="14" t="s">
        <v>3587</v>
      </c>
      <c r="G996" s="14" t="s">
        <v>3588</v>
      </c>
      <c r="H996" s="13"/>
      <c r="I996" s="13"/>
      <c r="J996" s="13"/>
      <c r="K996" s="13"/>
      <c r="L996" s="13"/>
      <c r="M996" s="13"/>
      <c r="N996" s="13"/>
      <c r="O996" s="13"/>
      <c r="P996" s="13"/>
      <c r="Q996" s="13"/>
      <c r="R996" s="13"/>
      <c r="S996" s="13"/>
    </row>
    <row r="997" ht="15.75" customHeight="1">
      <c r="A997" s="14" t="s">
        <v>3589</v>
      </c>
      <c r="B997" s="14" t="s">
        <v>316</v>
      </c>
      <c r="C997" s="14" t="s">
        <v>3590</v>
      </c>
      <c r="D997" s="14">
        <v>100.0</v>
      </c>
      <c r="E997" s="14" t="s">
        <v>318</v>
      </c>
      <c r="F997" s="14" t="s">
        <v>3591</v>
      </c>
      <c r="G997" s="14" t="s">
        <v>3592</v>
      </c>
      <c r="H997" s="13"/>
      <c r="I997" s="13"/>
      <c r="J997" s="13"/>
      <c r="K997" s="13"/>
      <c r="L997" s="13"/>
      <c r="M997" s="13"/>
      <c r="N997" s="13"/>
      <c r="O997" s="13"/>
      <c r="P997" s="13"/>
      <c r="Q997" s="13"/>
      <c r="R997" s="13"/>
      <c r="S997" s="13"/>
    </row>
    <row r="998" ht="15.75" customHeight="1">
      <c r="A998" s="14" t="s">
        <v>3593</v>
      </c>
      <c r="B998" s="14" t="s">
        <v>316</v>
      </c>
      <c r="C998" s="14" t="s">
        <v>3594</v>
      </c>
      <c r="D998" s="14">
        <v>100.0</v>
      </c>
      <c r="E998" s="14" t="s">
        <v>318</v>
      </c>
      <c r="F998" s="14" t="s">
        <v>664</v>
      </c>
      <c r="G998" s="14" t="s">
        <v>3595</v>
      </c>
      <c r="H998" s="13"/>
      <c r="I998" s="13"/>
      <c r="J998" s="13"/>
      <c r="K998" s="13"/>
      <c r="L998" s="13"/>
      <c r="M998" s="13"/>
      <c r="N998" s="13"/>
      <c r="O998" s="13"/>
      <c r="P998" s="13"/>
      <c r="Q998" s="13"/>
      <c r="R998" s="13"/>
      <c r="S998" s="13"/>
    </row>
    <row r="999" ht="15.75" customHeight="1">
      <c r="A999" s="14" t="s">
        <v>3596</v>
      </c>
      <c r="B999" s="14" t="s">
        <v>316</v>
      </c>
      <c r="C999" s="14" t="s">
        <v>3597</v>
      </c>
      <c r="D999" s="14">
        <v>100.0</v>
      </c>
      <c r="E999" s="14" t="s">
        <v>318</v>
      </c>
      <c r="F999" s="14" t="s">
        <v>3598</v>
      </c>
      <c r="G999" s="14" t="s">
        <v>3599</v>
      </c>
      <c r="H999" s="13"/>
      <c r="I999" s="13"/>
      <c r="J999" s="13"/>
      <c r="K999" s="13"/>
      <c r="L999" s="13"/>
      <c r="M999" s="13"/>
      <c r="N999" s="13"/>
      <c r="O999" s="13"/>
      <c r="P999" s="13"/>
      <c r="Q999" s="13"/>
      <c r="R999" s="13"/>
      <c r="S999" s="13"/>
    </row>
    <row r="1000" ht="15.75" customHeight="1">
      <c r="A1000" s="14" t="s">
        <v>3600</v>
      </c>
      <c r="B1000" s="14" t="s">
        <v>316</v>
      </c>
      <c r="C1000" s="14" t="s">
        <v>3601</v>
      </c>
      <c r="D1000" s="14">
        <v>100.0</v>
      </c>
      <c r="E1000" s="14" t="s">
        <v>318</v>
      </c>
      <c r="F1000" s="14" t="s">
        <v>3602</v>
      </c>
      <c r="G1000" s="14" t="s">
        <v>3603</v>
      </c>
      <c r="H1000" s="13"/>
      <c r="I1000" s="13"/>
      <c r="J1000" s="13"/>
      <c r="K1000" s="13"/>
      <c r="L1000" s="13"/>
      <c r="M1000" s="13"/>
      <c r="N1000" s="13"/>
      <c r="O1000" s="13"/>
      <c r="P1000" s="13"/>
      <c r="Q1000" s="13"/>
      <c r="R1000" s="13"/>
      <c r="S1000" s="13"/>
    </row>
    <row r="1001" ht="15.75" customHeight="1">
      <c r="A1001" s="14" t="s">
        <v>3604</v>
      </c>
      <c r="B1001" s="14" t="s">
        <v>316</v>
      </c>
      <c r="C1001" s="14" t="s">
        <v>3605</v>
      </c>
      <c r="D1001" s="14">
        <v>100.0</v>
      </c>
      <c r="E1001" s="14" t="s">
        <v>318</v>
      </c>
      <c r="F1001" s="14" t="s">
        <v>3606</v>
      </c>
      <c r="G1001" s="14" t="s">
        <v>3607</v>
      </c>
      <c r="H1001" s="13"/>
      <c r="I1001" s="13"/>
      <c r="J1001" s="13"/>
      <c r="K1001" s="13"/>
      <c r="L1001" s="13"/>
      <c r="M1001" s="13"/>
      <c r="N1001" s="13"/>
      <c r="O1001" s="13"/>
      <c r="P1001" s="13"/>
      <c r="Q1001" s="13"/>
      <c r="R1001" s="13"/>
      <c r="S1001" s="13"/>
    </row>
    <row r="1002" ht="15.75" customHeight="1">
      <c r="A1002" s="14" t="s">
        <v>3608</v>
      </c>
      <c r="B1002" s="14" t="s">
        <v>316</v>
      </c>
      <c r="C1002" s="14" t="s">
        <v>3609</v>
      </c>
      <c r="D1002" s="14">
        <v>100.0</v>
      </c>
      <c r="E1002" s="14" t="s">
        <v>318</v>
      </c>
      <c r="F1002" s="14" t="s">
        <v>1299</v>
      </c>
      <c r="G1002" s="14" t="s">
        <v>3610</v>
      </c>
      <c r="H1002" s="13"/>
      <c r="I1002" s="13"/>
      <c r="J1002" s="13"/>
      <c r="K1002" s="13"/>
      <c r="L1002" s="13"/>
      <c r="M1002" s="13"/>
      <c r="N1002" s="13"/>
      <c r="O1002" s="13"/>
      <c r="P1002" s="13"/>
      <c r="Q1002" s="13"/>
      <c r="R1002" s="13"/>
      <c r="S1002" s="13"/>
    </row>
    <row r="1003" ht="15.75" customHeight="1">
      <c r="A1003" s="14" t="s">
        <v>3611</v>
      </c>
      <c r="B1003" s="14" t="s">
        <v>316</v>
      </c>
      <c r="C1003" s="14" t="s">
        <v>3612</v>
      </c>
      <c r="D1003" s="14">
        <v>100.0</v>
      </c>
      <c r="E1003" s="14" t="s">
        <v>318</v>
      </c>
      <c r="F1003" s="14" t="s">
        <v>3613</v>
      </c>
      <c r="G1003" s="14" t="s">
        <v>3614</v>
      </c>
      <c r="H1003" s="13"/>
      <c r="I1003" s="13"/>
      <c r="J1003" s="13"/>
      <c r="K1003" s="13"/>
      <c r="L1003" s="13"/>
      <c r="M1003" s="13"/>
      <c r="N1003" s="13"/>
      <c r="O1003" s="13"/>
      <c r="P1003" s="13"/>
      <c r="Q1003" s="13"/>
      <c r="R1003" s="13"/>
      <c r="S1003" s="13"/>
    </row>
    <row r="1004" ht="15.75" customHeight="1">
      <c r="A1004" s="14" t="s">
        <v>3615</v>
      </c>
      <c r="B1004" s="14" t="s">
        <v>316</v>
      </c>
      <c r="C1004" s="14" t="s">
        <v>3616</v>
      </c>
      <c r="D1004" s="14">
        <v>100.0</v>
      </c>
      <c r="E1004" s="14" t="s">
        <v>318</v>
      </c>
      <c r="F1004" s="14" t="s">
        <v>3617</v>
      </c>
      <c r="G1004" s="14" t="s">
        <v>3618</v>
      </c>
      <c r="H1004" s="13"/>
      <c r="I1004" s="13"/>
      <c r="J1004" s="13"/>
      <c r="K1004" s="13"/>
      <c r="L1004" s="13"/>
      <c r="M1004" s="13"/>
      <c r="N1004" s="13"/>
      <c r="O1004" s="13"/>
      <c r="P1004" s="13"/>
      <c r="Q1004" s="13"/>
      <c r="R1004" s="13"/>
      <c r="S1004" s="13"/>
    </row>
    <row r="1005" ht="15.75" customHeight="1">
      <c r="A1005" s="14" t="s">
        <v>3619</v>
      </c>
      <c r="B1005" s="14" t="s">
        <v>316</v>
      </c>
      <c r="C1005" s="14" t="s">
        <v>3620</v>
      </c>
      <c r="D1005" s="14">
        <v>100.0</v>
      </c>
      <c r="E1005" s="14" t="s">
        <v>318</v>
      </c>
      <c r="F1005" s="14" t="s">
        <v>3621</v>
      </c>
      <c r="G1005" s="14" t="s">
        <v>3622</v>
      </c>
      <c r="H1005" s="13"/>
      <c r="I1005" s="13"/>
      <c r="J1005" s="13"/>
      <c r="K1005" s="13"/>
      <c r="L1005" s="13"/>
      <c r="M1005" s="13"/>
      <c r="N1005" s="13"/>
      <c r="O1005" s="13"/>
      <c r="P1005" s="13"/>
      <c r="Q1005" s="13"/>
      <c r="R1005" s="13"/>
      <c r="S1005" s="13"/>
    </row>
    <row r="1006" ht="15.75" customHeight="1">
      <c r="A1006" s="14" t="s">
        <v>3623</v>
      </c>
      <c r="B1006" s="14" t="s">
        <v>316</v>
      </c>
      <c r="C1006" s="14" t="s">
        <v>3624</v>
      </c>
      <c r="D1006" s="14">
        <v>100.0</v>
      </c>
      <c r="E1006" s="14" t="s">
        <v>318</v>
      </c>
      <c r="F1006" s="14" t="s">
        <v>3625</v>
      </c>
      <c r="G1006" s="14" t="s">
        <v>3626</v>
      </c>
      <c r="H1006" s="13"/>
      <c r="I1006" s="13"/>
      <c r="J1006" s="13"/>
      <c r="K1006" s="13"/>
      <c r="L1006" s="13"/>
      <c r="M1006" s="13"/>
      <c r="N1006" s="13"/>
      <c r="O1006" s="13"/>
      <c r="P1006" s="13"/>
      <c r="Q1006" s="13"/>
      <c r="R1006" s="13"/>
      <c r="S1006" s="13"/>
    </row>
    <row r="1007" ht="15.75" customHeight="1">
      <c r="A1007" s="14" t="s">
        <v>3627</v>
      </c>
      <c r="B1007" s="14" t="s">
        <v>316</v>
      </c>
      <c r="C1007" s="14" t="s">
        <v>3628</v>
      </c>
      <c r="D1007" s="14">
        <v>100.0</v>
      </c>
      <c r="E1007" s="14" t="s">
        <v>318</v>
      </c>
      <c r="F1007" s="14" t="s">
        <v>3629</v>
      </c>
      <c r="G1007" s="14" t="s">
        <v>3630</v>
      </c>
      <c r="H1007" s="13"/>
      <c r="I1007" s="13"/>
      <c r="J1007" s="13"/>
      <c r="K1007" s="13"/>
      <c r="L1007" s="13"/>
      <c r="M1007" s="13"/>
      <c r="N1007" s="13"/>
      <c r="O1007" s="13"/>
      <c r="P1007" s="13"/>
      <c r="Q1007" s="13"/>
      <c r="R1007" s="13"/>
      <c r="S1007" s="13"/>
    </row>
    <row r="1008" ht="15.75" customHeight="1">
      <c r="A1008" s="14" t="s">
        <v>3631</v>
      </c>
      <c r="B1008" s="14" t="s">
        <v>316</v>
      </c>
      <c r="C1008" s="14" t="s">
        <v>3632</v>
      </c>
      <c r="D1008" s="14">
        <v>100.0</v>
      </c>
      <c r="E1008" s="14" t="s">
        <v>318</v>
      </c>
      <c r="F1008" s="14" t="s">
        <v>3633</v>
      </c>
      <c r="G1008" s="14" t="s">
        <v>3634</v>
      </c>
      <c r="H1008" s="13"/>
      <c r="I1008" s="13"/>
      <c r="J1008" s="13"/>
      <c r="K1008" s="13"/>
      <c r="L1008" s="13"/>
      <c r="M1008" s="13"/>
      <c r="N1008" s="13"/>
      <c r="O1008" s="13"/>
      <c r="P1008" s="13"/>
      <c r="Q1008" s="13"/>
      <c r="R1008" s="13"/>
      <c r="S1008" s="13"/>
    </row>
    <row r="1009" ht="15.75" customHeight="1">
      <c r="A1009" s="14" t="s">
        <v>3635</v>
      </c>
      <c r="B1009" s="14" t="s">
        <v>316</v>
      </c>
      <c r="C1009" s="14" t="s">
        <v>3636</v>
      </c>
      <c r="D1009" s="14">
        <v>100.0</v>
      </c>
      <c r="E1009" s="14" t="s">
        <v>318</v>
      </c>
      <c r="F1009" s="14" t="s">
        <v>3323</v>
      </c>
      <c r="G1009" s="14" t="s">
        <v>3637</v>
      </c>
      <c r="H1009" s="13"/>
      <c r="I1009" s="13"/>
      <c r="J1009" s="13"/>
      <c r="K1009" s="13"/>
      <c r="L1009" s="13"/>
      <c r="M1009" s="13"/>
      <c r="N1009" s="13"/>
      <c r="O1009" s="13"/>
      <c r="P1009" s="13"/>
      <c r="Q1009" s="13"/>
      <c r="R1009" s="13"/>
      <c r="S1009" s="13"/>
    </row>
    <row r="1010" ht="15.75" customHeight="1">
      <c r="A1010" s="14" t="s">
        <v>3638</v>
      </c>
      <c r="B1010" s="14" t="s">
        <v>316</v>
      </c>
      <c r="C1010" s="14" t="s">
        <v>3639</v>
      </c>
      <c r="D1010" s="14">
        <v>100.0</v>
      </c>
      <c r="E1010" s="14" t="s">
        <v>318</v>
      </c>
      <c r="F1010" s="14" t="s">
        <v>3640</v>
      </c>
      <c r="G1010" s="14" t="s">
        <v>3641</v>
      </c>
      <c r="H1010" s="13"/>
      <c r="I1010" s="13"/>
      <c r="J1010" s="13"/>
      <c r="K1010" s="13"/>
      <c r="L1010" s="13"/>
      <c r="M1010" s="13"/>
      <c r="N1010" s="13"/>
      <c r="O1010" s="13"/>
      <c r="P1010" s="13"/>
      <c r="Q1010" s="13"/>
      <c r="R1010" s="13"/>
      <c r="S1010" s="13"/>
    </row>
    <row r="1011" ht="15.75" customHeight="1">
      <c r="A1011" s="14" t="s">
        <v>3642</v>
      </c>
      <c r="B1011" s="14" t="s">
        <v>316</v>
      </c>
      <c r="C1011" s="14" t="s">
        <v>3643</v>
      </c>
      <c r="D1011" s="14">
        <v>100.0</v>
      </c>
      <c r="E1011" s="14" t="s">
        <v>318</v>
      </c>
      <c r="F1011" s="14" t="s">
        <v>3644</v>
      </c>
      <c r="G1011" s="14" t="s">
        <v>3645</v>
      </c>
      <c r="H1011" s="13"/>
      <c r="I1011" s="13"/>
      <c r="J1011" s="13"/>
      <c r="K1011" s="13"/>
      <c r="L1011" s="13"/>
      <c r="M1011" s="13"/>
      <c r="N1011" s="13"/>
      <c r="O1011" s="13"/>
      <c r="P1011" s="13"/>
      <c r="Q1011" s="13"/>
      <c r="R1011" s="13"/>
      <c r="S1011" s="13"/>
    </row>
    <row r="1012" ht="15.75" customHeight="1">
      <c r="A1012" s="14" t="s">
        <v>3646</v>
      </c>
      <c r="B1012" s="14" t="s">
        <v>316</v>
      </c>
      <c r="C1012" s="14" t="s">
        <v>3647</v>
      </c>
      <c r="D1012" s="14">
        <v>100.0</v>
      </c>
      <c r="E1012" s="14" t="s">
        <v>318</v>
      </c>
      <c r="F1012" s="14" t="s">
        <v>3648</v>
      </c>
      <c r="G1012" s="14" t="s">
        <v>3649</v>
      </c>
      <c r="H1012" s="13"/>
      <c r="I1012" s="13"/>
      <c r="J1012" s="13"/>
      <c r="K1012" s="13"/>
      <c r="L1012" s="13"/>
      <c r="M1012" s="13"/>
      <c r="N1012" s="13"/>
      <c r="O1012" s="13"/>
      <c r="P1012" s="13"/>
      <c r="Q1012" s="13"/>
      <c r="R1012" s="13"/>
      <c r="S1012" s="13"/>
    </row>
    <row r="1013" ht="15.75" customHeight="1">
      <c r="A1013" s="14" t="s">
        <v>3650</v>
      </c>
      <c r="B1013" s="14" t="s">
        <v>316</v>
      </c>
      <c r="C1013" s="14" t="s">
        <v>3651</v>
      </c>
      <c r="D1013" s="14">
        <v>100.0</v>
      </c>
      <c r="E1013" s="14" t="s">
        <v>318</v>
      </c>
      <c r="F1013" s="14" t="s">
        <v>3648</v>
      </c>
      <c r="G1013" s="14" t="s">
        <v>3652</v>
      </c>
      <c r="H1013" s="13"/>
      <c r="I1013" s="13"/>
      <c r="J1013" s="13"/>
      <c r="K1013" s="13"/>
      <c r="L1013" s="13"/>
      <c r="M1013" s="13"/>
      <c r="N1013" s="13"/>
      <c r="O1013" s="13"/>
      <c r="P1013" s="13"/>
      <c r="Q1013" s="13"/>
      <c r="R1013" s="13"/>
      <c r="S1013" s="13"/>
    </row>
    <row r="1014" ht="15.75" customHeight="1">
      <c r="A1014" s="14" t="s">
        <v>3653</v>
      </c>
      <c r="B1014" s="14" t="s">
        <v>316</v>
      </c>
      <c r="C1014" s="14" t="s">
        <v>3654</v>
      </c>
      <c r="D1014" s="14">
        <v>100.0</v>
      </c>
      <c r="E1014" s="14" t="s">
        <v>318</v>
      </c>
      <c r="F1014" s="14" t="s">
        <v>3655</v>
      </c>
      <c r="G1014" s="14" t="s">
        <v>3656</v>
      </c>
      <c r="H1014" s="13"/>
      <c r="I1014" s="13"/>
      <c r="J1014" s="13"/>
      <c r="K1014" s="13"/>
      <c r="L1014" s="13"/>
      <c r="M1014" s="13"/>
      <c r="N1014" s="13"/>
      <c r="O1014" s="13"/>
      <c r="P1014" s="13"/>
      <c r="Q1014" s="13"/>
      <c r="R1014" s="13"/>
      <c r="S1014" s="13"/>
    </row>
    <row r="1015" ht="15.75" customHeight="1">
      <c r="A1015" s="14" t="s">
        <v>3657</v>
      </c>
      <c r="B1015" s="14" t="s">
        <v>316</v>
      </c>
      <c r="C1015" s="14" t="s">
        <v>3658</v>
      </c>
      <c r="D1015" s="14">
        <v>100.0</v>
      </c>
      <c r="E1015" s="14" t="s">
        <v>318</v>
      </c>
      <c r="F1015" s="14" t="s">
        <v>3659</v>
      </c>
      <c r="G1015" s="14" t="s">
        <v>3660</v>
      </c>
      <c r="H1015" s="13"/>
      <c r="I1015" s="13"/>
      <c r="J1015" s="13"/>
      <c r="K1015" s="13"/>
      <c r="L1015" s="13"/>
      <c r="M1015" s="13"/>
      <c r="N1015" s="13"/>
      <c r="O1015" s="13"/>
      <c r="P1015" s="13"/>
      <c r="Q1015" s="13"/>
      <c r="R1015" s="13"/>
      <c r="S1015" s="13"/>
    </row>
    <row r="1016" ht="15.75" customHeight="1">
      <c r="A1016" s="14" t="s">
        <v>3661</v>
      </c>
      <c r="B1016" s="14" t="s">
        <v>316</v>
      </c>
      <c r="C1016" s="14" t="s">
        <v>3662</v>
      </c>
      <c r="D1016" s="14">
        <v>100.0</v>
      </c>
      <c r="E1016" s="14" t="s">
        <v>318</v>
      </c>
      <c r="F1016" s="14" t="s">
        <v>3663</v>
      </c>
      <c r="G1016" s="14" t="s">
        <v>3664</v>
      </c>
      <c r="H1016" s="13"/>
      <c r="I1016" s="13"/>
      <c r="J1016" s="13"/>
      <c r="K1016" s="13"/>
      <c r="L1016" s="13"/>
      <c r="M1016" s="13"/>
      <c r="N1016" s="13"/>
      <c r="O1016" s="13"/>
      <c r="P1016" s="13"/>
      <c r="Q1016" s="13"/>
      <c r="R1016" s="13"/>
      <c r="S1016" s="13"/>
    </row>
    <row r="1017" ht="15.75" customHeight="1">
      <c r="A1017" s="14" t="s">
        <v>3665</v>
      </c>
      <c r="B1017" s="14" t="s">
        <v>316</v>
      </c>
      <c r="C1017" s="14" t="s">
        <v>3666</v>
      </c>
      <c r="D1017" s="14">
        <v>100.0</v>
      </c>
      <c r="E1017" s="14" t="s">
        <v>318</v>
      </c>
      <c r="F1017" s="14" t="s">
        <v>595</v>
      </c>
      <c r="G1017" s="14" t="s">
        <v>3667</v>
      </c>
      <c r="H1017" s="13"/>
      <c r="I1017" s="13"/>
      <c r="J1017" s="13"/>
      <c r="K1017" s="13"/>
      <c r="L1017" s="13"/>
      <c r="M1017" s="13"/>
      <c r="N1017" s="13"/>
      <c r="O1017" s="13"/>
      <c r="P1017" s="13"/>
      <c r="Q1017" s="13"/>
      <c r="R1017" s="13"/>
      <c r="S1017" s="13"/>
    </row>
    <row r="1018" ht="15.75" customHeight="1">
      <c r="A1018" s="14" t="s">
        <v>3668</v>
      </c>
      <c r="B1018" s="14" t="s">
        <v>316</v>
      </c>
      <c r="C1018" s="14" t="s">
        <v>3669</v>
      </c>
      <c r="D1018" s="14">
        <v>100.0</v>
      </c>
      <c r="E1018" s="14" t="s">
        <v>318</v>
      </c>
      <c r="F1018" s="14" t="s">
        <v>595</v>
      </c>
      <c r="G1018" s="14" t="s">
        <v>3670</v>
      </c>
      <c r="H1018" s="13"/>
      <c r="I1018" s="13"/>
      <c r="J1018" s="13"/>
      <c r="K1018" s="13"/>
      <c r="L1018" s="13"/>
      <c r="M1018" s="13"/>
      <c r="N1018" s="13"/>
      <c r="O1018" s="13"/>
      <c r="P1018" s="13"/>
      <c r="Q1018" s="13"/>
      <c r="R1018" s="13"/>
      <c r="S1018" s="13"/>
    </row>
    <row r="1019" ht="15.75" customHeight="1">
      <c r="A1019" s="14" t="s">
        <v>3671</v>
      </c>
      <c r="B1019" s="14" t="s">
        <v>316</v>
      </c>
      <c r="C1019" s="14" t="s">
        <v>3672</v>
      </c>
      <c r="D1019" s="14">
        <v>100.0</v>
      </c>
      <c r="E1019" s="14" t="s">
        <v>318</v>
      </c>
      <c r="F1019" s="14" t="s">
        <v>595</v>
      </c>
      <c r="G1019" s="14" t="s">
        <v>3673</v>
      </c>
      <c r="H1019" s="13"/>
      <c r="I1019" s="13"/>
      <c r="J1019" s="13"/>
      <c r="K1019" s="13"/>
      <c r="L1019" s="13"/>
      <c r="M1019" s="13"/>
      <c r="N1019" s="13"/>
      <c r="O1019" s="13"/>
      <c r="P1019" s="13"/>
      <c r="Q1019" s="13"/>
      <c r="R1019" s="13"/>
      <c r="S1019" s="13"/>
    </row>
    <row r="1020" ht="15.75" customHeight="1">
      <c r="A1020" s="14" t="s">
        <v>3674</v>
      </c>
      <c r="B1020" s="14" t="s">
        <v>316</v>
      </c>
      <c r="C1020" s="14" t="s">
        <v>3675</v>
      </c>
      <c r="D1020" s="14">
        <v>100.0</v>
      </c>
      <c r="E1020" s="14" t="s">
        <v>318</v>
      </c>
      <c r="F1020" s="14" t="s">
        <v>595</v>
      </c>
      <c r="G1020" s="14" t="s">
        <v>3676</v>
      </c>
      <c r="H1020" s="13"/>
      <c r="I1020" s="13"/>
      <c r="J1020" s="13"/>
      <c r="K1020" s="13"/>
      <c r="L1020" s="13"/>
      <c r="M1020" s="13"/>
      <c r="N1020" s="13"/>
      <c r="O1020" s="13"/>
      <c r="P1020" s="13"/>
      <c r="Q1020" s="13"/>
      <c r="R1020" s="13"/>
      <c r="S1020" s="13"/>
    </row>
    <row r="1021" ht="15.75" customHeight="1">
      <c r="A1021" s="14" t="s">
        <v>3677</v>
      </c>
      <c r="B1021" s="14" t="s">
        <v>316</v>
      </c>
      <c r="C1021" s="14" t="s">
        <v>3678</v>
      </c>
      <c r="D1021" s="14">
        <v>100.0</v>
      </c>
      <c r="E1021" s="14" t="s">
        <v>318</v>
      </c>
      <c r="F1021" s="14" t="s">
        <v>595</v>
      </c>
      <c r="G1021" s="14" t="s">
        <v>3679</v>
      </c>
      <c r="H1021" s="13"/>
      <c r="I1021" s="13"/>
      <c r="J1021" s="13"/>
      <c r="K1021" s="13"/>
      <c r="L1021" s="13"/>
      <c r="M1021" s="13"/>
      <c r="N1021" s="13"/>
      <c r="O1021" s="13"/>
      <c r="P1021" s="13"/>
      <c r="Q1021" s="13"/>
      <c r="R1021" s="13"/>
      <c r="S1021" s="13"/>
    </row>
    <row r="1022" ht="15.75" customHeight="1">
      <c r="A1022" s="14" t="s">
        <v>3680</v>
      </c>
      <c r="B1022" s="14" t="s">
        <v>316</v>
      </c>
      <c r="C1022" s="14" t="s">
        <v>3681</v>
      </c>
      <c r="D1022" s="14">
        <v>100.0</v>
      </c>
      <c r="E1022" s="14" t="s">
        <v>318</v>
      </c>
      <c r="F1022" s="14" t="s">
        <v>3682</v>
      </c>
      <c r="G1022" s="14" t="s">
        <v>3683</v>
      </c>
      <c r="H1022" s="13"/>
      <c r="I1022" s="13"/>
      <c r="J1022" s="13"/>
      <c r="K1022" s="13"/>
      <c r="L1022" s="13"/>
      <c r="M1022" s="13"/>
      <c r="N1022" s="13"/>
      <c r="O1022" s="13"/>
      <c r="P1022" s="13"/>
      <c r="Q1022" s="13"/>
      <c r="R1022" s="13"/>
      <c r="S1022" s="13"/>
    </row>
    <row r="1023" ht="15.75" customHeight="1">
      <c r="A1023" s="14" t="s">
        <v>3684</v>
      </c>
      <c r="B1023" s="14" t="s">
        <v>316</v>
      </c>
      <c r="C1023" s="14" t="s">
        <v>3685</v>
      </c>
      <c r="D1023" s="14">
        <v>100.0</v>
      </c>
      <c r="E1023" s="14" t="s">
        <v>318</v>
      </c>
      <c r="F1023" s="14" t="s">
        <v>3686</v>
      </c>
      <c r="G1023" s="14" t="s">
        <v>3687</v>
      </c>
      <c r="H1023" s="13"/>
      <c r="I1023" s="13"/>
      <c r="J1023" s="13"/>
      <c r="K1023" s="13"/>
      <c r="L1023" s="13"/>
      <c r="M1023" s="13"/>
      <c r="N1023" s="13"/>
      <c r="O1023" s="13"/>
      <c r="P1023" s="13"/>
      <c r="Q1023" s="13"/>
      <c r="R1023" s="13"/>
      <c r="S1023" s="13"/>
    </row>
    <row r="1024" ht="15.75" customHeight="1">
      <c r="A1024" s="14" t="s">
        <v>3688</v>
      </c>
      <c r="B1024" s="14" t="s">
        <v>316</v>
      </c>
      <c r="C1024" s="14" t="s">
        <v>3689</v>
      </c>
      <c r="D1024" s="14">
        <v>100.0</v>
      </c>
      <c r="E1024" s="14" t="s">
        <v>318</v>
      </c>
      <c r="F1024" s="14" t="s">
        <v>3690</v>
      </c>
      <c r="G1024" s="14" t="s">
        <v>3691</v>
      </c>
      <c r="H1024" s="13"/>
      <c r="I1024" s="13"/>
      <c r="J1024" s="13"/>
      <c r="K1024" s="13"/>
      <c r="L1024" s="13"/>
      <c r="M1024" s="13"/>
      <c r="N1024" s="13"/>
      <c r="O1024" s="13"/>
      <c r="P1024" s="13"/>
      <c r="Q1024" s="13"/>
      <c r="R1024" s="13"/>
      <c r="S1024" s="13"/>
    </row>
    <row r="1025" ht="15.75" customHeight="1">
      <c r="A1025" s="14" t="s">
        <v>3692</v>
      </c>
      <c r="B1025" s="14" t="s">
        <v>316</v>
      </c>
      <c r="C1025" s="14" t="s">
        <v>3693</v>
      </c>
      <c r="D1025" s="14">
        <v>100.0</v>
      </c>
      <c r="E1025" s="14" t="s">
        <v>318</v>
      </c>
      <c r="F1025" s="14" t="s">
        <v>451</v>
      </c>
      <c r="G1025" s="14" t="s">
        <v>3694</v>
      </c>
      <c r="H1025" s="13"/>
      <c r="I1025" s="13"/>
      <c r="J1025" s="13"/>
      <c r="K1025" s="13"/>
      <c r="L1025" s="13"/>
      <c r="M1025" s="13"/>
      <c r="N1025" s="13"/>
      <c r="O1025" s="13"/>
      <c r="P1025" s="13"/>
      <c r="Q1025" s="13"/>
      <c r="R1025" s="13"/>
      <c r="S1025" s="13"/>
    </row>
    <row r="1026" ht="15.75" customHeight="1">
      <c r="A1026" s="14" t="s">
        <v>3695</v>
      </c>
      <c r="B1026" s="14" t="s">
        <v>316</v>
      </c>
      <c r="C1026" s="14" t="s">
        <v>3696</v>
      </c>
      <c r="D1026" s="14">
        <v>100.0</v>
      </c>
      <c r="E1026" s="14" t="s">
        <v>318</v>
      </c>
      <c r="F1026" s="14" t="s">
        <v>3697</v>
      </c>
      <c r="G1026" s="14" t="s">
        <v>3698</v>
      </c>
      <c r="H1026" s="13"/>
      <c r="I1026" s="13"/>
      <c r="J1026" s="13"/>
      <c r="K1026" s="13"/>
      <c r="L1026" s="13"/>
      <c r="M1026" s="13"/>
      <c r="N1026" s="13"/>
      <c r="O1026" s="13"/>
      <c r="P1026" s="13"/>
      <c r="Q1026" s="13"/>
      <c r="R1026" s="13"/>
      <c r="S1026" s="13"/>
    </row>
    <row r="1027" ht="15.75" customHeight="1">
      <c r="A1027" s="14" t="s">
        <v>3699</v>
      </c>
      <c r="B1027" s="14" t="s">
        <v>316</v>
      </c>
      <c r="C1027" s="14" t="s">
        <v>3700</v>
      </c>
      <c r="D1027" s="14">
        <v>100.0</v>
      </c>
      <c r="E1027" s="14" t="s">
        <v>318</v>
      </c>
      <c r="F1027" s="14" t="s">
        <v>3701</v>
      </c>
      <c r="G1027" s="14" t="s">
        <v>3702</v>
      </c>
      <c r="H1027" s="13"/>
      <c r="I1027" s="13"/>
      <c r="J1027" s="13"/>
      <c r="K1027" s="13"/>
      <c r="L1027" s="13"/>
      <c r="M1027" s="13"/>
      <c r="N1027" s="13"/>
      <c r="O1027" s="13"/>
      <c r="P1027" s="13"/>
      <c r="Q1027" s="13"/>
      <c r="R1027" s="13"/>
      <c r="S1027" s="13"/>
    </row>
    <row r="1028" ht="15.75" customHeight="1">
      <c r="A1028" s="14" t="s">
        <v>3703</v>
      </c>
      <c r="B1028" s="14" t="s">
        <v>316</v>
      </c>
      <c r="C1028" s="14" t="s">
        <v>3704</v>
      </c>
      <c r="D1028" s="14">
        <v>100.0</v>
      </c>
      <c r="E1028" s="14" t="s">
        <v>318</v>
      </c>
      <c r="F1028" s="14" t="s">
        <v>3705</v>
      </c>
      <c r="G1028" s="14" t="s">
        <v>3706</v>
      </c>
      <c r="H1028" s="13"/>
      <c r="I1028" s="13"/>
      <c r="J1028" s="13"/>
      <c r="K1028" s="13"/>
      <c r="L1028" s="13"/>
      <c r="M1028" s="13"/>
      <c r="N1028" s="13"/>
      <c r="O1028" s="13"/>
      <c r="P1028" s="13"/>
      <c r="Q1028" s="13"/>
      <c r="R1028" s="13"/>
      <c r="S1028" s="13"/>
    </row>
    <row r="1029" ht="15.75" customHeight="1">
      <c r="A1029" s="14" t="s">
        <v>3707</v>
      </c>
      <c r="B1029" s="14" t="s">
        <v>316</v>
      </c>
      <c r="C1029" s="14" t="s">
        <v>3708</v>
      </c>
      <c r="D1029" s="14">
        <v>100.0</v>
      </c>
      <c r="E1029" s="14" t="s">
        <v>318</v>
      </c>
      <c r="F1029" s="14" t="s">
        <v>3709</v>
      </c>
      <c r="G1029" s="14" t="s">
        <v>3710</v>
      </c>
      <c r="H1029" s="13"/>
      <c r="I1029" s="13"/>
      <c r="J1029" s="13"/>
      <c r="K1029" s="13"/>
      <c r="L1029" s="13"/>
      <c r="M1029" s="13"/>
      <c r="N1029" s="13"/>
      <c r="O1029" s="13"/>
      <c r="P1029" s="13"/>
      <c r="Q1029" s="13"/>
      <c r="R1029" s="13"/>
      <c r="S1029" s="13"/>
    </row>
    <row r="1030" ht="15.75" customHeight="1">
      <c r="A1030" s="14" t="s">
        <v>3711</v>
      </c>
      <c r="B1030" s="14" t="s">
        <v>316</v>
      </c>
      <c r="C1030" s="14" t="s">
        <v>3712</v>
      </c>
      <c r="D1030" s="14">
        <v>100.0</v>
      </c>
      <c r="E1030" s="14" t="s">
        <v>318</v>
      </c>
      <c r="F1030" s="14" t="s">
        <v>1299</v>
      </c>
      <c r="G1030" s="14" t="s">
        <v>3713</v>
      </c>
      <c r="H1030" s="13"/>
      <c r="I1030" s="13"/>
      <c r="J1030" s="13"/>
      <c r="K1030" s="13"/>
      <c r="L1030" s="13"/>
      <c r="M1030" s="13"/>
      <c r="N1030" s="13"/>
      <c r="O1030" s="13"/>
      <c r="P1030" s="13"/>
      <c r="Q1030" s="13"/>
      <c r="R1030" s="13"/>
      <c r="S1030" s="13"/>
    </row>
    <row r="1031" ht="15.75" customHeight="1">
      <c r="A1031" s="14" t="s">
        <v>3714</v>
      </c>
      <c r="B1031" s="14" t="s">
        <v>316</v>
      </c>
      <c r="C1031" s="14" t="s">
        <v>3715</v>
      </c>
      <c r="D1031" s="14">
        <v>100.0</v>
      </c>
      <c r="E1031" s="14" t="s">
        <v>318</v>
      </c>
      <c r="F1031" s="14" t="s">
        <v>3716</v>
      </c>
      <c r="G1031" s="14" t="s">
        <v>3717</v>
      </c>
      <c r="H1031" s="13"/>
      <c r="I1031" s="13"/>
      <c r="J1031" s="13"/>
      <c r="K1031" s="13"/>
      <c r="L1031" s="13"/>
      <c r="M1031" s="13"/>
      <c r="N1031" s="13"/>
      <c r="O1031" s="13"/>
      <c r="P1031" s="13"/>
      <c r="Q1031" s="13"/>
      <c r="R1031" s="13"/>
      <c r="S1031" s="13"/>
    </row>
    <row r="1032" ht="15.75" customHeight="1">
      <c r="A1032" s="14" t="s">
        <v>3718</v>
      </c>
      <c r="B1032" s="14" t="s">
        <v>316</v>
      </c>
      <c r="C1032" s="14" t="s">
        <v>3719</v>
      </c>
      <c r="D1032" s="14">
        <v>100.0</v>
      </c>
      <c r="E1032" s="14" t="s">
        <v>318</v>
      </c>
      <c r="F1032" s="14" t="s">
        <v>3720</v>
      </c>
      <c r="G1032" s="14" t="s">
        <v>3721</v>
      </c>
      <c r="H1032" s="13"/>
      <c r="I1032" s="13"/>
      <c r="J1032" s="13"/>
      <c r="K1032" s="13"/>
      <c r="L1032" s="13"/>
      <c r="M1032" s="13"/>
      <c r="N1032" s="13"/>
      <c r="O1032" s="13"/>
      <c r="P1032" s="13"/>
      <c r="Q1032" s="13"/>
      <c r="R1032" s="13"/>
      <c r="S1032" s="13"/>
    </row>
    <row r="1033" ht="15.75" customHeight="1">
      <c r="A1033" s="14" t="s">
        <v>3722</v>
      </c>
      <c r="B1033" s="14" t="s">
        <v>316</v>
      </c>
      <c r="C1033" s="14" t="s">
        <v>3723</v>
      </c>
      <c r="D1033" s="14">
        <v>100.0</v>
      </c>
      <c r="E1033" s="14" t="s">
        <v>318</v>
      </c>
      <c r="F1033" s="14" t="s">
        <v>3724</v>
      </c>
      <c r="G1033" s="14" t="s">
        <v>3725</v>
      </c>
      <c r="H1033" s="13"/>
      <c r="I1033" s="13"/>
      <c r="J1033" s="13"/>
      <c r="K1033" s="13"/>
      <c r="L1033" s="13"/>
      <c r="M1033" s="13"/>
      <c r="N1033" s="13"/>
      <c r="O1033" s="13"/>
      <c r="P1033" s="13"/>
      <c r="Q1033" s="13"/>
      <c r="R1033" s="13"/>
      <c r="S1033" s="13"/>
    </row>
    <row r="1034" ht="15.75" customHeight="1">
      <c r="A1034" s="14" t="s">
        <v>3726</v>
      </c>
      <c r="B1034" s="14" t="s">
        <v>316</v>
      </c>
      <c r="C1034" s="14" t="s">
        <v>3727</v>
      </c>
      <c r="D1034" s="14">
        <v>100.0</v>
      </c>
      <c r="E1034" s="14" t="s">
        <v>318</v>
      </c>
      <c r="F1034" s="14" t="s">
        <v>3728</v>
      </c>
      <c r="G1034" s="14" t="s">
        <v>3729</v>
      </c>
      <c r="H1034" s="13"/>
      <c r="I1034" s="13"/>
      <c r="J1034" s="13"/>
      <c r="K1034" s="13"/>
      <c r="L1034" s="13"/>
      <c r="M1034" s="13"/>
      <c r="N1034" s="13"/>
      <c r="O1034" s="13"/>
      <c r="P1034" s="13"/>
      <c r="Q1034" s="13"/>
      <c r="R1034" s="13"/>
      <c r="S1034" s="13"/>
    </row>
    <row r="1035" ht="15.75" customHeight="1">
      <c r="A1035" s="14" t="s">
        <v>3730</v>
      </c>
      <c r="B1035" s="14" t="s">
        <v>316</v>
      </c>
      <c r="C1035" s="14" t="s">
        <v>3727</v>
      </c>
      <c r="D1035" s="14">
        <v>100.0</v>
      </c>
      <c r="E1035" s="14" t="s">
        <v>318</v>
      </c>
      <c r="F1035" s="14" t="s">
        <v>3728</v>
      </c>
      <c r="G1035" s="14" t="s">
        <v>3729</v>
      </c>
      <c r="H1035" s="13"/>
      <c r="I1035" s="13"/>
      <c r="J1035" s="13"/>
      <c r="K1035" s="13"/>
      <c r="L1035" s="13"/>
      <c r="M1035" s="13"/>
      <c r="N1035" s="13"/>
      <c r="O1035" s="13"/>
      <c r="P1035" s="13"/>
      <c r="Q1035" s="13"/>
      <c r="R1035" s="13"/>
      <c r="S1035" s="13"/>
    </row>
    <row r="1036" ht="15.75" customHeight="1">
      <c r="A1036" s="14" t="s">
        <v>3731</v>
      </c>
      <c r="B1036" s="14" t="s">
        <v>316</v>
      </c>
      <c r="C1036" s="14" t="s">
        <v>3732</v>
      </c>
      <c r="D1036" s="14">
        <v>100.0</v>
      </c>
      <c r="E1036" s="14" t="s">
        <v>318</v>
      </c>
      <c r="F1036" s="14" t="s">
        <v>3733</v>
      </c>
      <c r="G1036" s="14" t="s">
        <v>3734</v>
      </c>
      <c r="H1036" s="13"/>
      <c r="I1036" s="13"/>
      <c r="J1036" s="13"/>
      <c r="K1036" s="13"/>
      <c r="L1036" s="13"/>
      <c r="M1036" s="13"/>
      <c r="N1036" s="13"/>
      <c r="O1036" s="13"/>
      <c r="P1036" s="13"/>
      <c r="Q1036" s="13"/>
      <c r="R1036" s="13"/>
      <c r="S1036" s="13"/>
    </row>
    <row r="1037" ht="15.75" customHeight="1">
      <c r="A1037" s="14" t="s">
        <v>3735</v>
      </c>
      <c r="B1037" s="14" t="s">
        <v>316</v>
      </c>
      <c r="C1037" s="14" t="s">
        <v>3736</v>
      </c>
      <c r="D1037" s="14">
        <v>100.0</v>
      </c>
      <c r="E1037" s="14" t="s">
        <v>318</v>
      </c>
      <c r="F1037" s="14" t="s">
        <v>3737</v>
      </c>
      <c r="G1037" s="14" t="s">
        <v>3738</v>
      </c>
      <c r="H1037" s="13"/>
      <c r="I1037" s="13"/>
      <c r="J1037" s="13"/>
      <c r="K1037" s="13"/>
      <c r="L1037" s="13"/>
      <c r="M1037" s="13"/>
      <c r="N1037" s="13"/>
      <c r="O1037" s="13"/>
      <c r="P1037" s="13"/>
      <c r="Q1037" s="13"/>
      <c r="R1037" s="13"/>
      <c r="S1037" s="13"/>
    </row>
    <row r="1038" ht="15.75" customHeight="1">
      <c r="A1038" s="14" t="s">
        <v>3739</v>
      </c>
      <c r="B1038" s="14" t="s">
        <v>316</v>
      </c>
      <c r="C1038" s="14" t="s">
        <v>3740</v>
      </c>
      <c r="D1038" s="14">
        <v>100.0</v>
      </c>
      <c r="E1038" s="14" t="s">
        <v>318</v>
      </c>
      <c r="F1038" s="14" t="s">
        <v>3741</v>
      </c>
      <c r="G1038" s="14" t="s">
        <v>3742</v>
      </c>
      <c r="H1038" s="13"/>
      <c r="I1038" s="13"/>
      <c r="J1038" s="13"/>
      <c r="K1038" s="13"/>
      <c r="L1038" s="13"/>
      <c r="M1038" s="13"/>
      <c r="N1038" s="13"/>
      <c r="O1038" s="13"/>
      <c r="P1038" s="13"/>
      <c r="Q1038" s="13"/>
      <c r="R1038" s="13"/>
      <c r="S1038" s="13"/>
    </row>
    <row r="1039" ht="15.75" customHeight="1">
      <c r="A1039" s="14" t="s">
        <v>3743</v>
      </c>
      <c r="B1039" s="14" t="s">
        <v>316</v>
      </c>
      <c r="C1039" s="14" t="s">
        <v>3744</v>
      </c>
      <c r="D1039" s="14">
        <v>100.0</v>
      </c>
      <c r="E1039" s="14" t="s">
        <v>318</v>
      </c>
      <c r="F1039" s="14" t="s">
        <v>3488</v>
      </c>
      <c r="G1039" s="14" t="s">
        <v>3745</v>
      </c>
      <c r="H1039" s="13"/>
      <c r="I1039" s="13"/>
      <c r="J1039" s="13"/>
      <c r="K1039" s="13"/>
      <c r="L1039" s="13"/>
      <c r="M1039" s="13"/>
      <c r="N1039" s="13"/>
      <c r="O1039" s="13"/>
      <c r="P1039" s="13"/>
      <c r="Q1039" s="13"/>
      <c r="R1039" s="13"/>
      <c r="S1039" s="13"/>
    </row>
    <row r="1040" ht="15.75" customHeight="1">
      <c r="A1040" s="14" t="s">
        <v>3746</v>
      </c>
      <c r="B1040" s="14" t="s">
        <v>316</v>
      </c>
      <c r="C1040" s="14" t="s">
        <v>3747</v>
      </c>
      <c r="D1040" s="14">
        <v>100.0</v>
      </c>
      <c r="E1040" s="14" t="s">
        <v>318</v>
      </c>
      <c r="F1040" s="14" t="s">
        <v>3629</v>
      </c>
      <c r="G1040" s="14" t="s">
        <v>3748</v>
      </c>
      <c r="H1040" s="13"/>
      <c r="I1040" s="13"/>
      <c r="J1040" s="13"/>
      <c r="K1040" s="13"/>
      <c r="L1040" s="13"/>
      <c r="M1040" s="13"/>
      <c r="N1040" s="13"/>
      <c r="O1040" s="13"/>
      <c r="P1040" s="13"/>
      <c r="Q1040" s="13"/>
      <c r="R1040" s="13"/>
      <c r="S1040" s="13"/>
    </row>
    <row r="1041" ht="15.75" customHeight="1">
      <c r="A1041" s="14" t="s">
        <v>3749</v>
      </c>
      <c r="B1041" s="14" t="s">
        <v>316</v>
      </c>
      <c r="C1041" s="14" t="s">
        <v>3750</v>
      </c>
      <c r="D1041" s="14">
        <v>100.0</v>
      </c>
      <c r="E1041" s="14" t="s">
        <v>318</v>
      </c>
      <c r="F1041" s="14" t="s">
        <v>3751</v>
      </c>
      <c r="G1041" s="14" t="s">
        <v>3752</v>
      </c>
      <c r="H1041" s="13"/>
      <c r="I1041" s="13"/>
      <c r="J1041" s="13"/>
      <c r="K1041" s="13"/>
      <c r="L1041" s="13"/>
      <c r="M1041" s="13"/>
      <c r="N1041" s="13"/>
      <c r="O1041" s="13"/>
      <c r="P1041" s="13"/>
      <c r="Q1041" s="13"/>
      <c r="R1041" s="13"/>
      <c r="S1041" s="13"/>
    </row>
    <row r="1042" ht="15.75" customHeight="1">
      <c r="A1042" s="14" t="s">
        <v>3753</v>
      </c>
      <c r="B1042" s="14" t="s">
        <v>316</v>
      </c>
      <c r="C1042" s="14" t="s">
        <v>3754</v>
      </c>
      <c r="D1042" s="14">
        <v>100.0</v>
      </c>
      <c r="E1042" s="14" t="s">
        <v>318</v>
      </c>
      <c r="F1042" s="14" t="s">
        <v>3755</v>
      </c>
      <c r="G1042" s="14" t="s">
        <v>3756</v>
      </c>
      <c r="H1042" s="13"/>
      <c r="I1042" s="13"/>
      <c r="J1042" s="13"/>
      <c r="K1042" s="13"/>
      <c r="L1042" s="13"/>
      <c r="M1042" s="13"/>
      <c r="N1042" s="13"/>
      <c r="O1042" s="13"/>
      <c r="P1042" s="13"/>
      <c r="Q1042" s="13"/>
      <c r="R1042" s="13"/>
      <c r="S1042" s="13"/>
    </row>
    <row r="1043" ht="15.75" customHeight="1">
      <c r="A1043" s="14" t="s">
        <v>3757</v>
      </c>
      <c r="B1043" s="14" t="s">
        <v>316</v>
      </c>
      <c r="C1043" s="14" t="s">
        <v>3758</v>
      </c>
      <c r="D1043" s="14">
        <v>100.0</v>
      </c>
      <c r="E1043" s="14" t="s">
        <v>318</v>
      </c>
      <c r="F1043" s="14" t="s">
        <v>3759</v>
      </c>
      <c r="G1043" s="14"/>
      <c r="H1043" s="13"/>
      <c r="I1043" s="13"/>
      <c r="J1043" s="13"/>
      <c r="K1043" s="13"/>
      <c r="L1043" s="13"/>
      <c r="M1043" s="13"/>
      <c r="N1043" s="13"/>
      <c r="O1043" s="13"/>
      <c r="P1043" s="13"/>
      <c r="Q1043" s="13"/>
      <c r="R1043" s="13"/>
      <c r="S1043" s="13"/>
    </row>
    <row r="1044" ht="15.75" customHeight="1">
      <c r="A1044" s="14" t="s">
        <v>3760</v>
      </c>
      <c r="B1044" s="14" t="s">
        <v>3761</v>
      </c>
      <c r="C1044" s="14"/>
      <c r="D1044" s="14"/>
      <c r="E1044" s="14"/>
      <c r="F1044" s="14"/>
      <c r="G1044" s="14"/>
      <c r="H1044" s="13"/>
      <c r="I1044" s="13"/>
      <c r="J1044" s="13"/>
      <c r="K1044" s="13"/>
      <c r="L1044" s="13"/>
      <c r="M1044" s="13"/>
      <c r="N1044" s="13"/>
      <c r="O1044" s="13"/>
      <c r="P1044" s="13"/>
      <c r="Q1044" s="13"/>
      <c r="R1044" s="13"/>
      <c r="S1044" s="13"/>
    </row>
    <row r="1045" ht="15.75" customHeight="1">
      <c r="A1045" s="14" t="s">
        <v>3762</v>
      </c>
      <c r="B1045" s="14" t="s">
        <v>316</v>
      </c>
      <c r="C1045" s="14" t="s">
        <v>3763</v>
      </c>
      <c r="D1045" s="14">
        <v>100.0</v>
      </c>
      <c r="E1045" s="14" t="s">
        <v>318</v>
      </c>
      <c r="F1045" s="14" t="s">
        <v>3764</v>
      </c>
      <c r="G1045" s="14" t="s">
        <v>3765</v>
      </c>
      <c r="H1045" s="13"/>
      <c r="I1045" s="13"/>
      <c r="J1045" s="13"/>
      <c r="K1045" s="13"/>
      <c r="L1045" s="13"/>
      <c r="M1045" s="13"/>
      <c r="N1045" s="13"/>
      <c r="O1045" s="13"/>
      <c r="P1045" s="13"/>
      <c r="Q1045" s="13"/>
      <c r="R1045" s="13"/>
      <c r="S1045" s="13"/>
    </row>
    <row r="1046" ht="15.75" customHeight="1">
      <c r="A1046" s="14" t="s">
        <v>3766</v>
      </c>
      <c r="B1046" s="14" t="s">
        <v>316</v>
      </c>
      <c r="C1046" s="14" t="s">
        <v>3767</v>
      </c>
      <c r="D1046" s="14">
        <v>100.0</v>
      </c>
      <c r="E1046" s="14" t="s">
        <v>318</v>
      </c>
      <c r="F1046" s="14" t="s">
        <v>3768</v>
      </c>
      <c r="G1046" s="14" t="s">
        <v>3769</v>
      </c>
      <c r="H1046" s="13"/>
      <c r="I1046" s="13"/>
      <c r="J1046" s="13"/>
      <c r="K1046" s="13"/>
      <c r="L1046" s="13"/>
      <c r="M1046" s="13"/>
      <c r="N1046" s="13"/>
      <c r="O1046" s="13"/>
      <c r="P1046" s="13"/>
      <c r="Q1046" s="13"/>
      <c r="R1046" s="13"/>
      <c r="S1046" s="13"/>
    </row>
    <row r="1047" ht="15.75" customHeight="1">
      <c r="A1047" s="14" t="s">
        <v>3770</v>
      </c>
      <c r="B1047" s="14" t="s">
        <v>316</v>
      </c>
      <c r="C1047" s="14" t="s">
        <v>3771</v>
      </c>
      <c r="D1047" s="14">
        <v>100.0</v>
      </c>
      <c r="E1047" s="14" t="s">
        <v>318</v>
      </c>
      <c r="F1047" s="14" t="s">
        <v>3772</v>
      </c>
      <c r="G1047" s="14" t="s">
        <v>3773</v>
      </c>
      <c r="H1047" s="13"/>
      <c r="I1047" s="13"/>
      <c r="J1047" s="13"/>
      <c r="K1047" s="13"/>
      <c r="L1047" s="13"/>
      <c r="M1047" s="13"/>
      <c r="N1047" s="13"/>
      <c r="O1047" s="13"/>
      <c r="P1047" s="13"/>
      <c r="Q1047" s="13"/>
      <c r="R1047" s="13"/>
      <c r="S1047" s="13"/>
    </row>
    <row r="1048" ht="15.75" customHeight="1">
      <c r="A1048" s="14" t="s">
        <v>3774</v>
      </c>
      <c r="B1048" s="14" t="s">
        <v>316</v>
      </c>
      <c r="C1048" s="14" t="s">
        <v>3775</v>
      </c>
      <c r="D1048" s="14">
        <v>100.0</v>
      </c>
      <c r="E1048" s="14" t="s">
        <v>318</v>
      </c>
      <c r="F1048" s="14" t="s">
        <v>3776</v>
      </c>
      <c r="G1048" s="14" t="s">
        <v>3777</v>
      </c>
      <c r="H1048" s="13"/>
      <c r="I1048" s="13"/>
      <c r="J1048" s="13"/>
      <c r="K1048" s="13"/>
      <c r="L1048" s="13"/>
      <c r="M1048" s="13"/>
      <c r="N1048" s="13"/>
      <c r="O1048" s="13"/>
      <c r="P1048" s="13"/>
      <c r="Q1048" s="13"/>
      <c r="R1048" s="13"/>
      <c r="S1048" s="13"/>
    </row>
    <row r="1049" ht="15.75" customHeight="1">
      <c r="A1049" s="14" t="s">
        <v>3778</v>
      </c>
      <c r="B1049" s="14" t="s">
        <v>316</v>
      </c>
      <c r="C1049" s="14" t="s">
        <v>3779</v>
      </c>
      <c r="D1049" s="14">
        <v>100.0</v>
      </c>
      <c r="E1049" s="14" t="s">
        <v>318</v>
      </c>
      <c r="F1049" s="14" t="s">
        <v>3780</v>
      </c>
      <c r="G1049" s="14" t="s">
        <v>3781</v>
      </c>
      <c r="H1049" s="13"/>
      <c r="I1049" s="13"/>
      <c r="J1049" s="13"/>
      <c r="K1049" s="13"/>
      <c r="L1049" s="13"/>
      <c r="M1049" s="13"/>
      <c r="N1049" s="13"/>
      <c r="O1049" s="13"/>
      <c r="P1049" s="13"/>
      <c r="Q1049" s="13"/>
      <c r="R1049" s="13"/>
      <c r="S1049" s="13"/>
    </row>
    <row r="1050" ht="15.75" customHeight="1">
      <c r="A1050" s="14" t="s">
        <v>3782</v>
      </c>
      <c r="B1050" s="14" t="s">
        <v>316</v>
      </c>
      <c r="C1050" s="14" t="s">
        <v>3783</v>
      </c>
      <c r="D1050" s="14">
        <v>100.0</v>
      </c>
      <c r="E1050" s="14" t="s">
        <v>318</v>
      </c>
      <c r="F1050" s="14" t="s">
        <v>3784</v>
      </c>
      <c r="G1050" s="14" t="s">
        <v>3785</v>
      </c>
      <c r="H1050" s="13"/>
      <c r="I1050" s="13"/>
      <c r="J1050" s="13"/>
      <c r="K1050" s="13"/>
      <c r="L1050" s="13"/>
      <c r="M1050" s="13"/>
      <c r="N1050" s="13"/>
      <c r="O1050" s="13"/>
      <c r="P1050" s="13"/>
      <c r="Q1050" s="13"/>
      <c r="R1050" s="13"/>
      <c r="S1050" s="13"/>
    </row>
    <row r="1051" ht="15.75" customHeight="1">
      <c r="A1051" s="14" t="s">
        <v>3786</v>
      </c>
      <c r="B1051" s="14" t="s">
        <v>316</v>
      </c>
      <c r="C1051" s="14" t="s">
        <v>3787</v>
      </c>
      <c r="D1051" s="14">
        <v>100.0</v>
      </c>
      <c r="E1051" s="14" t="s">
        <v>318</v>
      </c>
      <c r="F1051" s="14" t="s">
        <v>3788</v>
      </c>
      <c r="G1051" s="14" t="s">
        <v>3789</v>
      </c>
      <c r="H1051" s="13"/>
      <c r="I1051" s="13"/>
      <c r="J1051" s="13"/>
      <c r="K1051" s="13"/>
      <c r="L1051" s="13"/>
      <c r="M1051" s="13"/>
      <c r="N1051" s="13"/>
      <c r="O1051" s="13"/>
      <c r="P1051" s="13"/>
      <c r="Q1051" s="13"/>
      <c r="R1051" s="13"/>
      <c r="S1051" s="13"/>
    </row>
    <row r="1052" ht="15.75" customHeight="1">
      <c r="A1052" s="14" t="s">
        <v>3790</v>
      </c>
      <c r="B1052" s="14" t="s">
        <v>316</v>
      </c>
      <c r="C1052" s="14" t="s">
        <v>3791</v>
      </c>
      <c r="D1052" s="14">
        <v>100.0</v>
      </c>
      <c r="E1052" s="14" t="s">
        <v>318</v>
      </c>
      <c r="F1052" s="14" t="s">
        <v>3792</v>
      </c>
      <c r="G1052" s="14" t="s">
        <v>3793</v>
      </c>
      <c r="H1052" s="13"/>
      <c r="I1052" s="13"/>
      <c r="J1052" s="13"/>
      <c r="K1052" s="13"/>
      <c r="L1052" s="13"/>
      <c r="M1052" s="13"/>
      <c r="N1052" s="13"/>
      <c r="O1052" s="13"/>
      <c r="P1052" s="13"/>
      <c r="Q1052" s="13"/>
      <c r="R1052" s="13"/>
      <c r="S1052" s="13"/>
    </row>
    <row r="1053" ht="15.75" customHeight="1">
      <c r="A1053" s="14" t="s">
        <v>3794</v>
      </c>
      <c r="B1053" s="14" t="s">
        <v>316</v>
      </c>
      <c r="C1053" s="14" t="s">
        <v>3795</v>
      </c>
      <c r="D1053" s="14">
        <v>100.0</v>
      </c>
      <c r="E1053" s="14" t="s">
        <v>318</v>
      </c>
      <c r="F1053" s="14" t="s">
        <v>3629</v>
      </c>
      <c r="G1053" s="14" t="s">
        <v>3796</v>
      </c>
      <c r="H1053" s="13"/>
      <c r="I1053" s="13"/>
      <c r="J1053" s="13"/>
      <c r="K1053" s="13"/>
      <c r="L1053" s="13"/>
      <c r="M1053" s="13"/>
      <c r="N1053" s="13"/>
      <c r="O1053" s="13"/>
      <c r="P1053" s="13"/>
      <c r="Q1053" s="13"/>
      <c r="R1053" s="13"/>
      <c r="S1053" s="13"/>
    </row>
    <row r="1054" ht="15.75" customHeight="1">
      <c r="A1054" s="14" t="s">
        <v>3797</v>
      </c>
      <c r="B1054" s="14" t="s">
        <v>316</v>
      </c>
      <c r="C1054" s="14" t="s">
        <v>3798</v>
      </c>
      <c r="D1054" s="14">
        <v>100.0</v>
      </c>
      <c r="E1054" s="14" t="s">
        <v>318</v>
      </c>
      <c r="F1054" s="14" t="s">
        <v>3799</v>
      </c>
      <c r="G1054" s="14" t="s">
        <v>3800</v>
      </c>
      <c r="H1054" s="13"/>
      <c r="I1054" s="13"/>
      <c r="J1054" s="13"/>
      <c r="K1054" s="13"/>
      <c r="L1054" s="13"/>
      <c r="M1054" s="13"/>
      <c r="N1054" s="13"/>
      <c r="O1054" s="13"/>
      <c r="P1054" s="13"/>
      <c r="Q1054" s="13"/>
      <c r="R1054" s="13"/>
      <c r="S1054" s="13"/>
    </row>
    <row r="1055" ht="15.75" customHeight="1">
      <c r="A1055" s="14" t="s">
        <v>3801</v>
      </c>
      <c r="B1055" s="14" t="s">
        <v>316</v>
      </c>
      <c r="C1055" s="14" t="s">
        <v>3802</v>
      </c>
      <c r="D1055" s="14">
        <v>100.0</v>
      </c>
      <c r="E1055" s="14" t="s">
        <v>318</v>
      </c>
      <c r="F1055" s="14" t="s">
        <v>3803</v>
      </c>
      <c r="G1055" s="14" t="s">
        <v>3804</v>
      </c>
      <c r="H1055" s="13"/>
      <c r="I1055" s="13"/>
      <c r="J1055" s="13"/>
      <c r="K1055" s="13"/>
      <c r="L1055" s="13"/>
      <c r="M1055" s="13"/>
      <c r="N1055" s="13"/>
      <c r="O1055" s="13"/>
      <c r="P1055" s="13"/>
      <c r="Q1055" s="13"/>
      <c r="R1055" s="13"/>
      <c r="S1055" s="13"/>
    </row>
    <row r="1056" ht="15.75" customHeight="1">
      <c r="A1056" s="14" t="s">
        <v>3805</v>
      </c>
      <c r="B1056" s="14" t="s">
        <v>316</v>
      </c>
      <c r="C1056" s="14" t="s">
        <v>3806</v>
      </c>
      <c r="D1056" s="14">
        <v>100.0</v>
      </c>
      <c r="E1056" s="14" t="s">
        <v>318</v>
      </c>
      <c r="F1056" s="14" t="s">
        <v>3807</v>
      </c>
      <c r="G1056" s="14" t="s">
        <v>3808</v>
      </c>
      <c r="H1056" s="13"/>
      <c r="I1056" s="13"/>
      <c r="J1056" s="13"/>
      <c r="K1056" s="13"/>
      <c r="L1056" s="13"/>
      <c r="M1056" s="13"/>
      <c r="N1056" s="13"/>
      <c r="O1056" s="13"/>
      <c r="P1056" s="13"/>
      <c r="Q1056" s="13"/>
      <c r="R1056" s="13"/>
      <c r="S1056" s="13"/>
    </row>
    <row r="1057" ht="15.75" customHeight="1">
      <c r="A1057" s="14" t="s">
        <v>3809</v>
      </c>
      <c r="B1057" s="14" t="s">
        <v>316</v>
      </c>
      <c r="C1057" s="14" t="s">
        <v>3810</v>
      </c>
      <c r="D1057" s="14">
        <v>100.0</v>
      </c>
      <c r="E1057" s="14" t="s">
        <v>318</v>
      </c>
      <c r="F1057" s="14" t="s">
        <v>3811</v>
      </c>
      <c r="G1057" s="14" t="s">
        <v>3812</v>
      </c>
      <c r="H1057" s="13"/>
      <c r="I1057" s="13"/>
      <c r="J1057" s="13"/>
      <c r="K1057" s="13"/>
      <c r="L1057" s="13"/>
      <c r="M1057" s="13"/>
      <c r="N1057" s="13"/>
      <c r="O1057" s="13"/>
      <c r="P1057" s="13"/>
      <c r="Q1057" s="13"/>
      <c r="R1057" s="13"/>
      <c r="S1057" s="13"/>
    </row>
    <row r="1058" ht="15.75" customHeight="1">
      <c r="A1058" s="14" t="s">
        <v>3813</v>
      </c>
      <c r="B1058" s="14" t="s">
        <v>316</v>
      </c>
      <c r="C1058" s="14" t="s">
        <v>3814</v>
      </c>
      <c r="D1058" s="14">
        <v>100.0</v>
      </c>
      <c r="E1058" s="14" t="s">
        <v>318</v>
      </c>
      <c r="F1058" s="14" t="s">
        <v>3815</v>
      </c>
      <c r="G1058" s="14" t="s">
        <v>3816</v>
      </c>
      <c r="H1058" s="13"/>
      <c r="I1058" s="13"/>
      <c r="J1058" s="13"/>
      <c r="K1058" s="13"/>
      <c r="L1058" s="13"/>
      <c r="M1058" s="13"/>
      <c r="N1058" s="13"/>
      <c r="O1058" s="13"/>
      <c r="P1058" s="13"/>
      <c r="Q1058" s="13"/>
      <c r="R1058" s="13"/>
      <c r="S1058" s="13"/>
    </row>
    <row r="1059" ht="15.75" customHeight="1">
      <c r="A1059" s="14" t="s">
        <v>3817</v>
      </c>
      <c r="B1059" s="14" t="s">
        <v>316</v>
      </c>
      <c r="C1059" s="14" t="s">
        <v>3818</v>
      </c>
      <c r="D1059" s="14">
        <v>100.0</v>
      </c>
      <c r="E1059" s="14" t="s">
        <v>318</v>
      </c>
      <c r="F1059" s="14" t="s">
        <v>3819</v>
      </c>
      <c r="G1059" s="14" t="s">
        <v>3820</v>
      </c>
      <c r="H1059" s="13"/>
      <c r="I1059" s="13"/>
      <c r="J1059" s="13"/>
      <c r="K1059" s="13"/>
      <c r="L1059" s="13"/>
      <c r="M1059" s="13"/>
      <c r="N1059" s="13"/>
      <c r="O1059" s="13"/>
      <c r="P1059" s="13"/>
      <c r="Q1059" s="13"/>
      <c r="R1059" s="13"/>
      <c r="S1059" s="13"/>
    </row>
    <row r="1060" ht="15.75" customHeight="1">
      <c r="A1060" s="14" t="s">
        <v>3821</v>
      </c>
      <c r="B1060" s="14" t="s">
        <v>316</v>
      </c>
      <c r="C1060" s="14" t="s">
        <v>3822</v>
      </c>
      <c r="D1060" s="14">
        <v>100.0</v>
      </c>
      <c r="E1060" s="14" t="s">
        <v>318</v>
      </c>
      <c r="F1060" s="14" t="s">
        <v>3823</v>
      </c>
      <c r="G1060" s="14" t="s">
        <v>3824</v>
      </c>
      <c r="H1060" s="13"/>
      <c r="I1060" s="13"/>
      <c r="J1060" s="13"/>
      <c r="K1060" s="13"/>
      <c r="L1060" s="13"/>
      <c r="M1060" s="13"/>
      <c r="N1060" s="13"/>
      <c r="O1060" s="13"/>
      <c r="P1060" s="13"/>
      <c r="Q1060" s="13"/>
      <c r="R1060" s="13"/>
      <c r="S1060" s="13"/>
    </row>
    <row r="1061" ht="15.75" customHeight="1">
      <c r="A1061" s="14" t="s">
        <v>3825</v>
      </c>
      <c r="B1061" s="14" t="s">
        <v>316</v>
      </c>
      <c r="C1061" s="14" t="s">
        <v>3826</v>
      </c>
      <c r="D1061" s="14">
        <v>100.0</v>
      </c>
      <c r="E1061" s="14" t="s">
        <v>318</v>
      </c>
      <c r="F1061" s="14" t="s">
        <v>3827</v>
      </c>
      <c r="G1061" s="14" t="s">
        <v>3828</v>
      </c>
      <c r="H1061" s="13"/>
      <c r="I1061" s="13"/>
      <c r="J1061" s="13"/>
      <c r="K1061" s="13"/>
      <c r="L1061" s="13"/>
      <c r="M1061" s="13"/>
      <c r="N1061" s="13"/>
      <c r="O1061" s="13"/>
      <c r="P1061" s="13"/>
      <c r="Q1061" s="13"/>
      <c r="R1061" s="13"/>
      <c r="S1061" s="13"/>
    </row>
    <row r="1062" ht="15.75" customHeight="1">
      <c r="A1062" s="14" t="s">
        <v>3829</v>
      </c>
      <c r="B1062" s="14" t="s">
        <v>316</v>
      </c>
      <c r="C1062" s="14" t="s">
        <v>3830</v>
      </c>
      <c r="D1062" s="14">
        <v>100.0</v>
      </c>
      <c r="E1062" s="14" t="s">
        <v>318</v>
      </c>
      <c r="F1062" s="14" t="s">
        <v>3831</v>
      </c>
      <c r="G1062" s="14" t="s">
        <v>3832</v>
      </c>
      <c r="H1062" s="13"/>
      <c r="I1062" s="13"/>
      <c r="J1062" s="13"/>
      <c r="K1062" s="13"/>
      <c r="L1062" s="13"/>
      <c r="M1062" s="13"/>
      <c r="N1062" s="13"/>
      <c r="O1062" s="13"/>
      <c r="P1062" s="13"/>
      <c r="Q1062" s="13"/>
      <c r="R1062" s="13"/>
      <c r="S1062" s="13"/>
    </row>
    <row r="1063" ht="15.75" customHeight="1">
      <c r="A1063" s="14" t="s">
        <v>3833</v>
      </c>
      <c r="B1063" s="14" t="s">
        <v>316</v>
      </c>
      <c r="C1063" s="14" t="s">
        <v>3834</v>
      </c>
      <c r="D1063" s="14">
        <v>100.0</v>
      </c>
      <c r="E1063" s="14" t="s">
        <v>318</v>
      </c>
      <c r="F1063" s="14" t="s">
        <v>3835</v>
      </c>
      <c r="G1063" s="14" t="s">
        <v>3836</v>
      </c>
      <c r="H1063" s="13"/>
      <c r="I1063" s="13"/>
      <c r="J1063" s="13"/>
      <c r="K1063" s="13"/>
      <c r="L1063" s="13"/>
      <c r="M1063" s="13"/>
      <c r="N1063" s="13"/>
      <c r="O1063" s="13"/>
      <c r="P1063" s="13"/>
      <c r="Q1063" s="13"/>
      <c r="R1063" s="13"/>
      <c r="S1063" s="13"/>
    </row>
    <row r="1064" ht="15.75" customHeight="1">
      <c r="A1064" s="14" t="s">
        <v>3837</v>
      </c>
      <c r="B1064" s="14" t="s">
        <v>316</v>
      </c>
      <c r="C1064" s="14" t="s">
        <v>3838</v>
      </c>
      <c r="D1064" s="14">
        <v>100.0</v>
      </c>
      <c r="E1064" s="14" t="s">
        <v>318</v>
      </c>
      <c r="F1064" s="14" t="s">
        <v>3839</v>
      </c>
      <c r="G1064" s="14" t="s">
        <v>3840</v>
      </c>
      <c r="H1064" s="13"/>
      <c r="I1064" s="13"/>
      <c r="J1064" s="13"/>
      <c r="K1064" s="13"/>
      <c r="L1064" s="13"/>
      <c r="M1064" s="13"/>
      <c r="N1064" s="13"/>
      <c r="O1064" s="13"/>
      <c r="P1064" s="13"/>
      <c r="Q1064" s="13"/>
      <c r="R1064" s="13"/>
      <c r="S1064" s="13"/>
    </row>
    <row r="1065" ht="15.75" customHeight="1">
      <c r="A1065" s="14" t="s">
        <v>3841</v>
      </c>
      <c r="B1065" s="14" t="s">
        <v>316</v>
      </c>
      <c r="C1065" s="14" t="s">
        <v>3842</v>
      </c>
      <c r="D1065" s="14">
        <v>100.0</v>
      </c>
      <c r="E1065" s="14" t="s">
        <v>318</v>
      </c>
      <c r="F1065" s="14" t="s">
        <v>3843</v>
      </c>
      <c r="G1065" s="14" t="s">
        <v>3844</v>
      </c>
      <c r="H1065" s="13"/>
      <c r="I1065" s="13"/>
      <c r="J1065" s="13"/>
      <c r="K1065" s="13"/>
      <c r="L1065" s="13"/>
      <c r="M1065" s="13"/>
      <c r="N1065" s="13"/>
      <c r="O1065" s="13"/>
      <c r="P1065" s="13"/>
      <c r="Q1065" s="13"/>
      <c r="R1065" s="13"/>
      <c r="S1065" s="13"/>
    </row>
    <row r="1066" ht="15.75" customHeight="1">
      <c r="A1066" s="14" t="s">
        <v>3845</v>
      </c>
      <c r="B1066" s="14" t="s">
        <v>316</v>
      </c>
      <c r="C1066" s="14" t="s">
        <v>3846</v>
      </c>
      <c r="D1066" s="14">
        <v>100.0</v>
      </c>
      <c r="E1066" s="14" t="s">
        <v>318</v>
      </c>
      <c r="F1066" s="14" t="s">
        <v>3847</v>
      </c>
      <c r="G1066" s="14" t="s">
        <v>3848</v>
      </c>
      <c r="H1066" s="13"/>
      <c r="I1066" s="13"/>
      <c r="J1066" s="13"/>
      <c r="K1066" s="13"/>
      <c r="L1066" s="13"/>
      <c r="M1066" s="13"/>
      <c r="N1066" s="13"/>
      <c r="O1066" s="13"/>
      <c r="P1066" s="13"/>
      <c r="Q1066" s="13"/>
      <c r="R1066" s="13"/>
      <c r="S1066" s="13"/>
    </row>
    <row r="1067" ht="15.75" customHeight="1">
      <c r="A1067" s="14" t="s">
        <v>3849</v>
      </c>
      <c r="B1067" s="14" t="s">
        <v>316</v>
      </c>
      <c r="C1067" s="14" t="s">
        <v>3850</v>
      </c>
      <c r="D1067" s="14">
        <v>100.0</v>
      </c>
      <c r="E1067" s="14" t="s">
        <v>318</v>
      </c>
      <c r="F1067" s="14" t="s">
        <v>3851</v>
      </c>
      <c r="G1067" s="14" t="s">
        <v>3852</v>
      </c>
      <c r="H1067" s="13"/>
      <c r="I1067" s="13"/>
      <c r="J1067" s="13"/>
      <c r="K1067" s="13"/>
      <c r="L1067" s="13"/>
      <c r="M1067" s="13"/>
      <c r="N1067" s="13"/>
      <c r="O1067" s="13"/>
      <c r="P1067" s="13"/>
      <c r="Q1067" s="13"/>
      <c r="R1067" s="13"/>
      <c r="S1067" s="13"/>
    </row>
    <row r="1068" ht="15.75" customHeight="1">
      <c r="A1068" s="14" t="s">
        <v>3853</v>
      </c>
      <c r="B1068" s="14" t="s">
        <v>316</v>
      </c>
      <c r="C1068" s="14" t="s">
        <v>3854</v>
      </c>
      <c r="D1068" s="14">
        <v>100.0</v>
      </c>
      <c r="E1068" s="14" t="s">
        <v>318</v>
      </c>
      <c r="F1068" s="14" t="s">
        <v>3855</v>
      </c>
      <c r="G1068" s="14" t="s">
        <v>3856</v>
      </c>
      <c r="H1068" s="13"/>
      <c r="I1068" s="13"/>
      <c r="J1068" s="13"/>
      <c r="K1068" s="13"/>
      <c r="L1068" s="13"/>
      <c r="M1068" s="13"/>
      <c r="N1068" s="13"/>
      <c r="O1068" s="13"/>
      <c r="P1068" s="13"/>
      <c r="Q1068" s="13"/>
      <c r="R1068" s="13"/>
      <c r="S1068" s="13"/>
    </row>
    <row r="1069" ht="15.75" customHeight="1">
      <c r="A1069" s="14" t="s">
        <v>3857</v>
      </c>
      <c r="B1069" s="14" t="s">
        <v>316</v>
      </c>
      <c r="C1069" s="14" t="s">
        <v>3858</v>
      </c>
      <c r="D1069" s="14">
        <v>100.0</v>
      </c>
      <c r="E1069" s="14" t="s">
        <v>318</v>
      </c>
      <c r="F1069" s="14" t="s">
        <v>3859</v>
      </c>
      <c r="G1069" s="14" t="s">
        <v>3860</v>
      </c>
      <c r="H1069" s="13"/>
      <c r="I1069" s="13"/>
      <c r="J1069" s="13"/>
      <c r="K1069" s="13"/>
      <c r="L1069" s="13"/>
      <c r="M1069" s="13"/>
      <c r="N1069" s="13"/>
      <c r="O1069" s="13"/>
      <c r="P1069" s="13"/>
      <c r="Q1069" s="13"/>
      <c r="R1069" s="13"/>
      <c r="S1069" s="13"/>
    </row>
    <row r="1070" ht="15.75" customHeight="1">
      <c r="A1070" s="14" t="s">
        <v>3861</v>
      </c>
      <c r="B1070" s="14" t="s">
        <v>316</v>
      </c>
      <c r="C1070" s="14" t="s">
        <v>3862</v>
      </c>
      <c r="D1070" s="14">
        <v>100.0</v>
      </c>
      <c r="E1070" s="14" t="s">
        <v>318</v>
      </c>
      <c r="F1070" s="14" t="s">
        <v>1836</v>
      </c>
      <c r="G1070" s="14" t="s">
        <v>3863</v>
      </c>
      <c r="H1070" s="13"/>
      <c r="I1070" s="13"/>
      <c r="J1070" s="13"/>
      <c r="K1070" s="13"/>
      <c r="L1070" s="13"/>
      <c r="M1070" s="13"/>
      <c r="N1070" s="13"/>
      <c r="O1070" s="13"/>
      <c r="P1070" s="13"/>
      <c r="Q1070" s="13"/>
      <c r="R1070" s="13"/>
      <c r="S1070" s="13"/>
    </row>
    <row r="1071" ht="15.75" customHeight="1">
      <c r="A1071" s="14" t="s">
        <v>3864</v>
      </c>
      <c r="B1071" s="14" t="s">
        <v>316</v>
      </c>
      <c r="C1071" s="14" t="s">
        <v>3865</v>
      </c>
      <c r="D1071" s="14">
        <v>100.0</v>
      </c>
      <c r="E1071" s="14" t="s">
        <v>318</v>
      </c>
      <c r="F1071" s="14" t="s">
        <v>3866</v>
      </c>
      <c r="G1071" s="14" t="s">
        <v>3867</v>
      </c>
      <c r="H1071" s="13"/>
      <c r="I1071" s="13"/>
      <c r="J1071" s="13"/>
      <c r="K1071" s="13"/>
      <c r="L1071" s="13"/>
      <c r="M1071" s="13"/>
      <c r="N1071" s="13"/>
      <c r="O1071" s="13"/>
      <c r="P1071" s="13"/>
      <c r="Q1071" s="13"/>
      <c r="R1071" s="13"/>
      <c r="S1071" s="13"/>
    </row>
    <row r="1072" ht="15.75" customHeight="1">
      <c r="A1072" s="14" t="s">
        <v>3868</v>
      </c>
      <c r="B1072" s="14" t="s">
        <v>316</v>
      </c>
      <c r="C1072" s="14" t="s">
        <v>3869</v>
      </c>
      <c r="D1072" s="14">
        <v>100.0</v>
      </c>
      <c r="E1072" s="14" t="s">
        <v>318</v>
      </c>
      <c r="F1072" s="14" t="s">
        <v>3870</v>
      </c>
      <c r="G1072" s="14" t="s">
        <v>3871</v>
      </c>
      <c r="H1072" s="13"/>
      <c r="I1072" s="13"/>
      <c r="J1072" s="13"/>
      <c r="K1072" s="13"/>
      <c r="L1072" s="13"/>
      <c r="M1072" s="13"/>
      <c r="N1072" s="13"/>
      <c r="O1072" s="13"/>
      <c r="P1072" s="13"/>
      <c r="Q1072" s="13"/>
      <c r="R1072" s="13"/>
      <c r="S1072" s="13"/>
    </row>
    <row r="1073" ht="15.75" customHeight="1">
      <c r="A1073" s="14" t="s">
        <v>3872</v>
      </c>
      <c r="B1073" s="14" t="s">
        <v>316</v>
      </c>
      <c r="C1073" s="14" t="s">
        <v>3873</v>
      </c>
      <c r="D1073" s="14">
        <v>100.0</v>
      </c>
      <c r="E1073" s="14" t="s">
        <v>318</v>
      </c>
      <c r="F1073" s="14" t="s">
        <v>3874</v>
      </c>
      <c r="G1073" s="14" t="s">
        <v>3875</v>
      </c>
      <c r="H1073" s="13"/>
      <c r="I1073" s="13"/>
      <c r="J1073" s="13"/>
      <c r="K1073" s="13"/>
      <c r="L1073" s="13"/>
      <c r="M1073" s="13"/>
      <c r="N1073" s="13"/>
      <c r="O1073" s="13"/>
      <c r="P1073" s="13"/>
      <c r="Q1073" s="13"/>
      <c r="R1073" s="13"/>
      <c r="S1073" s="13"/>
    </row>
    <row r="1074" ht="15.75" customHeight="1">
      <c r="A1074" s="14" t="s">
        <v>3876</v>
      </c>
      <c r="B1074" s="14" t="s">
        <v>316</v>
      </c>
      <c r="C1074" s="14" t="s">
        <v>3877</v>
      </c>
      <c r="D1074" s="14">
        <v>100.0</v>
      </c>
      <c r="E1074" s="14" t="s">
        <v>318</v>
      </c>
      <c r="F1074" s="14" t="s">
        <v>3878</v>
      </c>
      <c r="G1074" s="14" t="s">
        <v>3879</v>
      </c>
      <c r="H1074" s="13"/>
      <c r="I1074" s="13"/>
      <c r="J1074" s="13"/>
      <c r="K1074" s="13"/>
      <c r="L1074" s="13"/>
      <c r="M1074" s="13"/>
      <c r="N1074" s="13"/>
      <c r="O1074" s="13"/>
      <c r="P1074" s="13"/>
      <c r="Q1074" s="13"/>
      <c r="R1074" s="13"/>
      <c r="S1074" s="13"/>
    </row>
    <row r="1075" ht="15.75" customHeight="1">
      <c r="A1075" s="14" t="s">
        <v>3880</v>
      </c>
      <c r="B1075" s="14" t="s">
        <v>316</v>
      </c>
      <c r="C1075" s="14" t="s">
        <v>3881</v>
      </c>
      <c r="D1075" s="14">
        <v>100.0</v>
      </c>
      <c r="E1075" s="14" t="s">
        <v>318</v>
      </c>
      <c r="F1075" s="14" t="s">
        <v>858</v>
      </c>
      <c r="G1075" s="14" t="s">
        <v>3882</v>
      </c>
      <c r="H1075" s="13"/>
      <c r="I1075" s="13"/>
      <c r="J1075" s="13"/>
      <c r="K1075" s="13"/>
      <c r="L1075" s="13"/>
      <c r="M1075" s="13"/>
      <c r="N1075" s="13"/>
      <c r="O1075" s="13"/>
      <c r="P1075" s="13"/>
      <c r="Q1075" s="13"/>
      <c r="R1075" s="13"/>
      <c r="S1075" s="13"/>
    </row>
    <row r="1076" ht="15.75" customHeight="1">
      <c r="A1076" s="14" t="s">
        <v>3883</v>
      </c>
      <c r="B1076" s="14" t="s">
        <v>316</v>
      </c>
      <c r="C1076" s="14" t="s">
        <v>3884</v>
      </c>
      <c r="D1076" s="14">
        <v>100.0</v>
      </c>
      <c r="E1076" s="14" t="s">
        <v>318</v>
      </c>
      <c r="F1076" s="14" t="s">
        <v>1813</v>
      </c>
      <c r="G1076" s="14" t="s">
        <v>3885</v>
      </c>
      <c r="H1076" s="13"/>
      <c r="I1076" s="13"/>
      <c r="J1076" s="13"/>
      <c r="K1076" s="13"/>
      <c r="L1076" s="13"/>
      <c r="M1076" s="13"/>
      <c r="N1076" s="13"/>
      <c r="O1076" s="13"/>
      <c r="P1076" s="13"/>
      <c r="Q1076" s="13"/>
      <c r="R1076" s="13"/>
      <c r="S1076" s="13"/>
    </row>
    <row r="1077" ht="15.75" customHeight="1">
      <c r="A1077" s="14" t="s">
        <v>3886</v>
      </c>
      <c r="B1077" s="14" t="s">
        <v>316</v>
      </c>
      <c r="C1077" s="14" t="s">
        <v>3887</v>
      </c>
      <c r="D1077" s="14">
        <v>100.0</v>
      </c>
      <c r="E1077" s="14" t="s">
        <v>318</v>
      </c>
      <c r="F1077" s="14" t="s">
        <v>3888</v>
      </c>
      <c r="G1077" s="14" t="s">
        <v>3889</v>
      </c>
      <c r="H1077" s="13"/>
      <c r="I1077" s="13"/>
      <c r="J1077" s="13"/>
      <c r="K1077" s="13"/>
      <c r="L1077" s="13"/>
      <c r="M1077" s="13"/>
      <c r="N1077" s="13"/>
      <c r="O1077" s="13"/>
      <c r="P1077" s="13"/>
      <c r="Q1077" s="13"/>
      <c r="R1077" s="13"/>
      <c r="S1077" s="13"/>
    </row>
    <row r="1078" ht="15.75" customHeight="1">
      <c r="A1078" s="14" t="s">
        <v>3890</v>
      </c>
      <c r="B1078" s="14" t="s">
        <v>316</v>
      </c>
      <c r="C1078" s="14" t="s">
        <v>3891</v>
      </c>
      <c r="D1078" s="14">
        <v>100.0</v>
      </c>
      <c r="E1078" s="14" t="s">
        <v>318</v>
      </c>
      <c r="F1078" s="14" t="s">
        <v>3488</v>
      </c>
      <c r="G1078" s="14" t="s">
        <v>3892</v>
      </c>
      <c r="H1078" s="13"/>
      <c r="I1078" s="13"/>
      <c r="J1078" s="13"/>
      <c r="K1078" s="13"/>
      <c r="L1078" s="13"/>
      <c r="M1078" s="13"/>
      <c r="N1078" s="13"/>
      <c r="O1078" s="13"/>
      <c r="P1078" s="13"/>
      <c r="Q1078" s="13"/>
      <c r="R1078" s="13"/>
      <c r="S1078" s="13"/>
    </row>
    <row r="1079" ht="15.75" customHeight="1">
      <c r="A1079" s="14" t="s">
        <v>3893</v>
      </c>
      <c r="B1079" s="14" t="s">
        <v>316</v>
      </c>
      <c r="C1079" s="14" t="s">
        <v>3894</v>
      </c>
      <c r="D1079" s="14">
        <v>100.0</v>
      </c>
      <c r="E1079" s="14" t="s">
        <v>318</v>
      </c>
      <c r="F1079" s="14" t="s">
        <v>3895</v>
      </c>
      <c r="G1079" s="14" t="s">
        <v>3896</v>
      </c>
      <c r="H1079" s="13"/>
      <c r="I1079" s="13"/>
      <c r="J1079" s="13"/>
      <c r="K1079" s="13"/>
      <c r="L1079" s="13"/>
      <c r="M1079" s="13"/>
      <c r="N1079" s="13"/>
      <c r="O1079" s="13"/>
      <c r="P1079" s="13"/>
      <c r="Q1079" s="13"/>
      <c r="R1079" s="13"/>
      <c r="S1079" s="13"/>
    </row>
    <row r="1080" ht="15.75" customHeight="1">
      <c r="A1080" s="14" t="s">
        <v>3897</v>
      </c>
      <c r="B1080" s="14" t="s">
        <v>316</v>
      </c>
      <c r="C1080" s="14" t="s">
        <v>3898</v>
      </c>
      <c r="D1080" s="14">
        <v>100.0</v>
      </c>
      <c r="E1080" s="14" t="s">
        <v>318</v>
      </c>
      <c r="F1080" s="14" t="s">
        <v>595</v>
      </c>
      <c r="G1080" s="14" t="s">
        <v>3899</v>
      </c>
      <c r="H1080" s="13"/>
      <c r="I1080" s="13"/>
      <c r="J1080" s="13"/>
      <c r="K1080" s="13"/>
      <c r="L1080" s="13"/>
      <c r="M1080" s="13"/>
      <c r="N1080" s="13"/>
      <c r="O1080" s="13"/>
      <c r="P1080" s="13"/>
      <c r="Q1080" s="13"/>
      <c r="R1080" s="13"/>
      <c r="S1080" s="13"/>
    </row>
    <row r="1081" ht="15.75" customHeight="1">
      <c r="A1081" s="14" t="s">
        <v>3900</v>
      </c>
      <c r="B1081" s="14" t="s">
        <v>316</v>
      </c>
      <c r="C1081" s="14" t="s">
        <v>3901</v>
      </c>
      <c r="D1081" s="14">
        <v>100.0</v>
      </c>
      <c r="E1081" s="14" t="s">
        <v>318</v>
      </c>
      <c r="F1081" s="14" t="s">
        <v>591</v>
      </c>
      <c r="G1081" s="14" t="s">
        <v>3902</v>
      </c>
      <c r="H1081" s="13"/>
      <c r="I1081" s="13"/>
      <c r="J1081" s="13"/>
      <c r="K1081" s="13"/>
      <c r="L1081" s="13"/>
      <c r="M1081" s="13"/>
      <c r="N1081" s="13"/>
      <c r="O1081" s="13"/>
      <c r="P1081" s="13"/>
      <c r="Q1081" s="13"/>
      <c r="R1081" s="13"/>
      <c r="S1081" s="13"/>
    </row>
    <row r="1082" ht="15.75" customHeight="1">
      <c r="A1082" s="14" t="s">
        <v>3903</v>
      </c>
      <c r="B1082" s="14" t="s">
        <v>316</v>
      </c>
      <c r="C1082" s="14" t="s">
        <v>3904</v>
      </c>
      <c r="D1082" s="14">
        <v>100.0</v>
      </c>
      <c r="E1082" s="14" t="s">
        <v>318</v>
      </c>
      <c r="F1082" s="14" t="s">
        <v>3648</v>
      </c>
      <c r="G1082" s="14" t="s">
        <v>3905</v>
      </c>
      <c r="H1082" s="13"/>
      <c r="I1082" s="13"/>
      <c r="J1082" s="13"/>
      <c r="K1082" s="13"/>
      <c r="L1082" s="13"/>
      <c r="M1082" s="13"/>
      <c r="N1082" s="13"/>
      <c r="O1082" s="13"/>
      <c r="P1082" s="13"/>
      <c r="Q1082" s="13"/>
      <c r="R1082" s="13"/>
      <c r="S1082" s="13"/>
    </row>
    <row r="1083" ht="15.75" customHeight="1">
      <c r="A1083" s="14" t="s">
        <v>3906</v>
      </c>
      <c r="B1083" s="14" t="s">
        <v>316</v>
      </c>
      <c r="C1083" s="14" t="s">
        <v>3907</v>
      </c>
      <c r="D1083" s="14">
        <v>100.0</v>
      </c>
      <c r="E1083" s="14" t="s">
        <v>318</v>
      </c>
      <c r="F1083" s="14" t="s">
        <v>3648</v>
      </c>
      <c r="G1083" s="14" t="s">
        <v>3908</v>
      </c>
      <c r="H1083" s="13"/>
      <c r="I1083" s="13"/>
      <c r="J1083" s="13"/>
      <c r="K1083" s="13"/>
      <c r="L1083" s="13"/>
      <c r="M1083" s="13"/>
      <c r="N1083" s="13"/>
      <c r="O1083" s="13"/>
      <c r="P1083" s="13"/>
      <c r="Q1083" s="13"/>
      <c r="R1083" s="13"/>
      <c r="S1083" s="13"/>
    </row>
    <row r="1084" ht="15.75" customHeight="1">
      <c r="A1084" s="14" t="s">
        <v>3909</v>
      </c>
      <c r="B1084" s="14" t="s">
        <v>316</v>
      </c>
      <c r="C1084" s="14" t="s">
        <v>3910</v>
      </c>
      <c r="D1084" s="14">
        <v>100.0</v>
      </c>
      <c r="E1084" s="14" t="s">
        <v>318</v>
      </c>
      <c r="F1084" s="14" t="s">
        <v>3648</v>
      </c>
      <c r="G1084" s="14" t="s">
        <v>3911</v>
      </c>
      <c r="H1084" s="13"/>
      <c r="I1084" s="13"/>
      <c r="J1084" s="13"/>
      <c r="K1084" s="13"/>
      <c r="L1084" s="13"/>
      <c r="M1084" s="13"/>
      <c r="N1084" s="13"/>
      <c r="O1084" s="13"/>
      <c r="P1084" s="13"/>
      <c r="Q1084" s="13"/>
      <c r="R1084" s="13"/>
      <c r="S1084" s="13"/>
    </row>
    <row r="1085" ht="15.75" customHeight="1">
      <c r="A1085" s="14" t="s">
        <v>3912</v>
      </c>
      <c r="B1085" s="14" t="s">
        <v>316</v>
      </c>
      <c r="C1085" s="14" t="s">
        <v>3913</v>
      </c>
      <c r="D1085" s="14">
        <v>100.0</v>
      </c>
      <c r="E1085" s="14" t="s">
        <v>318</v>
      </c>
      <c r="F1085" s="14" t="s">
        <v>778</v>
      </c>
      <c r="G1085" s="14" t="s">
        <v>3914</v>
      </c>
      <c r="H1085" s="13"/>
      <c r="I1085" s="13"/>
      <c r="J1085" s="13"/>
      <c r="K1085" s="13"/>
      <c r="L1085" s="13"/>
      <c r="M1085" s="13"/>
      <c r="N1085" s="13"/>
      <c r="O1085" s="13"/>
      <c r="P1085" s="13"/>
      <c r="Q1085" s="13"/>
      <c r="R1085" s="13"/>
      <c r="S1085" s="13"/>
    </row>
    <row r="1086" ht="15.75" customHeight="1">
      <c r="A1086" s="14" t="s">
        <v>3915</v>
      </c>
      <c r="B1086" s="14" t="s">
        <v>316</v>
      </c>
      <c r="C1086" s="14" t="s">
        <v>3916</v>
      </c>
      <c r="D1086" s="14">
        <v>100.0</v>
      </c>
      <c r="E1086" s="14" t="s">
        <v>318</v>
      </c>
      <c r="F1086" s="14" t="s">
        <v>3917</v>
      </c>
      <c r="G1086" s="14" t="s">
        <v>3918</v>
      </c>
      <c r="H1086" s="13"/>
      <c r="I1086" s="13"/>
      <c r="J1086" s="13"/>
      <c r="K1086" s="13"/>
      <c r="L1086" s="13"/>
      <c r="M1086" s="13"/>
      <c r="N1086" s="13"/>
      <c r="O1086" s="13"/>
      <c r="P1086" s="13"/>
      <c r="Q1086" s="13"/>
      <c r="R1086" s="13"/>
      <c r="S1086" s="13"/>
    </row>
    <row r="1087" ht="15.75" customHeight="1">
      <c r="A1087" s="14" t="s">
        <v>3919</v>
      </c>
      <c r="B1087" s="14" t="s">
        <v>316</v>
      </c>
      <c r="C1087" s="14" t="s">
        <v>3920</v>
      </c>
      <c r="D1087" s="14">
        <v>100.0</v>
      </c>
      <c r="E1087" s="14" t="s">
        <v>318</v>
      </c>
      <c r="F1087" s="14" t="s">
        <v>3921</v>
      </c>
      <c r="G1087" s="14" t="s">
        <v>3922</v>
      </c>
      <c r="H1087" s="13"/>
      <c r="I1087" s="13"/>
      <c r="J1087" s="13"/>
      <c r="K1087" s="13"/>
      <c r="L1087" s="13"/>
      <c r="M1087" s="13"/>
      <c r="N1087" s="13"/>
      <c r="O1087" s="13"/>
      <c r="P1087" s="13"/>
      <c r="Q1087" s="13"/>
      <c r="R1087" s="13"/>
      <c r="S1087" s="13"/>
    </row>
    <row r="1088" ht="15.75" customHeight="1">
      <c r="A1088" s="14" t="s">
        <v>3923</v>
      </c>
      <c r="B1088" s="14" t="s">
        <v>316</v>
      </c>
      <c r="C1088" s="14" t="s">
        <v>3924</v>
      </c>
      <c r="D1088" s="14">
        <v>100.0</v>
      </c>
      <c r="E1088" s="14" t="s">
        <v>318</v>
      </c>
      <c r="F1088" s="14" t="s">
        <v>2495</v>
      </c>
      <c r="G1088" s="14" t="s">
        <v>3925</v>
      </c>
      <c r="H1088" s="13"/>
      <c r="I1088" s="13"/>
      <c r="J1088" s="13"/>
      <c r="K1088" s="13"/>
      <c r="L1088" s="13"/>
      <c r="M1088" s="13"/>
      <c r="N1088" s="13"/>
      <c r="O1088" s="13"/>
      <c r="P1088" s="13"/>
      <c r="Q1088" s="13"/>
      <c r="R1088" s="13"/>
      <c r="S1088" s="13"/>
    </row>
    <row r="1089" ht="15.75" customHeight="1">
      <c r="A1089" s="14" t="s">
        <v>3926</v>
      </c>
      <c r="B1089" s="14" t="s">
        <v>316</v>
      </c>
      <c r="C1089" s="14" t="s">
        <v>3927</v>
      </c>
      <c r="D1089" s="14">
        <v>100.0</v>
      </c>
      <c r="E1089" s="14" t="s">
        <v>318</v>
      </c>
      <c r="F1089" s="14" t="s">
        <v>595</v>
      </c>
      <c r="G1089" s="14" t="s">
        <v>3928</v>
      </c>
      <c r="H1089" s="13"/>
      <c r="I1089" s="13"/>
      <c r="J1089" s="13"/>
      <c r="K1089" s="13"/>
      <c r="L1089" s="13"/>
      <c r="M1089" s="13"/>
      <c r="N1089" s="13"/>
      <c r="O1089" s="13"/>
      <c r="P1089" s="13"/>
      <c r="Q1089" s="13"/>
      <c r="R1089" s="13"/>
      <c r="S1089" s="13"/>
    </row>
    <row r="1090" ht="15.75" customHeight="1">
      <c r="A1090" s="14" t="s">
        <v>3929</v>
      </c>
      <c r="B1090" s="14" t="s">
        <v>316</v>
      </c>
      <c r="C1090" s="14" t="s">
        <v>3930</v>
      </c>
      <c r="D1090" s="14">
        <v>100.0</v>
      </c>
      <c r="E1090" s="14" t="s">
        <v>318</v>
      </c>
      <c r="F1090" s="14" t="s">
        <v>3931</v>
      </c>
      <c r="G1090" s="14" t="s">
        <v>3932</v>
      </c>
      <c r="H1090" s="13"/>
      <c r="I1090" s="13"/>
      <c r="J1090" s="13"/>
      <c r="K1090" s="13"/>
      <c r="L1090" s="13"/>
      <c r="M1090" s="13"/>
      <c r="N1090" s="13"/>
      <c r="O1090" s="13"/>
      <c r="P1090" s="13"/>
      <c r="Q1090" s="13"/>
      <c r="R1090" s="13"/>
      <c r="S1090" s="13"/>
    </row>
    <row r="1091" ht="15.75" customHeight="1">
      <c r="A1091" s="14" t="s">
        <v>3933</v>
      </c>
      <c r="B1091" s="14" t="s">
        <v>316</v>
      </c>
      <c r="C1091" s="14" t="s">
        <v>3934</v>
      </c>
      <c r="D1091" s="14">
        <v>100.0</v>
      </c>
      <c r="E1091" s="14" t="s">
        <v>318</v>
      </c>
      <c r="F1091" s="14" t="s">
        <v>1655</v>
      </c>
      <c r="G1091" s="14" t="s">
        <v>3935</v>
      </c>
      <c r="H1091" s="13"/>
      <c r="I1091" s="13"/>
      <c r="J1091" s="13"/>
      <c r="K1091" s="13"/>
      <c r="L1091" s="13"/>
      <c r="M1091" s="13"/>
      <c r="N1091" s="13"/>
      <c r="O1091" s="13"/>
      <c r="P1091" s="13"/>
      <c r="Q1091" s="13"/>
      <c r="R1091" s="13"/>
      <c r="S1091" s="13"/>
    </row>
    <row r="1092" ht="15.75" customHeight="1">
      <c r="A1092" s="14" t="s">
        <v>3936</v>
      </c>
      <c r="B1092" s="14" t="s">
        <v>316</v>
      </c>
      <c r="C1092" s="14" t="s">
        <v>3937</v>
      </c>
      <c r="D1092" s="14">
        <v>100.0</v>
      </c>
      <c r="E1092" s="14" t="s">
        <v>318</v>
      </c>
      <c r="F1092" s="14" t="s">
        <v>3938</v>
      </c>
      <c r="G1092" s="14" t="s">
        <v>3939</v>
      </c>
      <c r="H1092" s="13"/>
      <c r="I1092" s="13"/>
      <c r="J1092" s="13"/>
      <c r="K1092" s="13"/>
      <c r="L1092" s="13"/>
      <c r="M1092" s="13"/>
      <c r="N1092" s="13"/>
      <c r="O1092" s="13"/>
      <c r="P1092" s="13"/>
      <c r="Q1092" s="13"/>
      <c r="R1092" s="13"/>
      <c r="S1092" s="13"/>
    </row>
    <row r="1093" ht="15.75" customHeight="1">
      <c r="A1093" s="14" t="s">
        <v>3940</v>
      </c>
      <c r="B1093" s="14" t="s">
        <v>316</v>
      </c>
      <c r="C1093" s="14" t="s">
        <v>3941</v>
      </c>
      <c r="D1093" s="14">
        <v>100.0</v>
      </c>
      <c r="E1093" s="14" t="s">
        <v>318</v>
      </c>
      <c r="F1093" s="14" t="s">
        <v>3942</v>
      </c>
      <c r="G1093" s="14" t="s">
        <v>3943</v>
      </c>
      <c r="H1093" s="13"/>
      <c r="I1093" s="13"/>
      <c r="J1093" s="13"/>
      <c r="K1093" s="13"/>
      <c r="L1093" s="13"/>
      <c r="M1093" s="13"/>
      <c r="N1093" s="13"/>
      <c r="O1093" s="13"/>
      <c r="P1093" s="13"/>
      <c r="Q1093" s="13"/>
      <c r="R1093" s="13"/>
      <c r="S1093" s="13"/>
    </row>
    <row r="1094" ht="15.75" customHeight="1">
      <c r="A1094" s="14" t="s">
        <v>3944</v>
      </c>
      <c r="B1094" s="14" t="s">
        <v>316</v>
      </c>
      <c r="C1094" s="14" t="s">
        <v>3945</v>
      </c>
      <c r="D1094" s="14">
        <v>100.0</v>
      </c>
      <c r="E1094" s="14" t="s">
        <v>318</v>
      </c>
      <c r="F1094" s="14" t="s">
        <v>3946</v>
      </c>
      <c r="G1094" s="14" t="s">
        <v>3947</v>
      </c>
      <c r="H1094" s="13"/>
      <c r="I1094" s="13"/>
      <c r="J1094" s="13"/>
      <c r="K1094" s="13"/>
      <c r="L1094" s="13"/>
      <c r="M1094" s="13"/>
      <c r="N1094" s="13"/>
      <c r="O1094" s="13"/>
      <c r="P1094" s="13"/>
      <c r="Q1094" s="13"/>
      <c r="R1094" s="13"/>
      <c r="S1094" s="13"/>
    </row>
    <row r="1095" ht="15.75" customHeight="1">
      <c r="A1095" s="14" t="s">
        <v>3948</v>
      </c>
      <c r="B1095" s="14" t="s">
        <v>316</v>
      </c>
      <c r="C1095" s="14" t="s">
        <v>3949</v>
      </c>
      <c r="D1095" s="14">
        <v>100.0</v>
      </c>
      <c r="E1095" s="14" t="s">
        <v>318</v>
      </c>
      <c r="F1095" s="14" t="s">
        <v>3950</v>
      </c>
      <c r="G1095" s="14" t="s">
        <v>3951</v>
      </c>
      <c r="H1095" s="13"/>
      <c r="I1095" s="13"/>
      <c r="J1095" s="13"/>
      <c r="K1095" s="13"/>
      <c r="L1095" s="13"/>
      <c r="M1095" s="13"/>
      <c r="N1095" s="13"/>
      <c r="O1095" s="13"/>
      <c r="P1095" s="13"/>
      <c r="Q1095" s="13"/>
      <c r="R1095" s="13"/>
      <c r="S1095" s="13"/>
    </row>
    <row r="1096" ht="15.75" customHeight="1">
      <c r="A1096" s="14" t="s">
        <v>3952</v>
      </c>
      <c r="B1096" s="14" t="s">
        <v>316</v>
      </c>
      <c r="C1096" s="14" t="s">
        <v>3953</v>
      </c>
      <c r="D1096" s="14">
        <v>100.0</v>
      </c>
      <c r="E1096" s="14" t="s">
        <v>318</v>
      </c>
      <c r="F1096" s="14" t="s">
        <v>3954</v>
      </c>
      <c r="G1096" s="14" t="s">
        <v>3955</v>
      </c>
      <c r="H1096" s="13"/>
      <c r="I1096" s="13"/>
      <c r="J1096" s="13"/>
      <c r="K1096" s="13"/>
      <c r="L1096" s="13"/>
      <c r="M1096" s="13"/>
      <c r="N1096" s="13"/>
      <c r="O1096" s="13"/>
      <c r="P1096" s="13"/>
      <c r="Q1096" s="13"/>
      <c r="R1096" s="13"/>
      <c r="S1096" s="13"/>
    </row>
    <row r="1097" ht="15.75" customHeight="1">
      <c r="A1097" s="14" t="s">
        <v>3956</v>
      </c>
      <c r="B1097" s="14" t="s">
        <v>316</v>
      </c>
      <c r="C1097" s="14" t="s">
        <v>3957</v>
      </c>
      <c r="D1097" s="14">
        <v>100.0</v>
      </c>
      <c r="E1097" s="14" t="s">
        <v>318</v>
      </c>
      <c r="F1097" s="14" t="s">
        <v>3958</v>
      </c>
      <c r="G1097" s="14" t="s">
        <v>3959</v>
      </c>
      <c r="H1097" s="13"/>
      <c r="I1097" s="13"/>
      <c r="J1097" s="13"/>
      <c r="K1097" s="13"/>
      <c r="L1097" s="13"/>
      <c r="M1097" s="13"/>
      <c r="N1097" s="13"/>
      <c r="O1097" s="13"/>
      <c r="P1097" s="13"/>
      <c r="Q1097" s="13"/>
      <c r="R1097" s="13"/>
      <c r="S1097" s="13"/>
    </row>
    <row r="1098" ht="15.75" customHeight="1">
      <c r="A1098" s="14" t="s">
        <v>3960</v>
      </c>
      <c r="B1098" s="14" t="s">
        <v>316</v>
      </c>
      <c r="C1098" s="14" t="s">
        <v>3961</v>
      </c>
      <c r="D1098" s="14">
        <v>100.0</v>
      </c>
      <c r="E1098" s="14" t="s">
        <v>318</v>
      </c>
      <c r="F1098" s="14" t="s">
        <v>3962</v>
      </c>
      <c r="G1098" s="14" t="s">
        <v>3963</v>
      </c>
      <c r="H1098" s="13"/>
      <c r="I1098" s="13"/>
      <c r="J1098" s="13"/>
      <c r="K1098" s="13"/>
      <c r="L1098" s="13"/>
      <c r="M1098" s="13"/>
      <c r="N1098" s="13"/>
      <c r="O1098" s="13"/>
      <c r="P1098" s="13"/>
      <c r="Q1098" s="13"/>
      <c r="R1098" s="13"/>
      <c r="S1098" s="13"/>
    </row>
    <row r="1099" ht="15.75" customHeight="1">
      <c r="A1099" s="14" t="s">
        <v>3964</v>
      </c>
      <c r="B1099" s="14" t="s">
        <v>316</v>
      </c>
      <c r="C1099" s="14" t="s">
        <v>3965</v>
      </c>
      <c r="D1099" s="14">
        <v>100.0</v>
      </c>
      <c r="E1099" s="14" t="s">
        <v>318</v>
      </c>
      <c r="F1099" s="14" t="s">
        <v>3966</v>
      </c>
      <c r="G1099" s="14" t="s">
        <v>3967</v>
      </c>
      <c r="H1099" s="13"/>
      <c r="I1099" s="13"/>
      <c r="J1099" s="13"/>
      <c r="K1099" s="13"/>
      <c r="L1099" s="13"/>
      <c r="M1099" s="13"/>
      <c r="N1099" s="13"/>
      <c r="O1099" s="13"/>
      <c r="P1099" s="13"/>
      <c r="Q1099" s="13"/>
      <c r="R1099" s="13"/>
      <c r="S1099" s="13"/>
    </row>
    <row r="1100" ht="15.75" customHeight="1">
      <c r="A1100" s="14" t="s">
        <v>3968</v>
      </c>
      <c r="B1100" s="14" t="s">
        <v>316</v>
      </c>
      <c r="C1100" s="14" t="s">
        <v>3969</v>
      </c>
      <c r="D1100" s="14">
        <v>100.0</v>
      </c>
      <c r="E1100" s="14" t="s">
        <v>318</v>
      </c>
      <c r="F1100" s="14" t="s">
        <v>3970</v>
      </c>
      <c r="G1100" s="14" t="s">
        <v>3971</v>
      </c>
      <c r="H1100" s="13"/>
      <c r="I1100" s="13"/>
      <c r="J1100" s="13"/>
      <c r="K1100" s="13"/>
      <c r="L1100" s="13"/>
      <c r="M1100" s="13"/>
      <c r="N1100" s="13"/>
      <c r="O1100" s="13"/>
      <c r="P1100" s="13"/>
      <c r="Q1100" s="13"/>
      <c r="R1100" s="13"/>
      <c r="S1100" s="13"/>
    </row>
    <row r="1101" ht="15.75" customHeight="1">
      <c r="A1101" s="14" t="s">
        <v>3972</v>
      </c>
      <c r="B1101" s="14" t="s">
        <v>316</v>
      </c>
      <c r="C1101" s="14" t="s">
        <v>3973</v>
      </c>
      <c r="D1101" s="14">
        <v>100.0</v>
      </c>
      <c r="E1101" s="14" t="s">
        <v>318</v>
      </c>
      <c r="F1101" s="14" t="s">
        <v>3974</v>
      </c>
      <c r="G1101" s="14" t="s">
        <v>3975</v>
      </c>
      <c r="H1101" s="13"/>
      <c r="I1101" s="13"/>
      <c r="J1101" s="13"/>
      <c r="K1101" s="13"/>
      <c r="L1101" s="13"/>
      <c r="M1101" s="13"/>
      <c r="N1101" s="13"/>
      <c r="O1101" s="13"/>
      <c r="P1101" s="13"/>
      <c r="Q1101" s="13"/>
      <c r="R1101" s="13"/>
      <c r="S1101" s="13"/>
    </row>
    <row r="1102" ht="15.75" customHeight="1">
      <c r="A1102" s="14" t="s">
        <v>3976</v>
      </c>
      <c r="B1102" s="14" t="s">
        <v>316</v>
      </c>
      <c r="C1102" s="14" t="s">
        <v>3672</v>
      </c>
      <c r="D1102" s="14">
        <v>100.0</v>
      </c>
      <c r="E1102" s="14" t="s">
        <v>318</v>
      </c>
      <c r="F1102" s="14" t="s">
        <v>3977</v>
      </c>
      <c r="G1102" s="14" t="s">
        <v>3978</v>
      </c>
      <c r="H1102" s="13"/>
      <c r="I1102" s="13"/>
      <c r="J1102" s="13"/>
      <c r="K1102" s="13"/>
      <c r="L1102" s="13"/>
      <c r="M1102" s="13"/>
      <c r="N1102" s="13"/>
      <c r="O1102" s="13"/>
      <c r="P1102" s="13"/>
      <c r="Q1102" s="13"/>
      <c r="R1102" s="13"/>
      <c r="S1102" s="13"/>
    </row>
    <row r="1103" ht="15.75" customHeight="1">
      <c r="A1103" s="14" t="s">
        <v>3979</v>
      </c>
      <c r="B1103" s="14" t="s">
        <v>316</v>
      </c>
      <c r="C1103" s="14" t="s">
        <v>3980</v>
      </c>
      <c r="D1103" s="14">
        <v>100.0</v>
      </c>
      <c r="E1103" s="14" t="s">
        <v>318</v>
      </c>
      <c r="F1103" s="14" t="s">
        <v>3981</v>
      </c>
      <c r="G1103" s="14" t="s">
        <v>3982</v>
      </c>
      <c r="H1103" s="13"/>
      <c r="I1103" s="13"/>
      <c r="J1103" s="13"/>
      <c r="K1103" s="13"/>
      <c r="L1103" s="13"/>
      <c r="M1103" s="13"/>
      <c r="N1103" s="13"/>
      <c r="O1103" s="13"/>
      <c r="P1103" s="13"/>
      <c r="Q1103" s="13"/>
      <c r="R1103" s="13"/>
      <c r="S1103" s="13"/>
    </row>
    <row r="1104" ht="15.75" customHeight="1">
      <c r="A1104" s="14" t="s">
        <v>3983</v>
      </c>
      <c r="B1104" s="14" t="s">
        <v>316</v>
      </c>
      <c r="C1104" s="14" t="s">
        <v>3984</v>
      </c>
      <c r="D1104" s="14">
        <v>100.0</v>
      </c>
      <c r="E1104" s="14" t="s">
        <v>318</v>
      </c>
      <c r="F1104" s="14" t="s">
        <v>3985</v>
      </c>
      <c r="G1104" s="14" t="s">
        <v>3986</v>
      </c>
      <c r="H1104" s="13"/>
      <c r="I1104" s="13"/>
      <c r="J1104" s="13"/>
      <c r="K1104" s="13"/>
      <c r="L1104" s="13"/>
      <c r="M1104" s="13"/>
      <c r="N1104" s="13"/>
      <c r="O1104" s="13"/>
      <c r="P1104" s="13"/>
      <c r="Q1104" s="13"/>
      <c r="R1104" s="13"/>
      <c r="S1104" s="13"/>
    </row>
    <row r="1105" ht="15.75" customHeight="1">
      <c r="A1105" s="14" t="s">
        <v>3987</v>
      </c>
      <c r="B1105" s="14" t="s">
        <v>316</v>
      </c>
      <c r="C1105" s="14" t="s">
        <v>3988</v>
      </c>
      <c r="D1105" s="14">
        <v>100.0</v>
      </c>
      <c r="E1105" s="14" t="s">
        <v>318</v>
      </c>
      <c r="F1105" s="14" t="s">
        <v>3989</v>
      </c>
      <c r="G1105" s="14" t="s">
        <v>3990</v>
      </c>
      <c r="H1105" s="13"/>
      <c r="I1105" s="13"/>
      <c r="J1105" s="13"/>
      <c r="K1105" s="13"/>
      <c r="L1105" s="13"/>
      <c r="M1105" s="13"/>
      <c r="N1105" s="13"/>
      <c r="O1105" s="13"/>
      <c r="P1105" s="13"/>
      <c r="Q1105" s="13"/>
      <c r="R1105" s="13"/>
      <c r="S1105" s="13"/>
    </row>
    <row r="1106" ht="15.75" customHeight="1">
      <c r="A1106" s="14" t="s">
        <v>3991</v>
      </c>
      <c r="B1106" s="14" t="s">
        <v>316</v>
      </c>
      <c r="C1106" s="14" t="s">
        <v>3992</v>
      </c>
      <c r="D1106" s="14">
        <v>100.0</v>
      </c>
      <c r="E1106" s="14" t="s">
        <v>318</v>
      </c>
      <c r="F1106" s="14" t="s">
        <v>3993</v>
      </c>
      <c r="G1106" s="14" t="s">
        <v>3994</v>
      </c>
      <c r="H1106" s="13"/>
      <c r="I1106" s="13"/>
      <c r="J1106" s="13"/>
      <c r="K1106" s="13"/>
      <c r="L1106" s="13"/>
      <c r="M1106" s="13"/>
      <c r="N1106" s="13"/>
      <c r="O1106" s="13"/>
      <c r="P1106" s="13"/>
      <c r="Q1106" s="13"/>
      <c r="R1106" s="13"/>
      <c r="S1106" s="13"/>
    </row>
    <row r="1107" ht="15.75" customHeight="1">
      <c r="A1107" s="14" t="s">
        <v>3995</v>
      </c>
      <c r="B1107" s="14" t="s">
        <v>316</v>
      </c>
      <c r="C1107" s="14" t="s">
        <v>3996</v>
      </c>
      <c r="D1107" s="14">
        <v>100.0</v>
      </c>
      <c r="E1107" s="14" t="s">
        <v>318</v>
      </c>
      <c r="F1107" s="14" t="s">
        <v>3997</v>
      </c>
      <c r="G1107" s="14" t="s">
        <v>3998</v>
      </c>
      <c r="H1107" s="13"/>
      <c r="I1107" s="13"/>
      <c r="J1107" s="13"/>
      <c r="K1107" s="13"/>
      <c r="L1107" s="13"/>
      <c r="M1107" s="13"/>
      <c r="N1107" s="13"/>
      <c r="O1107" s="13"/>
      <c r="P1107" s="13"/>
      <c r="Q1107" s="13"/>
      <c r="R1107" s="13"/>
      <c r="S1107" s="13"/>
    </row>
    <row r="1108" ht="15.75" customHeight="1">
      <c r="A1108" s="14" t="s">
        <v>3999</v>
      </c>
      <c r="B1108" s="14" t="s">
        <v>316</v>
      </c>
      <c r="C1108" s="14" t="s">
        <v>4000</v>
      </c>
      <c r="D1108" s="14">
        <v>100.0</v>
      </c>
      <c r="E1108" s="14" t="s">
        <v>318</v>
      </c>
      <c r="F1108" s="14" t="s">
        <v>4001</v>
      </c>
      <c r="G1108" s="14" t="s">
        <v>4002</v>
      </c>
      <c r="H1108" s="13"/>
      <c r="I1108" s="13"/>
      <c r="J1108" s="13"/>
      <c r="K1108" s="13"/>
      <c r="L1108" s="13"/>
      <c r="M1108" s="13"/>
      <c r="N1108" s="13"/>
      <c r="O1108" s="13"/>
      <c r="P1108" s="13"/>
      <c r="Q1108" s="13"/>
      <c r="R1108" s="13"/>
      <c r="S1108" s="13"/>
    </row>
    <row r="1109" ht="15.75" customHeight="1">
      <c r="A1109" s="14" t="s">
        <v>4003</v>
      </c>
      <c r="B1109" s="14" t="s">
        <v>316</v>
      </c>
      <c r="C1109" s="14" t="s">
        <v>4004</v>
      </c>
      <c r="D1109" s="14">
        <v>100.0</v>
      </c>
      <c r="E1109" s="14" t="s">
        <v>318</v>
      </c>
      <c r="F1109" s="14" t="s">
        <v>4005</v>
      </c>
      <c r="G1109" s="14" t="s">
        <v>4006</v>
      </c>
      <c r="H1109" s="13"/>
      <c r="I1109" s="13"/>
      <c r="J1109" s="13"/>
      <c r="K1109" s="13"/>
      <c r="L1109" s="13"/>
      <c r="M1109" s="13"/>
      <c r="N1109" s="13"/>
      <c r="O1109" s="13"/>
      <c r="P1109" s="13"/>
      <c r="Q1109" s="13"/>
      <c r="R1109" s="13"/>
      <c r="S1109" s="13"/>
    </row>
    <row r="1110" ht="15.75" customHeight="1">
      <c r="A1110" s="14" t="s">
        <v>4007</v>
      </c>
      <c r="B1110" s="14" t="s">
        <v>316</v>
      </c>
      <c r="C1110" s="14" t="s">
        <v>4008</v>
      </c>
      <c r="D1110" s="14">
        <v>100.0</v>
      </c>
      <c r="E1110" s="14" t="s">
        <v>318</v>
      </c>
      <c r="F1110" s="14" t="s">
        <v>4009</v>
      </c>
      <c r="G1110" s="14" t="s">
        <v>4010</v>
      </c>
      <c r="H1110" s="13"/>
      <c r="I1110" s="13"/>
      <c r="J1110" s="13"/>
      <c r="K1110" s="13"/>
      <c r="L1110" s="13"/>
      <c r="M1110" s="13"/>
      <c r="N1110" s="13"/>
      <c r="O1110" s="13"/>
      <c r="P1110" s="13"/>
      <c r="Q1110" s="13"/>
      <c r="R1110" s="13"/>
      <c r="S1110" s="13"/>
    </row>
    <row r="1111" ht="15.75" customHeight="1">
      <c r="A1111" s="14" t="s">
        <v>4011</v>
      </c>
      <c r="B1111" s="14" t="s">
        <v>316</v>
      </c>
      <c r="C1111" s="14" t="s">
        <v>4012</v>
      </c>
      <c r="D1111" s="14">
        <v>100.0</v>
      </c>
      <c r="E1111" s="14" t="s">
        <v>318</v>
      </c>
      <c r="F1111" s="14" t="s">
        <v>4013</v>
      </c>
      <c r="G1111" s="14" t="s">
        <v>4014</v>
      </c>
      <c r="H1111" s="13"/>
      <c r="I1111" s="13"/>
      <c r="J1111" s="13"/>
      <c r="K1111" s="13"/>
      <c r="L1111" s="13"/>
      <c r="M1111" s="13"/>
      <c r="N1111" s="13"/>
      <c r="O1111" s="13"/>
      <c r="P1111" s="13"/>
      <c r="Q1111" s="13"/>
      <c r="R1111" s="13"/>
      <c r="S1111" s="13"/>
    </row>
    <row r="1112" ht="15.75" customHeight="1">
      <c r="A1112" s="14" t="s">
        <v>4015</v>
      </c>
      <c r="B1112" s="14" t="s">
        <v>316</v>
      </c>
      <c r="C1112" s="14" t="s">
        <v>4016</v>
      </c>
      <c r="D1112" s="14">
        <v>100.0</v>
      </c>
      <c r="E1112" s="14" t="s">
        <v>318</v>
      </c>
      <c r="F1112" s="14" t="s">
        <v>4017</v>
      </c>
      <c r="G1112" s="14" t="s">
        <v>4018</v>
      </c>
      <c r="H1112" s="13"/>
      <c r="I1112" s="13"/>
      <c r="J1112" s="13"/>
      <c r="K1112" s="13"/>
      <c r="L1112" s="13"/>
      <c r="M1112" s="13"/>
      <c r="N1112" s="13"/>
      <c r="O1112" s="13"/>
      <c r="P1112" s="13"/>
      <c r="Q1112" s="13"/>
      <c r="R1112" s="13"/>
      <c r="S1112" s="13"/>
    </row>
    <row r="1113" ht="15.75" customHeight="1">
      <c r="A1113" s="14" t="s">
        <v>4019</v>
      </c>
      <c r="B1113" s="14" t="s">
        <v>316</v>
      </c>
      <c r="C1113" s="14" t="s">
        <v>4020</v>
      </c>
      <c r="D1113" s="14">
        <v>100.0</v>
      </c>
      <c r="E1113" s="14" t="s">
        <v>318</v>
      </c>
      <c r="F1113" s="14" t="s">
        <v>4021</v>
      </c>
      <c r="G1113" s="14" t="s">
        <v>4022</v>
      </c>
      <c r="H1113" s="13"/>
      <c r="I1113" s="13"/>
      <c r="J1113" s="13"/>
      <c r="K1113" s="13"/>
      <c r="L1113" s="13"/>
      <c r="M1113" s="13"/>
      <c r="N1113" s="13"/>
      <c r="O1113" s="13"/>
      <c r="P1113" s="13"/>
      <c r="Q1113" s="13"/>
      <c r="R1113" s="13"/>
      <c r="S1113" s="13"/>
    </row>
    <row r="1114" ht="15.75" customHeight="1">
      <c r="A1114" s="14" t="s">
        <v>4023</v>
      </c>
      <c r="B1114" s="14" t="s">
        <v>316</v>
      </c>
      <c r="C1114" s="14" t="s">
        <v>4024</v>
      </c>
      <c r="D1114" s="14">
        <v>100.0</v>
      </c>
      <c r="E1114" s="14" t="s">
        <v>318</v>
      </c>
      <c r="F1114" s="14" t="s">
        <v>4025</v>
      </c>
      <c r="G1114" s="14" t="s">
        <v>4026</v>
      </c>
      <c r="H1114" s="13"/>
      <c r="I1114" s="13"/>
      <c r="J1114" s="13"/>
      <c r="K1114" s="13"/>
      <c r="L1114" s="13"/>
      <c r="M1114" s="13"/>
      <c r="N1114" s="13"/>
      <c r="O1114" s="13"/>
      <c r="P1114" s="13"/>
      <c r="Q1114" s="13"/>
      <c r="R1114" s="13"/>
      <c r="S1114" s="13"/>
    </row>
    <row r="1115" ht="15.75" customHeight="1">
      <c r="A1115" s="14" t="s">
        <v>4027</v>
      </c>
      <c r="B1115" s="14" t="s">
        <v>316</v>
      </c>
      <c r="C1115" s="14" t="s">
        <v>4028</v>
      </c>
      <c r="D1115" s="14">
        <v>100.0</v>
      </c>
      <c r="E1115" s="14" t="s">
        <v>318</v>
      </c>
      <c r="F1115" s="14" t="s">
        <v>4029</v>
      </c>
      <c r="G1115" s="14" t="s">
        <v>4030</v>
      </c>
      <c r="H1115" s="13"/>
      <c r="I1115" s="13"/>
      <c r="J1115" s="13"/>
      <c r="K1115" s="13"/>
      <c r="L1115" s="13"/>
      <c r="M1115" s="13"/>
      <c r="N1115" s="13"/>
      <c r="O1115" s="13"/>
      <c r="P1115" s="13"/>
      <c r="Q1115" s="13"/>
      <c r="R1115" s="13"/>
      <c r="S1115" s="13"/>
    </row>
    <row r="1116" ht="15.75" customHeight="1">
      <c r="A1116" s="14" t="s">
        <v>4031</v>
      </c>
      <c r="B1116" s="14" t="s">
        <v>316</v>
      </c>
      <c r="C1116" s="14" t="s">
        <v>4032</v>
      </c>
      <c r="D1116" s="14">
        <v>100.0</v>
      </c>
      <c r="E1116" s="14" t="s">
        <v>318</v>
      </c>
      <c r="F1116" s="14" t="s">
        <v>4033</v>
      </c>
      <c r="G1116" s="14" t="s">
        <v>4034</v>
      </c>
      <c r="H1116" s="13"/>
      <c r="I1116" s="13"/>
      <c r="J1116" s="13"/>
      <c r="K1116" s="13"/>
      <c r="L1116" s="13"/>
      <c r="M1116" s="13"/>
      <c r="N1116" s="13"/>
      <c r="O1116" s="13"/>
      <c r="P1116" s="13"/>
      <c r="Q1116" s="13"/>
      <c r="R1116" s="13"/>
      <c r="S1116" s="13"/>
    </row>
    <row r="1117" ht="15.75" customHeight="1">
      <c r="A1117" s="14" t="s">
        <v>4035</v>
      </c>
      <c r="B1117" s="14" t="s">
        <v>316</v>
      </c>
      <c r="C1117" s="14" t="s">
        <v>4036</v>
      </c>
      <c r="D1117" s="14">
        <v>100.0</v>
      </c>
      <c r="E1117" s="14" t="s">
        <v>318</v>
      </c>
      <c r="F1117" s="14" t="s">
        <v>4037</v>
      </c>
      <c r="G1117" s="14" t="s">
        <v>4038</v>
      </c>
      <c r="H1117" s="13"/>
      <c r="I1117" s="13"/>
      <c r="J1117" s="13"/>
      <c r="K1117" s="13"/>
      <c r="L1117" s="13"/>
      <c r="M1117" s="13"/>
      <c r="N1117" s="13"/>
      <c r="O1117" s="13"/>
      <c r="P1117" s="13"/>
      <c r="Q1117" s="13"/>
      <c r="R1117" s="13"/>
      <c r="S1117" s="13"/>
    </row>
    <row r="1118" ht="15.75" customHeight="1">
      <c r="A1118" s="14" t="s">
        <v>4039</v>
      </c>
      <c r="B1118" s="14" t="s">
        <v>316</v>
      </c>
      <c r="C1118" s="14" t="s">
        <v>4040</v>
      </c>
      <c r="D1118" s="14">
        <v>100.0</v>
      </c>
      <c r="E1118" s="14" t="s">
        <v>318</v>
      </c>
      <c r="F1118" s="14" t="s">
        <v>4041</v>
      </c>
      <c r="G1118" s="14" t="s">
        <v>4042</v>
      </c>
      <c r="H1118" s="13"/>
      <c r="I1118" s="13"/>
      <c r="J1118" s="13"/>
      <c r="K1118" s="13"/>
      <c r="L1118" s="13"/>
      <c r="M1118" s="13"/>
      <c r="N1118" s="13"/>
      <c r="O1118" s="13"/>
      <c r="P1118" s="13"/>
      <c r="Q1118" s="13"/>
      <c r="R1118" s="13"/>
      <c r="S1118" s="13"/>
    </row>
    <row r="1119" ht="15.75" customHeight="1">
      <c r="A1119" s="14" t="s">
        <v>4043</v>
      </c>
      <c r="B1119" s="14" t="s">
        <v>316</v>
      </c>
      <c r="C1119" s="14" t="s">
        <v>4044</v>
      </c>
      <c r="D1119" s="14">
        <v>100.0</v>
      </c>
      <c r="E1119" s="14" t="s">
        <v>318</v>
      </c>
      <c r="F1119" s="14" t="s">
        <v>3189</v>
      </c>
      <c r="G1119" s="14" t="s">
        <v>4045</v>
      </c>
      <c r="H1119" s="13"/>
      <c r="I1119" s="13"/>
      <c r="J1119" s="13"/>
      <c r="K1119" s="13"/>
      <c r="L1119" s="13"/>
      <c r="M1119" s="13"/>
      <c r="N1119" s="13"/>
      <c r="O1119" s="13"/>
      <c r="P1119" s="13"/>
      <c r="Q1119" s="13"/>
      <c r="R1119" s="13"/>
      <c r="S1119" s="13"/>
    </row>
    <row r="1120" ht="15.75" customHeight="1">
      <c r="A1120" s="14" t="s">
        <v>4046</v>
      </c>
      <c r="B1120" s="14" t="s">
        <v>316</v>
      </c>
      <c r="C1120" s="14" t="s">
        <v>4047</v>
      </c>
      <c r="D1120" s="14">
        <v>100.0</v>
      </c>
      <c r="E1120" s="14" t="s">
        <v>318</v>
      </c>
      <c r="F1120" s="14" t="s">
        <v>4048</v>
      </c>
      <c r="G1120" s="14" t="s">
        <v>4049</v>
      </c>
      <c r="H1120" s="13"/>
      <c r="I1120" s="13"/>
      <c r="J1120" s="13"/>
      <c r="K1120" s="13"/>
      <c r="L1120" s="13"/>
      <c r="M1120" s="13"/>
      <c r="N1120" s="13"/>
      <c r="O1120" s="13"/>
      <c r="P1120" s="13"/>
      <c r="Q1120" s="13"/>
      <c r="R1120" s="13"/>
      <c r="S1120" s="13"/>
    </row>
    <row r="1121" ht="15.75" customHeight="1">
      <c r="A1121" s="14" t="s">
        <v>4050</v>
      </c>
      <c r="B1121" s="14" t="s">
        <v>316</v>
      </c>
      <c r="C1121" s="14" t="s">
        <v>4051</v>
      </c>
      <c r="D1121" s="14">
        <v>100.0</v>
      </c>
      <c r="E1121" s="14" t="s">
        <v>318</v>
      </c>
      <c r="F1121" s="14" t="s">
        <v>1836</v>
      </c>
      <c r="G1121" s="14" t="s">
        <v>4052</v>
      </c>
      <c r="H1121" s="13"/>
      <c r="I1121" s="13"/>
      <c r="J1121" s="13"/>
      <c r="K1121" s="13"/>
      <c r="L1121" s="13"/>
      <c r="M1121" s="13"/>
      <c r="N1121" s="13"/>
      <c r="O1121" s="13"/>
      <c r="P1121" s="13"/>
      <c r="Q1121" s="13"/>
      <c r="R1121" s="13"/>
      <c r="S1121" s="13"/>
    </row>
    <row r="1122" ht="15.75" customHeight="1">
      <c r="A1122" s="14" t="s">
        <v>4053</v>
      </c>
      <c r="B1122" s="14" t="s">
        <v>316</v>
      </c>
      <c r="C1122" s="14" t="s">
        <v>4054</v>
      </c>
      <c r="D1122" s="14">
        <v>100.0</v>
      </c>
      <c r="E1122" s="14" t="s">
        <v>318</v>
      </c>
      <c r="F1122" s="14" t="s">
        <v>1114</v>
      </c>
      <c r="G1122" s="14" t="s">
        <v>4055</v>
      </c>
      <c r="H1122" s="13"/>
      <c r="I1122" s="13"/>
      <c r="J1122" s="13"/>
      <c r="K1122" s="13"/>
      <c r="L1122" s="13"/>
      <c r="M1122" s="13"/>
      <c r="N1122" s="13"/>
      <c r="O1122" s="13"/>
      <c r="P1122" s="13"/>
      <c r="Q1122" s="13"/>
      <c r="R1122" s="13"/>
      <c r="S1122" s="13"/>
    </row>
    <row r="1123" ht="15.75" customHeight="1">
      <c r="A1123" s="14" t="s">
        <v>4056</v>
      </c>
      <c r="B1123" s="14" t="s">
        <v>316</v>
      </c>
      <c r="C1123" s="14" t="s">
        <v>4057</v>
      </c>
      <c r="D1123" s="14">
        <v>100.0</v>
      </c>
      <c r="E1123" s="14" t="s">
        <v>318</v>
      </c>
      <c r="F1123" s="14" t="s">
        <v>4058</v>
      </c>
      <c r="G1123" s="14" t="s">
        <v>4059</v>
      </c>
      <c r="H1123" s="13"/>
      <c r="I1123" s="13"/>
      <c r="J1123" s="13"/>
      <c r="K1123" s="13"/>
      <c r="L1123" s="13"/>
      <c r="M1123" s="13"/>
      <c r="N1123" s="13"/>
      <c r="O1123" s="13"/>
      <c r="P1123" s="13"/>
      <c r="Q1123" s="13"/>
      <c r="R1123" s="13"/>
      <c r="S1123" s="13"/>
    </row>
    <row r="1124" ht="15.75" customHeight="1">
      <c r="A1124" s="14" t="s">
        <v>4060</v>
      </c>
      <c r="B1124" s="14" t="s">
        <v>316</v>
      </c>
      <c r="C1124" s="14" t="s">
        <v>4061</v>
      </c>
      <c r="D1124" s="14">
        <v>100.0</v>
      </c>
      <c r="E1124" s="14" t="s">
        <v>318</v>
      </c>
      <c r="F1124" s="14" t="s">
        <v>3648</v>
      </c>
      <c r="G1124" s="14" t="s">
        <v>4062</v>
      </c>
      <c r="H1124" s="13"/>
      <c r="I1124" s="13"/>
      <c r="J1124" s="13"/>
      <c r="K1124" s="13"/>
      <c r="L1124" s="13"/>
      <c r="M1124" s="13"/>
      <c r="N1124" s="13"/>
      <c r="O1124" s="13"/>
      <c r="P1124" s="13"/>
      <c r="Q1124" s="13"/>
      <c r="R1124" s="13"/>
      <c r="S1124" s="13"/>
    </row>
    <row r="1125" ht="15.75" customHeight="1">
      <c r="A1125" s="14" t="s">
        <v>4063</v>
      </c>
      <c r="B1125" s="14" t="s">
        <v>316</v>
      </c>
      <c r="C1125" s="14" t="s">
        <v>4064</v>
      </c>
      <c r="D1125" s="14">
        <v>100.0</v>
      </c>
      <c r="E1125" s="14" t="s">
        <v>318</v>
      </c>
      <c r="F1125" s="14" t="s">
        <v>1976</v>
      </c>
      <c r="G1125" s="14" t="s">
        <v>4065</v>
      </c>
      <c r="H1125" s="13"/>
      <c r="I1125" s="13"/>
      <c r="J1125" s="13"/>
      <c r="K1125" s="13"/>
      <c r="L1125" s="13"/>
      <c r="M1125" s="13"/>
      <c r="N1125" s="13"/>
      <c r="O1125" s="13"/>
      <c r="P1125" s="13"/>
      <c r="Q1125" s="13"/>
      <c r="R1125" s="13"/>
      <c r="S1125" s="13"/>
    </row>
    <row r="1126" ht="15.75" customHeight="1">
      <c r="A1126" s="14" t="s">
        <v>4066</v>
      </c>
      <c r="B1126" s="14" t="s">
        <v>316</v>
      </c>
      <c r="C1126" s="14" t="s">
        <v>4067</v>
      </c>
      <c r="D1126" s="14">
        <v>100.0</v>
      </c>
      <c r="E1126" s="14" t="s">
        <v>318</v>
      </c>
      <c r="F1126" s="14" t="s">
        <v>4068</v>
      </c>
      <c r="G1126" s="14" t="s">
        <v>4069</v>
      </c>
      <c r="H1126" s="13"/>
      <c r="I1126" s="13"/>
      <c r="J1126" s="13"/>
      <c r="K1126" s="13"/>
      <c r="L1126" s="13"/>
      <c r="M1126" s="13"/>
      <c r="N1126" s="13"/>
      <c r="O1126" s="13"/>
      <c r="P1126" s="13"/>
      <c r="Q1126" s="13"/>
      <c r="R1126" s="13"/>
      <c r="S1126" s="13"/>
    </row>
    <row r="1127" ht="15.75" customHeight="1">
      <c r="A1127" s="14" t="s">
        <v>4070</v>
      </c>
      <c r="B1127" s="14" t="s">
        <v>316</v>
      </c>
      <c r="C1127" s="14" t="s">
        <v>4071</v>
      </c>
      <c r="D1127" s="14">
        <v>100.0</v>
      </c>
      <c r="E1127" s="14" t="s">
        <v>318</v>
      </c>
      <c r="F1127" s="14" t="s">
        <v>4072</v>
      </c>
      <c r="G1127" s="14" t="s">
        <v>4073</v>
      </c>
      <c r="H1127" s="13"/>
      <c r="I1127" s="13"/>
      <c r="J1127" s="13"/>
      <c r="K1127" s="13"/>
      <c r="L1127" s="13"/>
      <c r="M1127" s="13"/>
      <c r="N1127" s="13"/>
      <c r="O1127" s="13"/>
      <c r="P1127" s="13"/>
      <c r="Q1127" s="13"/>
      <c r="R1127" s="13"/>
      <c r="S1127" s="13"/>
    </row>
    <row r="1128" ht="15.75" customHeight="1">
      <c r="A1128" s="14" t="s">
        <v>4074</v>
      </c>
      <c r="B1128" s="14" t="s">
        <v>316</v>
      </c>
      <c r="C1128" s="14" t="s">
        <v>4075</v>
      </c>
      <c r="D1128" s="14">
        <v>100.0</v>
      </c>
      <c r="E1128" s="14" t="s">
        <v>318</v>
      </c>
      <c r="F1128" s="14" t="s">
        <v>4076</v>
      </c>
      <c r="G1128" s="14" t="s">
        <v>4077</v>
      </c>
      <c r="H1128" s="13"/>
      <c r="I1128" s="13"/>
      <c r="J1128" s="13"/>
      <c r="K1128" s="13"/>
      <c r="L1128" s="13"/>
      <c r="M1128" s="13"/>
      <c r="N1128" s="13"/>
      <c r="O1128" s="13"/>
      <c r="P1128" s="13"/>
      <c r="Q1128" s="13"/>
      <c r="R1128" s="13"/>
      <c r="S1128" s="13"/>
    </row>
    <row r="1129" ht="15.75" customHeight="1">
      <c r="A1129" s="14" t="s">
        <v>4078</v>
      </c>
      <c r="B1129" s="14" t="s">
        <v>316</v>
      </c>
      <c r="C1129" s="14" t="s">
        <v>4079</v>
      </c>
      <c r="D1129" s="14">
        <v>100.0</v>
      </c>
      <c r="E1129" s="14" t="s">
        <v>318</v>
      </c>
      <c r="F1129" s="14" t="s">
        <v>595</v>
      </c>
      <c r="G1129" s="14" t="s">
        <v>4080</v>
      </c>
      <c r="H1129" s="13"/>
      <c r="I1129" s="13"/>
      <c r="J1129" s="13"/>
      <c r="K1129" s="13"/>
      <c r="L1129" s="13"/>
      <c r="M1129" s="13"/>
      <c r="N1129" s="13"/>
      <c r="O1129" s="13"/>
      <c r="P1129" s="13"/>
      <c r="Q1129" s="13"/>
      <c r="R1129" s="13"/>
      <c r="S1129" s="13"/>
    </row>
    <row r="1130" ht="15.75" customHeight="1">
      <c r="A1130" s="14" t="s">
        <v>4081</v>
      </c>
      <c r="B1130" s="14" t="s">
        <v>316</v>
      </c>
      <c r="C1130" s="14" t="s">
        <v>4082</v>
      </c>
      <c r="D1130" s="14">
        <v>100.0</v>
      </c>
      <c r="E1130" s="14" t="s">
        <v>318</v>
      </c>
      <c r="F1130" s="14" t="s">
        <v>4083</v>
      </c>
      <c r="G1130" s="14" t="s">
        <v>4084</v>
      </c>
      <c r="H1130" s="13"/>
      <c r="I1130" s="13"/>
      <c r="J1130" s="13"/>
      <c r="K1130" s="13"/>
      <c r="L1130" s="13"/>
      <c r="M1130" s="13"/>
      <c r="N1130" s="13"/>
      <c r="O1130" s="13"/>
      <c r="P1130" s="13"/>
      <c r="Q1130" s="13"/>
      <c r="R1130" s="13"/>
      <c r="S1130" s="13"/>
    </row>
    <row r="1131" ht="15.75" customHeight="1">
      <c r="A1131" s="14" t="s">
        <v>4085</v>
      </c>
      <c r="B1131" s="14" t="s">
        <v>316</v>
      </c>
      <c r="C1131" s="14" t="s">
        <v>4086</v>
      </c>
      <c r="D1131" s="14">
        <v>100.0</v>
      </c>
      <c r="E1131" s="14" t="s">
        <v>318</v>
      </c>
      <c r="F1131" s="14" t="s">
        <v>4087</v>
      </c>
      <c r="G1131" s="14" t="s">
        <v>4088</v>
      </c>
      <c r="H1131" s="13"/>
      <c r="I1131" s="13"/>
      <c r="J1131" s="13"/>
      <c r="K1131" s="13"/>
      <c r="L1131" s="13"/>
      <c r="M1131" s="13"/>
      <c r="N1131" s="13"/>
      <c r="O1131" s="13"/>
      <c r="P1131" s="13"/>
      <c r="Q1131" s="13"/>
      <c r="R1131" s="13"/>
      <c r="S1131" s="13"/>
    </row>
    <row r="1132" ht="15.75" customHeight="1">
      <c r="A1132" s="14" t="s">
        <v>4089</v>
      </c>
      <c r="B1132" s="14" t="s">
        <v>316</v>
      </c>
      <c r="C1132" s="14" t="s">
        <v>4090</v>
      </c>
      <c r="D1132" s="14">
        <v>100.0</v>
      </c>
      <c r="E1132" s="14" t="s">
        <v>318</v>
      </c>
      <c r="F1132" s="14" t="s">
        <v>4091</v>
      </c>
      <c r="G1132" s="14" t="s">
        <v>4092</v>
      </c>
      <c r="H1132" s="13"/>
      <c r="I1132" s="13"/>
      <c r="J1132" s="13"/>
      <c r="K1132" s="13"/>
      <c r="L1132" s="13"/>
      <c r="M1132" s="13"/>
      <c r="N1132" s="13"/>
      <c r="O1132" s="13"/>
      <c r="P1132" s="13"/>
      <c r="Q1132" s="13"/>
      <c r="R1132" s="13"/>
      <c r="S1132" s="13"/>
    </row>
    <row r="1133" ht="15.75" customHeight="1">
      <c r="A1133" s="14" t="s">
        <v>4093</v>
      </c>
      <c r="B1133" s="14" t="s">
        <v>316</v>
      </c>
      <c r="C1133" s="14" t="s">
        <v>4094</v>
      </c>
      <c r="D1133" s="14">
        <v>100.0</v>
      </c>
      <c r="E1133" s="14" t="s">
        <v>318</v>
      </c>
      <c r="F1133" s="14" t="s">
        <v>1976</v>
      </c>
      <c r="G1133" s="14" t="s">
        <v>4095</v>
      </c>
      <c r="H1133" s="13"/>
      <c r="I1133" s="13"/>
      <c r="J1133" s="13"/>
      <c r="K1133" s="13"/>
      <c r="L1133" s="13"/>
      <c r="M1133" s="13"/>
      <c r="N1133" s="13"/>
      <c r="O1133" s="13"/>
      <c r="P1133" s="13"/>
      <c r="Q1133" s="13"/>
      <c r="R1133" s="13"/>
      <c r="S1133" s="13"/>
    </row>
    <row r="1134" ht="15.75" customHeight="1">
      <c r="A1134" s="14" t="s">
        <v>4096</v>
      </c>
      <c r="B1134" s="14" t="s">
        <v>316</v>
      </c>
      <c r="C1134" s="14" t="s">
        <v>4097</v>
      </c>
      <c r="D1134" s="14">
        <v>100.0</v>
      </c>
      <c r="E1134" s="14" t="s">
        <v>318</v>
      </c>
      <c r="F1134" s="14" t="s">
        <v>1047</v>
      </c>
      <c r="G1134" s="14" t="s">
        <v>4098</v>
      </c>
      <c r="H1134" s="13"/>
      <c r="I1134" s="13"/>
      <c r="J1134" s="13"/>
      <c r="K1134" s="13"/>
      <c r="L1134" s="13"/>
      <c r="M1134" s="13"/>
      <c r="N1134" s="13"/>
      <c r="O1134" s="13"/>
      <c r="P1134" s="13"/>
      <c r="Q1134" s="13"/>
      <c r="R1134" s="13"/>
      <c r="S1134" s="13"/>
    </row>
    <row r="1135" ht="15.75" customHeight="1">
      <c r="A1135" s="14" t="s">
        <v>4099</v>
      </c>
      <c r="B1135" s="14" t="s">
        <v>316</v>
      </c>
      <c r="C1135" s="14" t="s">
        <v>4100</v>
      </c>
      <c r="D1135" s="14">
        <v>100.0</v>
      </c>
      <c r="E1135" s="14" t="s">
        <v>318</v>
      </c>
      <c r="F1135" s="14" t="s">
        <v>1976</v>
      </c>
      <c r="G1135" s="14" t="s">
        <v>4101</v>
      </c>
      <c r="H1135" s="13"/>
      <c r="I1135" s="13"/>
      <c r="J1135" s="13"/>
      <c r="K1135" s="13"/>
      <c r="L1135" s="13"/>
      <c r="M1135" s="13"/>
      <c r="N1135" s="13"/>
      <c r="O1135" s="13"/>
      <c r="P1135" s="13"/>
      <c r="Q1135" s="13"/>
      <c r="R1135" s="13"/>
      <c r="S1135" s="13"/>
    </row>
    <row r="1136" ht="15.75" customHeight="1">
      <c r="A1136" s="14" t="s">
        <v>4102</v>
      </c>
      <c r="B1136" s="14" t="s">
        <v>316</v>
      </c>
      <c r="C1136" s="14" t="s">
        <v>4103</v>
      </c>
      <c r="D1136" s="14">
        <v>100.0</v>
      </c>
      <c r="E1136" s="14" t="s">
        <v>318</v>
      </c>
      <c r="F1136" s="14" t="s">
        <v>4104</v>
      </c>
      <c r="G1136" s="14" t="s">
        <v>4105</v>
      </c>
      <c r="H1136" s="13"/>
      <c r="I1136" s="13"/>
      <c r="J1136" s="13"/>
      <c r="K1136" s="13"/>
      <c r="L1136" s="13"/>
      <c r="M1136" s="13"/>
      <c r="N1136" s="13"/>
      <c r="O1136" s="13"/>
      <c r="P1136" s="13"/>
      <c r="Q1136" s="13"/>
      <c r="R1136" s="13"/>
      <c r="S1136" s="13"/>
    </row>
    <row r="1137" ht="15.75" customHeight="1">
      <c r="A1137" s="14" t="s">
        <v>4106</v>
      </c>
      <c r="B1137" s="14" t="s">
        <v>316</v>
      </c>
      <c r="C1137" s="14" t="s">
        <v>4107</v>
      </c>
      <c r="D1137" s="14">
        <v>100.0</v>
      </c>
      <c r="E1137" s="14" t="s">
        <v>318</v>
      </c>
      <c r="F1137" s="14" t="s">
        <v>4108</v>
      </c>
      <c r="G1137" s="14" t="s">
        <v>4109</v>
      </c>
      <c r="H1137" s="13"/>
      <c r="I1137" s="13"/>
      <c r="J1137" s="13"/>
      <c r="K1137" s="13"/>
      <c r="L1137" s="13"/>
      <c r="M1137" s="13"/>
      <c r="N1137" s="13"/>
      <c r="O1137" s="13"/>
      <c r="P1137" s="13"/>
      <c r="Q1137" s="13"/>
      <c r="R1137" s="13"/>
      <c r="S1137" s="13"/>
    </row>
    <row r="1138" ht="15.75" customHeight="1">
      <c r="A1138" s="14" t="s">
        <v>4110</v>
      </c>
      <c r="B1138" s="14" t="s">
        <v>316</v>
      </c>
      <c r="C1138" s="14" t="s">
        <v>4111</v>
      </c>
      <c r="D1138" s="14">
        <v>100.0</v>
      </c>
      <c r="E1138" s="14" t="s">
        <v>318</v>
      </c>
      <c r="F1138" s="14" t="s">
        <v>4112</v>
      </c>
      <c r="G1138" s="14" t="s">
        <v>4113</v>
      </c>
      <c r="H1138" s="13"/>
      <c r="I1138" s="13"/>
      <c r="J1138" s="13"/>
      <c r="K1138" s="13"/>
      <c r="L1138" s="13"/>
      <c r="M1138" s="13"/>
      <c r="N1138" s="13"/>
      <c r="O1138" s="13"/>
      <c r="P1138" s="13"/>
      <c r="Q1138" s="13"/>
      <c r="R1138" s="13"/>
      <c r="S1138" s="13"/>
    </row>
    <row r="1139" ht="15.75" customHeight="1">
      <c r="A1139" s="14" t="s">
        <v>4114</v>
      </c>
      <c r="B1139" s="14" t="s">
        <v>316</v>
      </c>
      <c r="C1139" s="14" t="s">
        <v>4115</v>
      </c>
      <c r="D1139" s="14">
        <v>100.0</v>
      </c>
      <c r="E1139" s="14" t="s">
        <v>318</v>
      </c>
      <c r="F1139" s="14" t="s">
        <v>4116</v>
      </c>
      <c r="G1139" s="14" t="s">
        <v>4117</v>
      </c>
      <c r="H1139" s="13"/>
      <c r="I1139" s="13"/>
      <c r="J1139" s="13"/>
      <c r="K1139" s="13"/>
      <c r="L1139" s="13"/>
      <c r="M1139" s="13"/>
      <c r="N1139" s="13"/>
      <c r="O1139" s="13"/>
      <c r="P1139" s="13"/>
      <c r="Q1139" s="13"/>
      <c r="R1139" s="13"/>
      <c r="S1139" s="13"/>
    </row>
    <row r="1140" ht="15.75" customHeight="1">
      <c r="A1140" s="14" t="s">
        <v>4118</v>
      </c>
      <c r="B1140" s="14" t="s">
        <v>316</v>
      </c>
      <c r="C1140" s="14" t="s">
        <v>4119</v>
      </c>
      <c r="D1140" s="14">
        <v>100.0</v>
      </c>
      <c r="E1140" s="14" t="s">
        <v>318</v>
      </c>
      <c r="F1140" s="14" t="s">
        <v>4120</v>
      </c>
      <c r="G1140" s="14" t="s">
        <v>4121</v>
      </c>
      <c r="H1140" s="13"/>
      <c r="I1140" s="13"/>
      <c r="J1140" s="13"/>
      <c r="K1140" s="13"/>
      <c r="L1140" s="13"/>
      <c r="M1140" s="13"/>
      <c r="N1140" s="13"/>
      <c r="O1140" s="13"/>
      <c r="P1140" s="13"/>
      <c r="Q1140" s="13"/>
      <c r="R1140" s="13"/>
      <c r="S1140" s="13"/>
    </row>
    <row r="1141" ht="15.75" customHeight="1">
      <c r="A1141" s="14" t="s">
        <v>4122</v>
      </c>
      <c r="B1141" s="14" t="s">
        <v>316</v>
      </c>
      <c r="C1141" s="14" t="s">
        <v>4123</v>
      </c>
      <c r="D1141" s="14">
        <v>100.0</v>
      </c>
      <c r="E1141" s="14" t="s">
        <v>318</v>
      </c>
      <c r="F1141" s="14" t="s">
        <v>4120</v>
      </c>
      <c r="G1141" s="14" t="s">
        <v>4124</v>
      </c>
      <c r="H1141" s="13"/>
      <c r="I1141" s="13"/>
      <c r="J1141" s="13"/>
      <c r="K1141" s="13"/>
      <c r="L1141" s="13"/>
      <c r="M1141" s="13"/>
      <c r="N1141" s="13"/>
      <c r="O1141" s="13"/>
      <c r="P1141" s="13"/>
      <c r="Q1141" s="13"/>
      <c r="R1141" s="13"/>
      <c r="S1141" s="13"/>
    </row>
    <row r="1142" ht="15.75" customHeight="1">
      <c r="A1142" s="14" t="s">
        <v>4125</v>
      </c>
      <c r="B1142" s="14" t="s">
        <v>316</v>
      </c>
      <c r="C1142" s="14" t="s">
        <v>4126</v>
      </c>
      <c r="D1142" s="14">
        <v>100.0</v>
      </c>
      <c r="E1142" s="14" t="s">
        <v>318</v>
      </c>
      <c r="F1142" s="14" t="s">
        <v>4127</v>
      </c>
      <c r="G1142" s="14" t="s">
        <v>4128</v>
      </c>
      <c r="H1142" s="13"/>
      <c r="I1142" s="13"/>
      <c r="J1142" s="13"/>
      <c r="K1142" s="13"/>
      <c r="L1142" s="13"/>
      <c r="M1142" s="13"/>
      <c r="N1142" s="13"/>
      <c r="O1142" s="13"/>
      <c r="P1142" s="13"/>
      <c r="Q1142" s="13"/>
      <c r="R1142" s="13"/>
      <c r="S1142" s="13"/>
    </row>
    <row r="1143" ht="15.75" customHeight="1">
      <c r="A1143" s="14" t="s">
        <v>4129</v>
      </c>
      <c r="B1143" s="14" t="s">
        <v>316</v>
      </c>
      <c r="C1143" s="14" t="s">
        <v>4130</v>
      </c>
      <c r="D1143" s="14">
        <v>100.0</v>
      </c>
      <c r="E1143" s="14" t="s">
        <v>318</v>
      </c>
      <c r="F1143" s="14" t="s">
        <v>4131</v>
      </c>
      <c r="G1143" s="14" t="s">
        <v>4132</v>
      </c>
      <c r="H1143" s="13"/>
      <c r="I1143" s="13"/>
      <c r="J1143" s="13"/>
      <c r="K1143" s="13"/>
      <c r="L1143" s="13"/>
      <c r="M1143" s="13"/>
      <c r="N1143" s="13"/>
      <c r="O1143" s="13"/>
      <c r="P1143" s="13"/>
      <c r="Q1143" s="13"/>
      <c r="R1143" s="13"/>
      <c r="S1143" s="13"/>
    </row>
    <row r="1144" ht="15.75" customHeight="1">
      <c r="A1144" s="14" t="s">
        <v>4133</v>
      </c>
      <c r="B1144" s="14" t="s">
        <v>316</v>
      </c>
      <c r="C1144" s="14" t="s">
        <v>4134</v>
      </c>
      <c r="D1144" s="14">
        <v>100.0</v>
      </c>
      <c r="E1144" s="14" t="s">
        <v>318</v>
      </c>
      <c r="F1144" s="14" t="s">
        <v>4135</v>
      </c>
      <c r="G1144" s="14" t="s">
        <v>4136</v>
      </c>
      <c r="H1144" s="13"/>
      <c r="I1144" s="13"/>
      <c r="J1144" s="13"/>
      <c r="K1144" s="13"/>
      <c r="L1144" s="13"/>
      <c r="M1144" s="13"/>
      <c r="N1144" s="13"/>
      <c r="O1144" s="13"/>
      <c r="P1144" s="13"/>
      <c r="Q1144" s="13"/>
      <c r="R1144" s="13"/>
      <c r="S1144" s="13"/>
    </row>
    <row r="1145" ht="15.75" customHeight="1">
      <c r="A1145" s="14" t="s">
        <v>4137</v>
      </c>
      <c r="B1145" s="14" t="s">
        <v>316</v>
      </c>
      <c r="C1145" s="14" t="s">
        <v>4138</v>
      </c>
      <c r="D1145" s="14">
        <v>100.0</v>
      </c>
      <c r="E1145" s="14" t="s">
        <v>318</v>
      </c>
      <c r="F1145" s="14" t="s">
        <v>4139</v>
      </c>
      <c r="G1145" s="14" t="s">
        <v>4140</v>
      </c>
      <c r="H1145" s="13"/>
      <c r="I1145" s="13"/>
      <c r="J1145" s="13"/>
      <c r="K1145" s="13"/>
      <c r="L1145" s="13"/>
      <c r="M1145" s="13"/>
      <c r="N1145" s="13"/>
      <c r="O1145" s="13"/>
      <c r="P1145" s="13"/>
      <c r="Q1145" s="13"/>
      <c r="R1145" s="13"/>
      <c r="S1145" s="13"/>
    </row>
    <row r="1146" ht="15.75" customHeight="1">
      <c r="A1146" s="14" t="s">
        <v>4141</v>
      </c>
      <c r="B1146" s="14" t="s">
        <v>316</v>
      </c>
      <c r="C1146" s="14" t="s">
        <v>4142</v>
      </c>
      <c r="D1146" s="14">
        <v>100.0</v>
      </c>
      <c r="E1146" s="14" t="s">
        <v>318</v>
      </c>
      <c r="F1146" s="14" t="s">
        <v>2515</v>
      </c>
      <c r="G1146" s="14" t="s">
        <v>4143</v>
      </c>
      <c r="H1146" s="13"/>
      <c r="I1146" s="13"/>
      <c r="J1146" s="13"/>
      <c r="K1146" s="13"/>
      <c r="L1146" s="13"/>
      <c r="M1146" s="13"/>
      <c r="N1146" s="13"/>
      <c r="O1146" s="13"/>
      <c r="P1146" s="13"/>
      <c r="Q1146" s="13"/>
      <c r="R1146" s="13"/>
      <c r="S1146" s="13"/>
    </row>
    <row r="1147" ht="15.75" customHeight="1">
      <c r="A1147" s="14" t="s">
        <v>4144</v>
      </c>
      <c r="B1147" s="14" t="s">
        <v>316</v>
      </c>
      <c r="C1147" s="14" t="s">
        <v>4145</v>
      </c>
      <c r="D1147" s="14">
        <v>100.0</v>
      </c>
      <c r="E1147" s="14" t="s">
        <v>318</v>
      </c>
      <c r="F1147" s="14" t="s">
        <v>4146</v>
      </c>
      <c r="G1147" s="14" t="s">
        <v>4147</v>
      </c>
      <c r="H1147" s="13"/>
      <c r="I1147" s="13"/>
      <c r="J1147" s="13"/>
      <c r="K1147" s="13"/>
      <c r="L1147" s="13"/>
      <c r="M1147" s="13"/>
      <c r="N1147" s="13"/>
      <c r="O1147" s="13"/>
      <c r="P1147" s="13"/>
      <c r="Q1147" s="13"/>
      <c r="R1147" s="13"/>
      <c r="S1147" s="13"/>
    </row>
    <row r="1148" ht="15.75" customHeight="1">
      <c r="A1148" s="14" t="s">
        <v>4148</v>
      </c>
      <c r="B1148" s="14" t="s">
        <v>316</v>
      </c>
      <c r="C1148" s="14" t="s">
        <v>4149</v>
      </c>
      <c r="D1148" s="14">
        <v>100.0</v>
      </c>
      <c r="E1148" s="14" t="s">
        <v>318</v>
      </c>
      <c r="F1148" s="14" t="s">
        <v>4146</v>
      </c>
      <c r="G1148" s="14" t="s">
        <v>4150</v>
      </c>
      <c r="H1148" s="13"/>
      <c r="I1148" s="13"/>
      <c r="J1148" s="13"/>
      <c r="K1148" s="13"/>
      <c r="L1148" s="13"/>
      <c r="M1148" s="13"/>
      <c r="N1148" s="13"/>
      <c r="O1148" s="13"/>
      <c r="P1148" s="13"/>
      <c r="Q1148" s="13"/>
      <c r="R1148" s="13"/>
      <c r="S1148" s="13"/>
    </row>
    <row r="1149" ht="15.75" customHeight="1">
      <c r="A1149" s="14" t="s">
        <v>4151</v>
      </c>
      <c r="B1149" s="14" t="s">
        <v>316</v>
      </c>
      <c r="C1149" s="14" t="s">
        <v>4152</v>
      </c>
      <c r="D1149" s="14">
        <v>100.0</v>
      </c>
      <c r="E1149" s="14" t="s">
        <v>318</v>
      </c>
      <c r="F1149" s="14" t="s">
        <v>4146</v>
      </c>
      <c r="G1149" s="14" t="s">
        <v>4153</v>
      </c>
      <c r="H1149" s="13"/>
      <c r="I1149" s="13"/>
      <c r="J1149" s="13"/>
      <c r="K1149" s="13"/>
      <c r="L1149" s="13"/>
      <c r="M1149" s="13"/>
      <c r="N1149" s="13"/>
      <c r="O1149" s="13"/>
      <c r="P1149" s="13"/>
      <c r="Q1149" s="13"/>
      <c r="R1149" s="13"/>
      <c r="S1149" s="13"/>
    </row>
    <row r="1150" ht="15.75" customHeight="1">
      <c r="A1150" s="14" t="s">
        <v>4154</v>
      </c>
      <c r="B1150" s="14" t="s">
        <v>316</v>
      </c>
      <c r="C1150" s="14" t="s">
        <v>4155</v>
      </c>
      <c r="D1150" s="14">
        <v>100.0</v>
      </c>
      <c r="E1150" s="14" t="s">
        <v>318</v>
      </c>
      <c r="F1150" s="14" t="s">
        <v>4146</v>
      </c>
      <c r="G1150" s="14" t="s">
        <v>4156</v>
      </c>
      <c r="H1150" s="13"/>
      <c r="I1150" s="13"/>
      <c r="J1150" s="13"/>
      <c r="K1150" s="13"/>
      <c r="L1150" s="13"/>
      <c r="M1150" s="13"/>
      <c r="N1150" s="13"/>
      <c r="O1150" s="13"/>
      <c r="P1150" s="13"/>
      <c r="Q1150" s="13"/>
      <c r="R1150" s="13"/>
      <c r="S1150" s="13"/>
    </row>
    <row r="1151" ht="15.75" customHeight="1">
      <c r="A1151" s="14" t="s">
        <v>4157</v>
      </c>
      <c r="B1151" s="14" t="s">
        <v>316</v>
      </c>
      <c r="C1151" s="14" t="s">
        <v>4158</v>
      </c>
      <c r="D1151" s="14">
        <v>100.0</v>
      </c>
      <c r="E1151" s="14" t="s">
        <v>318</v>
      </c>
      <c r="F1151" s="14" t="s">
        <v>4146</v>
      </c>
      <c r="G1151" s="14" t="s">
        <v>4159</v>
      </c>
      <c r="H1151" s="13"/>
      <c r="I1151" s="13"/>
      <c r="J1151" s="13"/>
      <c r="K1151" s="13"/>
      <c r="L1151" s="13"/>
      <c r="M1151" s="13"/>
      <c r="N1151" s="13"/>
      <c r="O1151" s="13"/>
      <c r="P1151" s="13"/>
      <c r="Q1151" s="13"/>
      <c r="R1151" s="13"/>
      <c r="S1151" s="13"/>
    </row>
    <row r="1152" ht="15.75" customHeight="1">
      <c r="A1152" s="14" t="s">
        <v>4160</v>
      </c>
      <c r="B1152" s="14" t="s">
        <v>316</v>
      </c>
      <c r="C1152" s="14" t="s">
        <v>4161</v>
      </c>
      <c r="D1152" s="14">
        <v>100.0</v>
      </c>
      <c r="E1152" s="14" t="s">
        <v>318</v>
      </c>
      <c r="F1152" s="14" t="s">
        <v>4162</v>
      </c>
      <c r="G1152" s="14" t="s">
        <v>4163</v>
      </c>
      <c r="H1152" s="13"/>
      <c r="I1152" s="13"/>
      <c r="J1152" s="13"/>
      <c r="K1152" s="13"/>
      <c r="L1152" s="13"/>
      <c r="M1152" s="13"/>
      <c r="N1152" s="13"/>
      <c r="O1152" s="13"/>
      <c r="P1152" s="13"/>
      <c r="Q1152" s="13"/>
      <c r="R1152" s="13"/>
      <c r="S1152" s="13"/>
    </row>
    <row r="1153" ht="15.75" customHeight="1">
      <c r="A1153" s="14" t="s">
        <v>4164</v>
      </c>
      <c r="B1153" s="14" t="s">
        <v>316</v>
      </c>
      <c r="C1153" s="14" t="s">
        <v>4165</v>
      </c>
      <c r="D1153" s="14">
        <v>100.0</v>
      </c>
      <c r="E1153" s="14" t="s">
        <v>318</v>
      </c>
      <c r="F1153" s="14" t="s">
        <v>4166</v>
      </c>
      <c r="G1153" s="14" t="s">
        <v>4167</v>
      </c>
      <c r="H1153" s="13"/>
      <c r="I1153" s="13"/>
      <c r="J1153" s="13"/>
      <c r="K1153" s="13"/>
      <c r="L1153" s="13"/>
      <c r="M1153" s="13"/>
      <c r="N1153" s="13"/>
      <c r="O1153" s="13"/>
      <c r="P1153" s="13"/>
      <c r="Q1153" s="13"/>
      <c r="R1153" s="13"/>
      <c r="S1153" s="13"/>
    </row>
    <row r="1154" ht="15.75" customHeight="1">
      <c r="A1154" s="14" t="s">
        <v>4168</v>
      </c>
      <c r="B1154" s="14" t="s">
        <v>316</v>
      </c>
      <c r="C1154" s="14" t="s">
        <v>4169</v>
      </c>
      <c r="D1154" s="14">
        <v>100.0</v>
      </c>
      <c r="E1154" s="14" t="s">
        <v>318</v>
      </c>
      <c r="F1154" s="14" t="s">
        <v>4170</v>
      </c>
      <c r="G1154" s="14" t="s">
        <v>4171</v>
      </c>
      <c r="H1154" s="13"/>
      <c r="I1154" s="13"/>
      <c r="J1154" s="13"/>
      <c r="K1154" s="13"/>
      <c r="L1154" s="13"/>
      <c r="M1154" s="13"/>
      <c r="N1154" s="13"/>
      <c r="O1154" s="13"/>
      <c r="P1154" s="13"/>
      <c r="Q1154" s="13"/>
      <c r="R1154" s="13"/>
      <c r="S1154" s="13"/>
    </row>
    <row r="1155" ht="15.75" customHeight="1">
      <c r="A1155" s="14" t="s">
        <v>4172</v>
      </c>
      <c r="B1155" s="14" t="s">
        <v>316</v>
      </c>
      <c r="C1155" s="14" t="s">
        <v>4173</v>
      </c>
      <c r="D1155" s="14">
        <v>100.0</v>
      </c>
      <c r="E1155" s="14" t="s">
        <v>318</v>
      </c>
      <c r="F1155" s="14" t="s">
        <v>4174</v>
      </c>
      <c r="G1155" s="14" t="s">
        <v>4175</v>
      </c>
      <c r="H1155" s="13"/>
      <c r="I1155" s="13"/>
      <c r="J1155" s="13"/>
      <c r="K1155" s="13"/>
      <c r="L1155" s="13"/>
      <c r="M1155" s="13"/>
      <c r="N1155" s="13"/>
      <c r="O1155" s="13"/>
      <c r="P1155" s="13"/>
      <c r="Q1155" s="13"/>
      <c r="R1155" s="13"/>
      <c r="S1155" s="13"/>
    </row>
    <row r="1156" ht="15.75" customHeight="1">
      <c r="A1156" s="14" t="s">
        <v>4176</v>
      </c>
      <c r="B1156" s="14" t="s">
        <v>316</v>
      </c>
      <c r="C1156" s="14" t="s">
        <v>4177</v>
      </c>
      <c r="D1156" s="14">
        <v>100.0</v>
      </c>
      <c r="E1156" s="14" t="s">
        <v>318</v>
      </c>
      <c r="F1156" s="14" t="s">
        <v>4178</v>
      </c>
      <c r="G1156" s="14" t="s">
        <v>4179</v>
      </c>
      <c r="H1156" s="13"/>
      <c r="I1156" s="13"/>
      <c r="J1156" s="13"/>
      <c r="K1156" s="13"/>
      <c r="L1156" s="13"/>
      <c r="M1156" s="13"/>
      <c r="N1156" s="13"/>
      <c r="O1156" s="13"/>
      <c r="P1156" s="13"/>
      <c r="Q1156" s="13"/>
      <c r="R1156" s="13"/>
      <c r="S1156" s="13"/>
    </row>
    <row r="1157" ht="15.75" customHeight="1">
      <c r="A1157" s="14" t="s">
        <v>4180</v>
      </c>
      <c r="B1157" s="14" t="s">
        <v>316</v>
      </c>
      <c r="C1157" s="14" t="s">
        <v>4181</v>
      </c>
      <c r="D1157" s="14">
        <v>100.0</v>
      </c>
      <c r="E1157" s="14" t="s">
        <v>318</v>
      </c>
      <c r="F1157" s="14" t="s">
        <v>4182</v>
      </c>
      <c r="G1157" s="14" t="s">
        <v>4183</v>
      </c>
      <c r="H1157" s="13"/>
      <c r="I1157" s="13"/>
      <c r="J1157" s="13"/>
      <c r="K1157" s="13"/>
      <c r="L1157" s="13"/>
      <c r="M1157" s="13"/>
      <c r="N1157" s="13"/>
      <c r="O1157" s="13"/>
      <c r="P1157" s="13"/>
      <c r="Q1157" s="13"/>
      <c r="R1157" s="13"/>
      <c r="S1157" s="13"/>
    </row>
    <row r="1158" ht="15.75" customHeight="1">
      <c r="A1158" s="14" t="s">
        <v>4184</v>
      </c>
      <c r="B1158" s="14" t="s">
        <v>316</v>
      </c>
      <c r="C1158" s="14" t="s">
        <v>4185</v>
      </c>
      <c r="D1158" s="14">
        <v>100.0</v>
      </c>
      <c r="E1158" s="14" t="s">
        <v>318</v>
      </c>
      <c r="F1158" s="14" t="s">
        <v>755</v>
      </c>
      <c r="G1158" s="14" t="s">
        <v>4186</v>
      </c>
      <c r="H1158" s="13"/>
      <c r="I1158" s="13"/>
      <c r="J1158" s="13"/>
      <c r="K1158" s="13"/>
      <c r="L1158" s="13"/>
      <c r="M1158" s="13"/>
      <c r="N1158" s="13"/>
      <c r="O1158" s="13"/>
      <c r="P1158" s="13"/>
      <c r="Q1158" s="13"/>
      <c r="R1158" s="13"/>
      <c r="S1158" s="13"/>
    </row>
    <row r="1159" ht="15.75" customHeight="1">
      <c r="A1159" s="14" t="s">
        <v>4187</v>
      </c>
      <c r="B1159" s="14" t="s">
        <v>316</v>
      </c>
      <c r="C1159" s="14" t="s">
        <v>4188</v>
      </c>
      <c r="D1159" s="14">
        <v>100.0</v>
      </c>
      <c r="E1159" s="14" t="s">
        <v>318</v>
      </c>
      <c r="F1159" s="14" t="s">
        <v>755</v>
      </c>
      <c r="G1159" s="14" t="s">
        <v>4189</v>
      </c>
      <c r="H1159" s="13"/>
      <c r="I1159" s="13"/>
      <c r="J1159" s="13"/>
      <c r="K1159" s="13"/>
      <c r="L1159" s="13"/>
      <c r="M1159" s="13"/>
      <c r="N1159" s="13"/>
      <c r="O1159" s="13"/>
      <c r="P1159" s="13"/>
      <c r="Q1159" s="13"/>
      <c r="R1159" s="13"/>
      <c r="S1159" s="13"/>
    </row>
    <row r="1160" ht="15.75" customHeight="1">
      <c r="A1160" s="14" t="s">
        <v>4190</v>
      </c>
      <c r="B1160" s="14" t="s">
        <v>316</v>
      </c>
      <c r="C1160" s="14" t="s">
        <v>4191</v>
      </c>
      <c r="D1160" s="14">
        <v>100.0</v>
      </c>
      <c r="E1160" s="14" t="s">
        <v>318</v>
      </c>
      <c r="F1160" s="14" t="s">
        <v>4192</v>
      </c>
      <c r="G1160" s="14" t="s">
        <v>4193</v>
      </c>
      <c r="H1160" s="13"/>
      <c r="I1160" s="13"/>
      <c r="J1160" s="13"/>
      <c r="K1160" s="13"/>
      <c r="L1160" s="13"/>
      <c r="M1160" s="13"/>
      <c r="N1160" s="13"/>
      <c r="O1160" s="13"/>
      <c r="P1160" s="13"/>
      <c r="Q1160" s="13"/>
      <c r="R1160" s="13"/>
      <c r="S1160" s="13"/>
    </row>
    <row r="1161" ht="15.75" customHeight="1">
      <c r="A1161" s="14" t="s">
        <v>4194</v>
      </c>
      <c r="B1161" s="14" t="s">
        <v>316</v>
      </c>
      <c r="C1161" s="14" t="s">
        <v>4195</v>
      </c>
      <c r="D1161" s="14">
        <v>100.0</v>
      </c>
      <c r="E1161" s="14" t="s">
        <v>318</v>
      </c>
      <c r="F1161" s="14" t="s">
        <v>4196</v>
      </c>
      <c r="G1161" s="14" t="s">
        <v>4197</v>
      </c>
      <c r="H1161" s="13"/>
      <c r="I1161" s="13"/>
      <c r="J1161" s="13"/>
      <c r="K1161" s="13"/>
      <c r="L1161" s="13"/>
      <c r="M1161" s="13"/>
      <c r="N1161" s="13"/>
      <c r="O1161" s="13"/>
      <c r="P1161" s="13"/>
      <c r="Q1161" s="13"/>
      <c r="R1161" s="13"/>
      <c r="S1161" s="13"/>
    </row>
    <row r="1162" ht="15.75" customHeight="1">
      <c r="A1162" s="14" t="s">
        <v>4198</v>
      </c>
      <c r="B1162" s="14" t="s">
        <v>316</v>
      </c>
      <c r="C1162" s="14" t="s">
        <v>4199</v>
      </c>
      <c r="D1162" s="14">
        <v>100.0</v>
      </c>
      <c r="E1162" s="14" t="s">
        <v>318</v>
      </c>
      <c r="F1162" s="14" t="s">
        <v>4200</v>
      </c>
      <c r="G1162" s="14" t="s">
        <v>4201</v>
      </c>
      <c r="H1162" s="13"/>
      <c r="I1162" s="13"/>
      <c r="J1162" s="13"/>
      <c r="K1162" s="13"/>
      <c r="L1162" s="13"/>
      <c r="M1162" s="13"/>
      <c r="N1162" s="13"/>
      <c r="O1162" s="13"/>
      <c r="P1162" s="13"/>
      <c r="Q1162" s="13"/>
      <c r="R1162" s="13"/>
      <c r="S1162" s="13"/>
    </row>
    <row r="1163" ht="15.75" customHeight="1">
      <c r="A1163" s="14" t="s">
        <v>4202</v>
      </c>
      <c r="B1163" s="14" t="s">
        <v>316</v>
      </c>
      <c r="C1163" s="14" t="s">
        <v>4203</v>
      </c>
      <c r="D1163" s="14">
        <v>100.0</v>
      </c>
      <c r="E1163" s="14" t="s">
        <v>318</v>
      </c>
      <c r="F1163" s="14" t="s">
        <v>4204</v>
      </c>
      <c r="G1163" s="14" t="s">
        <v>4205</v>
      </c>
      <c r="H1163" s="13"/>
      <c r="I1163" s="13"/>
      <c r="J1163" s="13"/>
      <c r="K1163" s="13"/>
      <c r="L1163" s="13"/>
      <c r="M1163" s="13"/>
      <c r="N1163" s="13"/>
      <c r="O1163" s="13"/>
      <c r="P1163" s="13"/>
      <c r="Q1163" s="13"/>
      <c r="R1163" s="13"/>
      <c r="S1163" s="13"/>
    </row>
    <row r="1164" ht="15.75" customHeight="1">
      <c r="A1164" s="14" t="s">
        <v>4206</v>
      </c>
      <c r="B1164" s="14" t="s">
        <v>316</v>
      </c>
      <c r="C1164" s="14" t="s">
        <v>4207</v>
      </c>
      <c r="D1164" s="14">
        <v>100.0</v>
      </c>
      <c r="E1164" s="14" t="s">
        <v>318</v>
      </c>
      <c r="F1164" s="14" t="s">
        <v>4204</v>
      </c>
      <c r="G1164" s="14" t="s">
        <v>4208</v>
      </c>
      <c r="H1164" s="13"/>
      <c r="I1164" s="13"/>
      <c r="J1164" s="13"/>
      <c r="K1164" s="13"/>
      <c r="L1164" s="13"/>
      <c r="M1164" s="13"/>
      <c r="N1164" s="13"/>
      <c r="O1164" s="13"/>
      <c r="P1164" s="13"/>
      <c r="Q1164" s="13"/>
      <c r="R1164" s="13"/>
      <c r="S1164" s="13"/>
    </row>
    <row r="1165" ht="15.75" customHeight="1">
      <c r="A1165" s="14" t="s">
        <v>4209</v>
      </c>
      <c r="B1165" s="14" t="s">
        <v>316</v>
      </c>
      <c r="C1165" s="14" t="s">
        <v>4210</v>
      </c>
      <c r="D1165" s="14">
        <v>100.0</v>
      </c>
      <c r="E1165" s="14" t="s">
        <v>318</v>
      </c>
      <c r="F1165" s="14" t="s">
        <v>4211</v>
      </c>
      <c r="G1165" s="14" t="s">
        <v>4212</v>
      </c>
      <c r="H1165" s="13"/>
      <c r="I1165" s="13"/>
      <c r="J1165" s="13"/>
      <c r="K1165" s="13"/>
      <c r="L1165" s="13"/>
      <c r="M1165" s="13"/>
      <c r="N1165" s="13"/>
      <c r="O1165" s="13"/>
      <c r="P1165" s="13"/>
      <c r="Q1165" s="13"/>
      <c r="R1165" s="13"/>
      <c r="S1165" s="13"/>
    </row>
    <row r="1166" ht="15.75" customHeight="1">
      <c r="A1166" s="14" t="s">
        <v>4213</v>
      </c>
      <c r="B1166" s="14" t="s">
        <v>316</v>
      </c>
      <c r="C1166" s="14" t="s">
        <v>4214</v>
      </c>
      <c r="D1166" s="14">
        <v>100.0</v>
      </c>
      <c r="E1166" s="14" t="s">
        <v>318</v>
      </c>
      <c r="F1166" s="14" t="s">
        <v>1813</v>
      </c>
      <c r="G1166" s="14" t="s">
        <v>4215</v>
      </c>
      <c r="H1166" s="13"/>
      <c r="I1166" s="13"/>
      <c r="J1166" s="13"/>
      <c r="K1166" s="13"/>
      <c r="L1166" s="13"/>
      <c r="M1166" s="13"/>
      <c r="N1166" s="13"/>
      <c r="O1166" s="13"/>
      <c r="P1166" s="13"/>
      <c r="Q1166" s="13"/>
      <c r="R1166" s="13"/>
      <c r="S1166" s="13"/>
    </row>
    <row r="1167" ht="15.75" customHeight="1">
      <c r="A1167" s="14" t="s">
        <v>4216</v>
      </c>
      <c r="B1167" s="14" t="s">
        <v>316</v>
      </c>
      <c r="C1167" s="14" t="s">
        <v>4217</v>
      </c>
      <c r="D1167" s="14">
        <v>100.0</v>
      </c>
      <c r="E1167" s="14" t="s">
        <v>318</v>
      </c>
      <c r="F1167" s="14" t="s">
        <v>4218</v>
      </c>
      <c r="G1167" s="14" t="s">
        <v>4219</v>
      </c>
      <c r="H1167" s="13"/>
      <c r="I1167" s="13"/>
      <c r="J1167" s="13"/>
      <c r="K1167" s="13"/>
      <c r="L1167" s="13"/>
      <c r="M1167" s="13"/>
      <c r="N1167" s="13"/>
      <c r="O1167" s="13"/>
      <c r="P1167" s="13"/>
      <c r="Q1167" s="13"/>
      <c r="R1167" s="13"/>
      <c r="S1167" s="13"/>
    </row>
    <row r="1168" ht="15.75" customHeight="1">
      <c r="A1168" s="14" t="s">
        <v>4220</v>
      </c>
      <c r="B1168" s="14" t="s">
        <v>316</v>
      </c>
      <c r="C1168" s="14" t="s">
        <v>4221</v>
      </c>
      <c r="D1168" s="14">
        <v>100.0</v>
      </c>
      <c r="E1168" s="14" t="s">
        <v>318</v>
      </c>
      <c r="F1168" s="14" t="s">
        <v>4222</v>
      </c>
      <c r="G1168" s="14" t="s">
        <v>4223</v>
      </c>
      <c r="H1168" s="13"/>
      <c r="I1168" s="13"/>
      <c r="J1168" s="13"/>
      <c r="K1168" s="13"/>
      <c r="L1168" s="13"/>
      <c r="M1168" s="13"/>
      <c r="N1168" s="13"/>
      <c r="O1168" s="13"/>
      <c r="P1168" s="13"/>
      <c r="Q1168" s="13"/>
      <c r="R1168" s="13"/>
      <c r="S1168" s="13"/>
    </row>
    <row r="1169" ht="15.75" customHeight="1">
      <c r="A1169" s="14" t="s">
        <v>4224</v>
      </c>
      <c r="B1169" s="14" t="s">
        <v>316</v>
      </c>
      <c r="C1169" s="14" t="s">
        <v>4225</v>
      </c>
      <c r="D1169" s="14">
        <v>100.0</v>
      </c>
      <c r="E1169" s="14" t="s">
        <v>318</v>
      </c>
      <c r="F1169" s="14" t="s">
        <v>4226</v>
      </c>
      <c r="G1169" s="14" t="s">
        <v>4227</v>
      </c>
      <c r="H1169" s="13"/>
      <c r="I1169" s="13"/>
      <c r="J1169" s="13"/>
      <c r="K1169" s="13"/>
      <c r="L1169" s="13"/>
      <c r="M1169" s="13"/>
      <c r="N1169" s="13"/>
      <c r="O1169" s="13"/>
      <c r="P1169" s="13"/>
      <c r="Q1169" s="13"/>
      <c r="R1169" s="13"/>
      <c r="S1169" s="13"/>
    </row>
    <row r="1170" ht="15.75" customHeight="1">
      <c r="A1170" s="14" t="s">
        <v>4228</v>
      </c>
      <c r="B1170" s="14" t="s">
        <v>316</v>
      </c>
      <c r="C1170" s="14" t="s">
        <v>4229</v>
      </c>
      <c r="D1170" s="14">
        <v>100.0</v>
      </c>
      <c r="E1170" s="14" t="s">
        <v>318</v>
      </c>
      <c r="F1170" s="14" t="s">
        <v>1114</v>
      </c>
      <c r="G1170" s="14" t="s">
        <v>4230</v>
      </c>
      <c r="H1170" s="13"/>
      <c r="I1170" s="13"/>
      <c r="J1170" s="13"/>
      <c r="K1170" s="13"/>
      <c r="L1170" s="13"/>
      <c r="M1170" s="13"/>
      <c r="N1170" s="13"/>
      <c r="O1170" s="13"/>
      <c r="P1170" s="13"/>
      <c r="Q1170" s="13"/>
      <c r="R1170" s="13"/>
      <c r="S1170" s="13"/>
    </row>
    <row r="1171" ht="15.75" customHeight="1">
      <c r="A1171" s="14" t="s">
        <v>4231</v>
      </c>
      <c r="B1171" s="14" t="s">
        <v>316</v>
      </c>
      <c r="C1171" s="14" t="s">
        <v>4232</v>
      </c>
      <c r="D1171" s="14">
        <v>100.0</v>
      </c>
      <c r="E1171" s="14" t="s">
        <v>318</v>
      </c>
      <c r="F1171" s="14" t="s">
        <v>4233</v>
      </c>
      <c r="G1171" s="14" t="s">
        <v>4234</v>
      </c>
      <c r="H1171" s="13"/>
      <c r="I1171" s="13"/>
      <c r="J1171" s="13"/>
      <c r="K1171" s="13"/>
      <c r="L1171" s="13"/>
      <c r="M1171" s="13"/>
      <c r="N1171" s="13"/>
      <c r="O1171" s="13"/>
      <c r="P1171" s="13"/>
      <c r="Q1171" s="13"/>
      <c r="R1171" s="13"/>
      <c r="S1171" s="13"/>
    </row>
    <row r="1172" ht="15.75" customHeight="1">
      <c r="A1172" s="14" t="s">
        <v>4235</v>
      </c>
      <c r="B1172" s="14" t="s">
        <v>316</v>
      </c>
      <c r="C1172" s="14" t="s">
        <v>4236</v>
      </c>
      <c r="D1172" s="14">
        <v>100.0</v>
      </c>
      <c r="E1172" s="14" t="s">
        <v>318</v>
      </c>
      <c r="F1172" s="14" t="s">
        <v>4237</v>
      </c>
      <c r="G1172" s="14" t="s">
        <v>4238</v>
      </c>
      <c r="H1172" s="13"/>
      <c r="I1172" s="13"/>
      <c r="J1172" s="13"/>
      <c r="K1172" s="13"/>
      <c r="L1172" s="13"/>
      <c r="M1172" s="13"/>
      <c r="N1172" s="13"/>
      <c r="O1172" s="13"/>
      <c r="P1172" s="13"/>
      <c r="Q1172" s="13"/>
      <c r="R1172" s="13"/>
      <c r="S1172" s="13"/>
    </row>
    <row r="1173" ht="15.75" customHeight="1">
      <c r="A1173" s="14" t="s">
        <v>4239</v>
      </c>
      <c r="B1173" s="14" t="s">
        <v>316</v>
      </c>
      <c r="C1173" s="14" t="s">
        <v>4240</v>
      </c>
      <c r="D1173" s="14">
        <v>100.0</v>
      </c>
      <c r="E1173" s="14" t="s">
        <v>318</v>
      </c>
      <c r="F1173" s="14" t="s">
        <v>4241</v>
      </c>
      <c r="G1173" s="14" t="s">
        <v>4242</v>
      </c>
      <c r="H1173" s="13"/>
      <c r="I1173" s="13"/>
      <c r="J1173" s="13"/>
      <c r="K1173" s="13"/>
      <c r="L1173" s="13"/>
      <c r="M1173" s="13"/>
      <c r="N1173" s="13"/>
      <c r="O1173" s="13"/>
      <c r="P1173" s="13"/>
      <c r="Q1173" s="13"/>
      <c r="R1173" s="13"/>
      <c r="S1173" s="13"/>
    </row>
    <row r="1174" ht="15.75" customHeight="1">
      <c r="A1174" s="14" t="s">
        <v>4243</v>
      </c>
      <c r="B1174" s="14" t="s">
        <v>316</v>
      </c>
      <c r="C1174" s="14" t="s">
        <v>4244</v>
      </c>
      <c r="D1174" s="14">
        <v>100.0</v>
      </c>
      <c r="E1174" s="14" t="s">
        <v>318</v>
      </c>
      <c r="F1174" s="14" t="s">
        <v>3977</v>
      </c>
      <c r="G1174" s="14" t="s">
        <v>4245</v>
      </c>
      <c r="H1174" s="13"/>
      <c r="I1174" s="13"/>
      <c r="J1174" s="13"/>
      <c r="K1174" s="13"/>
      <c r="L1174" s="13"/>
      <c r="M1174" s="13"/>
      <c r="N1174" s="13"/>
      <c r="O1174" s="13"/>
      <c r="P1174" s="13"/>
      <c r="Q1174" s="13"/>
      <c r="R1174" s="13"/>
      <c r="S1174" s="13"/>
    </row>
    <row r="1175" ht="15.75" customHeight="1">
      <c r="A1175" s="14" t="s">
        <v>4246</v>
      </c>
      <c r="B1175" s="14" t="s">
        <v>316</v>
      </c>
      <c r="C1175" s="14" t="s">
        <v>4247</v>
      </c>
      <c r="D1175" s="14">
        <v>100.0</v>
      </c>
      <c r="E1175" s="14" t="s">
        <v>318</v>
      </c>
      <c r="F1175" s="14" t="s">
        <v>4248</v>
      </c>
      <c r="G1175" s="14" t="s">
        <v>4249</v>
      </c>
      <c r="H1175" s="13"/>
      <c r="I1175" s="13"/>
      <c r="J1175" s="13"/>
      <c r="K1175" s="13"/>
      <c r="L1175" s="13"/>
      <c r="M1175" s="13"/>
      <c r="N1175" s="13"/>
      <c r="O1175" s="13"/>
      <c r="P1175" s="13"/>
      <c r="Q1175" s="13"/>
      <c r="R1175" s="13"/>
      <c r="S1175" s="13"/>
    </row>
    <row r="1176" ht="15.75" customHeight="1">
      <c r="A1176" s="14" t="s">
        <v>4250</v>
      </c>
      <c r="B1176" s="14" t="s">
        <v>316</v>
      </c>
      <c r="C1176" s="14" t="s">
        <v>4251</v>
      </c>
      <c r="D1176" s="14">
        <v>100.0</v>
      </c>
      <c r="E1176" s="14" t="s">
        <v>318</v>
      </c>
      <c r="F1176" s="14" t="s">
        <v>4252</v>
      </c>
      <c r="G1176" s="14" t="s">
        <v>4253</v>
      </c>
      <c r="H1176" s="13"/>
      <c r="I1176" s="13"/>
      <c r="J1176" s="13"/>
      <c r="K1176" s="13"/>
      <c r="L1176" s="13"/>
      <c r="M1176" s="13"/>
      <c r="N1176" s="13"/>
      <c r="O1176" s="13"/>
      <c r="P1176" s="13"/>
      <c r="Q1176" s="13"/>
      <c r="R1176" s="13"/>
      <c r="S1176" s="13"/>
    </row>
    <row r="1177" ht="15.75" customHeight="1">
      <c r="A1177" s="14" t="s">
        <v>4254</v>
      </c>
      <c r="B1177" s="14" t="s">
        <v>316</v>
      </c>
      <c r="C1177" s="14" t="s">
        <v>4255</v>
      </c>
      <c r="D1177" s="14">
        <v>100.0</v>
      </c>
      <c r="E1177" s="14" t="s">
        <v>318</v>
      </c>
      <c r="F1177" s="14" t="s">
        <v>4256</v>
      </c>
      <c r="G1177" s="14" t="s">
        <v>4257</v>
      </c>
      <c r="H1177" s="13"/>
      <c r="I1177" s="13"/>
      <c r="J1177" s="13"/>
      <c r="K1177" s="13"/>
      <c r="L1177" s="13"/>
      <c r="M1177" s="13"/>
      <c r="N1177" s="13"/>
      <c r="O1177" s="13"/>
      <c r="P1177" s="13"/>
      <c r="Q1177" s="13"/>
      <c r="R1177" s="13"/>
      <c r="S1177" s="13"/>
    </row>
    <row r="1178" ht="15.75" customHeight="1">
      <c r="A1178" s="14" t="s">
        <v>4258</v>
      </c>
      <c r="B1178" s="14" t="s">
        <v>316</v>
      </c>
      <c r="C1178" s="14" t="s">
        <v>4259</v>
      </c>
      <c r="D1178" s="14">
        <v>100.0</v>
      </c>
      <c r="E1178" s="14" t="s">
        <v>318</v>
      </c>
      <c r="F1178" s="14" t="s">
        <v>4260</v>
      </c>
      <c r="G1178" s="14" t="s">
        <v>4261</v>
      </c>
      <c r="H1178" s="13"/>
      <c r="I1178" s="13"/>
      <c r="J1178" s="13"/>
      <c r="K1178" s="13"/>
      <c r="L1178" s="13"/>
      <c r="M1178" s="13"/>
      <c r="N1178" s="13"/>
      <c r="O1178" s="13"/>
      <c r="P1178" s="13"/>
      <c r="Q1178" s="13"/>
      <c r="R1178" s="13"/>
      <c r="S1178" s="13"/>
    </row>
    <row r="1179" ht="15.75" customHeight="1">
      <c r="A1179" s="14" t="s">
        <v>4262</v>
      </c>
      <c r="B1179" s="14" t="s">
        <v>316</v>
      </c>
      <c r="C1179" s="14" t="s">
        <v>4263</v>
      </c>
      <c r="D1179" s="14">
        <v>100.0</v>
      </c>
      <c r="E1179" s="14" t="s">
        <v>318</v>
      </c>
      <c r="F1179" s="14" t="s">
        <v>2633</v>
      </c>
      <c r="G1179" s="14" t="s">
        <v>4264</v>
      </c>
      <c r="H1179" s="13"/>
      <c r="I1179" s="13"/>
      <c r="J1179" s="13"/>
      <c r="K1179" s="13"/>
      <c r="L1179" s="13"/>
      <c r="M1179" s="13"/>
      <c r="N1179" s="13"/>
      <c r="O1179" s="13"/>
      <c r="P1179" s="13"/>
      <c r="Q1179" s="13"/>
      <c r="R1179" s="13"/>
      <c r="S1179" s="13"/>
    </row>
    <row r="1180" ht="15.75" customHeight="1">
      <c r="A1180" s="14" t="s">
        <v>4265</v>
      </c>
      <c r="B1180" s="14" t="s">
        <v>316</v>
      </c>
      <c r="C1180" s="14" t="s">
        <v>4266</v>
      </c>
      <c r="D1180" s="14">
        <v>100.0</v>
      </c>
      <c r="E1180" s="14" t="s">
        <v>318</v>
      </c>
      <c r="F1180" s="14" t="s">
        <v>4267</v>
      </c>
      <c r="G1180" s="14" t="s">
        <v>4268</v>
      </c>
      <c r="H1180" s="13"/>
      <c r="I1180" s="13"/>
      <c r="J1180" s="13"/>
      <c r="K1180" s="13"/>
      <c r="L1180" s="13"/>
      <c r="M1180" s="13"/>
      <c r="N1180" s="13"/>
      <c r="O1180" s="13"/>
      <c r="P1180" s="13"/>
      <c r="Q1180" s="13"/>
      <c r="R1180" s="13"/>
      <c r="S1180" s="13"/>
    </row>
    <row r="1181" ht="15.75" customHeight="1">
      <c r="A1181" s="14" t="s">
        <v>4269</v>
      </c>
      <c r="B1181" s="14" t="s">
        <v>316</v>
      </c>
      <c r="C1181" s="14" t="s">
        <v>4270</v>
      </c>
      <c r="D1181" s="14">
        <v>100.0</v>
      </c>
      <c r="E1181" s="14" t="s">
        <v>318</v>
      </c>
      <c r="F1181" s="14" t="s">
        <v>4271</v>
      </c>
      <c r="G1181" s="14" t="s">
        <v>4272</v>
      </c>
      <c r="H1181" s="13"/>
      <c r="I1181" s="13"/>
      <c r="J1181" s="13"/>
      <c r="K1181" s="13"/>
      <c r="L1181" s="13"/>
      <c r="M1181" s="13"/>
      <c r="N1181" s="13"/>
      <c r="O1181" s="13"/>
      <c r="P1181" s="13"/>
      <c r="Q1181" s="13"/>
      <c r="R1181" s="13"/>
      <c r="S1181" s="13"/>
    </row>
    <row r="1182" ht="15.75" customHeight="1">
      <c r="A1182" s="14" t="s">
        <v>4273</v>
      </c>
      <c r="B1182" s="14" t="s">
        <v>316</v>
      </c>
      <c r="C1182" s="14" t="s">
        <v>4274</v>
      </c>
      <c r="D1182" s="14">
        <v>100.0</v>
      </c>
      <c r="E1182" s="14" t="s">
        <v>318</v>
      </c>
      <c r="F1182" s="14" t="s">
        <v>4275</v>
      </c>
      <c r="G1182" s="14" t="s">
        <v>4276</v>
      </c>
      <c r="H1182" s="13"/>
      <c r="I1182" s="13"/>
      <c r="J1182" s="13"/>
      <c r="K1182" s="13"/>
      <c r="L1182" s="13"/>
      <c r="M1182" s="13"/>
      <c r="N1182" s="13"/>
      <c r="O1182" s="13"/>
      <c r="P1182" s="13"/>
      <c r="Q1182" s="13"/>
      <c r="R1182" s="13"/>
      <c r="S1182" s="13"/>
    </row>
    <row r="1183" ht="15.75" customHeight="1">
      <c r="A1183" s="14" t="s">
        <v>4277</v>
      </c>
      <c r="B1183" s="14" t="s">
        <v>316</v>
      </c>
      <c r="C1183" s="14" t="s">
        <v>4278</v>
      </c>
      <c r="D1183" s="14">
        <v>100.0</v>
      </c>
      <c r="E1183" s="14" t="s">
        <v>318</v>
      </c>
      <c r="F1183" s="14" t="s">
        <v>595</v>
      </c>
      <c r="G1183" s="14" t="s">
        <v>4279</v>
      </c>
      <c r="H1183" s="13"/>
      <c r="I1183" s="13"/>
      <c r="J1183" s="13"/>
      <c r="K1183" s="13"/>
      <c r="L1183" s="13"/>
      <c r="M1183" s="13"/>
      <c r="N1183" s="13"/>
      <c r="O1183" s="13"/>
      <c r="P1183" s="13"/>
      <c r="Q1183" s="13"/>
      <c r="R1183" s="13"/>
      <c r="S1183" s="13"/>
    </row>
    <row r="1184" ht="15.75" customHeight="1">
      <c r="A1184" s="14" t="s">
        <v>4280</v>
      </c>
      <c r="B1184" s="14" t="s">
        <v>316</v>
      </c>
      <c r="C1184" s="14" t="s">
        <v>4281</v>
      </c>
      <c r="D1184" s="14">
        <v>100.0</v>
      </c>
      <c r="E1184" s="14" t="s">
        <v>318</v>
      </c>
      <c r="F1184" s="14" t="s">
        <v>595</v>
      </c>
      <c r="G1184" s="14" t="s">
        <v>4282</v>
      </c>
      <c r="H1184" s="13"/>
      <c r="I1184" s="13"/>
      <c r="J1184" s="13"/>
      <c r="K1184" s="13"/>
      <c r="L1184" s="13"/>
      <c r="M1184" s="13"/>
      <c r="N1184" s="13"/>
      <c r="O1184" s="13"/>
      <c r="P1184" s="13"/>
      <c r="Q1184" s="13"/>
      <c r="R1184" s="13"/>
      <c r="S1184" s="13"/>
    </row>
    <row r="1185" ht="15.75" customHeight="1">
      <c r="A1185" s="14" t="s">
        <v>4283</v>
      </c>
      <c r="B1185" s="14" t="s">
        <v>316</v>
      </c>
      <c r="C1185" s="14" t="s">
        <v>4284</v>
      </c>
      <c r="D1185" s="14">
        <v>100.0</v>
      </c>
      <c r="E1185" s="14" t="s">
        <v>318</v>
      </c>
      <c r="F1185" s="14" t="s">
        <v>4285</v>
      </c>
      <c r="G1185" s="14" t="s">
        <v>4286</v>
      </c>
      <c r="H1185" s="13"/>
      <c r="I1185" s="13"/>
      <c r="J1185" s="13"/>
      <c r="K1185" s="13"/>
      <c r="L1185" s="13"/>
      <c r="M1185" s="13"/>
      <c r="N1185" s="13"/>
      <c r="O1185" s="13"/>
      <c r="P1185" s="13"/>
      <c r="Q1185" s="13"/>
      <c r="R1185" s="13"/>
      <c r="S1185" s="13"/>
    </row>
    <row r="1186" ht="15.75" customHeight="1">
      <c r="A1186" s="14" t="s">
        <v>4287</v>
      </c>
      <c r="B1186" s="14" t="s">
        <v>316</v>
      </c>
      <c r="C1186" s="14" t="s">
        <v>4288</v>
      </c>
      <c r="D1186" s="14">
        <v>100.0</v>
      </c>
      <c r="E1186" s="14" t="s">
        <v>318</v>
      </c>
      <c r="F1186" s="14" t="s">
        <v>834</v>
      </c>
      <c r="G1186" s="14" t="s">
        <v>4289</v>
      </c>
      <c r="H1186" s="13"/>
      <c r="I1186" s="13"/>
      <c r="J1186" s="13"/>
      <c r="K1186" s="13"/>
      <c r="L1186" s="13"/>
      <c r="M1186" s="13"/>
      <c r="N1186" s="13"/>
      <c r="O1186" s="13"/>
      <c r="P1186" s="13"/>
      <c r="Q1186" s="13"/>
      <c r="R1186" s="13"/>
      <c r="S1186" s="13"/>
    </row>
    <row r="1187" ht="15.75" customHeight="1">
      <c r="A1187" s="14" t="s">
        <v>4290</v>
      </c>
      <c r="B1187" s="14" t="s">
        <v>316</v>
      </c>
      <c r="C1187" s="14" t="s">
        <v>4291</v>
      </c>
      <c r="D1187" s="14">
        <v>100.0</v>
      </c>
      <c r="E1187" s="14" t="s">
        <v>318</v>
      </c>
      <c r="F1187" s="14" t="s">
        <v>4292</v>
      </c>
      <c r="G1187" s="14" t="s">
        <v>4293</v>
      </c>
      <c r="H1187" s="13"/>
      <c r="I1187" s="13"/>
      <c r="J1187" s="13"/>
      <c r="K1187" s="13"/>
      <c r="L1187" s="13"/>
      <c r="M1187" s="13"/>
      <c r="N1187" s="13"/>
      <c r="O1187" s="13"/>
      <c r="P1187" s="13"/>
      <c r="Q1187" s="13"/>
      <c r="R1187" s="13"/>
      <c r="S1187" s="13"/>
    </row>
    <row r="1188" ht="15.75" customHeight="1">
      <c r="A1188" s="14" t="s">
        <v>4294</v>
      </c>
      <c r="B1188" s="14" t="s">
        <v>316</v>
      </c>
      <c r="C1188" s="14" t="s">
        <v>4295</v>
      </c>
      <c r="D1188" s="14">
        <v>100.0</v>
      </c>
      <c r="E1188" s="14" t="s">
        <v>318</v>
      </c>
      <c r="F1188" s="14" t="s">
        <v>4296</v>
      </c>
      <c r="G1188" s="14" t="s">
        <v>4297</v>
      </c>
      <c r="H1188" s="13"/>
      <c r="I1188" s="13"/>
      <c r="J1188" s="13"/>
      <c r="K1188" s="13"/>
      <c r="L1188" s="13"/>
      <c r="M1188" s="13"/>
      <c r="N1188" s="13"/>
      <c r="O1188" s="13"/>
      <c r="P1188" s="13"/>
      <c r="Q1188" s="13"/>
      <c r="R1188" s="13"/>
      <c r="S1188" s="13"/>
    </row>
    <row r="1189" ht="15.75" customHeight="1">
      <c r="A1189" s="14" t="s">
        <v>4298</v>
      </c>
      <c r="B1189" s="14" t="s">
        <v>316</v>
      </c>
      <c r="C1189" s="14" t="s">
        <v>4299</v>
      </c>
      <c r="D1189" s="14">
        <v>100.0</v>
      </c>
      <c r="E1189" s="14" t="s">
        <v>318</v>
      </c>
      <c r="F1189" s="14" t="s">
        <v>4300</v>
      </c>
      <c r="G1189" s="14" t="s">
        <v>4301</v>
      </c>
      <c r="H1189" s="13"/>
      <c r="I1189" s="13"/>
      <c r="J1189" s="13"/>
      <c r="K1189" s="13"/>
      <c r="L1189" s="13"/>
      <c r="M1189" s="13"/>
      <c r="N1189" s="13"/>
      <c r="O1189" s="13"/>
      <c r="P1189" s="13"/>
      <c r="Q1189" s="13"/>
      <c r="R1189" s="13"/>
      <c r="S1189" s="13"/>
    </row>
    <row r="1190" ht="15.75" customHeight="1">
      <c r="A1190" s="14" t="s">
        <v>4302</v>
      </c>
      <c r="B1190" s="14" t="s">
        <v>316</v>
      </c>
      <c r="C1190" s="14" t="s">
        <v>4303</v>
      </c>
      <c r="D1190" s="14">
        <v>100.0</v>
      </c>
      <c r="E1190" s="14" t="s">
        <v>318</v>
      </c>
      <c r="F1190" s="14" t="s">
        <v>4304</v>
      </c>
      <c r="G1190" s="14" t="s">
        <v>4305</v>
      </c>
      <c r="H1190" s="13"/>
      <c r="I1190" s="13"/>
      <c r="J1190" s="13"/>
      <c r="K1190" s="13"/>
      <c r="L1190" s="13"/>
      <c r="M1190" s="13"/>
      <c r="N1190" s="13"/>
      <c r="O1190" s="13"/>
      <c r="P1190" s="13"/>
      <c r="Q1190" s="13"/>
      <c r="R1190" s="13"/>
      <c r="S1190" s="13"/>
    </row>
    <row r="1191" ht="15.75" customHeight="1">
      <c r="A1191" s="14" t="s">
        <v>4306</v>
      </c>
      <c r="B1191" s="14" t="s">
        <v>316</v>
      </c>
      <c r="C1191" s="14" t="s">
        <v>4307</v>
      </c>
      <c r="D1191" s="14">
        <v>100.0</v>
      </c>
      <c r="E1191" s="14" t="s">
        <v>318</v>
      </c>
      <c r="F1191" s="14" t="s">
        <v>4308</v>
      </c>
      <c r="G1191" s="14" t="s">
        <v>4309</v>
      </c>
      <c r="H1191" s="13"/>
      <c r="I1191" s="13"/>
      <c r="J1191" s="13"/>
      <c r="K1191" s="13"/>
      <c r="L1191" s="13"/>
      <c r="M1191" s="13"/>
      <c r="N1191" s="13"/>
      <c r="O1191" s="13"/>
      <c r="P1191" s="13"/>
      <c r="Q1191" s="13"/>
      <c r="R1191" s="13"/>
      <c r="S1191" s="13"/>
    </row>
    <row r="1192" ht="15.75" customHeight="1">
      <c r="A1192" s="14" t="s">
        <v>4310</v>
      </c>
      <c r="B1192" s="14" t="s">
        <v>316</v>
      </c>
      <c r="C1192" s="14" t="s">
        <v>4311</v>
      </c>
      <c r="D1192" s="14">
        <v>100.0</v>
      </c>
      <c r="E1192" s="14" t="s">
        <v>318</v>
      </c>
      <c r="F1192" s="14" t="s">
        <v>4312</v>
      </c>
      <c r="G1192" s="14" t="s">
        <v>4313</v>
      </c>
      <c r="H1192" s="13"/>
      <c r="I1192" s="13"/>
      <c r="J1192" s="13"/>
      <c r="K1192" s="13"/>
      <c r="L1192" s="13"/>
      <c r="M1192" s="13"/>
      <c r="N1192" s="13"/>
      <c r="O1192" s="13"/>
      <c r="P1192" s="13"/>
      <c r="Q1192" s="13"/>
      <c r="R1192" s="13"/>
      <c r="S1192" s="13"/>
    </row>
    <row r="1193" ht="15.75" customHeight="1">
      <c r="A1193" s="14" t="s">
        <v>4314</v>
      </c>
      <c r="B1193" s="14" t="s">
        <v>316</v>
      </c>
      <c r="C1193" s="14" t="s">
        <v>4315</v>
      </c>
      <c r="D1193" s="14">
        <v>100.0</v>
      </c>
      <c r="E1193" s="14" t="s">
        <v>318</v>
      </c>
      <c r="F1193" s="14" t="s">
        <v>3629</v>
      </c>
      <c r="G1193" s="14" t="s">
        <v>4316</v>
      </c>
      <c r="H1193" s="13"/>
      <c r="I1193" s="13"/>
      <c r="J1193" s="13"/>
      <c r="K1193" s="13"/>
      <c r="L1193" s="13"/>
      <c r="M1193" s="13"/>
      <c r="N1193" s="13"/>
      <c r="O1193" s="13"/>
      <c r="P1193" s="13"/>
      <c r="Q1193" s="13"/>
      <c r="R1193" s="13"/>
      <c r="S1193" s="13"/>
    </row>
    <row r="1194" ht="15.75" customHeight="1">
      <c r="A1194" s="14" t="s">
        <v>4317</v>
      </c>
      <c r="B1194" s="14" t="s">
        <v>316</v>
      </c>
      <c r="C1194" s="14" t="s">
        <v>4318</v>
      </c>
      <c r="D1194" s="14">
        <v>100.0</v>
      </c>
      <c r="E1194" s="14" t="s">
        <v>318</v>
      </c>
      <c r="F1194" s="14" t="s">
        <v>4319</v>
      </c>
      <c r="G1194" s="14" t="s">
        <v>4320</v>
      </c>
      <c r="H1194" s="13"/>
      <c r="I1194" s="13"/>
      <c r="J1194" s="13"/>
      <c r="K1194" s="13"/>
      <c r="L1194" s="13"/>
      <c r="M1194" s="13"/>
      <c r="N1194" s="13"/>
      <c r="O1194" s="13"/>
      <c r="P1194" s="13"/>
      <c r="Q1194" s="13"/>
      <c r="R1194" s="13"/>
      <c r="S1194" s="13"/>
    </row>
    <row r="1195" ht="15.75" customHeight="1">
      <c r="A1195" s="14" t="s">
        <v>4321</v>
      </c>
      <c r="B1195" s="14" t="s">
        <v>316</v>
      </c>
      <c r="C1195" s="14" t="s">
        <v>4322</v>
      </c>
      <c r="D1195" s="14">
        <v>100.0</v>
      </c>
      <c r="E1195" s="14" t="s">
        <v>318</v>
      </c>
      <c r="F1195" s="14" t="s">
        <v>4323</v>
      </c>
      <c r="G1195" s="14" t="s">
        <v>4324</v>
      </c>
      <c r="H1195" s="13"/>
      <c r="I1195" s="13"/>
      <c r="J1195" s="13"/>
      <c r="K1195" s="13"/>
      <c r="L1195" s="13"/>
      <c r="M1195" s="13"/>
      <c r="N1195" s="13"/>
      <c r="O1195" s="13"/>
      <c r="P1195" s="13"/>
      <c r="Q1195" s="13"/>
      <c r="R1195" s="13"/>
      <c r="S1195" s="13"/>
    </row>
    <row r="1196" ht="15.75" customHeight="1">
      <c r="A1196" s="14" t="s">
        <v>4325</v>
      </c>
      <c r="B1196" s="14" t="s">
        <v>316</v>
      </c>
      <c r="C1196" s="14" t="s">
        <v>4326</v>
      </c>
      <c r="D1196" s="14">
        <v>100.0</v>
      </c>
      <c r="E1196" s="14" t="s">
        <v>318</v>
      </c>
      <c r="F1196" s="14" t="s">
        <v>3292</v>
      </c>
      <c r="G1196" s="14" t="s">
        <v>4327</v>
      </c>
      <c r="H1196" s="13"/>
      <c r="I1196" s="13"/>
      <c r="J1196" s="13"/>
      <c r="K1196" s="13"/>
      <c r="L1196" s="13"/>
      <c r="M1196" s="13"/>
      <c r="N1196" s="13"/>
      <c r="O1196" s="13"/>
      <c r="P1196" s="13"/>
      <c r="Q1196" s="13"/>
      <c r="R1196" s="13"/>
      <c r="S1196" s="13"/>
    </row>
    <row r="1197" ht="15.75" customHeight="1">
      <c r="A1197" s="14" t="s">
        <v>4328</v>
      </c>
      <c r="B1197" s="14" t="s">
        <v>316</v>
      </c>
      <c r="C1197" s="14" t="s">
        <v>4329</v>
      </c>
      <c r="D1197" s="14">
        <v>100.0</v>
      </c>
      <c r="E1197" s="14" t="s">
        <v>318</v>
      </c>
      <c r="F1197" s="14" t="s">
        <v>4330</v>
      </c>
      <c r="G1197" s="14" t="s">
        <v>4331</v>
      </c>
      <c r="H1197" s="13"/>
      <c r="I1197" s="13"/>
      <c r="J1197" s="13"/>
      <c r="K1197" s="13"/>
      <c r="L1197" s="13"/>
      <c r="M1197" s="13"/>
      <c r="N1197" s="13"/>
      <c r="O1197" s="13"/>
      <c r="P1197" s="13"/>
      <c r="Q1197" s="13"/>
      <c r="R1197" s="13"/>
      <c r="S1197" s="13"/>
    </row>
    <row r="1198" ht="15.75" customHeight="1">
      <c r="A1198" s="14" t="s">
        <v>4332</v>
      </c>
      <c r="B1198" s="14" t="s">
        <v>316</v>
      </c>
      <c r="C1198" s="14" t="s">
        <v>4333</v>
      </c>
      <c r="D1198" s="14">
        <v>100.0</v>
      </c>
      <c r="E1198" s="14" t="s">
        <v>318</v>
      </c>
      <c r="F1198" s="14" t="s">
        <v>4334</v>
      </c>
      <c r="G1198" s="14" t="s">
        <v>4335</v>
      </c>
      <c r="H1198" s="13"/>
      <c r="I1198" s="13"/>
      <c r="J1198" s="13"/>
      <c r="K1198" s="13"/>
      <c r="L1198" s="13"/>
      <c r="M1198" s="13"/>
      <c r="N1198" s="13"/>
      <c r="O1198" s="13"/>
      <c r="P1198" s="13"/>
      <c r="Q1198" s="13"/>
      <c r="R1198" s="13"/>
      <c r="S1198" s="13"/>
    </row>
    <row r="1199" ht="15.75" customHeight="1">
      <c r="A1199" s="14" t="s">
        <v>4336</v>
      </c>
      <c r="B1199" s="14" t="s">
        <v>316</v>
      </c>
      <c r="C1199" s="14" t="s">
        <v>4337</v>
      </c>
      <c r="D1199" s="14">
        <v>100.0</v>
      </c>
      <c r="E1199" s="14" t="s">
        <v>318</v>
      </c>
      <c r="F1199" s="14" t="s">
        <v>4338</v>
      </c>
      <c r="G1199" s="14" t="s">
        <v>4339</v>
      </c>
      <c r="H1199" s="13"/>
      <c r="I1199" s="13"/>
      <c r="J1199" s="13"/>
      <c r="K1199" s="13"/>
      <c r="L1199" s="13"/>
      <c r="M1199" s="13"/>
      <c r="N1199" s="13"/>
      <c r="O1199" s="13"/>
      <c r="P1199" s="13"/>
      <c r="Q1199" s="13"/>
      <c r="R1199" s="13"/>
      <c r="S1199" s="13"/>
    </row>
    <row r="1200" ht="15.75" customHeight="1">
      <c r="A1200" s="14" t="s">
        <v>4340</v>
      </c>
      <c r="B1200" s="14" t="s">
        <v>316</v>
      </c>
      <c r="C1200" s="14" t="s">
        <v>4341</v>
      </c>
      <c r="D1200" s="14">
        <v>100.0</v>
      </c>
      <c r="E1200" s="14" t="s">
        <v>318</v>
      </c>
      <c r="F1200" s="14" t="s">
        <v>4342</v>
      </c>
      <c r="G1200" s="14" t="s">
        <v>4343</v>
      </c>
      <c r="H1200" s="13"/>
      <c r="I1200" s="13"/>
      <c r="J1200" s="13"/>
      <c r="K1200" s="13"/>
      <c r="L1200" s="13"/>
      <c r="M1200" s="13"/>
      <c r="N1200" s="13"/>
      <c r="O1200" s="13"/>
      <c r="P1200" s="13"/>
      <c r="Q1200" s="13"/>
      <c r="R1200" s="13"/>
      <c r="S1200" s="13"/>
    </row>
    <row r="1201" ht="15.75" customHeight="1">
      <c r="A1201" s="14" t="s">
        <v>4344</v>
      </c>
      <c r="B1201" s="14" t="s">
        <v>316</v>
      </c>
      <c r="C1201" s="14" t="s">
        <v>4345</v>
      </c>
      <c r="D1201" s="14">
        <v>100.0</v>
      </c>
      <c r="E1201" s="14" t="s">
        <v>318</v>
      </c>
      <c r="F1201" s="14" t="s">
        <v>4346</v>
      </c>
      <c r="G1201" s="14" t="s">
        <v>4347</v>
      </c>
      <c r="H1201" s="13"/>
      <c r="I1201" s="13"/>
      <c r="J1201" s="13"/>
      <c r="K1201" s="13"/>
      <c r="L1201" s="13"/>
      <c r="M1201" s="13"/>
      <c r="N1201" s="13"/>
      <c r="O1201" s="13"/>
      <c r="P1201" s="13"/>
      <c r="Q1201" s="13"/>
      <c r="R1201" s="13"/>
      <c r="S1201" s="13"/>
    </row>
    <row r="1202" ht="15.75" customHeight="1">
      <c r="A1202" s="14" t="s">
        <v>4348</v>
      </c>
      <c r="B1202" s="14" t="s">
        <v>316</v>
      </c>
      <c r="C1202" s="14" t="s">
        <v>4349</v>
      </c>
      <c r="D1202" s="14">
        <v>100.0</v>
      </c>
      <c r="E1202" s="14" t="s">
        <v>318</v>
      </c>
      <c r="F1202" s="14" t="s">
        <v>4350</v>
      </c>
      <c r="G1202" s="14" t="s">
        <v>4351</v>
      </c>
      <c r="H1202" s="13"/>
      <c r="I1202" s="13"/>
      <c r="J1202" s="13"/>
      <c r="K1202" s="13"/>
      <c r="L1202" s="13"/>
      <c r="M1202" s="13"/>
      <c r="N1202" s="13"/>
      <c r="O1202" s="13"/>
      <c r="P1202" s="13"/>
      <c r="Q1202" s="13"/>
      <c r="R1202" s="13"/>
      <c r="S1202" s="13"/>
    </row>
    <row r="1203" ht="15.75" customHeight="1">
      <c r="A1203" s="14" t="s">
        <v>4352</v>
      </c>
      <c r="B1203" s="14" t="s">
        <v>316</v>
      </c>
      <c r="C1203" s="14" t="s">
        <v>4353</v>
      </c>
      <c r="D1203" s="14">
        <v>100.0</v>
      </c>
      <c r="E1203" s="14" t="s">
        <v>318</v>
      </c>
      <c r="F1203" s="14" t="s">
        <v>4354</v>
      </c>
      <c r="G1203" s="14" t="s">
        <v>4355</v>
      </c>
      <c r="H1203" s="13"/>
      <c r="I1203" s="13"/>
      <c r="J1203" s="13"/>
      <c r="K1203" s="13"/>
      <c r="L1203" s="13"/>
      <c r="M1203" s="13"/>
      <c r="N1203" s="13"/>
      <c r="O1203" s="13"/>
      <c r="P1203" s="13"/>
      <c r="Q1203" s="13"/>
      <c r="R1203" s="13"/>
      <c r="S1203" s="13"/>
    </row>
    <row r="1204" ht="15.75" customHeight="1">
      <c r="A1204" s="14" t="s">
        <v>4356</v>
      </c>
      <c r="B1204" s="14" t="s">
        <v>316</v>
      </c>
      <c r="C1204" s="14" t="s">
        <v>4357</v>
      </c>
      <c r="D1204" s="14">
        <v>100.0</v>
      </c>
      <c r="E1204" s="14" t="s">
        <v>318</v>
      </c>
      <c r="F1204" s="14" t="s">
        <v>4358</v>
      </c>
      <c r="G1204" s="14" t="s">
        <v>4359</v>
      </c>
      <c r="H1204" s="13"/>
      <c r="I1204" s="13"/>
      <c r="J1204" s="13"/>
      <c r="K1204" s="13"/>
      <c r="L1204" s="13"/>
      <c r="M1204" s="13"/>
      <c r="N1204" s="13"/>
      <c r="O1204" s="13"/>
      <c r="P1204" s="13"/>
      <c r="Q1204" s="13"/>
      <c r="R1204" s="13"/>
      <c r="S1204" s="13"/>
    </row>
    <row r="1205" ht="15.75" customHeight="1">
      <c r="A1205" s="14" t="s">
        <v>4360</v>
      </c>
      <c r="B1205" s="14" t="s">
        <v>316</v>
      </c>
      <c r="C1205" s="14" t="s">
        <v>4361</v>
      </c>
      <c r="D1205" s="14">
        <v>100.0</v>
      </c>
      <c r="E1205" s="14" t="s">
        <v>318</v>
      </c>
      <c r="F1205" s="14" t="s">
        <v>516</v>
      </c>
      <c r="G1205" s="14" t="s">
        <v>4362</v>
      </c>
      <c r="H1205" s="13"/>
      <c r="I1205" s="13"/>
      <c r="J1205" s="13"/>
      <c r="K1205" s="13"/>
      <c r="L1205" s="13"/>
      <c r="M1205" s="13"/>
      <c r="N1205" s="13"/>
      <c r="O1205" s="13"/>
      <c r="P1205" s="13"/>
      <c r="Q1205" s="13"/>
      <c r="R1205" s="13"/>
      <c r="S1205" s="13"/>
    </row>
    <row r="1206" ht="15.75" customHeight="1">
      <c r="A1206" s="14" t="s">
        <v>4363</v>
      </c>
      <c r="B1206" s="14" t="s">
        <v>316</v>
      </c>
      <c r="C1206" s="14" t="s">
        <v>4364</v>
      </c>
      <c r="D1206" s="14">
        <v>100.0</v>
      </c>
      <c r="E1206" s="14" t="s">
        <v>318</v>
      </c>
      <c r="F1206" s="14" t="s">
        <v>4365</v>
      </c>
      <c r="G1206" s="14" t="s">
        <v>4366</v>
      </c>
      <c r="H1206" s="13"/>
      <c r="I1206" s="13"/>
      <c r="J1206" s="13"/>
      <c r="K1206" s="13"/>
      <c r="L1206" s="13"/>
      <c r="M1206" s="13"/>
      <c r="N1206" s="13"/>
      <c r="O1206" s="13"/>
      <c r="P1206" s="13"/>
      <c r="Q1206" s="13"/>
      <c r="R1206" s="13"/>
      <c r="S1206" s="13"/>
    </row>
    <row r="1207" ht="15.75" customHeight="1">
      <c r="A1207" s="14" t="s">
        <v>4367</v>
      </c>
      <c r="B1207" s="14" t="s">
        <v>316</v>
      </c>
      <c r="C1207" s="14" t="s">
        <v>4368</v>
      </c>
      <c r="D1207" s="14">
        <v>100.0</v>
      </c>
      <c r="E1207" s="14" t="s">
        <v>318</v>
      </c>
      <c r="F1207" s="14" t="s">
        <v>4369</v>
      </c>
      <c r="G1207" s="14" t="s">
        <v>4370</v>
      </c>
      <c r="H1207" s="13"/>
      <c r="I1207" s="13"/>
      <c r="J1207" s="13"/>
      <c r="K1207" s="13"/>
      <c r="L1207" s="13"/>
      <c r="M1207" s="13"/>
      <c r="N1207" s="13"/>
      <c r="O1207" s="13"/>
      <c r="P1207" s="13"/>
      <c r="Q1207" s="13"/>
      <c r="R1207" s="13"/>
      <c r="S1207" s="13"/>
    </row>
    <row r="1208" ht="15.75" customHeight="1">
      <c r="A1208" s="14" t="s">
        <v>4371</v>
      </c>
      <c r="B1208" s="14" t="s">
        <v>316</v>
      </c>
      <c r="C1208" s="14" t="s">
        <v>4372</v>
      </c>
      <c r="D1208" s="14">
        <v>100.0</v>
      </c>
      <c r="E1208" s="14" t="s">
        <v>318</v>
      </c>
      <c r="F1208" s="14" t="s">
        <v>4373</v>
      </c>
      <c r="G1208" s="14" t="s">
        <v>4374</v>
      </c>
      <c r="H1208" s="13"/>
      <c r="I1208" s="13"/>
      <c r="J1208" s="13"/>
      <c r="K1208" s="13"/>
      <c r="L1208" s="13"/>
      <c r="M1208" s="13"/>
      <c r="N1208" s="13"/>
      <c r="O1208" s="13"/>
      <c r="P1208" s="13"/>
      <c r="Q1208" s="13"/>
      <c r="R1208" s="13"/>
      <c r="S1208" s="13"/>
    </row>
    <row r="1209" ht="15.75" customHeight="1">
      <c r="A1209" s="14" t="s">
        <v>4375</v>
      </c>
      <c r="B1209" s="14" t="s">
        <v>316</v>
      </c>
      <c r="C1209" s="14" t="s">
        <v>4376</v>
      </c>
      <c r="D1209" s="14">
        <v>100.0</v>
      </c>
      <c r="E1209" s="14" t="s">
        <v>318</v>
      </c>
      <c r="F1209" s="14" t="s">
        <v>610</v>
      </c>
      <c r="G1209" s="14" t="s">
        <v>4377</v>
      </c>
      <c r="H1209" s="13"/>
      <c r="I1209" s="13"/>
      <c r="J1209" s="13"/>
      <c r="K1209" s="13"/>
      <c r="L1209" s="13"/>
      <c r="M1209" s="13"/>
      <c r="N1209" s="13"/>
      <c r="O1209" s="13"/>
      <c r="P1209" s="13"/>
      <c r="Q1209" s="13"/>
      <c r="R1209" s="13"/>
      <c r="S1209" s="13"/>
    </row>
    <row r="1210" ht="15.75" customHeight="1">
      <c r="A1210" s="14" t="s">
        <v>4378</v>
      </c>
      <c r="B1210" s="14" t="s">
        <v>316</v>
      </c>
      <c r="C1210" s="14" t="s">
        <v>4379</v>
      </c>
      <c r="D1210" s="14">
        <v>100.0</v>
      </c>
      <c r="E1210" s="14" t="s">
        <v>318</v>
      </c>
      <c r="F1210" s="14" t="s">
        <v>883</v>
      </c>
      <c r="G1210" s="14" t="s">
        <v>4380</v>
      </c>
      <c r="H1210" s="13"/>
      <c r="I1210" s="13"/>
      <c r="J1210" s="13"/>
      <c r="K1210" s="13"/>
      <c r="L1210" s="13"/>
      <c r="M1210" s="13"/>
      <c r="N1210" s="13"/>
      <c r="O1210" s="13"/>
      <c r="P1210" s="13"/>
      <c r="Q1210" s="13"/>
      <c r="R1210" s="13"/>
      <c r="S1210" s="13"/>
    </row>
    <row r="1211" ht="15.75" customHeight="1">
      <c r="A1211" s="14" t="s">
        <v>4381</v>
      </c>
      <c r="B1211" s="14" t="s">
        <v>316</v>
      </c>
      <c r="C1211" s="14" t="s">
        <v>4382</v>
      </c>
      <c r="D1211" s="14">
        <v>100.0</v>
      </c>
      <c r="E1211" s="14" t="s">
        <v>318</v>
      </c>
      <c r="F1211" s="14" t="s">
        <v>4383</v>
      </c>
      <c r="G1211" s="14" t="s">
        <v>4384</v>
      </c>
      <c r="H1211" s="13"/>
      <c r="I1211" s="13"/>
      <c r="J1211" s="13"/>
      <c r="K1211" s="13"/>
      <c r="L1211" s="13"/>
      <c r="M1211" s="13"/>
      <c r="N1211" s="13"/>
      <c r="O1211" s="13"/>
      <c r="P1211" s="13"/>
      <c r="Q1211" s="13"/>
      <c r="R1211" s="13"/>
      <c r="S1211" s="13"/>
    </row>
    <row r="1212" ht="15.75" customHeight="1">
      <c r="A1212" s="14" t="s">
        <v>4385</v>
      </c>
      <c r="B1212" s="14" t="s">
        <v>316</v>
      </c>
      <c r="C1212" s="14" t="s">
        <v>4386</v>
      </c>
      <c r="D1212" s="14">
        <v>100.0</v>
      </c>
      <c r="E1212" s="14" t="s">
        <v>318</v>
      </c>
      <c r="F1212" s="14" t="s">
        <v>4387</v>
      </c>
      <c r="G1212" s="14" t="s">
        <v>4388</v>
      </c>
      <c r="H1212" s="13"/>
      <c r="I1212" s="13"/>
      <c r="J1212" s="13"/>
      <c r="K1212" s="13"/>
      <c r="L1212" s="13"/>
      <c r="M1212" s="13"/>
      <c r="N1212" s="13"/>
      <c r="O1212" s="13"/>
      <c r="P1212" s="13"/>
      <c r="Q1212" s="13"/>
      <c r="R1212" s="13"/>
      <c r="S1212" s="13"/>
    </row>
    <row r="1213" ht="15.75" customHeight="1">
      <c r="A1213" s="14" t="s">
        <v>4389</v>
      </c>
      <c r="B1213" s="14" t="s">
        <v>316</v>
      </c>
      <c r="C1213" s="14" t="s">
        <v>4390</v>
      </c>
      <c r="D1213" s="14">
        <v>100.0</v>
      </c>
      <c r="E1213" s="14" t="s">
        <v>318</v>
      </c>
      <c r="F1213" s="14" t="s">
        <v>4391</v>
      </c>
      <c r="G1213" s="14" t="s">
        <v>4392</v>
      </c>
      <c r="H1213" s="13"/>
      <c r="I1213" s="13"/>
      <c r="J1213" s="13"/>
      <c r="K1213" s="13"/>
      <c r="L1213" s="13"/>
      <c r="M1213" s="13"/>
      <c r="N1213" s="13"/>
      <c r="O1213" s="13"/>
      <c r="P1213" s="13"/>
      <c r="Q1213" s="13"/>
      <c r="R1213" s="13"/>
      <c r="S1213" s="13"/>
    </row>
    <row r="1214" ht="15.75" customHeight="1">
      <c r="A1214" s="14" t="s">
        <v>4393</v>
      </c>
      <c r="B1214" s="14" t="s">
        <v>316</v>
      </c>
      <c r="C1214" s="14" t="s">
        <v>4394</v>
      </c>
      <c r="D1214" s="14">
        <v>100.0</v>
      </c>
      <c r="E1214" s="14" t="s">
        <v>318</v>
      </c>
      <c r="F1214" s="14" t="s">
        <v>4395</v>
      </c>
      <c r="G1214" s="14" t="s">
        <v>4396</v>
      </c>
      <c r="H1214" s="13"/>
      <c r="I1214" s="13"/>
      <c r="J1214" s="13"/>
      <c r="K1214" s="13"/>
      <c r="L1214" s="13"/>
      <c r="M1214" s="13"/>
      <c r="N1214" s="13"/>
      <c r="O1214" s="13"/>
      <c r="P1214" s="13"/>
      <c r="Q1214" s="13"/>
      <c r="R1214" s="13"/>
      <c r="S1214" s="13"/>
    </row>
    <row r="1215" ht="15.75" customHeight="1">
      <c r="A1215" s="14" t="s">
        <v>4397</v>
      </c>
      <c r="B1215" s="14" t="s">
        <v>316</v>
      </c>
      <c r="C1215" s="14" t="s">
        <v>4398</v>
      </c>
      <c r="D1215" s="14">
        <v>100.0</v>
      </c>
      <c r="E1215" s="14" t="s">
        <v>318</v>
      </c>
      <c r="F1215" s="14" t="s">
        <v>4399</v>
      </c>
      <c r="G1215" s="14" t="s">
        <v>4400</v>
      </c>
      <c r="H1215" s="13"/>
      <c r="I1215" s="13"/>
      <c r="J1215" s="13"/>
      <c r="K1215" s="13"/>
      <c r="L1215" s="13"/>
      <c r="M1215" s="13"/>
      <c r="N1215" s="13"/>
      <c r="O1215" s="13"/>
      <c r="P1215" s="13"/>
      <c r="Q1215" s="13"/>
      <c r="R1215" s="13"/>
      <c r="S1215" s="13"/>
    </row>
    <row r="1216" ht="15.75" customHeight="1">
      <c r="A1216" s="14" t="s">
        <v>4401</v>
      </c>
      <c r="B1216" s="14" t="s">
        <v>316</v>
      </c>
      <c r="C1216" s="14" t="s">
        <v>4402</v>
      </c>
      <c r="D1216" s="14">
        <v>100.0</v>
      </c>
      <c r="E1216" s="14" t="s">
        <v>318</v>
      </c>
      <c r="F1216" s="14" t="s">
        <v>4403</v>
      </c>
      <c r="G1216" s="14" t="s">
        <v>4404</v>
      </c>
      <c r="H1216" s="13"/>
      <c r="I1216" s="13"/>
      <c r="J1216" s="13"/>
      <c r="K1216" s="13"/>
      <c r="L1216" s="13"/>
      <c r="M1216" s="13"/>
      <c r="N1216" s="13"/>
      <c r="O1216" s="13"/>
      <c r="P1216" s="13"/>
      <c r="Q1216" s="13"/>
      <c r="R1216" s="13"/>
      <c r="S1216" s="13"/>
    </row>
    <row r="1217" ht="15.75" customHeight="1">
      <c r="A1217" s="14" t="s">
        <v>4405</v>
      </c>
      <c r="B1217" s="14" t="s">
        <v>316</v>
      </c>
      <c r="C1217" s="14" t="s">
        <v>4406</v>
      </c>
      <c r="D1217" s="14">
        <v>100.0</v>
      </c>
      <c r="E1217" s="14" t="s">
        <v>318</v>
      </c>
      <c r="F1217" s="14" t="s">
        <v>4407</v>
      </c>
      <c r="G1217" s="14" t="s">
        <v>4408</v>
      </c>
      <c r="H1217" s="13"/>
      <c r="I1217" s="13"/>
      <c r="J1217" s="13"/>
      <c r="K1217" s="13"/>
      <c r="L1217" s="13"/>
      <c r="M1217" s="13"/>
      <c r="N1217" s="13"/>
      <c r="O1217" s="13"/>
      <c r="P1217" s="13"/>
      <c r="Q1217" s="13"/>
      <c r="R1217" s="13"/>
      <c r="S1217" s="13"/>
    </row>
    <row r="1218" ht="15.75" customHeight="1">
      <c r="A1218" s="14" t="s">
        <v>4409</v>
      </c>
      <c r="B1218" s="14" t="s">
        <v>316</v>
      </c>
      <c r="C1218" s="14" t="s">
        <v>4410</v>
      </c>
      <c r="D1218" s="14">
        <v>100.0</v>
      </c>
      <c r="E1218" s="14" t="s">
        <v>318</v>
      </c>
      <c r="F1218" s="14" t="s">
        <v>664</v>
      </c>
      <c r="G1218" s="14" t="s">
        <v>4411</v>
      </c>
      <c r="H1218" s="13"/>
      <c r="I1218" s="13"/>
      <c r="J1218" s="13"/>
      <c r="K1218" s="13"/>
      <c r="L1218" s="13"/>
      <c r="M1218" s="13"/>
      <c r="N1218" s="13"/>
      <c r="O1218" s="13"/>
      <c r="P1218" s="13"/>
      <c r="Q1218" s="13"/>
      <c r="R1218" s="13"/>
      <c r="S1218" s="13"/>
    </row>
    <row r="1219" ht="15.75" customHeight="1">
      <c r="A1219" s="14" t="s">
        <v>4412</v>
      </c>
      <c r="B1219" s="14" t="s">
        <v>316</v>
      </c>
      <c r="C1219" s="14" t="s">
        <v>4413</v>
      </c>
      <c r="D1219" s="14">
        <v>100.0</v>
      </c>
      <c r="E1219" s="14" t="s">
        <v>318</v>
      </c>
      <c r="F1219" s="14" t="s">
        <v>4414</v>
      </c>
      <c r="G1219" s="14" t="s">
        <v>4415</v>
      </c>
      <c r="H1219" s="13"/>
      <c r="I1219" s="13"/>
      <c r="J1219" s="13"/>
      <c r="K1219" s="13"/>
      <c r="L1219" s="13"/>
      <c r="M1219" s="13"/>
      <c r="N1219" s="13"/>
      <c r="O1219" s="13"/>
      <c r="P1219" s="13"/>
      <c r="Q1219" s="13"/>
      <c r="R1219" s="13"/>
      <c r="S1219" s="13"/>
    </row>
    <row r="1220" ht="15.75" customHeight="1">
      <c r="A1220" s="14" t="s">
        <v>4416</v>
      </c>
      <c r="B1220" s="14" t="s">
        <v>316</v>
      </c>
      <c r="C1220" s="14" t="s">
        <v>4417</v>
      </c>
      <c r="D1220" s="14">
        <v>100.0</v>
      </c>
      <c r="E1220" s="14" t="s">
        <v>318</v>
      </c>
      <c r="F1220" s="14" t="s">
        <v>4418</v>
      </c>
      <c r="G1220" s="14" t="s">
        <v>4419</v>
      </c>
      <c r="H1220" s="13"/>
      <c r="I1220" s="13"/>
      <c r="J1220" s="13"/>
      <c r="K1220" s="13"/>
      <c r="L1220" s="13"/>
      <c r="M1220" s="13"/>
      <c r="N1220" s="13"/>
      <c r="O1220" s="13"/>
      <c r="P1220" s="13"/>
      <c r="Q1220" s="13"/>
      <c r="R1220" s="13"/>
      <c r="S1220" s="13"/>
    </row>
    <row r="1221" ht="15.75" customHeight="1">
      <c r="A1221" s="14" t="s">
        <v>4420</v>
      </c>
      <c r="B1221" s="14" t="s">
        <v>316</v>
      </c>
      <c r="C1221" s="14" t="s">
        <v>4421</v>
      </c>
      <c r="D1221" s="14">
        <v>100.0</v>
      </c>
      <c r="E1221" s="14" t="s">
        <v>318</v>
      </c>
      <c r="F1221" s="14" t="s">
        <v>4422</v>
      </c>
      <c r="G1221" s="14" t="s">
        <v>4423</v>
      </c>
      <c r="H1221" s="13"/>
      <c r="I1221" s="13"/>
      <c r="J1221" s="13"/>
      <c r="K1221" s="13"/>
      <c r="L1221" s="13"/>
      <c r="M1221" s="13"/>
      <c r="N1221" s="13"/>
      <c r="O1221" s="13"/>
      <c r="P1221" s="13"/>
      <c r="Q1221" s="13"/>
      <c r="R1221" s="13"/>
      <c r="S1221" s="13"/>
    </row>
    <row r="1222" ht="15.75" customHeight="1">
      <c r="A1222" s="14" t="s">
        <v>4424</v>
      </c>
      <c r="B1222" s="14" t="s">
        <v>316</v>
      </c>
      <c r="C1222" s="14" t="s">
        <v>4425</v>
      </c>
      <c r="D1222" s="14">
        <v>100.0</v>
      </c>
      <c r="E1222" s="14" t="s">
        <v>318</v>
      </c>
      <c r="F1222" s="14" t="s">
        <v>3977</v>
      </c>
      <c r="G1222" s="14" t="s">
        <v>4426</v>
      </c>
      <c r="H1222" s="13"/>
      <c r="I1222" s="13"/>
      <c r="J1222" s="13"/>
      <c r="K1222" s="13"/>
      <c r="L1222" s="13"/>
      <c r="M1222" s="13"/>
      <c r="N1222" s="13"/>
      <c r="O1222" s="13"/>
      <c r="P1222" s="13"/>
      <c r="Q1222" s="13"/>
      <c r="R1222" s="13"/>
      <c r="S1222" s="13"/>
    </row>
    <row r="1223" ht="15.75" customHeight="1">
      <c r="A1223" s="14" t="s">
        <v>4427</v>
      </c>
      <c r="B1223" s="14" t="s">
        <v>316</v>
      </c>
      <c r="C1223" s="14" t="s">
        <v>4428</v>
      </c>
      <c r="D1223" s="14">
        <v>100.0</v>
      </c>
      <c r="E1223" s="14" t="s">
        <v>318</v>
      </c>
      <c r="F1223" s="14" t="s">
        <v>4429</v>
      </c>
      <c r="G1223" s="14" t="s">
        <v>4430</v>
      </c>
      <c r="H1223" s="13"/>
      <c r="I1223" s="13"/>
      <c r="J1223" s="13"/>
      <c r="K1223" s="13"/>
      <c r="L1223" s="13"/>
      <c r="M1223" s="13"/>
      <c r="N1223" s="13"/>
      <c r="O1223" s="13"/>
      <c r="P1223" s="13"/>
      <c r="Q1223" s="13"/>
      <c r="R1223" s="13"/>
      <c r="S1223" s="13"/>
    </row>
    <row r="1224" ht="15.75" customHeight="1">
      <c r="A1224" s="14" t="s">
        <v>4431</v>
      </c>
      <c r="B1224" s="14" t="s">
        <v>316</v>
      </c>
      <c r="C1224" s="14" t="s">
        <v>4432</v>
      </c>
      <c r="D1224" s="14">
        <v>100.0</v>
      </c>
      <c r="E1224" s="14" t="s">
        <v>318</v>
      </c>
      <c r="F1224" s="14" t="s">
        <v>4433</v>
      </c>
      <c r="G1224" s="14" t="s">
        <v>4434</v>
      </c>
      <c r="H1224" s="13"/>
      <c r="I1224" s="13"/>
      <c r="J1224" s="13"/>
      <c r="K1224" s="13"/>
      <c r="L1224" s="13"/>
      <c r="M1224" s="13"/>
      <c r="N1224" s="13"/>
      <c r="O1224" s="13"/>
      <c r="P1224" s="13"/>
      <c r="Q1224" s="13"/>
      <c r="R1224" s="13"/>
      <c r="S1224" s="13"/>
    </row>
    <row r="1225" ht="15.75" customHeight="1">
      <c r="A1225" s="14" t="s">
        <v>4435</v>
      </c>
      <c r="B1225" s="14" t="s">
        <v>316</v>
      </c>
      <c r="C1225" s="14" t="s">
        <v>4436</v>
      </c>
      <c r="D1225" s="14">
        <v>100.0</v>
      </c>
      <c r="E1225" s="14" t="s">
        <v>318</v>
      </c>
      <c r="F1225" s="14" t="s">
        <v>4437</v>
      </c>
      <c r="G1225" s="14" t="s">
        <v>4438</v>
      </c>
      <c r="H1225" s="13"/>
      <c r="I1225" s="13"/>
      <c r="J1225" s="13"/>
      <c r="K1225" s="13"/>
      <c r="L1225" s="13"/>
      <c r="M1225" s="13"/>
      <c r="N1225" s="13"/>
      <c r="O1225" s="13"/>
      <c r="P1225" s="13"/>
      <c r="Q1225" s="13"/>
      <c r="R1225" s="13"/>
      <c r="S1225" s="13"/>
    </row>
    <row r="1226" ht="15.75" customHeight="1">
      <c r="A1226" s="14" t="s">
        <v>4439</v>
      </c>
      <c r="B1226" s="14" t="s">
        <v>316</v>
      </c>
      <c r="C1226" s="14" t="s">
        <v>4440</v>
      </c>
      <c r="D1226" s="14">
        <v>100.0</v>
      </c>
      <c r="E1226" s="14" t="s">
        <v>318</v>
      </c>
      <c r="F1226" s="14" t="s">
        <v>4441</v>
      </c>
      <c r="G1226" s="14" t="s">
        <v>4442</v>
      </c>
      <c r="H1226" s="13"/>
      <c r="I1226" s="13"/>
      <c r="J1226" s="13"/>
      <c r="K1226" s="13"/>
      <c r="L1226" s="13"/>
      <c r="M1226" s="13"/>
      <c r="N1226" s="13"/>
      <c r="O1226" s="13"/>
      <c r="P1226" s="13"/>
      <c r="Q1226" s="13"/>
      <c r="R1226" s="13"/>
      <c r="S1226" s="13"/>
    </row>
    <row r="1227" ht="15.75" customHeight="1">
      <c r="A1227" s="14" t="s">
        <v>4443</v>
      </c>
      <c r="B1227" s="14" t="s">
        <v>316</v>
      </c>
      <c r="C1227" s="14" t="s">
        <v>4444</v>
      </c>
      <c r="D1227" s="14">
        <v>100.0</v>
      </c>
      <c r="E1227" s="14" t="s">
        <v>318</v>
      </c>
      <c r="F1227" s="14" t="s">
        <v>4445</v>
      </c>
      <c r="G1227" s="14" t="s">
        <v>4446</v>
      </c>
      <c r="H1227" s="13"/>
      <c r="I1227" s="13"/>
      <c r="J1227" s="13"/>
      <c r="K1227" s="13"/>
      <c r="L1227" s="13"/>
      <c r="M1227" s="13"/>
      <c r="N1227" s="13"/>
      <c r="O1227" s="13"/>
      <c r="P1227" s="13"/>
      <c r="Q1227" s="13"/>
      <c r="R1227" s="13"/>
      <c r="S1227" s="13"/>
    </row>
    <row r="1228" ht="15.75" customHeight="1">
      <c r="A1228" s="14" t="s">
        <v>4447</v>
      </c>
      <c r="B1228" s="14" t="s">
        <v>316</v>
      </c>
      <c r="C1228" s="14" t="s">
        <v>4448</v>
      </c>
      <c r="D1228" s="14">
        <v>100.0</v>
      </c>
      <c r="E1228" s="14" t="s">
        <v>318</v>
      </c>
      <c r="F1228" s="14" t="s">
        <v>1935</v>
      </c>
      <c r="G1228" s="14" t="s">
        <v>4449</v>
      </c>
      <c r="H1228" s="13"/>
      <c r="I1228" s="13"/>
      <c r="J1228" s="13"/>
      <c r="K1228" s="13"/>
      <c r="L1228" s="13"/>
      <c r="M1228" s="13"/>
      <c r="N1228" s="13"/>
      <c r="O1228" s="13"/>
      <c r="P1228" s="13"/>
      <c r="Q1228" s="13"/>
      <c r="R1228" s="13"/>
      <c r="S1228" s="13"/>
    </row>
    <row r="1229" ht="15.75" customHeight="1">
      <c r="A1229" s="14" t="s">
        <v>4450</v>
      </c>
      <c r="B1229" s="14" t="s">
        <v>316</v>
      </c>
      <c r="C1229" s="14" t="s">
        <v>4451</v>
      </c>
      <c r="D1229" s="14">
        <v>100.0</v>
      </c>
      <c r="E1229" s="14" t="s">
        <v>318</v>
      </c>
      <c r="F1229" s="14" t="s">
        <v>637</v>
      </c>
      <c r="G1229" s="14" t="s">
        <v>4452</v>
      </c>
      <c r="H1229" s="13"/>
      <c r="I1229" s="13"/>
      <c r="J1229" s="13"/>
      <c r="K1229" s="13"/>
      <c r="L1229" s="13"/>
      <c r="M1229" s="13"/>
      <c r="N1229" s="13"/>
      <c r="O1229" s="13"/>
      <c r="P1229" s="13"/>
      <c r="Q1229" s="13"/>
      <c r="R1229" s="13"/>
      <c r="S1229" s="13"/>
    </row>
    <row r="1230" ht="15.75" customHeight="1">
      <c r="A1230" s="14" t="s">
        <v>4453</v>
      </c>
      <c r="B1230" s="14" t="s">
        <v>316</v>
      </c>
      <c r="C1230" s="14" t="s">
        <v>4454</v>
      </c>
      <c r="D1230" s="14">
        <v>100.0</v>
      </c>
      <c r="E1230" s="14" t="s">
        <v>318</v>
      </c>
      <c r="F1230" s="14" t="s">
        <v>4455</v>
      </c>
      <c r="G1230" s="14" t="s">
        <v>4456</v>
      </c>
      <c r="H1230" s="13"/>
      <c r="I1230" s="13"/>
      <c r="J1230" s="13"/>
      <c r="K1230" s="13"/>
      <c r="L1230" s="13"/>
      <c r="M1230" s="13"/>
      <c r="N1230" s="13"/>
      <c r="O1230" s="13"/>
      <c r="P1230" s="13"/>
      <c r="Q1230" s="13"/>
      <c r="R1230" s="13"/>
      <c r="S1230" s="13"/>
    </row>
    <row r="1231" ht="15.75" customHeight="1">
      <c r="A1231" s="14" t="s">
        <v>4457</v>
      </c>
      <c r="B1231" s="14" t="s">
        <v>316</v>
      </c>
      <c r="C1231" s="14" t="s">
        <v>4458</v>
      </c>
      <c r="D1231" s="14">
        <v>100.0</v>
      </c>
      <c r="E1231" s="14" t="s">
        <v>318</v>
      </c>
      <c r="F1231" s="14" t="s">
        <v>1935</v>
      </c>
      <c r="G1231" s="14" t="s">
        <v>4459</v>
      </c>
      <c r="H1231" s="13"/>
      <c r="I1231" s="13"/>
      <c r="J1231" s="13"/>
      <c r="K1231" s="13"/>
      <c r="L1231" s="13"/>
      <c r="M1231" s="13"/>
      <c r="N1231" s="13"/>
      <c r="O1231" s="13"/>
      <c r="P1231" s="13"/>
      <c r="Q1231" s="13"/>
      <c r="R1231" s="13"/>
      <c r="S1231" s="13"/>
    </row>
    <row r="1232" ht="15.75" customHeight="1">
      <c r="A1232" s="14" t="s">
        <v>4460</v>
      </c>
      <c r="B1232" s="14" t="s">
        <v>316</v>
      </c>
      <c r="C1232" s="14" t="s">
        <v>4461</v>
      </c>
      <c r="D1232" s="14">
        <v>100.0</v>
      </c>
      <c r="E1232" s="14" t="s">
        <v>318</v>
      </c>
      <c r="F1232" s="14" t="s">
        <v>3226</v>
      </c>
      <c r="G1232" s="14" t="s">
        <v>4462</v>
      </c>
      <c r="H1232" s="13"/>
      <c r="I1232" s="13"/>
      <c r="J1232" s="13"/>
      <c r="K1232" s="13"/>
      <c r="L1232" s="13"/>
      <c r="M1232" s="13"/>
      <c r="N1232" s="13"/>
      <c r="O1232" s="13"/>
      <c r="P1232" s="13"/>
      <c r="Q1232" s="13"/>
      <c r="R1232" s="13"/>
      <c r="S1232" s="13"/>
    </row>
    <row r="1233" ht="15.75" customHeight="1">
      <c r="A1233" s="14" t="s">
        <v>4463</v>
      </c>
      <c r="B1233" s="14" t="s">
        <v>316</v>
      </c>
      <c r="C1233" s="14" t="s">
        <v>4464</v>
      </c>
      <c r="D1233" s="14">
        <v>100.0</v>
      </c>
      <c r="E1233" s="14" t="s">
        <v>318</v>
      </c>
      <c r="F1233" s="14" t="s">
        <v>4465</v>
      </c>
      <c r="G1233" s="14" t="s">
        <v>4466</v>
      </c>
      <c r="H1233" s="13"/>
      <c r="I1233" s="13"/>
      <c r="J1233" s="13"/>
      <c r="K1233" s="13"/>
      <c r="L1233" s="13"/>
      <c r="M1233" s="13"/>
      <c r="N1233" s="13"/>
      <c r="O1233" s="13"/>
      <c r="P1233" s="13"/>
      <c r="Q1233" s="13"/>
      <c r="R1233" s="13"/>
      <c r="S1233" s="13"/>
    </row>
    <row r="1234" ht="15.75" customHeight="1">
      <c r="A1234" s="14" t="s">
        <v>4467</v>
      </c>
      <c r="B1234" s="14" t="s">
        <v>316</v>
      </c>
      <c r="C1234" s="14" t="s">
        <v>4468</v>
      </c>
      <c r="D1234" s="14">
        <v>100.0</v>
      </c>
      <c r="E1234" s="14" t="s">
        <v>318</v>
      </c>
      <c r="F1234" s="14" t="s">
        <v>4469</v>
      </c>
      <c r="G1234" s="14" t="s">
        <v>4470</v>
      </c>
      <c r="H1234" s="13"/>
      <c r="I1234" s="13"/>
      <c r="J1234" s="13"/>
      <c r="K1234" s="13"/>
      <c r="L1234" s="13"/>
      <c r="M1234" s="13"/>
      <c r="N1234" s="13"/>
      <c r="O1234" s="13"/>
      <c r="P1234" s="13"/>
      <c r="Q1234" s="13"/>
      <c r="R1234" s="13"/>
      <c r="S1234" s="13"/>
    </row>
    <row r="1235" ht="15.75" customHeight="1">
      <c r="A1235" s="14" t="s">
        <v>4471</v>
      </c>
      <c r="B1235" s="14" t="s">
        <v>316</v>
      </c>
      <c r="C1235" s="14" t="s">
        <v>4472</v>
      </c>
      <c r="D1235" s="14">
        <v>100.0</v>
      </c>
      <c r="E1235" s="14" t="s">
        <v>318</v>
      </c>
      <c r="F1235" s="14" t="s">
        <v>4473</v>
      </c>
      <c r="G1235" s="14" t="s">
        <v>4474</v>
      </c>
      <c r="H1235" s="13"/>
      <c r="I1235" s="13"/>
      <c r="J1235" s="13"/>
      <c r="K1235" s="13"/>
      <c r="L1235" s="13"/>
      <c r="M1235" s="13"/>
      <c r="N1235" s="13"/>
      <c r="O1235" s="13"/>
      <c r="P1235" s="13"/>
      <c r="Q1235" s="13"/>
      <c r="R1235" s="13"/>
      <c r="S1235" s="13"/>
    </row>
    <row r="1236" ht="15.75" customHeight="1">
      <c r="A1236" s="14" t="s">
        <v>4475</v>
      </c>
      <c r="B1236" s="14" t="s">
        <v>316</v>
      </c>
      <c r="C1236" s="14" t="s">
        <v>4476</v>
      </c>
      <c r="D1236" s="14">
        <v>100.0</v>
      </c>
      <c r="E1236" s="14" t="s">
        <v>318</v>
      </c>
      <c r="F1236" s="14" t="s">
        <v>4473</v>
      </c>
      <c r="G1236" s="14" t="s">
        <v>4477</v>
      </c>
      <c r="H1236" s="13"/>
      <c r="I1236" s="13"/>
      <c r="J1236" s="13"/>
      <c r="K1236" s="13"/>
      <c r="L1236" s="13"/>
      <c r="M1236" s="13"/>
      <c r="N1236" s="13"/>
      <c r="O1236" s="13"/>
      <c r="P1236" s="13"/>
      <c r="Q1236" s="13"/>
      <c r="R1236" s="13"/>
      <c r="S1236" s="13"/>
    </row>
    <row r="1237" ht="15.75" customHeight="1">
      <c r="A1237" s="14" t="s">
        <v>4478</v>
      </c>
      <c r="B1237" s="14" t="s">
        <v>316</v>
      </c>
      <c r="C1237" s="14" t="s">
        <v>4479</v>
      </c>
      <c r="D1237" s="14">
        <v>100.0</v>
      </c>
      <c r="E1237" s="14" t="s">
        <v>318</v>
      </c>
      <c r="F1237" s="14" t="s">
        <v>4473</v>
      </c>
      <c r="G1237" s="14" t="s">
        <v>4480</v>
      </c>
      <c r="H1237" s="13"/>
      <c r="I1237" s="13"/>
      <c r="J1237" s="13"/>
      <c r="K1237" s="13"/>
      <c r="L1237" s="13"/>
      <c r="M1237" s="13"/>
      <c r="N1237" s="13"/>
      <c r="O1237" s="13"/>
      <c r="P1237" s="13"/>
      <c r="Q1237" s="13"/>
      <c r="R1237" s="13"/>
      <c r="S1237" s="13"/>
    </row>
    <row r="1238" ht="15.75" customHeight="1">
      <c r="A1238" s="14" t="s">
        <v>4481</v>
      </c>
      <c r="B1238" s="14" t="s">
        <v>316</v>
      </c>
      <c r="C1238" s="14" t="s">
        <v>4482</v>
      </c>
      <c r="D1238" s="14">
        <v>100.0</v>
      </c>
      <c r="E1238" s="14" t="s">
        <v>318</v>
      </c>
      <c r="F1238" s="14" t="s">
        <v>4473</v>
      </c>
      <c r="G1238" s="14" t="s">
        <v>4483</v>
      </c>
      <c r="H1238" s="13"/>
      <c r="I1238" s="13"/>
      <c r="J1238" s="13"/>
      <c r="K1238" s="13"/>
      <c r="L1238" s="13"/>
      <c r="M1238" s="13"/>
      <c r="N1238" s="13"/>
      <c r="O1238" s="13"/>
      <c r="P1238" s="13"/>
      <c r="Q1238" s="13"/>
      <c r="R1238" s="13"/>
      <c r="S1238" s="13"/>
    </row>
    <row r="1239" ht="15.75" customHeight="1">
      <c r="A1239" s="14" t="s">
        <v>4484</v>
      </c>
      <c r="B1239" s="14" t="s">
        <v>316</v>
      </c>
      <c r="C1239" s="14" t="s">
        <v>4485</v>
      </c>
      <c r="D1239" s="14">
        <v>100.0</v>
      </c>
      <c r="E1239" s="14" t="s">
        <v>318</v>
      </c>
      <c r="F1239" s="14" t="s">
        <v>4473</v>
      </c>
      <c r="G1239" s="14" t="s">
        <v>4486</v>
      </c>
      <c r="H1239" s="13"/>
      <c r="I1239" s="13"/>
      <c r="J1239" s="13"/>
      <c r="K1239" s="13"/>
      <c r="L1239" s="13"/>
      <c r="M1239" s="13"/>
      <c r="N1239" s="13"/>
      <c r="O1239" s="13"/>
      <c r="P1239" s="13"/>
      <c r="Q1239" s="13"/>
      <c r="R1239" s="13"/>
      <c r="S1239" s="13"/>
    </row>
    <row r="1240" ht="15.75" customHeight="1">
      <c r="A1240" s="14" t="s">
        <v>4487</v>
      </c>
      <c r="B1240" s="14" t="s">
        <v>316</v>
      </c>
      <c r="C1240" s="14" t="s">
        <v>4488</v>
      </c>
      <c r="D1240" s="14">
        <v>100.0</v>
      </c>
      <c r="E1240" s="14" t="s">
        <v>318</v>
      </c>
      <c r="F1240" s="14" t="s">
        <v>4473</v>
      </c>
      <c r="G1240" s="14" t="s">
        <v>4489</v>
      </c>
      <c r="H1240" s="13"/>
      <c r="I1240" s="13"/>
      <c r="J1240" s="13"/>
      <c r="K1240" s="13"/>
      <c r="L1240" s="13"/>
      <c r="M1240" s="13"/>
      <c r="N1240" s="13"/>
      <c r="O1240" s="13"/>
      <c r="P1240" s="13"/>
      <c r="Q1240" s="13"/>
      <c r="R1240" s="13"/>
      <c r="S1240" s="13"/>
    </row>
    <row r="1241" ht="15.75" customHeight="1">
      <c r="A1241" s="14" t="s">
        <v>4490</v>
      </c>
      <c r="B1241" s="14" t="s">
        <v>316</v>
      </c>
      <c r="C1241" s="14" t="s">
        <v>4491</v>
      </c>
      <c r="D1241" s="14">
        <v>100.0</v>
      </c>
      <c r="E1241" s="14" t="s">
        <v>318</v>
      </c>
      <c r="F1241" s="14" t="s">
        <v>4473</v>
      </c>
      <c r="G1241" s="14" t="s">
        <v>4492</v>
      </c>
      <c r="H1241" s="13"/>
      <c r="I1241" s="13"/>
      <c r="J1241" s="13"/>
      <c r="K1241" s="13"/>
      <c r="L1241" s="13"/>
      <c r="M1241" s="13"/>
      <c r="N1241" s="13"/>
      <c r="O1241" s="13"/>
      <c r="P1241" s="13"/>
      <c r="Q1241" s="13"/>
      <c r="R1241" s="13"/>
      <c r="S1241" s="13"/>
    </row>
    <row r="1242" ht="15.75" customHeight="1">
      <c r="A1242" s="14" t="s">
        <v>4493</v>
      </c>
      <c r="B1242" s="14" t="s">
        <v>316</v>
      </c>
      <c r="C1242" s="14" t="s">
        <v>4494</v>
      </c>
      <c r="D1242" s="14">
        <v>100.0</v>
      </c>
      <c r="E1242" s="14" t="s">
        <v>318</v>
      </c>
      <c r="F1242" s="14" t="s">
        <v>4473</v>
      </c>
      <c r="G1242" s="14" t="s">
        <v>4495</v>
      </c>
      <c r="H1242" s="13"/>
      <c r="I1242" s="13"/>
      <c r="J1242" s="13"/>
      <c r="K1242" s="13"/>
      <c r="L1242" s="13"/>
      <c r="M1242" s="13"/>
      <c r="N1242" s="13"/>
      <c r="O1242" s="13"/>
      <c r="P1242" s="13"/>
      <c r="Q1242" s="13"/>
      <c r="R1242" s="13"/>
      <c r="S1242" s="13"/>
    </row>
    <row r="1243" ht="15.75" customHeight="1">
      <c r="A1243" s="14" t="s">
        <v>4496</v>
      </c>
      <c r="B1243" s="14" t="s">
        <v>316</v>
      </c>
      <c r="C1243" s="14" t="s">
        <v>4497</v>
      </c>
      <c r="D1243" s="14">
        <v>100.0</v>
      </c>
      <c r="E1243" s="14" t="s">
        <v>318</v>
      </c>
      <c r="F1243" s="14" t="s">
        <v>4473</v>
      </c>
      <c r="G1243" s="14" t="s">
        <v>4498</v>
      </c>
      <c r="H1243" s="13"/>
      <c r="I1243" s="13"/>
      <c r="J1243" s="13"/>
      <c r="K1243" s="13"/>
      <c r="L1243" s="13"/>
      <c r="M1243" s="13"/>
      <c r="N1243" s="13"/>
      <c r="O1243" s="13"/>
      <c r="P1243" s="13"/>
      <c r="Q1243" s="13"/>
      <c r="R1243" s="13"/>
      <c r="S1243" s="13"/>
    </row>
    <row r="1244" ht="15.75" customHeight="1">
      <c r="A1244" s="14" t="s">
        <v>4499</v>
      </c>
      <c r="B1244" s="14" t="s">
        <v>316</v>
      </c>
      <c r="C1244" s="14" t="s">
        <v>4500</v>
      </c>
      <c r="D1244" s="14">
        <v>100.0</v>
      </c>
      <c r="E1244" s="14" t="s">
        <v>318</v>
      </c>
      <c r="F1244" s="14" t="s">
        <v>4473</v>
      </c>
      <c r="G1244" s="14" t="s">
        <v>4501</v>
      </c>
      <c r="H1244" s="13"/>
      <c r="I1244" s="13"/>
      <c r="J1244" s="13"/>
      <c r="K1244" s="13"/>
      <c r="L1244" s="13"/>
      <c r="M1244" s="13"/>
      <c r="N1244" s="13"/>
      <c r="O1244" s="13"/>
      <c r="P1244" s="13"/>
      <c r="Q1244" s="13"/>
      <c r="R1244" s="13"/>
      <c r="S1244" s="13"/>
    </row>
    <row r="1245" ht="15.75" customHeight="1">
      <c r="A1245" s="14" t="s">
        <v>4502</v>
      </c>
      <c r="B1245" s="14" t="s">
        <v>316</v>
      </c>
      <c r="C1245" s="14" t="s">
        <v>4503</v>
      </c>
      <c r="D1245" s="14">
        <v>100.0</v>
      </c>
      <c r="E1245" s="14" t="s">
        <v>318</v>
      </c>
      <c r="F1245" s="14" t="s">
        <v>4473</v>
      </c>
      <c r="G1245" s="14" t="s">
        <v>4504</v>
      </c>
      <c r="H1245" s="13"/>
      <c r="I1245" s="13"/>
      <c r="J1245" s="13"/>
      <c r="K1245" s="13"/>
      <c r="L1245" s="13"/>
      <c r="M1245" s="13"/>
      <c r="N1245" s="13"/>
      <c r="O1245" s="13"/>
      <c r="P1245" s="13"/>
      <c r="Q1245" s="13"/>
      <c r="R1245" s="13"/>
      <c r="S1245" s="13"/>
    </row>
    <row r="1246" ht="15.75" customHeight="1">
      <c r="A1246" s="14" t="s">
        <v>4505</v>
      </c>
      <c r="B1246" s="14" t="s">
        <v>316</v>
      </c>
      <c r="C1246" s="14" t="s">
        <v>4506</v>
      </c>
      <c r="D1246" s="14">
        <v>100.0</v>
      </c>
      <c r="E1246" s="14" t="s">
        <v>318</v>
      </c>
      <c r="F1246" s="14" t="s">
        <v>4473</v>
      </c>
      <c r="G1246" s="14" t="s">
        <v>4507</v>
      </c>
      <c r="H1246" s="13"/>
      <c r="I1246" s="13"/>
      <c r="J1246" s="13"/>
      <c r="K1246" s="13"/>
      <c r="L1246" s="13"/>
      <c r="M1246" s="13"/>
      <c r="N1246" s="13"/>
      <c r="O1246" s="13"/>
      <c r="P1246" s="13"/>
      <c r="Q1246" s="13"/>
      <c r="R1246" s="13"/>
      <c r="S1246" s="13"/>
    </row>
    <row r="1247" ht="15.75" customHeight="1">
      <c r="A1247" s="14" t="s">
        <v>4508</v>
      </c>
      <c r="B1247" s="14" t="s">
        <v>316</v>
      </c>
      <c r="C1247" s="14" t="s">
        <v>4509</v>
      </c>
      <c r="D1247" s="14">
        <v>100.0</v>
      </c>
      <c r="E1247" s="14" t="s">
        <v>318</v>
      </c>
      <c r="F1247" s="14" t="s">
        <v>4473</v>
      </c>
      <c r="G1247" s="14" t="s">
        <v>4510</v>
      </c>
      <c r="H1247" s="13"/>
      <c r="I1247" s="13"/>
      <c r="J1247" s="13"/>
      <c r="K1247" s="13"/>
      <c r="L1247" s="13"/>
      <c r="M1247" s="13"/>
      <c r="N1247" s="13"/>
      <c r="O1247" s="13"/>
      <c r="P1247" s="13"/>
      <c r="Q1247" s="13"/>
      <c r="R1247" s="13"/>
      <c r="S1247" s="13"/>
    </row>
    <row r="1248" ht="15.75" customHeight="1">
      <c r="A1248" s="14" t="s">
        <v>4511</v>
      </c>
      <c r="B1248" s="14" t="s">
        <v>316</v>
      </c>
      <c r="C1248" s="14" t="s">
        <v>4512</v>
      </c>
      <c r="D1248" s="14">
        <v>100.0</v>
      </c>
      <c r="E1248" s="14" t="s">
        <v>318</v>
      </c>
      <c r="F1248" s="14" t="s">
        <v>4473</v>
      </c>
      <c r="G1248" s="14" t="s">
        <v>4513</v>
      </c>
      <c r="H1248" s="13"/>
      <c r="I1248" s="13"/>
      <c r="J1248" s="13"/>
      <c r="K1248" s="13"/>
      <c r="L1248" s="13"/>
      <c r="M1248" s="13"/>
      <c r="N1248" s="13"/>
      <c r="O1248" s="13"/>
      <c r="P1248" s="13"/>
      <c r="Q1248" s="13"/>
      <c r="R1248" s="13"/>
      <c r="S1248" s="13"/>
    </row>
    <row r="1249" ht="15.75" customHeight="1">
      <c r="A1249" s="14" t="s">
        <v>4514</v>
      </c>
      <c r="B1249" s="14" t="s">
        <v>316</v>
      </c>
      <c r="C1249" s="14" t="s">
        <v>4515</v>
      </c>
      <c r="D1249" s="14">
        <v>100.0</v>
      </c>
      <c r="E1249" s="14" t="s">
        <v>318</v>
      </c>
      <c r="F1249" s="14" t="s">
        <v>4473</v>
      </c>
      <c r="G1249" s="14" t="s">
        <v>4516</v>
      </c>
      <c r="H1249" s="13"/>
      <c r="I1249" s="13"/>
      <c r="J1249" s="13"/>
      <c r="K1249" s="13"/>
      <c r="L1249" s="13"/>
      <c r="M1249" s="13"/>
      <c r="N1249" s="13"/>
      <c r="O1249" s="13"/>
      <c r="P1249" s="13"/>
      <c r="Q1249" s="13"/>
      <c r="R1249" s="13"/>
      <c r="S1249" s="13"/>
    </row>
    <row r="1250" ht="15.75" customHeight="1">
      <c r="A1250" s="14" t="s">
        <v>4517</v>
      </c>
      <c r="B1250" s="14" t="s">
        <v>316</v>
      </c>
      <c r="C1250" s="14" t="s">
        <v>4518</v>
      </c>
      <c r="D1250" s="14">
        <v>100.0</v>
      </c>
      <c r="E1250" s="14" t="s">
        <v>318</v>
      </c>
      <c r="F1250" s="14" t="s">
        <v>4473</v>
      </c>
      <c r="G1250" s="14" t="s">
        <v>4519</v>
      </c>
      <c r="H1250" s="13"/>
      <c r="I1250" s="13"/>
      <c r="J1250" s="13"/>
      <c r="K1250" s="13"/>
      <c r="L1250" s="13"/>
      <c r="M1250" s="13"/>
      <c r="N1250" s="13"/>
      <c r="O1250" s="13"/>
      <c r="P1250" s="13"/>
      <c r="Q1250" s="13"/>
      <c r="R1250" s="13"/>
      <c r="S1250" s="13"/>
    </row>
    <row r="1251" ht="15.75" customHeight="1">
      <c r="A1251" s="14" t="s">
        <v>4520</v>
      </c>
      <c r="B1251" s="14" t="s">
        <v>316</v>
      </c>
      <c r="C1251" s="14" t="s">
        <v>4521</v>
      </c>
      <c r="D1251" s="14">
        <v>100.0</v>
      </c>
      <c r="E1251" s="14" t="s">
        <v>318</v>
      </c>
      <c r="F1251" s="14" t="s">
        <v>4473</v>
      </c>
      <c r="G1251" s="14" t="s">
        <v>4522</v>
      </c>
      <c r="H1251" s="13"/>
      <c r="I1251" s="13"/>
      <c r="J1251" s="13"/>
      <c r="K1251" s="13"/>
      <c r="L1251" s="13"/>
      <c r="M1251" s="13"/>
      <c r="N1251" s="13"/>
      <c r="O1251" s="13"/>
      <c r="P1251" s="13"/>
      <c r="Q1251" s="13"/>
      <c r="R1251" s="13"/>
      <c r="S1251" s="13"/>
    </row>
    <row r="1252" ht="15.75" customHeight="1">
      <c r="A1252" s="14" t="s">
        <v>4523</v>
      </c>
      <c r="B1252" s="14" t="s">
        <v>316</v>
      </c>
      <c r="C1252" s="14" t="s">
        <v>4524</v>
      </c>
      <c r="D1252" s="14">
        <v>100.0</v>
      </c>
      <c r="E1252" s="14" t="s">
        <v>318</v>
      </c>
      <c r="F1252" s="14" t="s">
        <v>4473</v>
      </c>
      <c r="G1252" s="14" t="s">
        <v>4525</v>
      </c>
      <c r="H1252" s="13"/>
      <c r="I1252" s="13"/>
      <c r="J1252" s="13"/>
      <c r="K1252" s="13"/>
      <c r="L1252" s="13"/>
      <c r="M1252" s="13"/>
      <c r="N1252" s="13"/>
      <c r="O1252" s="13"/>
      <c r="P1252" s="13"/>
      <c r="Q1252" s="13"/>
      <c r="R1252" s="13"/>
      <c r="S1252" s="13"/>
    </row>
    <row r="1253" ht="15.75" customHeight="1">
      <c r="A1253" s="14" t="s">
        <v>4526</v>
      </c>
      <c r="B1253" s="14" t="s">
        <v>316</v>
      </c>
      <c r="C1253" s="14" t="s">
        <v>4527</v>
      </c>
      <c r="D1253" s="14">
        <v>100.0</v>
      </c>
      <c r="E1253" s="14" t="s">
        <v>318</v>
      </c>
      <c r="F1253" s="14" t="s">
        <v>4473</v>
      </c>
      <c r="G1253" s="14" t="s">
        <v>4528</v>
      </c>
      <c r="H1253" s="13"/>
      <c r="I1253" s="13"/>
      <c r="J1253" s="13"/>
      <c r="K1253" s="13"/>
      <c r="L1253" s="13"/>
      <c r="M1253" s="13"/>
      <c r="N1253" s="13"/>
      <c r="O1253" s="13"/>
      <c r="P1253" s="13"/>
      <c r="Q1253" s="13"/>
      <c r="R1253" s="13"/>
      <c r="S1253" s="13"/>
    </row>
    <row r="1254" ht="15.75" customHeight="1">
      <c r="A1254" s="14" t="s">
        <v>4529</v>
      </c>
      <c r="B1254" s="14" t="s">
        <v>316</v>
      </c>
      <c r="C1254" s="14" t="s">
        <v>4530</v>
      </c>
      <c r="D1254" s="14">
        <v>100.0</v>
      </c>
      <c r="E1254" s="14" t="s">
        <v>318</v>
      </c>
      <c r="F1254" s="14" t="s">
        <v>4473</v>
      </c>
      <c r="G1254" s="14" t="s">
        <v>4531</v>
      </c>
      <c r="H1254" s="13"/>
      <c r="I1254" s="13"/>
      <c r="J1254" s="13"/>
      <c r="K1254" s="13"/>
      <c r="L1254" s="13"/>
      <c r="M1254" s="13"/>
      <c r="N1254" s="13"/>
      <c r="O1254" s="13"/>
      <c r="P1254" s="13"/>
      <c r="Q1254" s="13"/>
      <c r="R1254" s="13"/>
      <c r="S1254" s="13"/>
    </row>
    <row r="1255" ht="15.75" customHeight="1">
      <c r="A1255" s="14" t="s">
        <v>4532</v>
      </c>
      <c r="B1255" s="14" t="s">
        <v>316</v>
      </c>
      <c r="C1255" s="14" t="s">
        <v>4533</v>
      </c>
      <c r="D1255" s="14">
        <v>100.0</v>
      </c>
      <c r="E1255" s="14" t="s">
        <v>318</v>
      </c>
      <c r="F1255" s="14" t="s">
        <v>4473</v>
      </c>
      <c r="G1255" s="14" t="s">
        <v>4534</v>
      </c>
      <c r="H1255" s="13"/>
      <c r="I1255" s="13"/>
      <c r="J1255" s="13"/>
      <c r="K1255" s="13"/>
      <c r="L1255" s="13"/>
      <c r="M1255" s="13"/>
      <c r="N1255" s="13"/>
      <c r="O1255" s="13"/>
      <c r="P1255" s="13"/>
      <c r="Q1255" s="13"/>
      <c r="R1255" s="13"/>
      <c r="S1255" s="13"/>
    </row>
    <row r="1256" ht="15.75" customHeight="1">
      <c r="A1256" s="14" t="s">
        <v>4535</v>
      </c>
      <c r="B1256" s="14" t="s">
        <v>316</v>
      </c>
      <c r="C1256" s="14" t="s">
        <v>4536</v>
      </c>
      <c r="D1256" s="14">
        <v>100.0</v>
      </c>
      <c r="E1256" s="14" t="s">
        <v>318</v>
      </c>
      <c r="F1256" s="14" t="s">
        <v>4473</v>
      </c>
      <c r="G1256" s="14" t="s">
        <v>4537</v>
      </c>
      <c r="H1256" s="13"/>
      <c r="I1256" s="13"/>
      <c r="J1256" s="13"/>
      <c r="K1256" s="13"/>
      <c r="L1256" s="13"/>
      <c r="M1256" s="13"/>
      <c r="N1256" s="13"/>
      <c r="O1256" s="13"/>
      <c r="P1256" s="13"/>
      <c r="Q1256" s="13"/>
      <c r="R1256" s="13"/>
      <c r="S1256" s="13"/>
    </row>
    <row r="1257" ht="15.75" customHeight="1">
      <c r="A1257" s="14" t="s">
        <v>4538</v>
      </c>
      <c r="B1257" s="14" t="s">
        <v>316</v>
      </c>
      <c r="C1257" s="14" t="s">
        <v>4539</v>
      </c>
      <c r="D1257" s="14">
        <v>100.0</v>
      </c>
      <c r="E1257" s="14" t="s">
        <v>318</v>
      </c>
      <c r="F1257" s="14" t="s">
        <v>4473</v>
      </c>
      <c r="G1257" s="14" t="s">
        <v>4540</v>
      </c>
      <c r="H1257" s="13"/>
      <c r="I1257" s="13"/>
      <c r="J1257" s="13"/>
      <c r="K1257" s="13"/>
      <c r="L1257" s="13"/>
      <c r="M1257" s="13"/>
      <c r="N1257" s="13"/>
      <c r="O1257" s="13"/>
      <c r="P1257" s="13"/>
      <c r="Q1257" s="13"/>
      <c r="R1257" s="13"/>
      <c r="S1257" s="13"/>
    </row>
    <row r="1258" ht="15.75" customHeight="1">
      <c r="A1258" s="14" t="s">
        <v>4541</v>
      </c>
      <c r="B1258" s="14" t="s">
        <v>316</v>
      </c>
      <c r="C1258" s="14" t="s">
        <v>4542</v>
      </c>
      <c r="D1258" s="14">
        <v>100.0</v>
      </c>
      <c r="E1258" s="14" t="s">
        <v>318</v>
      </c>
      <c r="F1258" s="14" t="s">
        <v>4473</v>
      </c>
      <c r="G1258" s="14" t="s">
        <v>4543</v>
      </c>
      <c r="H1258" s="13"/>
      <c r="I1258" s="13"/>
      <c r="J1258" s="13"/>
      <c r="K1258" s="13"/>
      <c r="L1258" s="13"/>
      <c r="M1258" s="13"/>
      <c r="N1258" s="13"/>
      <c r="O1258" s="13"/>
      <c r="P1258" s="13"/>
      <c r="Q1258" s="13"/>
      <c r="R1258" s="13"/>
      <c r="S1258" s="13"/>
    </row>
    <row r="1259" ht="15.75" customHeight="1">
      <c r="A1259" s="14" t="s">
        <v>4544</v>
      </c>
      <c r="B1259" s="14" t="s">
        <v>316</v>
      </c>
      <c r="C1259" s="14" t="s">
        <v>4545</v>
      </c>
      <c r="D1259" s="14">
        <v>100.0</v>
      </c>
      <c r="E1259" s="14" t="s">
        <v>318</v>
      </c>
      <c r="F1259" s="14" t="s">
        <v>4473</v>
      </c>
      <c r="G1259" s="14" t="s">
        <v>4546</v>
      </c>
      <c r="H1259" s="13"/>
      <c r="I1259" s="13"/>
      <c r="J1259" s="13"/>
      <c r="K1259" s="13"/>
      <c r="L1259" s="13"/>
      <c r="M1259" s="13"/>
      <c r="N1259" s="13"/>
      <c r="O1259" s="13"/>
      <c r="P1259" s="13"/>
      <c r="Q1259" s="13"/>
      <c r="R1259" s="13"/>
      <c r="S1259" s="13"/>
    </row>
    <row r="1260" ht="15.75" customHeight="1">
      <c r="A1260" s="14" t="s">
        <v>4547</v>
      </c>
      <c r="B1260" s="14" t="s">
        <v>316</v>
      </c>
      <c r="C1260" s="14" t="s">
        <v>4548</v>
      </c>
      <c r="D1260" s="14">
        <v>100.0</v>
      </c>
      <c r="E1260" s="14" t="s">
        <v>318</v>
      </c>
      <c r="F1260" s="14" t="s">
        <v>4473</v>
      </c>
      <c r="G1260" s="14" t="s">
        <v>4549</v>
      </c>
      <c r="H1260" s="13"/>
      <c r="I1260" s="13"/>
      <c r="J1260" s="13"/>
      <c r="K1260" s="13"/>
      <c r="L1260" s="13"/>
      <c r="M1260" s="13"/>
      <c r="N1260" s="13"/>
      <c r="O1260" s="13"/>
      <c r="P1260" s="13"/>
      <c r="Q1260" s="13"/>
      <c r="R1260" s="13"/>
      <c r="S1260" s="13"/>
    </row>
    <row r="1261" ht="15.75" customHeight="1">
      <c r="A1261" s="14" t="s">
        <v>4550</v>
      </c>
      <c r="B1261" s="14" t="s">
        <v>316</v>
      </c>
      <c r="C1261" s="14" t="s">
        <v>4551</v>
      </c>
      <c r="D1261" s="14">
        <v>100.0</v>
      </c>
      <c r="E1261" s="14" t="s">
        <v>318</v>
      </c>
      <c r="F1261" s="14" t="s">
        <v>4473</v>
      </c>
      <c r="G1261" s="14" t="s">
        <v>4552</v>
      </c>
      <c r="H1261" s="13"/>
      <c r="I1261" s="13"/>
      <c r="J1261" s="13"/>
      <c r="K1261" s="13"/>
      <c r="L1261" s="13"/>
      <c r="M1261" s="13"/>
      <c r="N1261" s="13"/>
      <c r="O1261" s="13"/>
      <c r="P1261" s="13"/>
      <c r="Q1261" s="13"/>
      <c r="R1261" s="13"/>
      <c r="S1261" s="13"/>
    </row>
    <row r="1262" ht="15.75" customHeight="1">
      <c r="A1262" s="14" t="s">
        <v>4553</v>
      </c>
      <c r="B1262" s="14" t="s">
        <v>316</v>
      </c>
      <c r="C1262" s="14" t="s">
        <v>4554</v>
      </c>
      <c r="D1262" s="14">
        <v>100.0</v>
      </c>
      <c r="E1262" s="14" t="s">
        <v>318</v>
      </c>
      <c r="F1262" s="14" t="s">
        <v>4473</v>
      </c>
      <c r="G1262" s="14" t="s">
        <v>4555</v>
      </c>
      <c r="H1262" s="13"/>
      <c r="I1262" s="13"/>
      <c r="J1262" s="13"/>
      <c r="K1262" s="13"/>
      <c r="L1262" s="13"/>
      <c r="M1262" s="13"/>
      <c r="N1262" s="13"/>
      <c r="O1262" s="13"/>
      <c r="P1262" s="13"/>
      <c r="Q1262" s="13"/>
      <c r="R1262" s="13"/>
      <c r="S1262" s="13"/>
    </row>
    <row r="1263" ht="15.75" customHeight="1">
      <c r="A1263" s="14" t="s">
        <v>4556</v>
      </c>
      <c r="B1263" s="14" t="s">
        <v>316</v>
      </c>
      <c r="C1263" s="14" t="s">
        <v>4557</v>
      </c>
      <c r="D1263" s="14">
        <v>100.0</v>
      </c>
      <c r="E1263" s="14" t="s">
        <v>318</v>
      </c>
      <c r="F1263" s="14" t="s">
        <v>4473</v>
      </c>
      <c r="G1263" s="14" t="s">
        <v>4558</v>
      </c>
      <c r="H1263" s="13"/>
      <c r="I1263" s="13"/>
      <c r="J1263" s="13"/>
      <c r="K1263" s="13"/>
      <c r="L1263" s="13"/>
      <c r="M1263" s="13"/>
      <c r="N1263" s="13"/>
      <c r="O1263" s="13"/>
      <c r="P1263" s="13"/>
      <c r="Q1263" s="13"/>
      <c r="R1263" s="13"/>
      <c r="S1263" s="13"/>
    </row>
    <row r="1264" ht="15.75" customHeight="1">
      <c r="A1264" s="14" t="s">
        <v>4559</v>
      </c>
      <c r="B1264" s="14" t="s">
        <v>316</v>
      </c>
      <c r="C1264" s="14" t="s">
        <v>4560</v>
      </c>
      <c r="D1264" s="14">
        <v>100.0</v>
      </c>
      <c r="E1264" s="14" t="s">
        <v>318</v>
      </c>
      <c r="F1264" s="14" t="s">
        <v>4473</v>
      </c>
      <c r="G1264" s="14" t="s">
        <v>4561</v>
      </c>
      <c r="H1264" s="13"/>
      <c r="I1264" s="13"/>
      <c r="J1264" s="13"/>
      <c r="K1264" s="13"/>
      <c r="L1264" s="13"/>
      <c r="M1264" s="13"/>
      <c r="N1264" s="13"/>
      <c r="O1264" s="13"/>
      <c r="P1264" s="13"/>
      <c r="Q1264" s="13"/>
      <c r="R1264" s="13"/>
      <c r="S1264" s="13"/>
    </row>
    <row r="1265" ht="15.75" customHeight="1">
      <c r="A1265" s="14" t="s">
        <v>4562</v>
      </c>
      <c r="B1265" s="14" t="s">
        <v>316</v>
      </c>
      <c r="C1265" s="14" t="s">
        <v>4563</v>
      </c>
      <c r="D1265" s="14">
        <v>100.0</v>
      </c>
      <c r="E1265" s="14" t="s">
        <v>318</v>
      </c>
      <c r="F1265" s="14" t="s">
        <v>4473</v>
      </c>
      <c r="G1265" s="14" t="s">
        <v>4564</v>
      </c>
      <c r="H1265" s="13"/>
      <c r="I1265" s="13"/>
      <c r="J1265" s="13"/>
      <c r="K1265" s="13"/>
      <c r="L1265" s="13"/>
      <c r="M1265" s="13"/>
      <c r="N1265" s="13"/>
      <c r="O1265" s="13"/>
      <c r="P1265" s="13"/>
      <c r="Q1265" s="13"/>
      <c r="R1265" s="13"/>
      <c r="S1265" s="13"/>
    </row>
    <row r="1266" ht="15.75" customHeight="1">
      <c r="A1266" s="14" t="s">
        <v>4565</v>
      </c>
      <c r="B1266" s="14" t="s">
        <v>316</v>
      </c>
      <c r="C1266" s="14" t="s">
        <v>4566</v>
      </c>
      <c r="D1266" s="14">
        <v>100.0</v>
      </c>
      <c r="E1266" s="14" t="s">
        <v>318</v>
      </c>
      <c r="F1266" s="14" t="s">
        <v>4473</v>
      </c>
      <c r="G1266" s="14" t="s">
        <v>4567</v>
      </c>
      <c r="H1266" s="13"/>
      <c r="I1266" s="13"/>
      <c r="J1266" s="13"/>
      <c r="K1266" s="13"/>
      <c r="L1266" s="13"/>
      <c r="M1266" s="13"/>
      <c r="N1266" s="13"/>
      <c r="O1266" s="13"/>
      <c r="P1266" s="13"/>
      <c r="Q1266" s="13"/>
      <c r="R1266" s="13"/>
      <c r="S1266" s="13"/>
    </row>
    <row r="1267" ht="15.75" customHeight="1">
      <c r="A1267" s="14" t="s">
        <v>4568</v>
      </c>
      <c r="B1267" s="14" t="s">
        <v>316</v>
      </c>
      <c r="C1267" s="14" t="s">
        <v>4569</v>
      </c>
      <c r="D1267" s="14">
        <v>100.0</v>
      </c>
      <c r="E1267" s="14" t="s">
        <v>318</v>
      </c>
      <c r="F1267" s="14" t="s">
        <v>4473</v>
      </c>
      <c r="G1267" s="14" t="s">
        <v>4570</v>
      </c>
      <c r="H1267" s="13"/>
      <c r="I1267" s="13"/>
      <c r="J1267" s="13"/>
      <c r="K1267" s="13"/>
      <c r="L1267" s="13"/>
      <c r="M1267" s="13"/>
      <c r="N1267" s="13"/>
      <c r="O1267" s="13"/>
      <c r="P1267" s="13"/>
      <c r="Q1267" s="13"/>
      <c r="R1267" s="13"/>
      <c r="S1267" s="13"/>
    </row>
    <row r="1268" ht="15.75" customHeight="1">
      <c r="A1268" s="14" t="s">
        <v>4571</v>
      </c>
      <c r="B1268" s="14" t="s">
        <v>316</v>
      </c>
      <c r="C1268" s="14" t="s">
        <v>4572</v>
      </c>
      <c r="D1268" s="14">
        <v>100.0</v>
      </c>
      <c r="E1268" s="14" t="s">
        <v>318</v>
      </c>
      <c r="F1268" s="14" t="s">
        <v>4473</v>
      </c>
      <c r="G1268" s="14" t="s">
        <v>4573</v>
      </c>
      <c r="H1268" s="13"/>
      <c r="I1268" s="13"/>
      <c r="J1268" s="13"/>
      <c r="K1268" s="13"/>
      <c r="L1268" s="13"/>
      <c r="M1268" s="13"/>
      <c r="N1268" s="13"/>
      <c r="O1268" s="13"/>
      <c r="P1268" s="13"/>
      <c r="Q1268" s="13"/>
      <c r="R1268" s="13"/>
      <c r="S1268" s="13"/>
    </row>
    <row r="1269" ht="15.75" customHeight="1">
      <c r="A1269" s="14" t="s">
        <v>4574</v>
      </c>
      <c r="B1269" s="14" t="s">
        <v>316</v>
      </c>
      <c r="C1269" s="14" t="s">
        <v>4575</v>
      </c>
      <c r="D1269" s="14">
        <v>100.0</v>
      </c>
      <c r="E1269" s="14" t="s">
        <v>318</v>
      </c>
      <c r="F1269" s="14" t="s">
        <v>4473</v>
      </c>
      <c r="G1269" s="14" t="s">
        <v>4576</v>
      </c>
      <c r="H1269" s="13"/>
      <c r="I1269" s="13"/>
      <c r="J1269" s="13"/>
      <c r="K1269" s="13"/>
      <c r="L1269" s="13"/>
      <c r="M1269" s="13"/>
      <c r="N1269" s="13"/>
      <c r="O1269" s="13"/>
      <c r="P1269" s="13"/>
      <c r="Q1269" s="13"/>
      <c r="R1269" s="13"/>
      <c r="S1269" s="13"/>
    </row>
    <row r="1270" ht="15.75" customHeight="1">
      <c r="A1270" s="14" t="s">
        <v>4577</v>
      </c>
      <c r="B1270" s="14" t="s">
        <v>316</v>
      </c>
      <c r="C1270" s="14" t="s">
        <v>4578</v>
      </c>
      <c r="D1270" s="14">
        <v>100.0</v>
      </c>
      <c r="E1270" s="14" t="s">
        <v>318</v>
      </c>
      <c r="F1270" s="14" t="s">
        <v>4473</v>
      </c>
      <c r="G1270" s="14" t="s">
        <v>4579</v>
      </c>
      <c r="H1270" s="13"/>
      <c r="I1270" s="13"/>
      <c r="J1270" s="13"/>
      <c r="K1270" s="13"/>
      <c r="L1270" s="13"/>
      <c r="M1270" s="13"/>
      <c r="N1270" s="13"/>
      <c r="O1270" s="13"/>
      <c r="P1270" s="13"/>
      <c r="Q1270" s="13"/>
      <c r="R1270" s="13"/>
      <c r="S1270" s="13"/>
    </row>
    <row r="1271" ht="15.75" customHeight="1">
      <c r="A1271" s="14" t="s">
        <v>4580</v>
      </c>
      <c r="B1271" s="14" t="s">
        <v>316</v>
      </c>
      <c r="C1271" s="14" t="s">
        <v>4581</v>
      </c>
      <c r="D1271" s="14">
        <v>100.0</v>
      </c>
      <c r="E1271" s="14" t="s">
        <v>318</v>
      </c>
      <c r="F1271" s="14" t="s">
        <v>4473</v>
      </c>
      <c r="G1271" s="14" t="s">
        <v>4582</v>
      </c>
      <c r="H1271" s="13"/>
      <c r="I1271" s="13"/>
      <c r="J1271" s="13"/>
      <c r="K1271" s="13"/>
      <c r="L1271" s="13"/>
      <c r="M1271" s="13"/>
      <c r="N1271" s="13"/>
      <c r="O1271" s="13"/>
      <c r="P1271" s="13"/>
      <c r="Q1271" s="13"/>
      <c r="R1271" s="13"/>
      <c r="S1271" s="13"/>
    </row>
    <row r="1272" ht="15.75" customHeight="1">
      <c r="A1272" s="14" t="s">
        <v>4583</v>
      </c>
      <c r="B1272" s="14" t="s">
        <v>316</v>
      </c>
      <c r="C1272" s="14" t="s">
        <v>4584</v>
      </c>
      <c r="D1272" s="14">
        <v>100.0</v>
      </c>
      <c r="E1272" s="14" t="s">
        <v>318</v>
      </c>
      <c r="F1272" s="14" t="s">
        <v>4473</v>
      </c>
      <c r="G1272" s="14" t="s">
        <v>4585</v>
      </c>
      <c r="H1272" s="13"/>
      <c r="I1272" s="13"/>
      <c r="J1272" s="13"/>
      <c r="K1272" s="13"/>
      <c r="L1272" s="13"/>
      <c r="M1272" s="13"/>
      <c r="N1272" s="13"/>
      <c r="O1272" s="13"/>
      <c r="P1272" s="13"/>
      <c r="Q1272" s="13"/>
      <c r="R1272" s="13"/>
      <c r="S1272" s="13"/>
    </row>
    <row r="1273" ht="15.75" customHeight="1">
      <c r="A1273" s="14" t="s">
        <v>4586</v>
      </c>
      <c r="B1273" s="14" t="s">
        <v>316</v>
      </c>
      <c r="C1273" s="14" t="s">
        <v>4587</v>
      </c>
      <c r="D1273" s="14">
        <v>100.0</v>
      </c>
      <c r="E1273" s="14" t="s">
        <v>318</v>
      </c>
      <c r="F1273" s="14" t="s">
        <v>4473</v>
      </c>
      <c r="G1273" s="14" t="s">
        <v>4588</v>
      </c>
      <c r="H1273" s="13"/>
      <c r="I1273" s="13"/>
      <c r="J1273" s="13"/>
      <c r="K1273" s="13"/>
      <c r="L1273" s="13"/>
      <c r="M1273" s="13"/>
      <c r="N1273" s="13"/>
      <c r="O1273" s="13"/>
      <c r="P1273" s="13"/>
      <c r="Q1273" s="13"/>
      <c r="R1273" s="13"/>
      <c r="S1273" s="13"/>
    </row>
    <row r="1274" ht="15.75" customHeight="1">
      <c r="A1274" s="14" t="s">
        <v>4589</v>
      </c>
      <c r="B1274" s="14" t="s">
        <v>316</v>
      </c>
      <c r="C1274" s="14" t="s">
        <v>4590</v>
      </c>
      <c r="D1274" s="14">
        <v>100.0</v>
      </c>
      <c r="E1274" s="14" t="s">
        <v>318</v>
      </c>
      <c r="F1274" s="14" t="s">
        <v>4473</v>
      </c>
      <c r="G1274" s="14" t="s">
        <v>4591</v>
      </c>
      <c r="H1274" s="13"/>
      <c r="I1274" s="13"/>
      <c r="J1274" s="13"/>
      <c r="K1274" s="13"/>
      <c r="L1274" s="13"/>
      <c r="M1274" s="13"/>
      <c r="N1274" s="13"/>
      <c r="O1274" s="13"/>
      <c r="P1274" s="13"/>
      <c r="Q1274" s="13"/>
      <c r="R1274" s="13"/>
      <c r="S1274" s="13"/>
    </row>
    <row r="1275" ht="15.75" customHeight="1">
      <c r="A1275" s="14" t="s">
        <v>4592</v>
      </c>
      <c r="B1275" s="14" t="s">
        <v>316</v>
      </c>
      <c r="C1275" s="14" t="s">
        <v>4593</v>
      </c>
      <c r="D1275" s="14">
        <v>100.0</v>
      </c>
      <c r="E1275" s="14" t="s">
        <v>318</v>
      </c>
      <c r="F1275" s="14" t="s">
        <v>4473</v>
      </c>
      <c r="G1275" s="14" t="s">
        <v>4594</v>
      </c>
      <c r="H1275" s="13"/>
      <c r="I1275" s="13"/>
      <c r="J1275" s="13"/>
      <c r="K1275" s="13"/>
      <c r="L1275" s="13"/>
      <c r="M1275" s="13"/>
      <c r="N1275" s="13"/>
      <c r="O1275" s="13"/>
      <c r="P1275" s="13"/>
      <c r="Q1275" s="13"/>
      <c r="R1275" s="13"/>
      <c r="S1275" s="13"/>
    </row>
    <row r="1276" ht="15.75" customHeight="1">
      <c r="A1276" s="14" t="s">
        <v>4595</v>
      </c>
      <c r="B1276" s="14" t="s">
        <v>316</v>
      </c>
      <c r="C1276" s="14" t="s">
        <v>4596</v>
      </c>
      <c r="D1276" s="14">
        <v>100.0</v>
      </c>
      <c r="E1276" s="14" t="s">
        <v>318</v>
      </c>
      <c r="F1276" s="14" t="s">
        <v>4473</v>
      </c>
      <c r="G1276" s="14" t="s">
        <v>4597</v>
      </c>
      <c r="H1276" s="13"/>
      <c r="I1276" s="13"/>
      <c r="J1276" s="13"/>
      <c r="K1276" s="13"/>
      <c r="L1276" s="13"/>
      <c r="M1276" s="13"/>
      <c r="N1276" s="13"/>
      <c r="O1276" s="13"/>
      <c r="P1276" s="13"/>
      <c r="Q1276" s="13"/>
      <c r="R1276" s="13"/>
      <c r="S1276" s="13"/>
    </row>
    <row r="1277" ht="15.75" customHeight="1">
      <c r="A1277" s="14" t="s">
        <v>4598</v>
      </c>
      <c r="B1277" s="14" t="s">
        <v>316</v>
      </c>
      <c r="C1277" s="14" t="s">
        <v>4599</v>
      </c>
      <c r="D1277" s="14">
        <v>100.0</v>
      </c>
      <c r="E1277" s="14" t="s">
        <v>318</v>
      </c>
      <c r="F1277" s="14" t="s">
        <v>4473</v>
      </c>
      <c r="G1277" s="14" t="s">
        <v>4600</v>
      </c>
      <c r="H1277" s="13"/>
      <c r="I1277" s="13"/>
      <c r="J1277" s="13"/>
      <c r="K1277" s="13"/>
      <c r="L1277" s="13"/>
      <c r="M1277" s="13"/>
      <c r="N1277" s="13"/>
      <c r="O1277" s="13"/>
      <c r="P1277" s="13"/>
      <c r="Q1277" s="13"/>
      <c r="R1277" s="13"/>
      <c r="S1277" s="13"/>
    </row>
    <row r="1278" ht="15.75" customHeight="1">
      <c r="A1278" s="14" t="s">
        <v>4601</v>
      </c>
      <c r="B1278" s="14" t="s">
        <v>316</v>
      </c>
      <c r="C1278" s="14" t="s">
        <v>4602</v>
      </c>
      <c r="D1278" s="14">
        <v>100.0</v>
      </c>
      <c r="E1278" s="14" t="s">
        <v>318</v>
      </c>
      <c r="F1278" s="14" t="s">
        <v>4473</v>
      </c>
      <c r="G1278" s="14" t="s">
        <v>4603</v>
      </c>
      <c r="H1278" s="13"/>
      <c r="I1278" s="13"/>
      <c r="J1278" s="13"/>
      <c r="K1278" s="13"/>
      <c r="L1278" s="13"/>
      <c r="M1278" s="13"/>
      <c r="N1278" s="13"/>
      <c r="O1278" s="13"/>
      <c r="P1278" s="13"/>
      <c r="Q1278" s="13"/>
      <c r="R1278" s="13"/>
      <c r="S1278" s="13"/>
    </row>
    <row r="1279" ht="15.75" customHeight="1">
      <c r="A1279" s="14" t="s">
        <v>4604</v>
      </c>
      <c r="B1279" s="14" t="s">
        <v>316</v>
      </c>
      <c r="C1279" s="14" t="s">
        <v>4605</v>
      </c>
      <c r="D1279" s="14">
        <v>100.0</v>
      </c>
      <c r="E1279" s="14" t="s">
        <v>318</v>
      </c>
      <c r="F1279" s="14" t="s">
        <v>4473</v>
      </c>
      <c r="G1279" s="14" t="s">
        <v>4606</v>
      </c>
      <c r="H1279" s="13"/>
      <c r="I1279" s="13"/>
      <c r="J1279" s="13"/>
      <c r="K1279" s="13"/>
      <c r="L1279" s="13"/>
      <c r="M1279" s="13"/>
      <c r="N1279" s="13"/>
      <c r="O1279" s="13"/>
      <c r="P1279" s="13"/>
      <c r="Q1279" s="13"/>
      <c r="R1279" s="13"/>
      <c r="S1279" s="13"/>
    </row>
    <row r="1280" ht="15.75" customHeight="1">
      <c r="A1280" s="14" t="s">
        <v>4607</v>
      </c>
      <c r="B1280" s="14" t="s">
        <v>316</v>
      </c>
      <c r="C1280" s="14" t="s">
        <v>4608</v>
      </c>
      <c r="D1280" s="14">
        <v>100.0</v>
      </c>
      <c r="E1280" s="14" t="s">
        <v>318</v>
      </c>
      <c r="F1280" s="14" t="s">
        <v>4473</v>
      </c>
      <c r="G1280" s="14" t="s">
        <v>4609</v>
      </c>
      <c r="H1280" s="13"/>
      <c r="I1280" s="13"/>
      <c r="J1280" s="13"/>
      <c r="K1280" s="13"/>
      <c r="L1280" s="13"/>
      <c r="M1280" s="13"/>
      <c r="N1280" s="13"/>
      <c r="O1280" s="13"/>
      <c r="P1280" s="13"/>
      <c r="Q1280" s="13"/>
      <c r="R1280" s="13"/>
      <c r="S1280" s="13"/>
    </row>
    <row r="1281" ht="15.75" customHeight="1">
      <c r="A1281" s="14" t="s">
        <v>4610</v>
      </c>
      <c r="B1281" s="14" t="s">
        <v>316</v>
      </c>
      <c r="C1281" s="14" t="s">
        <v>4611</v>
      </c>
      <c r="D1281" s="14">
        <v>100.0</v>
      </c>
      <c r="E1281" s="14" t="s">
        <v>318</v>
      </c>
      <c r="F1281" s="14" t="s">
        <v>4473</v>
      </c>
      <c r="G1281" s="14" t="s">
        <v>4612</v>
      </c>
      <c r="H1281" s="13"/>
      <c r="I1281" s="13"/>
      <c r="J1281" s="13"/>
      <c r="K1281" s="13"/>
      <c r="L1281" s="13"/>
      <c r="M1281" s="13"/>
      <c r="N1281" s="13"/>
      <c r="O1281" s="13"/>
      <c r="P1281" s="13"/>
      <c r="Q1281" s="13"/>
      <c r="R1281" s="13"/>
      <c r="S1281" s="13"/>
    </row>
    <row r="1282" ht="15.75" customHeight="1">
      <c r="A1282" s="14" t="s">
        <v>4613</v>
      </c>
      <c r="B1282" s="14" t="s">
        <v>316</v>
      </c>
      <c r="C1282" s="14" t="s">
        <v>4614</v>
      </c>
      <c r="D1282" s="14">
        <v>100.0</v>
      </c>
      <c r="E1282" s="14" t="s">
        <v>318</v>
      </c>
      <c r="F1282" s="14" t="s">
        <v>4615</v>
      </c>
      <c r="G1282" s="14" t="s">
        <v>4616</v>
      </c>
      <c r="H1282" s="13"/>
      <c r="I1282" s="13"/>
      <c r="J1282" s="13"/>
      <c r="K1282" s="13"/>
      <c r="L1282" s="13"/>
      <c r="M1282" s="13"/>
      <c r="N1282" s="13"/>
      <c r="O1282" s="13"/>
      <c r="P1282" s="13"/>
      <c r="Q1282" s="13"/>
      <c r="R1282" s="13"/>
      <c r="S1282" s="13"/>
    </row>
    <row r="1283" ht="15.75" customHeight="1">
      <c r="A1283" s="14" t="s">
        <v>4617</v>
      </c>
      <c r="B1283" s="14" t="s">
        <v>316</v>
      </c>
      <c r="C1283" s="14" t="s">
        <v>4618</v>
      </c>
      <c r="D1283" s="14">
        <v>100.0</v>
      </c>
      <c r="E1283" s="14" t="s">
        <v>318</v>
      </c>
      <c r="F1283" s="14" t="s">
        <v>4473</v>
      </c>
      <c r="G1283" s="14" t="s">
        <v>4619</v>
      </c>
      <c r="H1283" s="13"/>
      <c r="I1283" s="13"/>
      <c r="J1283" s="13"/>
      <c r="K1283" s="13"/>
      <c r="L1283" s="13"/>
      <c r="M1283" s="13"/>
      <c r="N1283" s="13"/>
      <c r="O1283" s="13"/>
      <c r="P1283" s="13"/>
      <c r="Q1283" s="13"/>
      <c r="R1283" s="13"/>
      <c r="S1283" s="13"/>
    </row>
    <row r="1284" ht="15.75" customHeight="1">
      <c r="A1284" s="14" t="s">
        <v>4620</v>
      </c>
      <c r="B1284" s="14" t="s">
        <v>316</v>
      </c>
      <c r="C1284" s="14" t="s">
        <v>4621</v>
      </c>
      <c r="D1284" s="14">
        <v>100.0</v>
      </c>
      <c r="E1284" s="14" t="s">
        <v>318</v>
      </c>
      <c r="F1284" s="14" t="s">
        <v>4473</v>
      </c>
      <c r="G1284" s="14" t="s">
        <v>4622</v>
      </c>
      <c r="H1284" s="13"/>
      <c r="I1284" s="13"/>
      <c r="J1284" s="13"/>
      <c r="K1284" s="13"/>
      <c r="L1284" s="13"/>
      <c r="M1284" s="13"/>
      <c r="N1284" s="13"/>
      <c r="O1284" s="13"/>
      <c r="P1284" s="13"/>
      <c r="Q1284" s="13"/>
      <c r="R1284" s="13"/>
      <c r="S1284" s="13"/>
    </row>
    <row r="1285" ht="15.75" customHeight="1">
      <c r="A1285" s="14" t="s">
        <v>4623</v>
      </c>
      <c r="B1285" s="14" t="s">
        <v>316</v>
      </c>
      <c r="C1285" s="14" t="s">
        <v>4624</v>
      </c>
      <c r="D1285" s="14">
        <v>100.0</v>
      </c>
      <c r="E1285" s="14" t="s">
        <v>318</v>
      </c>
      <c r="F1285" s="14" t="s">
        <v>4473</v>
      </c>
      <c r="G1285" s="14" t="s">
        <v>4625</v>
      </c>
      <c r="H1285" s="13"/>
      <c r="I1285" s="13"/>
      <c r="J1285" s="13"/>
      <c r="K1285" s="13"/>
      <c r="L1285" s="13"/>
      <c r="M1285" s="13"/>
      <c r="N1285" s="13"/>
      <c r="O1285" s="13"/>
      <c r="P1285" s="13"/>
      <c r="Q1285" s="13"/>
      <c r="R1285" s="13"/>
      <c r="S1285" s="13"/>
    </row>
    <row r="1286" ht="15.75" customHeight="1">
      <c r="A1286" s="14" t="s">
        <v>4626</v>
      </c>
      <c r="B1286" s="14" t="s">
        <v>316</v>
      </c>
      <c r="C1286" s="14" t="s">
        <v>4627</v>
      </c>
      <c r="D1286" s="14">
        <v>100.0</v>
      </c>
      <c r="E1286" s="14" t="s">
        <v>318</v>
      </c>
      <c r="F1286" s="14" t="s">
        <v>4473</v>
      </c>
      <c r="G1286" s="14" t="s">
        <v>4628</v>
      </c>
      <c r="H1286" s="13"/>
      <c r="I1286" s="13"/>
      <c r="J1286" s="13"/>
      <c r="K1286" s="13"/>
      <c r="L1286" s="13"/>
      <c r="M1286" s="13"/>
      <c r="N1286" s="13"/>
      <c r="O1286" s="13"/>
      <c r="P1286" s="13"/>
      <c r="Q1286" s="13"/>
      <c r="R1286" s="13"/>
      <c r="S1286" s="13"/>
    </row>
    <row r="1287" ht="15.75" customHeight="1">
      <c r="A1287" s="14" t="s">
        <v>4629</v>
      </c>
      <c r="B1287" s="14" t="s">
        <v>316</v>
      </c>
      <c r="C1287" s="14" t="s">
        <v>4630</v>
      </c>
      <c r="D1287" s="14">
        <v>100.0</v>
      </c>
      <c r="E1287" s="14" t="s">
        <v>318</v>
      </c>
      <c r="F1287" s="14" t="s">
        <v>4473</v>
      </c>
      <c r="G1287" s="14" t="s">
        <v>4631</v>
      </c>
      <c r="H1287" s="13"/>
      <c r="I1287" s="13"/>
      <c r="J1287" s="13"/>
      <c r="K1287" s="13"/>
      <c r="L1287" s="13"/>
      <c r="M1287" s="13"/>
      <c r="N1287" s="13"/>
      <c r="O1287" s="13"/>
      <c r="P1287" s="13"/>
      <c r="Q1287" s="13"/>
      <c r="R1287" s="13"/>
      <c r="S1287" s="13"/>
    </row>
    <row r="1288" ht="15.75" customHeight="1">
      <c r="A1288" s="14" t="s">
        <v>4632</v>
      </c>
      <c r="B1288" s="14" t="s">
        <v>316</v>
      </c>
      <c r="C1288" s="14" t="s">
        <v>4633</v>
      </c>
      <c r="D1288" s="14">
        <v>100.0</v>
      </c>
      <c r="E1288" s="14" t="s">
        <v>318</v>
      </c>
      <c r="F1288" s="14" t="s">
        <v>4473</v>
      </c>
      <c r="G1288" s="14" t="s">
        <v>4634</v>
      </c>
      <c r="H1288" s="13"/>
      <c r="I1288" s="13"/>
      <c r="J1288" s="13"/>
      <c r="K1288" s="13"/>
      <c r="L1288" s="13"/>
      <c r="M1288" s="13"/>
      <c r="N1288" s="13"/>
      <c r="O1288" s="13"/>
      <c r="P1288" s="13"/>
      <c r="Q1288" s="13"/>
      <c r="R1288" s="13"/>
      <c r="S1288" s="13"/>
    </row>
    <row r="1289" ht="15.75" customHeight="1">
      <c r="A1289" s="14" t="s">
        <v>4635</v>
      </c>
      <c r="B1289" s="14" t="s">
        <v>316</v>
      </c>
      <c r="C1289" s="14" t="s">
        <v>4636</v>
      </c>
      <c r="D1289" s="14">
        <v>100.0</v>
      </c>
      <c r="E1289" s="14" t="s">
        <v>318</v>
      </c>
      <c r="F1289" s="14" t="s">
        <v>4473</v>
      </c>
      <c r="G1289" s="14" t="s">
        <v>4637</v>
      </c>
      <c r="H1289" s="13"/>
      <c r="I1289" s="13"/>
      <c r="J1289" s="13"/>
      <c r="K1289" s="13"/>
      <c r="L1289" s="13"/>
      <c r="M1289" s="13"/>
      <c r="N1289" s="13"/>
      <c r="O1289" s="13"/>
      <c r="P1289" s="13"/>
      <c r="Q1289" s="13"/>
      <c r="R1289" s="13"/>
      <c r="S1289" s="13"/>
    </row>
    <row r="1290" ht="15.75" customHeight="1">
      <c r="A1290" s="14" t="s">
        <v>4638</v>
      </c>
      <c r="B1290" s="14" t="s">
        <v>316</v>
      </c>
      <c r="C1290" s="14" t="s">
        <v>4639</v>
      </c>
      <c r="D1290" s="14">
        <v>100.0</v>
      </c>
      <c r="E1290" s="14" t="s">
        <v>318</v>
      </c>
      <c r="F1290" s="14" t="s">
        <v>4473</v>
      </c>
      <c r="G1290" s="14" t="s">
        <v>4640</v>
      </c>
      <c r="H1290" s="13"/>
      <c r="I1290" s="13"/>
      <c r="J1290" s="13"/>
      <c r="K1290" s="13"/>
      <c r="L1290" s="13"/>
      <c r="M1290" s="13"/>
      <c r="N1290" s="13"/>
      <c r="O1290" s="13"/>
      <c r="P1290" s="13"/>
      <c r="Q1290" s="13"/>
      <c r="R1290" s="13"/>
      <c r="S1290" s="13"/>
    </row>
    <row r="1291" ht="15.75" customHeight="1">
      <c r="A1291" s="14" t="s">
        <v>4641</v>
      </c>
      <c r="B1291" s="14" t="s">
        <v>316</v>
      </c>
      <c r="C1291" s="14" t="s">
        <v>4642</v>
      </c>
      <c r="D1291" s="14">
        <v>100.0</v>
      </c>
      <c r="E1291" s="14" t="s">
        <v>318</v>
      </c>
      <c r="F1291" s="14" t="s">
        <v>4473</v>
      </c>
      <c r="G1291" s="14" t="s">
        <v>4643</v>
      </c>
      <c r="H1291" s="13"/>
      <c r="I1291" s="13"/>
      <c r="J1291" s="13"/>
      <c r="K1291" s="13"/>
      <c r="L1291" s="13"/>
      <c r="M1291" s="13"/>
      <c r="N1291" s="13"/>
      <c r="O1291" s="13"/>
      <c r="P1291" s="13"/>
      <c r="Q1291" s="13"/>
      <c r="R1291" s="13"/>
      <c r="S1291" s="13"/>
    </row>
    <row r="1292" ht="15.75" customHeight="1">
      <c r="A1292" s="14" t="s">
        <v>4644</v>
      </c>
      <c r="B1292" s="14" t="s">
        <v>316</v>
      </c>
      <c r="C1292" s="14" t="s">
        <v>4645</v>
      </c>
      <c r="D1292" s="14">
        <v>100.0</v>
      </c>
      <c r="E1292" s="14" t="s">
        <v>318</v>
      </c>
      <c r="F1292" s="14" t="s">
        <v>4473</v>
      </c>
      <c r="G1292" s="14" t="s">
        <v>4646</v>
      </c>
      <c r="H1292" s="13"/>
      <c r="I1292" s="13"/>
      <c r="J1292" s="13"/>
      <c r="K1292" s="13"/>
      <c r="L1292" s="13"/>
      <c r="M1292" s="13"/>
      <c r="N1292" s="13"/>
      <c r="O1292" s="13"/>
      <c r="P1292" s="13"/>
      <c r="Q1292" s="13"/>
      <c r="R1292" s="13"/>
      <c r="S1292" s="13"/>
    </row>
    <row r="1293" ht="15.75" customHeight="1">
      <c r="A1293" s="14" t="s">
        <v>4647</v>
      </c>
      <c r="B1293" s="14" t="s">
        <v>316</v>
      </c>
      <c r="C1293" s="14" t="s">
        <v>4648</v>
      </c>
      <c r="D1293" s="14">
        <v>100.0</v>
      </c>
      <c r="E1293" s="14" t="s">
        <v>318</v>
      </c>
      <c r="F1293" s="14" t="s">
        <v>4473</v>
      </c>
      <c r="G1293" s="14" t="s">
        <v>4649</v>
      </c>
      <c r="H1293" s="13"/>
      <c r="I1293" s="13"/>
      <c r="J1293" s="13"/>
      <c r="K1293" s="13"/>
      <c r="L1293" s="13"/>
      <c r="M1293" s="13"/>
      <c r="N1293" s="13"/>
      <c r="O1293" s="13"/>
      <c r="P1293" s="13"/>
      <c r="Q1293" s="13"/>
      <c r="R1293" s="13"/>
      <c r="S1293" s="13"/>
    </row>
    <row r="1294" ht="15.75" customHeight="1">
      <c r="A1294" s="14" t="s">
        <v>4650</v>
      </c>
      <c r="B1294" s="14" t="s">
        <v>316</v>
      </c>
      <c r="C1294" s="14" t="s">
        <v>4651</v>
      </c>
      <c r="D1294" s="14">
        <v>100.0</v>
      </c>
      <c r="E1294" s="14" t="s">
        <v>318</v>
      </c>
      <c r="F1294" s="14" t="s">
        <v>4473</v>
      </c>
      <c r="G1294" s="14" t="s">
        <v>4652</v>
      </c>
      <c r="H1294" s="13"/>
      <c r="I1294" s="13"/>
      <c r="J1294" s="13"/>
      <c r="K1294" s="13"/>
      <c r="L1294" s="13"/>
      <c r="M1294" s="13"/>
      <c r="N1294" s="13"/>
      <c r="O1294" s="13"/>
      <c r="P1294" s="13"/>
      <c r="Q1294" s="13"/>
      <c r="R1294" s="13"/>
      <c r="S1294" s="13"/>
    </row>
    <row r="1295" ht="15.75" customHeight="1">
      <c r="A1295" s="14" t="s">
        <v>4653</v>
      </c>
      <c r="B1295" s="14" t="s">
        <v>316</v>
      </c>
      <c r="C1295" s="14" t="s">
        <v>4654</v>
      </c>
      <c r="D1295" s="14">
        <v>100.0</v>
      </c>
      <c r="E1295" s="14" t="s">
        <v>318</v>
      </c>
      <c r="F1295" s="14" t="s">
        <v>4473</v>
      </c>
      <c r="G1295" s="14" t="s">
        <v>4655</v>
      </c>
      <c r="H1295" s="13"/>
      <c r="I1295" s="13"/>
      <c r="J1295" s="13"/>
      <c r="K1295" s="13"/>
      <c r="L1295" s="13"/>
      <c r="M1295" s="13"/>
      <c r="N1295" s="13"/>
      <c r="O1295" s="13"/>
      <c r="P1295" s="13"/>
      <c r="Q1295" s="13"/>
      <c r="R1295" s="13"/>
      <c r="S1295" s="13"/>
    </row>
    <row r="1296" ht="15.75" customHeight="1">
      <c r="A1296" s="14" t="s">
        <v>4656</v>
      </c>
      <c r="B1296" s="14" t="s">
        <v>316</v>
      </c>
      <c r="C1296" s="14" t="s">
        <v>4657</v>
      </c>
      <c r="D1296" s="14">
        <v>100.0</v>
      </c>
      <c r="E1296" s="14" t="s">
        <v>318</v>
      </c>
      <c r="F1296" s="14" t="s">
        <v>4473</v>
      </c>
      <c r="G1296" s="14" t="s">
        <v>4658</v>
      </c>
      <c r="H1296" s="13"/>
      <c r="I1296" s="13"/>
      <c r="J1296" s="13"/>
      <c r="K1296" s="13"/>
      <c r="L1296" s="13"/>
      <c r="M1296" s="13"/>
      <c r="N1296" s="13"/>
      <c r="O1296" s="13"/>
      <c r="P1296" s="13"/>
      <c r="Q1296" s="13"/>
      <c r="R1296" s="13"/>
      <c r="S1296" s="13"/>
    </row>
    <row r="1297" ht="15.75" customHeight="1">
      <c r="A1297" s="14" t="s">
        <v>4659</v>
      </c>
      <c r="B1297" s="14" t="s">
        <v>316</v>
      </c>
      <c r="C1297" s="14" t="s">
        <v>4660</v>
      </c>
      <c r="D1297" s="14">
        <v>100.0</v>
      </c>
      <c r="E1297" s="14" t="s">
        <v>318</v>
      </c>
      <c r="F1297" s="14" t="s">
        <v>4473</v>
      </c>
      <c r="G1297" s="14" t="s">
        <v>4661</v>
      </c>
      <c r="H1297" s="13"/>
      <c r="I1297" s="13"/>
      <c r="J1297" s="13"/>
      <c r="K1297" s="13"/>
      <c r="L1297" s="13"/>
      <c r="M1297" s="13"/>
      <c r="N1297" s="13"/>
      <c r="O1297" s="13"/>
      <c r="P1297" s="13"/>
      <c r="Q1297" s="13"/>
      <c r="R1297" s="13"/>
      <c r="S1297" s="13"/>
    </row>
    <row r="1298" ht="15.75" customHeight="1">
      <c r="A1298" s="14" t="s">
        <v>4662</v>
      </c>
      <c r="B1298" s="14" t="s">
        <v>316</v>
      </c>
      <c r="C1298" s="14" t="s">
        <v>4663</v>
      </c>
      <c r="D1298" s="14">
        <v>100.0</v>
      </c>
      <c r="E1298" s="14" t="s">
        <v>318</v>
      </c>
      <c r="F1298" s="14" t="s">
        <v>4473</v>
      </c>
      <c r="G1298" s="14" t="s">
        <v>4664</v>
      </c>
      <c r="H1298" s="13"/>
      <c r="I1298" s="13"/>
      <c r="J1298" s="13"/>
      <c r="K1298" s="13"/>
      <c r="L1298" s="13"/>
      <c r="M1298" s="13"/>
      <c r="N1298" s="13"/>
      <c r="O1298" s="13"/>
      <c r="P1298" s="13"/>
      <c r="Q1298" s="13"/>
      <c r="R1298" s="13"/>
      <c r="S1298" s="13"/>
    </row>
    <row r="1299" ht="15.75" customHeight="1">
      <c r="A1299" s="14" t="s">
        <v>4665</v>
      </c>
      <c r="B1299" s="14" t="s">
        <v>316</v>
      </c>
      <c r="C1299" s="14" t="s">
        <v>4666</v>
      </c>
      <c r="D1299" s="14">
        <v>100.0</v>
      </c>
      <c r="E1299" s="14" t="s">
        <v>318</v>
      </c>
      <c r="F1299" s="14" t="s">
        <v>4473</v>
      </c>
      <c r="G1299" s="14" t="s">
        <v>4667</v>
      </c>
      <c r="H1299" s="13"/>
      <c r="I1299" s="13"/>
      <c r="J1299" s="13"/>
      <c r="K1299" s="13"/>
      <c r="L1299" s="13"/>
      <c r="M1299" s="13"/>
      <c r="N1299" s="13"/>
      <c r="O1299" s="13"/>
      <c r="P1299" s="13"/>
      <c r="Q1299" s="13"/>
      <c r="R1299" s="13"/>
      <c r="S1299" s="13"/>
    </row>
    <row r="1300" ht="15.75" customHeight="1">
      <c r="A1300" s="14" t="s">
        <v>4668</v>
      </c>
      <c r="B1300" s="14" t="s">
        <v>316</v>
      </c>
      <c r="C1300" s="14" t="s">
        <v>4669</v>
      </c>
      <c r="D1300" s="14">
        <v>100.0</v>
      </c>
      <c r="E1300" s="14" t="s">
        <v>318</v>
      </c>
      <c r="F1300" s="14" t="s">
        <v>4473</v>
      </c>
      <c r="G1300" s="14" t="s">
        <v>4670</v>
      </c>
      <c r="H1300" s="13"/>
      <c r="I1300" s="13"/>
      <c r="J1300" s="13"/>
      <c r="K1300" s="13"/>
      <c r="L1300" s="13"/>
      <c r="M1300" s="13"/>
      <c r="N1300" s="13"/>
      <c r="O1300" s="13"/>
      <c r="P1300" s="13"/>
      <c r="Q1300" s="13"/>
      <c r="R1300" s="13"/>
      <c r="S1300" s="13"/>
    </row>
    <row r="1301" ht="15.75" customHeight="1">
      <c r="A1301" s="14" t="s">
        <v>4671</v>
      </c>
      <c r="B1301" s="14" t="s">
        <v>316</v>
      </c>
      <c r="C1301" s="14" t="s">
        <v>4672</v>
      </c>
      <c r="D1301" s="14">
        <v>100.0</v>
      </c>
      <c r="E1301" s="14" t="s">
        <v>318</v>
      </c>
      <c r="F1301" s="14" t="s">
        <v>4473</v>
      </c>
      <c r="G1301" s="14" t="s">
        <v>4673</v>
      </c>
      <c r="H1301" s="13"/>
      <c r="I1301" s="13"/>
      <c r="J1301" s="13"/>
      <c r="K1301" s="13"/>
      <c r="L1301" s="13"/>
      <c r="M1301" s="13"/>
      <c r="N1301" s="13"/>
      <c r="O1301" s="13"/>
      <c r="P1301" s="13"/>
      <c r="Q1301" s="13"/>
      <c r="R1301" s="13"/>
      <c r="S1301" s="13"/>
    </row>
    <row r="1302" ht="15.75" customHeight="1">
      <c r="A1302" s="14" t="s">
        <v>4674</v>
      </c>
      <c r="B1302" s="14" t="s">
        <v>316</v>
      </c>
      <c r="C1302" s="14" t="s">
        <v>4675</v>
      </c>
      <c r="D1302" s="14">
        <v>100.0</v>
      </c>
      <c r="E1302" s="14" t="s">
        <v>318</v>
      </c>
      <c r="F1302" s="14" t="s">
        <v>4473</v>
      </c>
      <c r="G1302" s="14" t="s">
        <v>4676</v>
      </c>
      <c r="H1302" s="13"/>
      <c r="I1302" s="13"/>
      <c r="J1302" s="13"/>
      <c r="K1302" s="13"/>
      <c r="L1302" s="13"/>
      <c r="M1302" s="13"/>
      <c r="N1302" s="13"/>
      <c r="O1302" s="13"/>
      <c r="P1302" s="13"/>
      <c r="Q1302" s="13"/>
      <c r="R1302" s="13"/>
      <c r="S1302" s="13"/>
    </row>
    <row r="1303" ht="15.75" customHeight="1">
      <c r="A1303" s="14" t="s">
        <v>4677</v>
      </c>
      <c r="B1303" s="14" t="s">
        <v>316</v>
      </c>
      <c r="C1303" s="14" t="s">
        <v>4678</v>
      </c>
      <c r="D1303" s="14">
        <v>100.0</v>
      </c>
      <c r="E1303" s="14" t="s">
        <v>318</v>
      </c>
      <c r="F1303" s="14" t="s">
        <v>4679</v>
      </c>
      <c r="G1303" s="14" t="s">
        <v>4680</v>
      </c>
      <c r="H1303" s="13"/>
      <c r="I1303" s="13"/>
      <c r="J1303" s="13"/>
      <c r="K1303" s="13"/>
      <c r="L1303" s="13"/>
      <c r="M1303" s="13"/>
      <c r="N1303" s="13"/>
      <c r="O1303" s="13"/>
      <c r="P1303" s="13"/>
      <c r="Q1303" s="13"/>
      <c r="R1303" s="13"/>
      <c r="S1303" s="13"/>
    </row>
    <row r="1304" ht="15.75" customHeight="1">
      <c r="A1304" s="14" t="s">
        <v>4681</v>
      </c>
      <c r="B1304" s="14" t="s">
        <v>316</v>
      </c>
      <c r="C1304" s="14" t="s">
        <v>4682</v>
      </c>
      <c r="D1304" s="14">
        <v>100.0</v>
      </c>
      <c r="E1304" s="14" t="s">
        <v>318</v>
      </c>
      <c r="F1304" s="14" t="s">
        <v>4683</v>
      </c>
      <c r="G1304" s="14" t="s">
        <v>4684</v>
      </c>
      <c r="H1304" s="13"/>
      <c r="I1304" s="13"/>
      <c r="J1304" s="13"/>
      <c r="K1304" s="13"/>
      <c r="L1304" s="13"/>
      <c r="M1304" s="13"/>
      <c r="N1304" s="13"/>
      <c r="O1304" s="13"/>
      <c r="P1304" s="13"/>
      <c r="Q1304" s="13"/>
      <c r="R1304" s="13"/>
      <c r="S1304" s="13"/>
    </row>
    <row r="1305" ht="15.75" customHeight="1">
      <c r="A1305" s="14" t="s">
        <v>4685</v>
      </c>
      <c r="B1305" s="14" t="s">
        <v>316</v>
      </c>
      <c r="C1305" s="14" t="s">
        <v>4686</v>
      </c>
      <c r="D1305" s="14">
        <v>100.0</v>
      </c>
      <c r="E1305" s="14" t="s">
        <v>318</v>
      </c>
      <c r="F1305" s="14" t="s">
        <v>1521</v>
      </c>
      <c r="G1305" s="14" t="s">
        <v>4687</v>
      </c>
      <c r="H1305" s="13"/>
      <c r="I1305" s="13"/>
      <c r="J1305" s="13"/>
      <c r="K1305" s="13"/>
      <c r="L1305" s="13"/>
      <c r="M1305" s="13"/>
      <c r="N1305" s="13"/>
      <c r="O1305" s="13"/>
      <c r="P1305" s="13"/>
      <c r="Q1305" s="13"/>
      <c r="R1305" s="13"/>
      <c r="S1305" s="13"/>
    </row>
    <row r="1306" ht="15.75" customHeight="1">
      <c r="A1306" s="14" t="s">
        <v>4688</v>
      </c>
      <c r="B1306" s="14" t="s">
        <v>316</v>
      </c>
      <c r="C1306" s="14" t="s">
        <v>4425</v>
      </c>
      <c r="D1306" s="14">
        <v>100.0</v>
      </c>
      <c r="E1306" s="14" t="s">
        <v>318</v>
      </c>
      <c r="F1306" s="14" t="s">
        <v>591</v>
      </c>
      <c r="G1306" s="14" t="s">
        <v>4689</v>
      </c>
      <c r="H1306" s="13"/>
      <c r="I1306" s="13"/>
      <c r="J1306" s="13"/>
      <c r="K1306" s="13"/>
      <c r="L1306" s="13"/>
      <c r="M1306" s="13"/>
      <c r="N1306" s="13"/>
      <c r="O1306" s="13"/>
      <c r="P1306" s="13"/>
      <c r="Q1306" s="13"/>
      <c r="R1306" s="13"/>
      <c r="S1306" s="13"/>
    </row>
    <row r="1307" ht="15.75" customHeight="1">
      <c r="A1307" s="14" t="s">
        <v>4690</v>
      </c>
      <c r="B1307" s="14" t="s">
        <v>316</v>
      </c>
      <c r="C1307" s="14" t="s">
        <v>4691</v>
      </c>
      <c r="D1307" s="14">
        <v>100.0</v>
      </c>
      <c r="E1307" s="14" t="s">
        <v>318</v>
      </c>
      <c r="F1307" s="14" t="s">
        <v>4692</v>
      </c>
      <c r="G1307" s="14" t="s">
        <v>4693</v>
      </c>
      <c r="H1307" s="13"/>
      <c r="I1307" s="13"/>
      <c r="J1307" s="13"/>
      <c r="K1307" s="13"/>
      <c r="L1307" s="13"/>
      <c r="M1307" s="13"/>
      <c r="N1307" s="13"/>
      <c r="O1307" s="13"/>
      <c r="P1307" s="13"/>
      <c r="Q1307" s="13"/>
      <c r="R1307" s="13"/>
      <c r="S1307" s="13"/>
    </row>
    <row r="1308" ht="15.75" customHeight="1">
      <c r="A1308" s="14" t="s">
        <v>4694</v>
      </c>
      <c r="B1308" s="14" t="s">
        <v>316</v>
      </c>
      <c r="C1308" s="14" t="s">
        <v>4695</v>
      </c>
      <c r="D1308" s="14">
        <v>100.0</v>
      </c>
      <c r="E1308" s="14" t="s">
        <v>318</v>
      </c>
      <c r="F1308" s="14" t="s">
        <v>1732</v>
      </c>
      <c r="G1308" s="14" t="s">
        <v>4696</v>
      </c>
      <c r="H1308" s="13"/>
      <c r="I1308" s="13"/>
      <c r="J1308" s="13"/>
      <c r="K1308" s="13"/>
      <c r="L1308" s="13"/>
      <c r="M1308" s="13"/>
      <c r="N1308" s="13"/>
      <c r="O1308" s="13"/>
      <c r="P1308" s="13"/>
      <c r="Q1308" s="13"/>
      <c r="R1308" s="13"/>
      <c r="S1308" s="13"/>
    </row>
    <row r="1309" ht="15.75" customHeight="1">
      <c r="A1309" s="14" t="s">
        <v>4697</v>
      </c>
      <c r="B1309" s="14" t="s">
        <v>316</v>
      </c>
      <c r="C1309" s="14" t="s">
        <v>4698</v>
      </c>
      <c r="D1309" s="14">
        <v>100.0</v>
      </c>
      <c r="E1309" s="14" t="s">
        <v>318</v>
      </c>
      <c r="F1309" s="14" t="s">
        <v>4699</v>
      </c>
      <c r="G1309" s="14" t="s">
        <v>4700</v>
      </c>
      <c r="H1309" s="13"/>
      <c r="I1309" s="13"/>
      <c r="J1309" s="13"/>
      <c r="K1309" s="13"/>
      <c r="L1309" s="13"/>
      <c r="M1309" s="13"/>
      <c r="N1309" s="13"/>
      <c r="O1309" s="13"/>
      <c r="P1309" s="13"/>
      <c r="Q1309" s="13"/>
      <c r="R1309" s="13"/>
      <c r="S1309" s="13"/>
    </row>
    <row r="1310" ht="15.75" customHeight="1">
      <c r="A1310" s="14" t="s">
        <v>4701</v>
      </c>
      <c r="B1310" s="14" t="s">
        <v>316</v>
      </c>
      <c r="C1310" s="14" t="s">
        <v>4702</v>
      </c>
      <c r="D1310" s="14">
        <v>100.0</v>
      </c>
      <c r="E1310" s="14" t="s">
        <v>318</v>
      </c>
      <c r="F1310" s="14" t="s">
        <v>4703</v>
      </c>
      <c r="G1310" s="14" t="s">
        <v>4704</v>
      </c>
      <c r="H1310" s="13"/>
      <c r="I1310" s="13"/>
      <c r="J1310" s="13"/>
      <c r="K1310" s="13"/>
      <c r="L1310" s="13"/>
      <c r="M1310" s="13"/>
      <c r="N1310" s="13"/>
      <c r="O1310" s="13"/>
      <c r="P1310" s="13"/>
      <c r="Q1310" s="13"/>
      <c r="R1310" s="13"/>
      <c r="S1310" s="13"/>
    </row>
    <row r="1311" ht="15.75" customHeight="1">
      <c r="A1311" s="14" t="s">
        <v>4705</v>
      </c>
      <c r="B1311" s="14" t="s">
        <v>316</v>
      </c>
      <c r="C1311" s="14" t="s">
        <v>4706</v>
      </c>
      <c r="D1311" s="14">
        <v>100.0</v>
      </c>
      <c r="E1311" s="14" t="s">
        <v>318</v>
      </c>
      <c r="F1311" s="14" t="s">
        <v>1521</v>
      </c>
      <c r="G1311" s="14" t="s">
        <v>4707</v>
      </c>
      <c r="H1311" s="13"/>
      <c r="I1311" s="13"/>
      <c r="J1311" s="13"/>
      <c r="K1311" s="13"/>
      <c r="L1311" s="13"/>
      <c r="M1311" s="13"/>
      <c r="N1311" s="13"/>
      <c r="O1311" s="13"/>
      <c r="P1311" s="13"/>
      <c r="Q1311" s="13"/>
      <c r="R1311" s="13"/>
      <c r="S1311" s="13"/>
    </row>
    <row r="1312" ht="15.75" customHeight="1">
      <c r="A1312" s="14" t="s">
        <v>4708</v>
      </c>
      <c r="B1312" s="14" t="s">
        <v>316</v>
      </c>
      <c r="C1312" s="14" t="s">
        <v>4709</v>
      </c>
      <c r="D1312" s="14">
        <v>100.0</v>
      </c>
      <c r="E1312" s="14" t="s">
        <v>318</v>
      </c>
      <c r="F1312" s="14" t="s">
        <v>4710</v>
      </c>
      <c r="G1312" s="14" t="s">
        <v>4711</v>
      </c>
      <c r="H1312" s="13"/>
      <c r="I1312" s="13"/>
      <c r="J1312" s="13"/>
      <c r="K1312" s="13"/>
      <c r="L1312" s="13"/>
      <c r="M1312" s="13"/>
      <c r="N1312" s="13"/>
      <c r="O1312" s="13"/>
      <c r="P1312" s="13"/>
      <c r="Q1312" s="13"/>
      <c r="R1312" s="13"/>
      <c r="S1312" s="13"/>
    </row>
    <row r="1313" ht="15.75" customHeight="1">
      <c r="A1313" s="14" t="s">
        <v>4712</v>
      </c>
      <c r="B1313" s="14" t="s">
        <v>316</v>
      </c>
      <c r="C1313" s="14" t="s">
        <v>4713</v>
      </c>
      <c r="D1313" s="14">
        <v>100.0</v>
      </c>
      <c r="E1313" s="14" t="s">
        <v>318</v>
      </c>
      <c r="F1313" s="14" t="s">
        <v>4714</v>
      </c>
      <c r="G1313" s="14" t="s">
        <v>4715</v>
      </c>
      <c r="H1313" s="13"/>
      <c r="I1313" s="13"/>
      <c r="J1313" s="13"/>
      <c r="K1313" s="13"/>
      <c r="L1313" s="13"/>
      <c r="M1313" s="13"/>
      <c r="N1313" s="13"/>
      <c r="O1313" s="13"/>
      <c r="P1313" s="13"/>
      <c r="Q1313" s="13"/>
      <c r="R1313" s="13"/>
      <c r="S1313" s="13"/>
    </row>
    <row r="1314" ht="15.75" customHeight="1">
      <c r="A1314" s="14" t="s">
        <v>4716</v>
      </c>
      <c r="B1314" s="14" t="s">
        <v>316</v>
      </c>
      <c r="C1314" s="14" t="s">
        <v>4717</v>
      </c>
      <c r="D1314" s="14">
        <v>100.0</v>
      </c>
      <c r="E1314" s="14" t="s">
        <v>318</v>
      </c>
      <c r="F1314" s="14" t="s">
        <v>4718</v>
      </c>
      <c r="G1314" s="14" t="s">
        <v>4719</v>
      </c>
      <c r="H1314" s="13"/>
      <c r="I1314" s="13"/>
      <c r="J1314" s="13"/>
      <c r="K1314" s="13"/>
      <c r="L1314" s="13"/>
      <c r="M1314" s="13"/>
      <c r="N1314" s="13"/>
      <c r="O1314" s="13"/>
      <c r="P1314" s="13"/>
      <c r="Q1314" s="13"/>
      <c r="R1314" s="13"/>
      <c r="S1314" s="13"/>
    </row>
    <row r="1315" ht="15.75" customHeight="1">
      <c r="A1315" s="14" t="s">
        <v>4720</v>
      </c>
      <c r="B1315" s="14" t="s">
        <v>316</v>
      </c>
      <c r="C1315" s="14" t="s">
        <v>4721</v>
      </c>
      <c r="D1315" s="14">
        <v>100.0</v>
      </c>
      <c r="E1315" s="14" t="s">
        <v>318</v>
      </c>
      <c r="F1315" s="14" t="s">
        <v>1291</v>
      </c>
      <c r="G1315" s="14" t="s">
        <v>4722</v>
      </c>
      <c r="H1315" s="13"/>
      <c r="I1315" s="13"/>
      <c r="J1315" s="13"/>
      <c r="K1315" s="13"/>
      <c r="L1315" s="13"/>
      <c r="M1315" s="13"/>
      <c r="N1315" s="13"/>
      <c r="O1315" s="13"/>
      <c r="P1315" s="13"/>
      <c r="Q1315" s="13"/>
      <c r="R1315" s="13"/>
      <c r="S1315" s="13"/>
    </row>
    <row r="1316" ht="15.75" customHeight="1">
      <c r="A1316" s="14" t="s">
        <v>4723</v>
      </c>
      <c r="B1316" s="14" t="s">
        <v>316</v>
      </c>
      <c r="C1316" s="14" t="s">
        <v>4724</v>
      </c>
      <c r="D1316" s="14">
        <v>100.0</v>
      </c>
      <c r="E1316" s="14" t="s">
        <v>318</v>
      </c>
      <c r="F1316" s="14" t="s">
        <v>4725</v>
      </c>
      <c r="G1316" s="14" t="s">
        <v>4726</v>
      </c>
      <c r="H1316" s="13"/>
      <c r="I1316" s="13"/>
      <c r="J1316" s="13"/>
      <c r="K1316" s="13"/>
      <c r="L1316" s="13"/>
      <c r="M1316" s="13"/>
      <c r="N1316" s="13"/>
      <c r="O1316" s="13"/>
      <c r="P1316" s="13"/>
      <c r="Q1316" s="13"/>
      <c r="R1316" s="13"/>
      <c r="S1316" s="13"/>
    </row>
    <row r="1317" ht="15.75" customHeight="1">
      <c r="A1317" s="14" t="s">
        <v>4727</v>
      </c>
      <c r="B1317" s="14" t="s">
        <v>316</v>
      </c>
      <c r="C1317" s="14" t="s">
        <v>4728</v>
      </c>
      <c r="D1317" s="14">
        <v>100.0</v>
      </c>
      <c r="E1317" s="14" t="s">
        <v>318</v>
      </c>
      <c r="F1317" s="14" t="s">
        <v>4729</v>
      </c>
      <c r="G1317" s="14" t="s">
        <v>4730</v>
      </c>
      <c r="H1317" s="13"/>
      <c r="I1317" s="13"/>
      <c r="J1317" s="13"/>
      <c r="K1317" s="13"/>
      <c r="L1317" s="13"/>
      <c r="M1317" s="13"/>
      <c r="N1317" s="13"/>
      <c r="O1317" s="13"/>
      <c r="P1317" s="13"/>
      <c r="Q1317" s="13"/>
      <c r="R1317" s="13"/>
      <c r="S1317" s="13"/>
    </row>
    <row r="1318" ht="15.75" customHeight="1">
      <c r="A1318" s="14" t="s">
        <v>4731</v>
      </c>
      <c r="B1318" s="14" t="s">
        <v>316</v>
      </c>
      <c r="C1318" s="14" t="s">
        <v>4732</v>
      </c>
      <c r="D1318" s="14">
        <v>100.0</v>
      </c>
      <c r="E1318" s="14" t="s">
        <v>318</v>
      </c>
      <c r="F1318" s="14" t="s">
        <v>4733</v>
      </c>
      <c r="G1318" s="14" t="s">
        <v>4734</v>
      </c>
      <c r="H1318" s="13"/>
      <c r="I1318" s="13"/>
      <c r="J1318" s="13"/>
      <c r="K1318" s="13"/>
      <c r="L1318" s="13"/>
      <c r="M1318" s="13"/>
      <c r="N1318" s="13"/>
      <c r="O1318" s="13"/>
      <c r="P1318" s="13"/>
      <c r="Q1318" s="13"/>
      <c r="R1318" s="13"/>
      <c r="S1318" s="13"/>
    </row>
    <row r="1319" ht="15.75" customHeight="1">
      <c r="A1319" s="14" t="s">
        <v>4735</v>
      </c>
      <c r="B1319" s="14" t="s">
        <v>316</v>
      </c>
      <c r="C1319" s="14" t="s">
        <v>4736</v>
      </c>
      <c r="D1319" s="14">
        <v>100.0</v>
      </c>
      <c r="E1319" s="14" t="s">
        <v>318</v>
      </c>
      <c r="F1319" s="14" t="s">
        <v>4737</v>
      </c>
      <c r="G1319" s="14" t="s">
        <v>4738</v>
      </c>
      <c r="H1319" s="13"/>
      <c r="I1319" s="13"/>
      <c r="J1319" s="13"/>
      <c r="K1319" s="13"/>
      <c r="L1319" s="13"/>
      <c r="M1319" s="13"/>
      <c r="N1319" s="13"/>
      <c r="O1319" s="13"/>
      <c r="P1319" s="13"/>
      <c r="Q1319" s="13"/>
      <c r="R1319" s="13"/>
      <c r="S1319" s="13"/>
    </row>
    <row r="1320" ht="15.75" customHeight="1">
      <c r="A1320" s="14" t="s">
        <v>4739</v>
      </c>
      <c r="B1320" s="14" t="s">
        <v>316</v>
      </c>
      <c r="C1320" s="14" t="s">
        <v>4740</v>
      </c>
      <c r="D1320" s="14">
        <v>100.0</v>
      </c>
      <c r="E1320" s="14" t="s">
        <v>318</v>
      </c>
      <c r="F1320" s="14" t="s">
        <v>4741</v>
      </c>
      <c r="G1320" s="14" t="s">
        <v>4742</v>
      </c>
      <c r="H1320" s="13"/>
      <c r="I1320" s="13"/>
      <c r="J1320" s="13"/>
      <c r="K1320" s="13"/>
      <c r="L1320" s="13"/>
      <c r="M1320" s="13"/>
      <c r="N1320" s="13"/>
      <c r="O1320" s="13"/>
      <c r="P1320" s="13"/>
      <c r="Q1320" s="13"/>
      <c r="R1320" s="13"/>
      <c r="S1320" s="13"/>
    </row>
    <row r="1321" ht="15.75" customHeight="1">
      <c r="A1321" s="14" t="s">
        <v>4743</v>
      </c>
      <c r="B1321" s="14" t="s">
        <v>316</v>
      </c>
      <c r="C1321" s="14" t="s">
        <v>4744</v>
      </c>
      <c r="D1321" s="14">
        <v>100.0</v>
      </c>
      <c r="E1321" s="14" t="s">
        <v>318</v>
      </c>
      <c r="F1321" s="14" t="s">
        <v>4745</v>
      </c>
      <c r="G1321" s="14" t="s">
        <v>4746</v>
      </c>
      <c r="H1321" s="13"/>
      <c r="I1321" s="13"/>
      <c r="J1321" s="13"/>
      <c r="K1321" s="13"/>
      <c r="L1321" s="13"/>
      <c r="M1321" s="13"/>
      <c r="N1321" s="13"/>
      <c r="O1321" s="13"/>
      <c r="P1321" s="13"/>
      <c r="Q1321" s="13"/>
      <c r="R1321" s="13"/>
      <c r="S1321" s="13"/>
    </row>
    <row r="1322" ht="15.75" customHeight="1">
      <c r="A1322" s="14" t="s">
        <v>4747</v>
      </c>
      <c r="B1322" s="14" t="s">
        <v>316</v>
      </c>
      <c r="C1322" s="14" t="s">
        <v>4748</v>
      </c>
      <c r="D1322" s="14">
        <v>100.0</v>
      </c>
      <c r="E1322" s="14" t="s">
        <v>318</v>
      </c>
      <c r="F1322" s="14" t="s">
        <v>664</v>
      </c>
      <c r="G1322" s="14" t="s">
        <v>4749</v>
      </c>
      <c r="H1322" s="13"/>
      <c r="I1322" s="13"/>
      <c r="J1322" s="13"/>
      <c r="K1322" s="13"/>
      <c r="L1322" s="13"/>
      <c r="M1322" s="13"/>
      <c r="N1322" s="13"/>
      <c r="O1322" s="13"/>
      <c r="P1322" s="13"/>
      <c r="Q1322" s="13"/>
      <c r="R1322" s="13"/>
      <c r="S1322" s="13"/>
    </row>
    <row r="1323" ht="15.75" customHeight="1">
      <c r="A1323" s="14" t="s">
        <v>4750</v>
      </c>
      <c r="B1323" s="14" t="s">
        <v>316</v>
      </c>
      <c r="C1323" s="14" t="s">
        <v>4751</v>
      </c>
      <c r="D1323" s="14">
        <v>100.0</v>
      </c>
      <c r="E1323" s="14" t="s">
        <v>318</v>
      </c>
      <c r="F1323" s="14" t="s">
        <v>4752</v>
      </c>
      <c r="G1323" s="14" t="s">
        <v>4753</v>
      </c>
      <c r="H1323" s="13"/>
      <c r="I1323" s="13"/>
      <c r="J1323" s="13"/>
      <c r="K1323" s="13"/>
      <c r="L1323" s="13"/>
      <c r="M1323" s="13"/>
      <c r="N1323" s="13"/>
      <c r="O1323" s="13"/>
      <c r="P1323" s="13"/>
      <c r="Q1323" s="13"/>
      <c r="R1323" s="13"/>
      <c r="S1323" s="13"/>
    </row>
    <row r="1324" ht="15.75" customHeight="1">
      <c r="A1324" s="14" t="s">
        <v>4754</v>
      </c>
      <c r="B1324" s="14" t="s">
        <v>316</v>
      </c>
      <c r="C1324" s="14" t="s">
        <v>4755</v>
      </c>
      <c r="D1324" s="14">
        <v>100.0</v>
      </c>
      <c r="E1324" s="14" t="s">
        <v>318</v>
      </c>
      <c r="F1324" s="14" t="s">
        <v>4756</v>
      </c>
      <c r="G1324" s="14" t="s">
        <v>4757</v>
      </c>
      <c r="H1324" s="13"/>
      <c r="I1324" s="13"/>
      <c r="J1324" s="13"/>
      <c r="K1324" s="13"/>
      <c r="L1324" s="13"/>
      <c r="M1324" s="13"/>
      <c r="N1324" s="13"/>
      <c r="O1324" s="13"/>
      <c r="P1324" s="13"/>
      <c r="Q1324" s="13"/>
      <c r="R1324" s="13"/>
      <c r="S1324" s="13"/>
    </row>
    <row r="1325" ht="15.75" customHeight="1">
      <c r="A1325" s="14" t="s">
        <v>4758</v>
      </c>
      <c r="B1325" s="14" t="s">
        <v>316</v>
      </c>
      <c r="C1325" s="14" t="s">
        <v>4759</v>
      </c>
      <c r="D1325" s="14">
        <v>100.0</v>
      </c>
      <c r="E1325" s="14" t="s">
        <v>318</v>
      </c>
      <c r="F1325" s="14" t="s">
        <v>4760</v>
      </c>
      <c r="G1325" s="14" t="s">
        <v>4761</v>
      </c>
      <c r="H1325" s="13"/>
      <c r="I1325" s="13"/>
      <c r="J1325" s="13"/>
      <c r="K1325" s="13"/>
      <c r="L1325" s="13"/>
      <c r="M1325" s="13"/>
      <c r="N1325" s="13"/>
      <c r="O1325" s="13"/>
      <c r="P1325" s="13"/>
      <c r="Q1325" s="13"/>
      <c r="R1325" s="13"/>
      <c r="S1325" s="13"/>
    </row>
    <row r="1326" ht="15.75" customHeight="1">
      <c r="A1326" s="14" t="s">
        <v>4762</v>
      </c>
      <c r="B1326" s="14" t="s">
        <v>316</v>
      </c>
      <c r="C1326" s="14" t="s">
        <v>4763</v>
      </c>
      <c r="D1326" s="14">
        <v>100.0</v>
      </c>
      <c r="E1326" s="14" t="s">
        <v>318</v>
      </c>
      <c r="F1326" s="14" t="s">
        <v>4764</v>
      </c>
      <c r="G1326" s="14" t="s">
        <v>4765</v>
      </c>
      <c r="H1326" s="13"/>
      <c r="I1326" s="13"/>
      <c r="J1326" s="13"/>
      <c r="K1326" s="13"/>
      <c r="L1326" s="13"/>
      <c r="M1326" s="13"/>
      <c r="N1326" s="13"/>
      <c r="O1326" s="13"/>
      <c r="P1326" s="13"/>
      <c r="Q1326" s="13"/>
      <c r="R1326" s="13"/>
      <c r="S1326" s="13"/>
    </row>
    <row r="1327" ht="15.75" customHeight="1">
      <c r="A1327" s="14" t="s">
        <v>4766</v>
      </c>
      <c r="B1327" s="14" t="s">
        <v>316</v>
      </c>
      <c r="C1327" s="14" t="s">
        <v>4767</v>
      </c>
      <c r="D1327" s="14">
        <v>100.0</v>
      </c>
      <c r="E1327" s="14" t="s">
        <v>318</v>
      </c>
      <c r="F1327" s="14" t="s">
        <v>4768</v>
      </c>
      <c r="G1327" s="14" t="s">
        <v>4769</v>
      </c>
      <c r="H1327" s="13"/>
      <c r="I1327" s="13"/>
      <c r="J1327" s="13"/>
      <c r="K1327" s="13"/>
      <c r="L1327" s="13"/>
      <c r="M1327" s="13"/>
      <c r="N1327" s="13"/>
      <c r="O1327" s="13"/>
      <c r="P1327" s="13"/>
      <c r="Q1327" s="13"/>
      <c r="R1327" s="13"/>
      <c r="S1327" s="13"/>
    </row>
    <row r="1328" ht="15.75" customHeight="1">
      <c r="A1328" s="14" t="s">
        <v>4770</v>
      </c>
      <c r="B1328" s="14" t="s">
        <v>316</v>
      </c>
      <c r="C1328" s="14" t="s">
        <v>4771</v>
      </c>
      <c r="D1328" s="14">
        <v>100.0</v>
      </c>
      <c r="E1328" s="14" t="s">
        <v>318</v>
      </c>
      <c r="F1328" s="14" t="s">
        <v>4772</v>
      </c>
      <c r="G1328" s="14" t="s">
        <v>4773</v>
      </c>
      <c r="H1328" s="13"/>
      <c r="I1328" s="13"/>
      <c r="J1328" s="13"/>
      <c r="K1328" s="13"/>
      <c r="L1328" s="13"/>
      <c r="M1328" s="13"/>
      <c r="N1328" s="13"/>
      <c r="O1328" s="13"/>
      <c r="P1328" s="13"/>
      <c r="Q1328" s="13"/>
      <c r="R1328" s="13"/>
      <c r="S1328" s="13"/>
    </row>
    <row r="1329" ht="15.75" customHeight="1">
      <c r="A1329" s="14" t="s">
        <v>4774</v>
      </c>
      <c r="B1329" s="14" t="s">
        <v>316</v>
      </c>
      <c r="C1329" s="14" t="s">
        <v>4775</v>
      </c>
      <c r="D1329" s="14">
        <v>100.0</v>
      </c>
      <c r="E1329" s="14" t="s">
        <v>318</v>
      </c>
      <c r="F1329" s="14" t="s">
        <v>4776</v>
      </c>
      <c r="G1329" s="14" t="s">
        <v>4777</v>
      </c>
      <c r="H1329" s="13"/>
      <c r="I1329" s="13"/>
      <c r="J1329" s="13"/>
      <c r="K1329" s="13"/>
      <c r="L1329" s="13"/>
      <c r="M1329" s="13"/>
      <c r="N1329" s="13"/>
      <c r="O1329" s="13"/>
      <c r="P1329" s="13"/>
      <c r="Q1329" s="13"/>
      <c r="R1329" s="13"/>
      <c r="S1329" s="13"/>
    </row>
    <row r="1330" ht="15.75" customHeight="1">
      <c r="A1330" s="14" t="s">
        <v>4778</v>
      </c>
      <c r="B1330" s="14" t="s">
        <v>316</v>
      </c>
      <c r="C1330" s="14" t="s">
        <v>4779</v>
      </c>
      <c r="D1330" s="14">
        <v>100.0</v>
      </c>
      <c r="E1330" s="14" t="s">
        <v>318</v>
      </c>
      <c r="F1330" s="14" t="s">
        <v>4780</v>
      </c>
      <c r="G1330" s="14" t="s">
        <v>4781</v>
      </c>
      <c r="H1330" s="13"/>
      <c r="I1330" s="13"/>
      <c r="J1330" s="13"/>
      <c r="K1330" s="13"/>
      <c r="L1330" s="13"/>
      <c r="M1330" s="13"/>
      <c r="N1330" s="13"/>
      <c r="O1330" s="13"/>
      <c r="P1330" s="13"/>
      <c r="Q1330" s="13"/>
      <c r="R1330" s="13"/>
      <c r="S1330" s="13"/>
    </row>
    <row r="1331" ht="15.75" customHeight="1">
      <c r="A1331" s="14" t="s">
        <v>4782</v>
      </c>
      <c r="B1331" s="14" t="s">
        <v>316</v>
      </c>
      <c r="C1331" s="14" t="s">
        <v>4783</v>
      </c>
      <c r="D1331" s="14">
        <v>100.0</v>
      </c>
      <c r="E1331" s="14" t="s">
        <v>318</v>
      </c>
      <c r="F1331" s="14" t="s">
        <v>4784</v>
      </c>
      <c r="G1331" s="14" t="s">
        <v>4785</v>
      </c>
      <c r="H1331" s="13"/>
      <c r="I1331" s="13"/>
      <c r="J1331" s="13"/>
      <c r="K1331" s="13"/>
      <c r="L1331" s="13"/>
      <c r="M1331" s="13"/>
      <c r="N1331" s="13"/>
      <c r="O1331" s="13"/>
      <c r="P1331" s="13"/>
      <c r="Q1331" s="13"/>
      <c r="R1331" s="13"/>
      <c r="S1331" s="13"/>
    </row>
    <row r="1332" ht="15.75" customHeight="1">
      <c r="A1332" s="14" t="s">
        <v>4786</v>
      </c>
      <c r="B1332" s="14" t="s">
        <v>316</v>
      </c>
      <c r="C1332" s="14" t="s">
        <v>4787</v>
      </c>
      <c r="D1332" s="14">
        <v>100.0</v>
      </c>
      <c r="E1332" s="14" t="s">
        <v>318</v>
      </c>
      <c r="F1332" s="14" t="s">
        <v>4788</v>
      </c>
      <c r="G1332" s="14" t="s">
        <v>4789</v>
      </c>
      <c r="H1332" s="13"/>
      <c r="I1332" s="13"/>
      <c r="J1332" s="13"/>
      <c r="K1332" s="13"/>
      <c r="L1332" s="13"/>
      <c r="M1332" s="13"/>
      <c r="N1332" s="13"/>
      <c r="O1332" s="13"/>
      <c r="P1332" s="13"/>
      <c r="Q1332" s="13"/>
      <c r="R1332" s="13"/>
      <c r="S1332" s="13"/>
    </row>
    <row r="1333" ht="15.75" customHeight="1">
      <c r="A1333" s="14" t="s">
        <v>4790</v>
      </c>
      <c r="B1333" s="14" t="s">
        <v>316</v>
      </c>
      <c r="C1333" s="14" t="s">
        <v>4791</v>
      </c>
      <c r="D1333" s="14">
        <v>100.0</v>
      </c>
      <c r="E1333" s="14" t="s">
        <v>318</v>
      </c>
      <c r="F1333" s="14" t="s">
        <v>4792</v>
      </c>
      <c r="G1333" s="14" t="s">
        <v>4793</v>
      </c>
      <c r="H1333" s="13"/>
      <c r="I1333" s="13"/>
      <c r="J1333" s="13"/>
      <c r="K1333" s="13"/>
      <c r="L1333" s="13"/>
      <c r="M1333" s="13"/>
      <c r="N1333" s="13"/>
      <c r="O1333" s="13"/>
      <c r="P1333" s="13"/>
      <c r="Q1333" s="13"/>
      <c r="R1333" s="13"/>
      <c r="S1333" s="13"/>
    </row>
    <row r="1334" ht="15.75" customHeight="1">
      <c r="A1334" s="14" t="s">
        <v>4794</v>
      </c>
      <c r="B1334" s="14" t="s">
        <v>316</v>
      </c>
      <c r="C1334" s="14" t="s">
        <v>4795</v>
      </c>
      <c r="D1334" s="14">
        <v>100.0</v>
      </c>
      <c r="E1334" s="14" t="s">
        <v>318</v>
      </c>
      <c r="F1334" s="14" t="s">
        <v>4796</v>
      </c>
      <c r="G1334" s="14" t="s">
        <v>4797</v>
      </c>
      <c r="H1334" s="13"/>
      <c r="I1334" s="13"/>
      <c r="J1334" s="13"/>
      <c r="K1334" s="13"/>
      <c r="L1334" s="13"/>
      <c r="M1334" s="13"/>
      <c r="N1334" s="13"/>
      <c r="O1334" s="13"/>
      <c r="P1334" s="13"/>
      <c r="Q1334" s="13"/>
      <c r="R1334" s="13"/>
      <c r="S1334" s="13"/>
    </row>
    <row r="1335" ht="15.75" customHeight="1">
      <c r="A1335" s="14" t="s">
        <v>4798</v>
      </c>
      <c r="B1335" s="14" t="s">
        <v>316</v>
      </c>
      <c r="C1335" s="14" t="s">
        <v>4799</v>
      </c>
      <c r="D1335" s="14">
        <v>100.0</v>
      </c>
      <c r="E1335" s="14" t="s">
        <v>318</v>
      </c>
      <c r="F1335" s="14" t="s">
        <v>4800</v>
      </c>
      <c r="G1335" s="14" t="s">
        <v>4801</v>
      </c>
      <c r="H1335" s="13"/>
      <c r="I1335" s="13"/>
      <c r="J1335" s="13"/>
      <c r="K1335" s="13"/>
      <c r="L1335" s="13"/>
      <c r="M1335" s="13"/>
      <c r="N1335" s="13"/>
      <c r="O1335" s="13"/>
      <c r="P1335" s="13"/>
      <c r="Q1335" s="13"/>
      <c r="R1335" s="13"/>
      <c r="S1335" s="13"/>
    </row>
    <row r="1336" ht="15.75" customHeight="1">
      <c r="A1336" s="14" t="s">
        <v>4802</v>
      </c>
      <c r="B1336" s="14" t="s">
        <v>316</v>
      </c>
      <c r="C1336" s="14" t="s">
        <v>4803</v>
      </c>
      <c r="D1336" s="14">
        <v>100.0</v>
      </c>
      <c r="E1336" s="14" t="s">
        <v>318</v>
      </c>
      <c r="F1336" s="14" t="s">
        <v>4804</v>
      </c>
      <c r="G1336" s="14" t="s">
        <v>4805</v>
      </c>
      <c r="H1336" s="13"/>
      <c r="I1336" s="13"/>
      <c r="J1336" s="13"/>
      <c r="K1336" s="13"/>
      <c r="L1336" s="13"/>
      <c r="M1336" s="13"/>
      <c r="N1336" s="13"/>
      <c r="O1336" s="13"/>
      <c r="P1336" s="13"/>
      <c r="Q1336" s="13"/>
      <c r="R1336" s="13"/>
      <c r="S1336" s="13"/>
    </row>
    <row r="1337" ht="15.75" customHeight="1">
      <c r="A1337" s="14" t="s">
        <v>4806</v>
      </c>
      <c r="B1337" s="14" t="s">
        <v>316</v>
      </c>
      <c r="C1337" s="14" t="s">
        <v>4807</v>
      </c>
      <c r="D1337" s="14">
        <v>100.0</v>
      </c>
      <c r="E1337" s="14" t="s">
        <v>318</v>
      </c>
      <c r="F1337" s="14" t="s">
        <v>1836</v>
      </c>
      <c r="G1337" s="14" t="s">
        <v>4808</v>
      </c>
      <c r="H1337" s="13"/>
      <c r="I1337" s="13"/>
      <c r="J1337" s="13"/>
      <c r="K1337" s="13"/>
      <c r="L1337" s="13"/>
      <c r="M1337" s="13"/>
      <c r="N1337" s="13"/>
      <c r="O1337" s="13"/>
      <c r="P1337" s="13"/>
      <c r="Q1337" s="13"/>
      <c r="R1337" s="13"/>
      <c r="S1337" s="13"/>
    </row>
    <row r="1338" ht="15.75" customHeight="1">
      <c r="A1338" s="14" t="s">
        <v>4809</v>
      </c>
      <c r="B1338" s="14" t="s">
        <v>316</v>
      </c>
      <c r="C1338" s="14" t="s">
        <v>4810</v>
      </c>
      <c r="D1338" s="14">
        <v>100.0</v>
      </c>
      <c r="E1338" s="14" t="s">
        <v>318</v>
      </c>
      <c r="F1338" s="14" t="s">
        <v>4811</v>
      </c>
      <c r="G1338" s="14" t="s">
        <v>4812</v>
      </c>
      <c r="H1338" s="13"/>
      <c r="I1338" s="13"/>
      <c r="J1338" s="13"/>
      <c r="K1338" s="13"/>
      <c r="L1338" s="13"/>
      <c r="M1338" s="13"/>
      <c r="N1338" s="13"/>
      <c r="O1338" s="13"/>
      <c r="P1338" s="13"/>
      <c r="Q1338" s="13"/>
      <c r="R1338" s="13"/>
      <c r="S1338" s="13"/>
    </row>
    <row r="1339" ht="15.75" customHeight="1">
      <c r="A1339" s="14" t="s">
        <v>4813</v>
      </c>
      <c r="B1339" s="14" t="s">
        <v>316</v>
      </c>
      <c r="C1339" s="14" t="s">
        <v>4814</v>
      </c>
      <c r="D1339" s="14">
        <v>100.0</v>
      </c>
      <c r="E1339" s="14" t="s">
        <v>318</v>
      </c>
      <c r="F1339" s="14" t="s">
        <v>595</v>
      </c>
      <c r="G1339" s="14" t="s">
        <v>4815</v>
      </c>
      <c r="H1339" s="13"/>
      <c r="I1339" s="13"/>
      <c r="J1339" s="13"/>
      <c r="K1339" s="13"/>
      <c r="L1339" s="13"/>
      <c r="M1339" s="13"/>
      <c r="N1339" s="13"/>
      <c r="O1339" s="13"/>
      <c r="P1339" s="13"/>
      <c r="Q1339" s="13"/>
      <c r="R1339" s="13"/>
      <c r="S1339" s="13"/>
    </row>
    <row r="1340" ht="15.75" customHeight="1">
      <c r="A1340" s="14" t="s">
        <v>4816</v>
      </c>
      <c r="B1340" s="14" t="s">
        <v>316</v>
      </c>
      <c r="C1340" s="14" t="s">
        <v>4817</v>
      </c>
      <c r="D1340" s="14">
        <v>100.0</v>
      </c>
      <c r="E1340" s="14" t="s">
        <v>318</v>
      </c>
      <c r="F1340" s="14" t="s">
        <v>4818</v>
      </c>
      <c r="G1340" s="14" t="s">
        <v>4819</v>
      </c>
      <c r="H1340" s="13"/>
      <c r="I1340" s="13"/>
      <c r="J1340" s="13"/>
      <c r="K1340" s="13"/>
      <c r="L1340" s="13"/>
      <c r="M1340" s="13"/>
      <c r="N1340" s="13"/>
      <c r="O1340" s="13"/>
      <c r="P1340" s="13"/>
      <c r="Q1340" s="13"/>
      <c r="R1340" s="13"/>
      <c r="S1340" s="13"/>
    </row>
    <row r="1341" ht="15.75" customHeight="1">
      <c r="A1341" s="14" t="s">
        <v>4820</v>
      </c>
      <c r="B1341" s="14" t="s">
        <v>316</v>
      </c>
      <c r="C1341" s="14" t="s">
        <v>4821</v>
      </c>
      <c r="D1341" s="14">
        <v>100.0</v>
      </c>
      <c r="E1341" s="14" t="s">
        <v>318</v>
      </c>
      <c r="F1341" s="14" t="s">
        <v>4822</v>
      </c>
      <c r="G1341" s="14" t="s">
        <v>4823</v>
      </c>
      <c r="H1341" s="13"/>
      <c r="I1341" s="13"/>
      <c r="J1341" s="13"/>
      <c r="K1341" s="13"/>
      <c r="L1341" s="13"/>
      <c r="M1341" s="13"/>
      <c r="N1341" s="13"/>
      <c r="O1341" s="13"/>
      <c r="P1341" s="13"/>
      <c r="Q1341" s="13"/>
      <c r="R1341" s="13"/>
      <c r="S1341" s="13"/>
    </row>
    <row r="1342" ht="15.75" customHeight="1">
      <c r="A1342" s="14" t="s">
        <v>4824</v>
      </c>
      <c r="B1342" s="14" t="s">
        <v>316</v>
      </c>
      <c r="C1342" s="14" t="s">
        <v>4825</v>
      </c>
      <c r="D1342" s="14">
        <v>100.0</v>
      </c>
      <c r="E1342" s="14" t="s">
        <v>318</v>
      </c>
      <c r="F1342" s="14" t="s">
        <v>4826</v>
      </c>
      <c r="G1342" s="14" t="s">
        <v>4827</v>
      </c>
      <c r="H1342" s="13"/>
      <c r="I1342" s="13"/>
      <c r="J1342" s="13"/>
      <c r="K1342" s="13"/>
      <c r="L1342" s="13"/>
      <c r="M1342" s="13"/>
      <c r="N1342" s="13"/>
      <c r="O1342" s="13"/>
      <c r="P1342" s="13"/>
      <c r="Q1342" s="13"/>
      <c r="R1342" s="13"/>
      <c r="S1342" s="13"/>
    </row>
    <row r="1343" ht="15.75" customHeight="1">
      <c r="A1343" s="14" t="s">
        <v>4828</v>
      </c>
      <c r="B1343" s="14" t="s">
        <v>316</v>
      </c>
      <c r="C1343" s="14" t="s">
        <v>4829</v>
      </c>
      <c r="D1343" s="14">
        <v>100.0</v>
      </c>
      <c r="E1343" s="14" t="s">
        <v>318</v>
      </c>
      <c r="F1343" s="14" t="s">
        <v>4830</v>
      </c>
      <c r="G1343" s="14" t="s">
        <v>4831</v>
      </c>
      <c r="H1343" s="13"/>
      <c r="I1343" s="13"/>
      <c r="J1343" s="13"/>
      <c r="K1343" s="13"/>
      <c r="L1343" s="13"/>
      <c r="M1343" s="13"/>
      <c r="N1343" s="13"/>
      <c r="O1343" s="13"/>
      <c r="P1343" s="13"/>
      <c r="Q1343" s="13"/>
      <c r="R1343" s="13"/>
      <c r="S1343" s="13"/>
    </row>
    <row r="1344" ht="15.75" customHeight="1">
      <c r="A1344" s="14" t="s">
        <v>4832</v>
      </c>
      <c r="B1344" s="14" t="s">
        <v>316</v>
      </c>
      <c r="C1344" s="14" t="s">
        <v>4833</v>
      </c>
      <c r="D1344" s="14">
        <v>100.0</v>
      </c>
      <c r="E1344" s="14" t="s">
        <v>318</v>
      </c>
      <c r="F1344" s="14" t="s">
        <v>4834</v>
      </c>
      <c r="G1344" s="14" t="s">
        <v>4835</v>
      </c>
      <c r="H1344" s="13"/>
      <c r="I1344" s="13"/>
      <c r="J1344" s="13"/>
      <c r="K1344" s="13"/>
      <c r="L1344" s="13"/>
      <c r="M1344" s="13"/>
      <c r="N1344" s="13"/>
      <c r="O1344" s="13"/>
      <c r="P1344" s="13"/>
      <c r="Q1344" s="13"/>
      <c r="R1344" s="13"/>
      <c r="S1344" s="13"/>
    </row>
    <row r="1345" ht="15.75" customHeight="1">
      <c r="A1345" s="14" t="s">
        <v>4836</v>
      </c>
      <c r="B1345" s="14" t="s">
        <v>316</v>
      </c>
      <c r="C1345" s="14" t="s">
        <v>4837</v>
      </c>
      <c r="D1345" s="14">
        <v>100.0</v>
      </c>
      <c r="E1345" s="14" t="s">
        <v>318</v>
      </c>
      <c r="F1345" s="14" t="s">
        <v>4838</v>
      </c>
      <c r="G1345" s="14" t="s">
        <v>4839</v>
      </c>
      <c r="H1345" s="13"/>
      <c r="I1345" s="13"/>
      <c r="J1345" s="13"/>
      <c r="K1345" s="13"/>
      <c r="L1345" s="13"/>
      <c r="M1345" s="13"/>
      <c r="N1345" s="13"/>
      <c r="O1345" s="13"/>
      <c r="P1345" s="13"/>
      <c r="Q1345" s="13"/>
      <c r="R1345" s="13"/>
      <c r="S1345" s="13"/>
    </row>
    <row r="1346" ht="15.75" customHeight="1">
      <c r="A1346" s="14" t="s">
        <v>4840</v>
      </c>
      <c r="B1346" s="14" t="s">
        <v>316</v>
      </c>
      <c r="C1346" s="14" t="s">
        <v>4841</v>
      </c>
      <c r="D1346" s="14">
        <v>100.0</v>
      </c>
      <c r="E1346" s="14" t="s">
        <v>318</v>
      </c>
      <c r="F1346" s="14" t="s">
        <v>4842</v>
      </c>
      <c r="G1346" s="14" t="s">
        <v>4843</v>
      </c>
      <c r="H1346" s="13"/>
      <c r="I1346" s="13"/>
      <c r="J1346" s="13"/>
      <c r="K1346" s="13"/>
      <c r="L1346" s="13"/>
      <c r="M1346" s="13"/>
      <c r="N1346" s="13"/>
      <c r="O1346" s="13"/>
      <c r="P1346" s="13"/>
      <c r="Q1346" s="13"/>
      <c r="R1346" s="13"/>
      <c r="S1346" s="13"/>
    </row>
    <row r="1347" ht="15.75" customHeight="1">
      <c r="A1347" s="14" t="s">
        <v>4844</v>
      </c>
      <c r="B1347" s="14" t="s">
        <v>316</v>
      </c>
      <c r="C1347" s="14" t="s">
        <v>4845</v>
      </c>
      <c r="D1347" s="14">
        <v>100.0</v>
      </c>
      <c r="E1347" s="14" t="s">
        <v>318</v>
      </c>
      <c r="F1347" s="14" t="s">
        <v>4846</v>
      </c>
      <c r="G1347" s="14" t="s">
        <v>4847</v>
      </c>
      <c r="H1347" s="13"/>
      <c r="I1347" s="13"/>
      <c r="J1347" s="13"/>
      <c r="K1347" s="13"/>
      <c r="L1347" s="13"/>
      <c r="M1347" s="13"/>
      <c r="N1347" s="13"/>
      <c r="O1347" s="13"/>
      <c r="P1347" s="13"/>
      <c r="Q1347" s="13"/>
      <c r="R1347" s="13"/>
      <c r="S1347" s="13"/>
    </row>
    <row r="1348" ht="15.75" customHeight="1">
      <c r="A1348" s="14" t="s">
        <v>4848</v>
      </c>
      <c r="B1348" s="14" t="s">
        <v>316</v>
      </c>
      <c r="C1348" s="14" t="s">
        <v>4849</v>
      </c>
      <c r="D1348" s="14">
        <v>100.0</v>
      </c>
      <c r="E1348" s="14" t="s">
        <v>318</v>
      </c>
      <c r="F1348" s="14" t="s">
        <v>2633</v>
      </c>
      <c r="G1348" s="14" t="s">
        <v>4850</v>
      </c>
      <c r="H1348" s="13"/>
      <c r="I1348" s="13"/>
      <c r="J1348" s="13"/>
      <c r="K1348" s="13"/>
      <c r="L1348" s="13"/>
      <c r="M1348" s="13"/>
      <c r="N1348" s="13"/>
      <c r="O1348" s="13"/>
      <c r="P1348" s="13"/>
      <c r="Q1348" s="13"/>
      <c r="R1348" s="13"/>
      <c r="S1348" s="13"/>
    </row>
    <row r="1349" ht="15.75" customHeight="1">
      <c r="A1349" s="14" t="s">
        <v>4851</v>
      </c>
      <c r="B1349" s="14" t="s">
        <v>316</v>
      </c>
      <c r="C1349" s="14" t="s">
        <v>4852</v>
      </c>
      <c r="D1349" s="14">
        <v>100.0</v>
      </c>
      <c r="E1349" s="14" t="s">
        <v>318</v>
      </c>
      <c r="F1349" s="14" t="s">
        <v>4853</v>
      </c>
      <c r="G1349" s="14" t="s">
        <v>4854</v>
      </c>
      <c r="H1349" s="13"/>
      <c r="I1349" s="13"/>
      <c r="J1349" s="13"/>
      <c r="K1349" s="13"/>
      <c r="L1349" s="13"/>
      <c r="M1349" s="13"/>
      <c r="N1349" s="13"/>
      <c r="O1349" s="13"/>
      <c r="P1349" s="13"/>
      <c r="Q1349" s="13"/>
      <c r="R1349" s="13"/>
      <c r="S1349" s="13"/>
    </row>
    <row r="1350" ht="15.75" customHeight="1">
      <c r="A1350" s="14" t="s">
        <v>4855</v>
      </c>
      <c r="B1350" s="14" t="s">
        <v>316</v>
      </c>
      <c r="C1350" s="14" t="s">
        <v>4856</v>
      </c>
      <c r="D1350" s="14">
        <v>100.0</v>
      </c>
      <c r="E1350" s="14" t="s">
        <v>318</v>
      </c>
      <c r="F1350" s="14" t="s">
        <v>4857</v>
      </c>
      <c r="G1350" s="14" t="s">
        <v>4858</v>
      </c>
      <c r="H1350" s="13"/>
      <c r="I1350" s="13"/>
      <c r="J1350" s="13"/>
      <c r="K1350" s="13"/>
      <c r="L1350" s="13"/>
      <c r="M1350" s="13"/>
      <c r="N1350" s="13"/>
      <c r="O1350" s="13"/>
      <c r="P1350" s="13"/>
      <c r="Q1350" s="13"/>
      <c r="R1350" s="13"/>
      <c r="S1350" s="13"/>
    </row>
    <row r="1351" ht="15.75" customHeight="1">
      <c r="A1351" s="14" t="s">
        <v>4859</v>
      </c>
      <c r="B1351" s="14" t="s">
        <v>316</v>
      </c>
      <c r="C1351" s="14" t="s">
        <v>4860</v>
      </c>
      <c r="D1351" s="14">
        <v>100.0</v>
      </c>
      <c r="E1351" s="14" t="s">
        <v>318</v>
      </c>
      <c r="F1351" s="14" t="s">
        <v>4861</v>
      </c>
      <c r="G1351" s="14" t="s">
        <v>4862</v>
      </c>
      <c r="H1351" s="13"/>
      <c r="I1351" s="13"/>
      <c r="J1351" s="13"/>
      <c r="K1351" s="13"/>
      <c r="L1351" s="13"/>
      <c r="M1351" s="13"/>
      <c r="N1351" s="13"/>
      <c r="O1351" s="13"/>
      <c r="P1351" s="13"/>
      <c r="Q1351" s="13"/>
      <c r="R1351" s="13"/>
      <c r="S1351" s="13"/>
    </row>
    <row r="1352" ht="15.75" customHeight="1">
      <c r="A1352" s="14" t="s">
        <v>4863</v>
      </c>
      <c r="B1352" s="14" t="s">
        <v>316</v>
      </c>
      <c r="C1352" s="14" t="s">
        <v>4864</v>
      </c>
      <c r="D1352" s="14">
        <v>100.0</v>
      </c>
      <c r="E1352" s="14" t="s">
        <v>318</v>
      </c>
      <c r="F1352" s="14" t="s">
        <v>4865</v>
      </c>
      <c r="G1352" s="14" t="s">
        <v>4866</v>
      </c>
      <c r="H1352" s="13"/>
      <c r="I1352" s="13"/>
      <c r="J1352" s="13"/>
      <c r="K1352" s="13"/>
      <c r="L1352" s="13"/>
      <c r="M1352" s="13"/>
      <c r="N1352" s="13"/>
      <c r="O1352" s="13"/>
      <c r="P1352" s="13"/>
      <c r="Q1352" s="13"/>
      <c r="R1352" s="13"/>
      <c r="S1352" s="13"/>
    </row>
    <row r="1353" ht="15.75" customHeight="1">
      <c r="A1353" s="14" t="s">
        <v>4867</v>
      </c>
      <c r="B1353" s="14" t="s">
        <v>316</v>
      </c>
      <c r="C1353" s="14" t="s">
        <v>4868</v>
      </c>
      <c r="D1353" s="14">
        <v>100.0</v>
      </c>
      <c r="E1353" s="14" t="s">
        <v>318</v>
      </c>
      <c r="F1353" s="14" t="s">
        <v>4869</v>
      </c>
      <c r="G1353" s="14" t="s">
        <v>4870</v>
      </c>
      <c r="H1353" s="13"/>
      <c r="I1353" s="13"/>
      <c r="J1353" s="13"/>
      <c r="K1353" s="13"/>
      <c r="L1353" s="13"/>
      <c r="M1353" s="13"/>
      <c r="N1353" s="13"/>
      <c r="O1353" s="13"/>
      <c r="P1353" s="13"/>
      <c r="Q1353" s="13"/>
      <c r="R1353" s="13"/>
      <c r="S1353" s="13"/>
    </row>
    <row r="1354" ht="15.75" customHeight="1">
      <c r="A1354" s="14" t="s">
        <v>4871</v>
      </c>
      <c r="B1354" s="14" t="s">
        <v>316</v>
      </c>
      <c r="C1354" s="14" t="s">
        <v>4872</v>
      </c>
      <c r="D1354" s="14">
        <v>100.0</v>
      </c>
      <c r="E1354" s="14" t="s">
        <v>318</v>
      </c>
      <c r="F1354" s="14" t="s">
        <v>4873</v>
      </c>
      <c r="G1354" s="14" t="s">
        <v>4874</v>
      </c>
      <c r="H1354" s="13"/>
      <c r="I1354" s="13"/>
      <c r="J1354" s="13"/>
      <c r="K1354" s="13"/>
      <c r="L1354" s="13"/>
      <c r="M1354" s="13"/>
      <c r="N1354" s="13"/>
      <c r="O1354" s="13"/>
      <c r="P1354" s="13"/>
      <c r="Q1354" s="13"/>
      <c r="R1354" s="13"/>
      <c r="S1354" s="13"/>
    </row>
    <row r="1355" ht="15.75" customHeight="1">
      <c r="A1355" s="14" t="s">
        <v>4875</v>
      </c>
      <c r="B1355" s="14" t="s">
        <v>316</v>
      </c>
      <c r="C1355" s="14" t="s">
        <v>4876</v>
      </c>
      <c r="D1355" s="14">
        <v>100.0</v>
      </c>
      <c r="E1355" s="14" t="s">
        <v>318</v>
      </c>
      <c r="F1355" s="14" t="s">
        <v>4877</v>
      </c>
      <c r="G1355" s="14" t="s">
        <v>4878</v>
      </c>
      <c r="H1355" s="13"/>
      <c r="I1355" s="13"/>
      <c r="J1355" s="13"/>
      <c r="K1355" s="13"/>
      <c r="L1355" s="13"/>
      <c r="M1355" s="13"/>
      <c r="N1355" s="13"/>
      <c r="O1355" s="13"/>
      <c r="P1355" s="13"/>
      <c r="Q1355" s="13"/>
      <c r="R1355" s="13"/>
      <c r="S1355" s="13"/>
    </row>
    <row r="1356" ht="15.75" customHeight="1">
      <c r="A1356" s="14" t="s">
        <v>4879</v>
      </c>
      <c r="B1356" s="14" t="s">
        <v>316</v>
      </c>
      <c r="C1356" s="14" t="s">
        <v>4880</v>
      </c>
      <c r="D1356" s="14">
        <v>100.0</v>
      </c>
      <c r="E1356" s="14" t="s">
        <v>318</v>
      </c>
      <c r="F1356" s="14" t="s">
        <v>4881</v>
      </c>
      <c r="G1356" s="14" t="s">
        <v>4882</v>
      </c>
      <c r="H1356" s="13"/>
      <c r="I1356" s="13"/>
      <c r="J1356" s="13"/>
      <c r="K1356" s="13"/>
      <c r="L1356" s="13"/>
      <c r="M1356" s="13"/>
      <c r="N1356" s="13"/>
      <c r="O1356" s="13"/>
      <c r="P1356" s="13"/>
      <c r="Q1356" s="13"/>
      <c r="R1356" s="13"/>
      <c r="S1356" s="13"/>
    </row>
    <row r="1357" ht="15.75" customHeight="1">
      <c r="A1357" s="14" t="s">
        <v>4883</v>
      </c>
      <c r="B1357" s="14" t="s">
        <v>316</v>
      </c>
      <c r="C1357" s="14" t="s">
        <v>4884</v>
      </c>
      <c r="D1357" s="14">
        <v>100.0</v>
      </c>
      <c r="E1357" s="14" t="s">
        <v>318</v>
      </c>
      <c r="F1357" s="14" t="s">
        <v>591</v>
      </c>
      <c r="G1357" s="14" t="s">
        <v>4885</v>
      </c>
      <c r="H1357" s="13"/>
      <c r="I1357" s="13"/>
      <c r="J1357" s="13"/>
      <c r="K1357" s="13"/>
      <c r="L1357" s="13"/>
      <c r="M1357" s="13"/>
      <c r="N1357" s="13"/>
      <c r="O1357" s="13"/>
      <c r="P1357" s="13"/>
      <c r="Q1357" s="13"/>
      <c r="R1357" s="13"/>
      <c r="S1357" s="13"/>
    </row>
    <row r="1358" ht="15.75" customHeight="1">
      <c r="A1358" s="14" t="s">
        <v>4886</v>
      </c>
      <c r="B1358" s="14" t="s">
        <v>316</v>
      </c>
      <c r="C1358" s="14" t="s">
        <v>4887</v>
      </c>
      <c r="D1358" s="14">
        <v>100.0</v>
      </c>
      <c r="E1358" s="14" t="s">
        <v>318</v>
      </c>
      <c r="F1358" s="14" t="s">
        <v>4888</v>
      </c>
      <c r="G1358" s="14" t="s">
        <v>4889</v>
      </c>
      <c r="H1358" s="13"/>
      <c r="I1358" s="13"/>
      <c r="J1358" s="13"/>
      <c r="K1358" s="13"/>
      <c r="L1358" s="13"/>
      <c r="M1358" s="13"/>
      <c r="N1358" s="13"/>
      <c r="O1358" s="13"/>
      <c r="P1358" s="13"/>
      <c r="Q1358" s="13"/>
      <c r="R1358" s="13"/>
      <c r="S1358" s="13"/>
    </row>
    <row r="1359" ht="15.75" customHeight="1">
      <c r="A1359" s="14" t="s">
        <v>4890</v>
      </c>
      <c r="B1359" s="14" t="s">
        <v>316</v>
      </c>
      <c r="C1359" s="14" t="s">
        <v>4891</v>
      </c>
      <c r="D1359" s="14">
        <v>100.0</v>
      </c>
      <c r="E1359" s="14" t="s">
        <v>318</v>
      </c>
      <c r="F1359" s="14" t="s">
        <v>4888</v>
      </c>
      <c r="G1359" s="14" t="s">
        <v>4892</v>
      </c>
      <c r="H1359" s="13"/>
      <c r="I1359" s="13"/>
      <c r="J1359" s="13"/>
      <c r="K1359" s="13"/>
      <c r="L1359" s="13"/>
      <c r="M1359" s="13"/>
      <c r="N1359" s="13"/>
      <c r="O1359" s="13"/>
      <c r="P1359" s="13"/>
      <c r="Q1359" s="13"/>
      <c r="R1359" s="13"/>
      <c r="S1359" s="13"/>
    </row>
    <row r="1360" ht="15.75" customHeight="1">
      <c r="A1360" s="14" t="s">
        <v>4893</v>
      </c>
      <c r="B1360" s="14" t="s">
        <v>316</v>
      </c>
      <c r="C1360" s="14" t="s">
        <v>4894</v>
      </c>
      <c r="D1360" s="14">
        <v>100.0</v>
      </c>
      <c r="E1360" s="14" t="s">
        <v>318</v>
      </c>
      <c r="F1360" s="14" t="s">
        <v>4888</v>
      </c>
      <c r="G1360" s="14" t="s">
        <v>4895</v>
      </c>
      <c r="H1360" s="13"/>
      <c r="I1360" s="13"/>
      <c r="J1360" s="13"/>
      <c r="K1360" s="13"/>
      <c r="L1360" s="13"/>
      <c r="M1360" s="13"/>
      <c r="N1360" s="13"/>
      <c r="O1360" s="13"/>
      <c r="P1360" s="13"/>
      <c r="Q1360" s="13"/>
      <c r="R1360" s="13"/>
      <c r="S1360" s="13"/>
    </row>
    <row r="1361" ht="15.75" customHeight="1">
      <c r="A1361" s="14" t="s">
        <v>4896</v>
      </c>
      <c r="B1361" s="14" t="s">
        <v>316</v>
      </c>
      <c r="C1361" s="14" t="s">
        <v>4897</v>
      </c>
      <c r="D1361" s="14">
        <v>100.0</v>
      </c>
      <c r="E1361" s="14" t="s">
        <v>318</v>
      </c>
      <c r="F1361" s="14" t="s">
        <v>4888</v>
      </c>
      <c r="G1361" s="14" t="s">
        <v>4898</v>
      </c>
      <c r="H1361" s="13"/>
      <c r="I1361" s="13"/>
      <c r="J1361" s="13"/>
      <c r="K1361" s="13"/>
      <c r="L1361" s="13"/>
      <c r="M1361" s="13"/>
      <c r="N1361" s="13"/>
      <c r="O1361" s="13"/>
      <c r="P1361" s="13"/>
      <c r="Q1361" s="13"/>
      <c r="R1361" s="13"/>
      <c r="S1361" s="13"/>
    </row>
    <row r="1362" ht="15.75" customHeight="1">
      <c r="A1362" s="14" t="s">
        <v>4899</v>
      </c>
      <c r="B1362" s="14" t="s">
        <v>316</v>
      </c>
      <c r="C1362" s="14" t="s">
        <v>4900</v>
      </c>
      <c r="D1362" s="14">
        <v>100.0</v>
      </c>
      <c r="E1362" s="14" t="s">
        <v>318</v>
      </c>
      <c r="F1362" s="14" t="s">
        <v>4888</v>
      </c>
      <c r="G1362" s="14" t="s">
        <v>4901</v>
      </c>
      <c r="H1362" s="13"/>
      <c r="I1362" s="13"/>
      <c r="J1362" s="13"/>
      <c r="K1362" s="13"/>
      <c r="L1362" s="13"/>
      <c r="M1362" s="13"/>
      <c r="N1362" s="13"/>
      <c r="O1362" s="13"/>
      <c r="P1362" s="13"/>
      <c r="Q1362" s="13"/>
      <c r="R1362" s="13"/>
      <c r="S1362" s="13"/>
    </row>
    <row r="1363" ht="15.75" customHeight="1">
      <c r="A1363" s="14" t="s">
        <v>4902</v>
      </c>
      <c r="B1363" s="14" t="s">
        <v>316</v>
      </c>
      <c r="C1363" s="14" t="s">
        <v>4903</v>
      </c>
      <c r="D1363" s="14">
        <v>100.0</v>
      </c>
      <c r="E1363" s="14" t="s">
        <v>318</v>
      </c>
      <c r="F1363" s="14" t="s">
        <v>4904</v>
      </c>
      <c r="G1363" s="14" t="s">
        <v>4905</v>
      </c>
      <c r="H1363" s="13"/>
      <c r="I1363" s="13"/>
      <c r="J1363" s="13"/>
      <c r="K1363" s="13"/>
      <c r="L1363" s="13"/>
      <c r="M1363" s="13"/>
      <c r="N1363" s="13"/>
      <c r="O1363" s="13"/>
      <c r="P1363" s="13"/>
      <c r="Q1363" s="13"/>
      <c r="R1363" s="13"/>
      <c r="S1363" s="13"/>
    </row>
    <row r="1364" ht="15.75" customHeight="1">
      <c r="A1364" s="14" t="s">
        <v>4906</v>
      </c>
      <c r="B1364" s="14" t="s">
        <v>316</v>
      </c>
      <c r="C1364" s="14" t="s">
        <v>4907</v>
      </c>
      <c r="D1364" s="14">
        <v>100.0</v>
      </c>
      <c r="E1364" s="14" t="s">
        <v>318</v>
      </c>
      <c r="F1364" s="14" t="s">
        <v>4908</v>
      </c>
      <c r="G1364" s="14" t="s">
        <v>4909</v>
      </c>
      <c r="H1364" s="13"/>
      <c r="I1364" s="13"/>
      <c r="J1364" s="13"/>
      <c r="K1364" s="13"/>
      <c r="L1364" s="13"/>
      <c r="M1364" s="13"/>
      <c r="N1364" s="13"/>
      <c r="O1364" s="13"/>
      <c r="P1364" s="13"/>
      <c r="Q1364" s="13"/>
      <c r="R1364" s="13"/>
      <c r="S1364" s="13"/>
    </row>
    <row r="1365" ht="15.75" customHeight="1">
      <c r="A1365" s="14" t="s">
        <v>4910</v>
      </c>
      <c r="B1365" s="14" t="s">
        <v>316</v>
      </c>
      <c r="C1365" s="14" t="s">
        <v>4911</v>
      </c>
      <c r="D1365" s="14">
        <v>100.0</v>
      </c>
      <c r="E1365" s="14" t="s">
        <v>318</v>
      </c>
      <c r="F1365" s="14" t="s">
        <v>591</v>
      </c>
      <c r="G1365" s="14" t="s">
        <v>4912</v>
      </c>
      <c r="H1365" s="13"/>
      <c r="I1365" s="13"/>
      <c r="J1365" s="13"/>
      <c r="K1365" s="13"/>
      <c r="L1365" s="13"/>
      <c r="M1365" s="13"/>
      <c r="N1365" s="13"/>
      <c r="O1365" s="13"/>
      <c r="P1365" s="13"/>
      <c r="Q1365" s="13"/>
      <c r="R1365" s="13"/>
      <c r="S1365" s="13"/>
    </row>
    <row r="1366" ht="15.75" customHeight="1">
      <c r="A1366" s="14" t="s">
        <v>4913</v>
      </c>
      <c r="B1366" s="14" t="s">
        <v>316</v>
      </c>
      <c r="C1366" s="14" t="s">
        <v>4914</v>
      </c>
      <c r="D1366" s="14">
        <v>100.0</v>
      </c>
      <c r="E1366" s="14" t="s">
        <v>318</v>
      </c>
      <c r="F1366" s="14" t="s">
        <v>4915</v>
      </c>
      <c r="G1366" s="14" t="s">
        <v>4916</v>
      </c>
      <c r="H1366" s="13"/>
      <c r="I1366" s="13"/>
      <c r="J1366" s="13"/>
      <c r="K1366" s="13"/>
      <c r="L1366" s="13"/>
      <c r="M1366" s="13"/>
      <c r="N1366" s="13"/>
      <c r="O1366" s="13"/>
      <c r="P1366" s="13"/>
      <c r="Q1366" s="13"/>
      <c r="R1366" s="13"/>
      <c r="S1366" s="13"/>
    </row>
    <row r="1367" ht="15.75" customHeight="1">
      <c r="A1367" s="14" t="s">
        <v>4917</v>
      </c>
      <c r="B1367" s="14" t="s">
        <v>316</v>
      </c>
      <c r="C1367" s="14" t="s">
        <v>4918</v>
      </c>
      <c r="D1367" s="14">
        <v>100.0</v>
      </c>
      <c r="E1367" s="14" t="s">
        <v>318</v>
      </c>
      <c r="F1367" s="14" t="s">
        <v>4919</v>
      </c>
      <c r="G1367" s="14" t="s">
        <v>4920</v>
      </c>
      <c r="H1367" s="13"/>
      <c r="I1367" s="13"/>
      <c r="J1367" s="13"/>
      <c r="K1367" s="13"/>
      <c r="L1367" s="13"/>
      <c r="M1367" s="13"/>
      <c r="N1367" s="13"/>
      <c r="O1367" s="13"/>
      <c r="P1367" s="13"/>
      <c r="Q1367" s="13"/>
      <c r="R1367" s="13"/>
      <c r="S1367" s="13"/>
    </row>
    <row r="1368" ht="15.75" customHeight="1">
      <c r="A1368" s="14" t="s">
        <v>4921</v>
      </c>
      <c r="B1368" s="14" t="s">
        <v>316</v>
      </c>
      <c r="C1368" s="14" t="s">
        <v>4922</v>
      </c>
      <c r="D1368" s="14">
        <v>100.0</v>
      </c>
      <c r="E1368" s="14" t="s">
        <v>318</v>
      </c>
      <c r="F1368" s="14" t="s">
        <v>3587</v>
      </c>
      <c r="G1368" s="14" t="s">
        <v>4923</v>
      </c>
      <c r="H1368" s="13"/>
      <c r="I1368" s="13"/>
      <c r="J1368" s="13"/>
      <c r="K1368" s="13"/>
      <c r="L1368" s="13"/>
      <c r="M1368" s="13"/>
      <c r="N1368" s="13"/>
      <c r="O1368" s="13"/>
      <c r="P1368" s="13"/>
      <c r="Q1368" s="13"/>
      <c r="R1368" s="13"/>
      <c r="S1368" s="13"/>
    </row>
    <row r="1369" ht="15.75" customHeight="1">
      <c r="A1369" s="14" t="s">
        <v>4924</v>
      </c>
      <c r="B1369" s="14" t="s">
        <v>316</v>
      </c>
      <c r="C1369" s="14" t="s">
        <v>4925</v>
      </c>
      <c r="D1369" s="14">
        <v>100.0</v>
      </c>
      <c r="E1369" s="14" t="s">
        <v>318</v>
      </c>
      <c r="F1369" s="14" t="s">
        <v>2162</v>
      </c>
      <c r="G1369" s="14" t="s">
        <v>4926</v>
      </c>
      <c r="H1369" s="13"/>
      <c r="I1369" s="13"/>
      <c r="J1369" s="13"/>
      <c r="K1369" s="13"/>
      <c r="L1369" s="13"/>
      <c r="M1369" s="13"/>
      <c r="N1369" s="13"/>
      <c r="O1369" s="13"/>
      <c r="P1369" s="13"/>
      <c r="Q1369" s="13"/>
      <c r="R1369" s="13"/>
      <c r="S1369" s="13"/>
    </row>
    <row r="1370" ht="15.75" customHeight="1">
      <c r="A1370" s="14" t="s">
        <v>4927</v>
      </c>
      <c r="B1370" s="14" t="s">
        <v>316</v>
      </c>
      <c r="C1370" s="14" t="s">
        <v>4928</v>
      </c>
      <c r="D1370" s="14">
        <v>100.0</v>
      </c>
      <c r="E1370" s="14" t="s">
        <v>318</v>
      </c>
      <c r="F1370" s="14" t="s">
        <v>4929</v>
      </c>
      <c r="G1370" s="14" t="s">
        <v>4930</v>
      </c>
      <c r="H1370" s="13"/>
      <c r="I1370" s="13"/>
      <c r="J1370" s="13"/>
      <c r="K1370" s="13"/>
      <c r="L1370" s="13"/>
      <c r="M1370" s="13"/>
      <c r="N1370" s="13"/>
      <c r="O1370" s="13"/>
      <c r="P1370" s="13"/>
      <c r="Q1370" s="13"/>
      <c r="R1370" s="13"/>
      <c r="S1370" s="13"/>
    </row>
    <row r="1371" ht="15.75" customHeight="1">
      <c r="A1371" s="14" t="s">
        <v>4931</v>
      </c>
      <c r="B1371" s="14" t="s">
        <v>316</v>
      </c>
      <c r="C1371" s="14" t="s">
        <v>4932</v>
      </c>
      <c r="D1371" s="14">
        <v>100.0</v>
      </c>
      <c r="E1371" s="14" t="s">
        <v>318</v>
      </c>
      <c r="F1371" s="14" t="s">
        <v>4933</v>
      </c>
      <c r="G1371" s="14" t="s">
        <v>4934</v>
      </c>
      <c r="H1371" s="13"/>
      <c r="I1371" s="13"/>
      <c r="J1371" s="13"/>
      <c r="K1371" s="13"/>
      <c r="L1371" s="13"/>
      <c r="M1371" s="13"/>
      <c r="N1371" s="13"/>
      <c r="O1371" s="13"/>
      <c r="P1371" s="13"/>
      <c r="Q1371" s="13"/>
      <c r="R1371" s="13"/>
      <c r="S1371" s="13"/>
    </row>
    <row r="1372" ht="15.75" customHeight="1">
      <c r="A1372" s="14" t="s">
        <v>4935</v>
      </c>
      <c r="B1372" s="14" t="s">
        <v>316</v>
      </c>
      <c r="C1372" s="14" t="s">
        <v>4936</v>
      </c>
      <c r="D1372" s="14">
        <v>100.0</v>
      </c>
      <c r="E1372" s="14" t="s">
        <v>318</v>
      </c>
      <c r="F1372" s="14" t="s">
        <v>4937</v>
      </c>
      <c r="G1372" s="14" t="s">
        <v>4938</v>
      </c>
      <c r="H1372" s="13"/>
      <c r="I1372" s="13"/>
      <c r="J1372" s="13"/>
      <c r="K1372" s="13"/>
      <c r="L1372" s="13"/>
      <c r="M1372" s="13"/>
      <c r="N1372" s="13"/>
      <c r="O1372" s="13"/>
      <c r="P1372" s="13"/>
      <c r="Q1372" s="13"/>
      <c r="R1372" s="13"/>
      <c r="S1372" s="13"/>
    </row>
    <row r="1373" ht="15.75" customHeight="1">
      <c r="A1373" s="14" t="s">
        <v>4939</v>
      </c>
      <c r="B1373" s="14" t="s">
        <v>316</v>
      </c>
      <c r="C1373" s="14" t="s">
        <v>4940</v>
      </c>
      <c r="D1373" s="14">
        <v>100.0</v>
      </c>
      <c r="E1373" s="14" t="s">
        <v>318</v>
      </c>
      <c r="F1373" s="14" t="s">
        <v>4941</v>
      </c>
      <c r="G1373" s="14" t="s">
        <v>4942</v>
      </c>
      <c r="H1373" s="13"/>
      <c r="I1373" s="13"/>
      <c r="J1373" s="13"/>
      <c r="K1373" s="13"/>
      <c r="L1373" s="13"/>
      <c r="M1373" s="13"/>
      <c r="N1373" s="13"/>
      <c r="O1373" s="13"/>
      <c r="P1373" s="13"/>
      <c r="Q1373" s="13"/>
      <c r="R1373" s="13"/>
      <c r="S1373" s="13"/>
    </row>
    <row r="1374" ht="15.75" customHeight="1">
      <c r="A1374" s="14" t="s">
        <v>4943</v>
      </c>
      <c r="B1374" s="14" t="s">
        <v>316</v>
      </c>
      <c r="C1374" s="14" t="s">
        <v>4944</v>
      </c>
      <c r="D1374" s="14">
        <v>100.0</v>
      </c>
      <c r="E1374" s="14" t="s">
        <v>318</v>
      </c>
      <c r="F1374" s="14" t="s">
        <v>4945</v>
      </c>
      <c r="G1374" s="14" t="s">
        <v>4946</v>
      </c>
      <c r="H1374" s="13"/>
      <c r="I1374" s="13"/>
      <c r="J1374" s="13"/>
      <c r="K1374" s="13"/>
      <c r="L1374" s="13"/>
      <c r="M1374" s="13"/>
      <c r="N1374" s="13"/>
      <c r="O1374" s="13"/>
      <c r="P1374" s="13"/>
      <c r="Q1374" s="13"/>
      <c r="R1374" s="13"/>
      <c r="S1374" s="13"/>
    </row>
    <row r="1375" ht="15.75" customHeight="1">
      <c r="A1375" s="14" t="s">
        <v>4947</v>
      </c>
      <c r="B1375" s="14" t="s">
        <v>316</v>
      </c>
      <c r="C1375" s="14" t="s">
        <v>4948</v>
      </c>
      <c r="D1375" s="14">
        <v>100.0</v>
      </c>
      <c r="E1375" s="14" t="s">
        <v>318</v>
      </c>
      <c r="F1375" s="14" t="s">
        <v>536</v>
      </c>
      <c r="G1375" s="14" t="s">
        <v>4949</v>
      </c>
      <c r="H1375" s="13"/>
      <c r="I1375" s="13"/>
      <c r="J1375" s="13"/>
      <c r="K1375" s="13"/>
      <c r="L1375" s="13"/>
      <c r="M1375" s="13"/>
      <c r="N1375" s="13"/>
      <c r="O1375" s="13"/>
      <c r="P1375" s="13"/>
      <c r="Q1375" s="13"/>
      <c r="R1375" s="13"/>
      <c r="S1375" s="13"/>
    </row>
    <row r="1376" ht="15.75" customHeight="1">
      <c r="A1376" s="14" t="s">
        <v>4950</v>
      </c>
      <c r="B1376" s="14" t="s">
        <v>316</v>
      </c>
      <c r="C1376" s="14" t="s">
        <v>4951</v>
      </c>
      <c r="D1376" s="14">
        <v>100.0</v>
      </c>
      <c r="E1376" s="14" t="s">
        <v>318</v>
      </c>
      <c r="F1376" s="14" t="s">
        <v>4952</v>
      </c>
      <c r="G1376" s="14" t="s">
        <v>4953</v>
      </c>
      <c r="H1376" s="13"/>
      <c r="I1376" s="13"/>
      <c r="J1376" s="13"/>
      <c r="K1376" s="13"/>
      <c r="L1376" s="13"/>
      <c r="M1376" s="13"/>
      <c r="N1376" s="13"/>
      <c r="O1376" s="13"/>
      <c r="P1376" s="13"/>
      <c r="Q1376" s="13"/>
      <c r="R1376" s="13"/>
      <c r="S1376" s="13"/>
    </row>
    <row r="1377" ht="15.75" customHeight="1">
      <c r="A1377" s="14" t="s">
        <v>4954</v>
      </c>
      <c r="B1377" s="14" t="s">
        <v>316</v>
      </c>
      <c r="C1377" s="14" t="s">
        <v>4955</v>
      </c>
      <c r="D1377" s="14">
        <v>100.0</v>
      </c>
      <c r="E1377" s="14" t="s">
        <v>318</v>
      </c>
      <c r="F1377" s="14" t="s">
        <v>595</v>
      </c>
      <c r="G1377" s="14" t="s">
        <v>4956</v>
      </c>
      <c r="H1377" s="13"/>
      <c r="I1377" s="13"/>
      <c r="J1377" s="13"/>
      <c r="K1377" s="13"/>
      <c r="L1377" s="13"/>
      <c r="M1377" s="13"/>
      <c r="N1377" s="13"/>
      <c r="O1377" s="13"/>
      <c r="P1377" s="13"/>
      <c r="Q1377" s="13"/>
      <c r="R1377" s="13"/>
      <c r="S1377" s="13"/>
    </row>
    <row r="1378" ht="15.75" customHeight="1">
      <c r="A1378" s="14" t="s">
        <v>4957</v>
      </c>
      <c r="B1378" s="14" t="s">
        <v>316</v>
      </c>
      <c r="C1378" s="14" t="s">
        <v>4958</v>
      </c>
      <c r="D1378" s="14">
        <v>100.0</v>
      </c>
      <c r="E1378" s="14" t="s">
        <v>318</v>
      </c>
      <c r="F1378" s="14" t="s">
        <v>595</v>
      </c>
      <c r="G1378" s="14" t="s">
        <v>4959</v>
      </c>
      <c r="H1378" s="13"/>
      <c r="I1378" s="13"/>
      <c r="J1378" s="13"/>
      <c r="K1378" s="13"/>
      <c r="L1378" s="13"/>
      <c r="M1378" s="13"/>
      <c r="N1378" s="13"/>
      <c r="O1378" s="13"/>
      <c r="P1378" s="13"/>
      <c r="Q1378" s="13"/>
      <c r="R1378" s="13"/>
      <c r="S1378" s="13"/>
    </row>
    <row r="1379" ht="15.75" customHeight="1">
      <c r="A1379" s="14" t="s">
        <v>4960</v>
      </c>
      <c r="B1379" s="14" t="s">
        <v>316</v>
      </c>
      <c r="C1379" s="14" t="s">
        <v>4961</v>
      </c>
      <c r="D1379" s="14">
        <v>100.0</v>
      </c>
      <c r="E1379" s="14" t="s">
        <v>318</v>
      </c>
      <c r="F1379" s="14" t="s">
        <v>595</v>
      </c>
      <c r="G1379" s="14" t="s">
        <v>4962</v>
      </c>
      <c r="H1379" s="13"/>
      <c r="I1379" s="13"/>
      <c r="J1379" s="13"/>
      <c r="K1379" s="13"/>
      <c r="L1379" s="13"/>
      <c r="M1379" s="13"/>
      <c r="N1379" s="13"/>
      <c r="O1379" s="13"/>
      <c r="P1379" s="13"/>
      <c r="Q1379" s="13"/>
      <c r="R1379" s="13"/>
      <c r="S1379" s="13"/>
    </row>
    <row r="1380" ht="15.75" customHeight="1">
      <c r="A1380" s="14" t="s">
        <v>4963</v>
      </c>
      <c r="B1380" s="14" t="s">
        <v>316</v>
      </c>
      <c r="C1380" s="14" t="s">
        <v>4964</v>
      </c>
      <c r="D1380" s="14">
        <v>100.0</v>
      </c>
      <c r="E1380" s="14" t="s">
        <v>318</v>
      </c>
      <c r="F1380" s="14" t="s">
        <v>4252</v>
      </c>
      <c r="G1380" s="14" t="s">
        <v>4965</v>
      </c>
      <c r="H1380" s="13"/>
      <c r="I1380" s="13"/>
      <c r="J1380" s="13"/>
      <c r="K1380" s="13"/>
      <c r="L1380" s="13"/>
      <c r="M1380" s="13"/>
      <c r="N1380" s="13"/>
      <c r="O1380" s="13"/>
      <c r="P1380" s="13"/>
      <c r="Q1380" s="13"/>
      <c r="R1380" s="13"/>
      <c r="S1380" s="13"/>
    </row>
    <row r="1381" ht="15.75" customHeight="1">
      <c r="A1381" s="14" t="s">
        <v>4966</v>
      </c>
      <c r="B1381" s="14" t="s">
        <v>316</v>
      </c>
      <c r="C1381" s="14" t="s">
        <v>4967</v>
      </c>
      <c r="D1381" s="14">
        <v>100.0</v>
      </c>
      <c r="E1381" s="14" t="s">
        <v>318</v>
      </c>
      <c r="F1381" s="14" t="s">
        <v>4968</v>
      </c>
      <c r="G1381" s="14" t="s">
        <v>4969</v>
      </c>
      <c r="H1381" s="13"/>
      <c r="I1381" s="13"/>
      <c r="J1381" s="13"/>
      <c r="K1381" s="13"/>
      <c r="L1381" s="13"/>
      <c r="M1381" s="13"/>
      <c r="N1381" s="13"/>
      <c r="O1381" s="13"/>
      <c r="P1381" s="13"/>
      <c r="Q1381" s="13"/>
      <c r="R1381" s="13"/>
      <c r="S1381" s="13"/>
    </row>
    <row r="1382" ht="15.75" customHeight="1">
      <c r="A1382" s="14" t="s">
        <v>4970</v>
      </c>
      <c r="B1382" s="14" t="s">
        <v>316</v>
      </c>
      <c r="C1382" s="14" t="s">
        <v>4971</v>
      </c>
      <c r="D1382" s="14">
        <v>100.0</v>
      </c>
      <c r="E1382" s="14" t="s">
        <v>318</v>
      </c>
      <c r="F1382" s="14" t="s">
        <v>3629</v>
      </c>
      <c r="G1382" s="14" t="s">
        <v>4972</v>
      </c>
      <c r="H1382" s="13"/>
      <c r="I1382" s="13"/>
      <c r="J1382" s="13"/>
      <c r="K1382" s="13"/>
      <c r="L1382" s="13"/>
      <c r="M1382" s="13"/>
      <c r="N1382" s="13"/>
      <c r="O1382" s="13"/>
      <c r="P1382" s="13"/>
      <c r="Q1382" s="13"/>
      <c r="R1382" s="13"/>
      <c r="S1382" s="13"/>
    </row>
    <row r="1383" ht="15.75" customHeight="1">
      <c r="A1383" s="14" t="s">
        <v>4973</v>
      </c>
      <c r="B1383" s="14" t="s">
        <v>316</v>
      </c>
      <c r="C1383" s="14" t="s">
        <v>4974</v>
      </c>
      <c r="D1383" s="14">
        <v>100.0</v>
      </c>
      <c r="E1383" s="14" t="s">
        <v>318</v>
      </c>
      <c r="F1383" s="14" t="s">
        <v>4975</v>
      </c>
      <c r="G1383" s="14" t="s">
        <v>4976</v>
      </c>
      <c r="H1383" s="13"/>
      <c r="I1383" s="13"/>
      <c r="J1383" s="13"/>
      <c r="K1383" s="13"/>
      <c r="L1383" s="13"/>
      <c r="M1383" s="13"/>
      <c r="N1383" s="13"/>
      <c r="O1383" s="13"/>
      <c r="P1383" s="13"/>
      <c r="Q1383" s="13"/>
      <c r="R1383" s="13"/>
      <c r="S1383" s="13"/>
    </row>
    <row r="1384" ht="15.75" customHeight="1">
      <c r="A1384" s="14" t="s">
        <v>4977</v>
      </c>
      <c r="B1384" s="14" t="s">
        <v>316</v>
      </c>
      <c r="C1384" s="14" t="s">
        <v>4978</v>
      </c>
      <c r="D1384" s="14">
        <v>100.0</v>
      </c>
      <c r="E1384" s="14" t="s">
        <v>318</v>
      </c>
      <c r="F1384" s="14" t="s">
        <v>4979</v>
      </c>
      <c r="G1384" s="14" t="s">
        <v>4980</v>
      </c>
      <c r="H1384" s="13"/>
      <c r="I1384" s="13"/>
      <c r="J1384" s="13"/>
      <c r="K1384" s="13"/>
      <c r="L1384" s="13"/>
      <c r="M1384" s="13"/>
      <c r="N1384" s="13"/>
      <c r="O1384" s="13"/>
      <c r="P1384" s="13"/>
      <c r="Q1384" s="13"/>
      <c r="R1384" s="13"/>
      <c r="S1384" s="13"/>
    </row>
    <row r="1385" ht="15.75" customHeight="1">
      <c r="A1385" s="14" t="s">
        <v>4981</v>
      </c>
      <c r="B1385" s="14" t="s">
        <v>316</v>
      </c>
      <c r="C1385" s="14" t="s">
        <v>4982</v>
      </c>
      <c r="D1385" s="14">
        <v>100.0</v>
      </c>
      <c r="E1385" s="14" t="s">
        <v>318</v>
      </c>
      <c r="F1385" s="14" t="s">
        <v>4983</v>
      </c>
      <c r="G1385" s="14" t="s">
        <v>4984</v>
      </c>
      <c r="H1385" s="13"/>
      <c r="I1385" s="13"/>
      <c r="J1385" s="13"/>
      <c r="K1385" s="13"/>
      <c r="L1385" s="13"/>
      <c r="M1385" s="13"/>
      <c r="N1385" s="13"/>
      <c r="O1385" s="13"/>
      <c r="P1385" s="13"/>
      <c r="Q1385" s="13"/>
      <c r="R1385" s="13"/>
      <c r="S1385" s="13"/>
    </row>
    <row r="1386" ht="15.75" customHeight="1">
      <c r="A1386" s="14" t="s">
        <v>4985</v>
      </c>
      <c r="B1386" s="14" t="s">
        <v>316</v>
      </c>
      <c r="C1386" s="14" t="s">
        <v>4986</v>
      </c>
      <c r="D1386" s="14">
        <v>100.0</v>
      </c>
      <c r="E1386" s="14" t="s">
        <v>318</v>
      </c>
      <c r="F1386" s="14" t="s">
        <v>4987</v>
      </c>
      <c r="G1386" s="14" t="s">
        <v>4988</v>
      </c>
      <c r="H1386" s="13"/>
      <c r="I1386" s="13"/>
      <c r="J1386" s="13"/>
      <c r="K1386" s="13"/>
      <c r="L1386" s="13"/>
      <c r="M1386" s="13"/>
      <c r="N1386" s="13"/>
      <c r="O1386" s="13"/>
      <c r="P1386" s="13"/>
      <c r="Q1386" s="13"/>
      <c r="R1386" s="13"/>
      <c r="S1386" s="13"/>
    </row>
    <row r="1387" ht="15.75" customHeight="1">
      <c r="A1387" s="14" t="s">
        <v>4989</v>
      </c>
      <c r="B1387" s="14" t="s">
        <v>316</v>
      </c>
      <c r="C1387" s="14" t="s">
        <v>4990</v>
      </c>
      <c r="D1387" s="14">
        <v>100.0</v>
      </c>
      <c r="E1387" s="14" t="s">
        <v>318</v>
      </c>
      <c r="F1387" s="14" t="s">
        <v>4991</v>
      </c>
      <c r="G1387" s="14" t="s">
        <v>4992</v>
      </c>
      <c r="H1387" s="13"/>
      <c r="I1387" s="13"/>
      <c r="J1387" s="13"/>
      <c r="K1387" s="13"/>
      <c r="L1387" s="13"/>
      <c r="M1387" s="13"/>
      <c r="N1387" s="13"/>
      <c r="O1387" s="13"/>
      <c r="P1387" s="13"/>
      <c r="Q1387" s="13"/>
      <c r="R1387" s="13"/>
      <c r="S1387" s="13"/>
    </row>
    <row r="1388" ht="15.75" customHeight="1">
      <c r="A1388" s="14" t="s">
        <v>4993</v>
      </c>
      <c r="B1388" s="14" t="s">
        <v>316</v>
      </c>
      <c r="C1388" s="14" t="s">
        <v>4994</v>
      </c>
      <c r="D1388" s="14">
        <v>100.0</v>
      </c>
      <c r="E1388" s="14" t="s">
        <v>318</v>
      </c>
      <c r="F1388" s="14" t="s">
        <v>4995</v>
      </c>
      <c r="G1388" s="14" t="s">
        <v>4996</v>
      </c>
      <c r="H1388" s="13"/>
      <c r="I1388" s="13"/>
      <c r="J1388" s="13"/>
      <c r="K1388" s="13"/>
      <c r="L1388" s="13"/>
      <c r="M1388" s="13"/>
      <c r="N1388" s="13"/>
      <c r="O1388" s="13"/>
      <c r="P1388" s="13"/>
      <c r="Q1388" s="13"/>
      <c r="R1388" s="13"/>
      <c r="S1388" s="13"/>
    </row>
    <row r="1389" ht="15.75" customHeight="1">
      <c r="A1389" s="14" t="s">
        <v>4997</v>
      </c>
      <c r="B1389" s="14" t="s">
        <v>316</v>
      </c>
      <c r="C1389" s="14" t="s">
        <v>4998</v>
      </c>
      <c r="D1389" s="14">
        <v>100.0</v>
      </c>
      <c r="E1389" s="14" t="s">
        <v>318</v>
      </c>
      <c r="F1389" s="14" t="s">
        <v>4999</v>
      </c>
      <c r="G1389" s="14" t="s">
        <v>5000</v>
      </c>
      <c r="H1389" s="13"/>
      <c r="I1389" s="13"/>
      <c r="J1389" s="13"/>
      <c r="K1389" s="13"/>
      <c r="L1389" s="13"/>
      <c r="M1389" s="13"/>
      <c r="N1389" s="13"/>
      <c r="O1389" s="13"/>
      <c r="P1389" s="13"/>
      <c r="Q1389" s="13"/>
      <c r="R1389" s="13"/>
      <c r="S1389" s="13"/>
    </row>
    <row r="1390" ht="15.75" customHeight="1">
      <c r="A1390" s="14" t="s">
        <v>5001</v>
      </c>
      <c r="B1390" s="14" t="s">
        <v>316</v>
      </c>
      <c r="C1390" s="14" t="s">
        <v>5002</v>
      </c>
      <c r="D1390" s="14">
        <v>100.0</v>
      </c>
      <c r="E1390" s="14" t="s">
        <v>318</v>
      </c>
      <c r="F1390" s="14" t="s">
        <v>5003</v>
      </c>
      <c r="G1390" s="14" t="s">
        <v>5004</v>
      </c>
      <c r="H1390" s="13"/>
      <c r="I1390" s="13"/>
      <c r="J1390" s="13"/>
      <c r="K1390" s="13"/>
      <c r="L1390" s="13"/>
      <c r="M1390" s="13"/>
      <c r="N1390" s="13"/>
      <c r="O1390" s="13"/>
      <c r="P1390" s="13"/>
      <c r="Q1390" s="13"/>
      <c r="R1390" s="13"/>
      <c r="S1390" s="13"/>
    </row>
    <row r="1391" ht="15.75" customHeight="1">
      <c r="A1391" s="14" t="s">
        <v>5005</v>
      </c>
      <c r="B1391" s="14" t="s">
        <v>316</v>
      </c>
      <c r="C1391" s="14" t="s">
        <v>5006</v>
      </c>
      <c r="D1391" s="14">
        <v>100.0</v>
      </c>
      <c r="E1391" s="14" t="s">
        <v>318</v>
      </c>
      <c r="F1391" s="14" t="s">
        <v>5007</v>
      </c>
      <c r="G1391" s="14" t="s">
        <v>5008</v>
      </c>
      <c r="H1391" s="13"/>
      <c r="I1391" s="13"/>
      <c r="J1391" s="13"/>
      <c r="K1391" s="13"/>
      <c r="L1391" s="13"/>
      <c r="M1391" s="13"/>
      <c r="N1391" s="13"/>
      <c r="O1391" s="13"/>
      <c r="P1391" s="13"/>
      <c r="Q1391" s="13"/>
      <c r="R1391" s="13"/>
      <c r="S1391" s="13"/>
    </row>
    <row r="1392" ht="15.75" customHeight="1">
      <c r="A1392" s="14" t="s">
        <v>5009</v>
      </c>
      <c r="B1392" s="14" t="s">
        <v>316</v>
      </c>
      <c r="C1392" s="14" t="s">
        <v>5010</v>
      </c>
      <c r="D1392" s="14">
        <v>100.0</v>
      </c>
      <c r="E1392" s="14" t="s">
        <v>318</v>
      </c>
      <c r="F1392" s="14" t="s">
        <v>5011</v>
      </c>
      <c r="G1392" s="14" t="s">
        <v>5012</v>
      </c>
      <c r="H1392" s="13"/>
      <c r="I1392" s="13"/>
      <c r="J1392" s="13"/>
      <c r="K1392" s="13"/>
      <c r="L1392" s="13"/>
      <c r="M1392" s="13"/>
      <c r="N1392" s="13"/>
      <c r="O1392" s="13"/>
      <c r="P1392" s="13"/>
      <c r="Q1392" s="13"/>
      <c r="R1392" s="13"/>
      <c r="S1392" s="13"/>
    </row>
    <row r="1393" ht="15.75" customHeight="1">
      <c r="A1393" s="14" t="s">
        <v>5013</v>
      </c>
      <c r="B1393" s="14" t="s">
        <v>316</v>
      </c>
      <c r="C1393" s="14" t="s">
        <v>5014</v>
      </c>
      <c r="D1393" s="14">
        <v>100.0</v>
      </c>
      <c r="E1393" s="14" t="s">
        <v>318</v>
      </c>
      <c r="F1393" s="14" t="s">
        <v>1980</v>
      </c>
      <c r="G1393" s="14" t="s">
        <v>5015</v>
      </c>
      <c r="H1393" s="13"/>
      <c r="I1393" s="13"/>
      <c r="J1393" s="13"/>
      <c r="K1393" s="13"/>
      <c r="L1393" s="13"/>
      <c r="M1393" s="13"/>
      <c r="N1393" s="13"/>
      <c r="O1393" s="13"/>
      <c r="P1393" s="13"/>
      <c r="Q1393" s="13"/>
      <c r="R1393" s="13"/>
      <c r="S1393" s="13"/>
    </row>
    <row r="1394" ht="15.75" customHeight="1">
      <c r="A1394" s="14" t="s">
        <v>5016</v>
      </c>
      <c r="B1394" s="14" t="s">
        <v>316</v>
      </c>
      <c r="C1394" s="14" t="s">
        <v>5017</v>
      </c>
      <c r="D1394" s="14">
        <v>100.0</v>
      </c>
      <c r="E1394" s="14" t="s">
        <v>318</v>
      </c>
      <c r="F1394" s="14" t="s">
        <v>5018</v>
      </c>
      <c r="G1394" s="14" t="s">
        <v>5019</v>
      </c>
      <c r="H1394" s="13"/>
      <c r="I1394" s="13"/>
      <c r="J1394" s="13"/>
      <c r="K1394" s="13"/>
      <c r="L1394" s="13"/>
      <c r="M1394" s="13"/>
      <c r="N1394" s="13"/>
      <c r="O1394" s="13"/>
      <c r="P1394" s="13"/>
      <c r="Q1394" s="13"/>
      <c r="R1394" s="13"/>
      <c r="S1394" s="13"/>
    </row>
    <row r="1395" ht="15.75" customHeight="1">
      <c r="A1395" s="14" t="s">
        <v>5020</v>
      </c>
      <c r="B1395" s="14" t="s">
        <v>316</v>
      </c>
      <c r="C1395" s="14" t="s">
        <v>5021</v>
      </c>
      <c r="D1395" s="14">
        <v>100.0</v>
      </c>
      <c r="E1395" s="14" t="s">
        <v>318</v>
      </c>
      <c r="F1395" s="14" t="s">
        <v>5022</v>
      </c>
      <c r="G1395" s="14" t="s">
        <v>5023</v>
      </c>
      <c r="H1395" s="13"/>
      <c r="I1395" s="13"/>
      <c r="J1395" s="13"/>
      <c r="K1395" s="13"/>
      <c r="L1395" s="13"/>
      <c r="M1395" s="13"/>
      <c r="N1395" s="13"/>
      <c r="O1395" s="13"/>
      <c r="P1395" s="13"/>
      <c r="Q1395" s="13"/>
      <c r="R1395" s="13"/>
      <c r="S1395" s="13"/>
    </row>
    <row r="1396" ht="15.75" customHeight="1">
      <c r="A1396" s="14" t="s">
        <v>5024</v>
      </c>
      <c r="B1396" s="14" t="s">
        <v>316</v>
      </c>
      <c r="C1396" s="14" t="s">
        <v>5025</v>
      </c>
      <c r="D1396" s="14">
        <v>100.0</v>
      </c>
      <c r="E1396" s="14" t="s">
        <v>318</v>
      </c>
      <c r="F1396" s="14" t="s">
        <v>5026</v>
      </c>
      <c r="G1396" s="14" t="s">
        <v>5027</v>
      </c>
      <c r="H1396" s="13"/>
      <c r="I1396" s="13"/>
      <c r="J1396" s="13"/>
      <c r="K1396" s="13"/>
      <c r="L1396" s="13"/>
      <c r="M1396" s="13"/>
      <c r="N1396" s="13"/>
      <c r="O1396" s="13"/>
      <c r="P1396" s="13"/>
      <c r="Q1396" s="13"/>
      <c r="R1396" s="13"/>
      <c r="S1396" s="13"/>
    </row>
    <row r="1397" ht="15.75" customHeight="1">
      <c r="A1397" s="14" t="s">
        <v>5028</v>
      </c>
      <c r="B1397" s="14" t="s">
        <v>316</v>
      </c>
      <c r="C1397" s="14" t="s">
        <v>5029</v>
      </c>
      <c r="D1397" s="14">
        <v>100.0</v>
      </c>
      <c r="E1397" s="14" t="s">
        <v>318</v>
      </c>
      <c r="F1397" s="14" t="s">
        <v>5030</v>
      </c>
      <c r="G1397" s="14" t="s">
        <v>5031</v>
      </c>
      <c r="H1397" s="13"/>
      <c r="I1397" s="13"/>
      <c r="J1397" s="13"/>
      <c r="K1397" s="13"/>
      <c r="L1397" s="13"/>
      <c r="M1397" s="13"/>
      <c r="N1397" s="13"/>
      <c r="O1397" s="13"/>
      <c r="P1397" s="13"/>
      <c r="Q1397" s="13"/>
      <c r="R1397" s="13"/>
      <c r="S1397" s="13"/>
    </row>
    <row r="1398" ht="15.75" customHeight="1">
      <c r="A1398" s="14" t="s">
        <v>5032</v>
      </c>
      <c r="B1398" s="14" t="s">
        <v>316</v>
      </c>
      <c r="C1398" s="14" t="s">
        <v>5033</v>
      </c>
      <c r="D1398" s="14">
        <v>100.0</v>
      </c>
      <c r="E1398" s="14" t="s">
        <v>318</v>
      </c>
      <c r="F1398" s="14" t="s">
        <v>5034</v>
      </c>
      <c r="G1398" s="14" t="s">
        <v>5035</v>
      </c>
      <c r="H1398" s="13"/>
      <c r="I1398" s="13"/>
      <c r="J1398" s="13"/>
      <c r="K1398" s="13"/>
      <c r="L1398" s="13"/>
      <c r="M1398" s="13"/>
      <c r="N1398" s="13"/>
      <c r="O1398" s="13"/>
      <c r="P1398" s="13"/>
      <c r="Q1398" s="13"/>
      <c r="R1398" s="13"/>
      <c r="S1398" s="13"/>
    </row>
    <row r="1399" ht="15.75" customHeight="1">
      <c r="A1399" s="14" t="s">
        <v>5036</v>
      </c>
      <c r="B1399" s="14" t="s">
        <v>316</v>
      </c>
      <c r="C1399" s="14" t="s">
        <v>5037</v>
      </c>
      <c r="D1399" s="14">
        <v>100.0</v>
      </c>
      <c r="E1399" s="14" t="s">
        <v>318</v>
      </c>
      <c r="F1399" s="14" t="s">
        <v>5038</v>
      </c>
      <c r="G1399" s="14" t="s">
        <v>5039</v>
      </c>
      <c r="H1399" s="13"/>
      <c r="I1399" s="13"/>
      <c r="J1399" s="13"/>
      <c r="K1399" s="13"/>
      <c r="L1399" s="13"/>
      <c r="M1399" s="13"/>
      <c r="N1399" s="13"/>
      <c r="O1399" s="13"/>
      <c r="P1399" s="13"/>
      <c r="Q1399" s="13"/>
      <c r="R1399" s="13"/>
      <c r="S1399" s="13"/>
    </row>
    <row r="1400" ht="15.75" customHeight="1">
      <c r="A1400" s="14" t="s">
        <v>5040</v>
      </c>
      <c r="B1400" s="14" t="s">
        <v>316</v>
      </c>
      <c r="C1400" s="14" t="s">
        <v>5041</v>
      </c>
      <c r="D1400" s="14">
        <v>100.0</v>
      </c>
      <c r="E1400" s="14" t="s">
        <v>318</v>
      </c>
      <c r="F1400" s="14" t="s">
        <v>5042</v>
      </c>
      <c r="G1400" s="14" t="s">
        <v>5043</v>
      </c>
      <c r="H1400" s="13"/>
      <c r="I1400" s="13"/>
      <c r="J1400" s="13"/>
      <c r="K1400" s="13"/>
      <c r="L1400" s="13"/>
      <c r="M1400" s="13"/>
      <c r="N1400" s="13"/>
      <c r="O1400" s="13"/>
      <c r="P1400" s="13"/>
      <c r="Q1400" s="13"/>
      <c r="R1400" s="13"/>
      <c r="S1400" s="13"/>
    </row>
    <row r="1401" ht="15.75" customHeight="1">
      <c r="A1401" s="14" t="s">
        <v>5044</v>
      </c>
      <c r="B1401" s="14" t="s">
        <v>316</v>
      </c>
      <c r="C1401" s="14" t="s">
        <v>5045</v>
      </c>
      <c r="D1401" s="14">
        <v>100.0</v>
      </c>
      <c r="E1401" s="14" t="s">
        <v>318</v>
      </c>
      <c r="F1401" s="14" t="s">
        <v>5046</v>
      </c>
      <c r="G1401" s="14" t="s">
        <v>5047</v>
      </c>
      <c r="H1401" s="13"/>
      <c r="I1401" s="13"/>
      <c r="J1401" s="13"/>
      <c r="K1401" s="13"/>
      <c r="L1401" s="13"/>
      <c r="M1401" s="13"/>
      <c r="N1401" s="13"/>
      <c r="O1401" s="13"/>
      <c r="P1401" s="13"/>
      <c r="Q1401" s="13"/>
      <c r="R1401" s="13"/>
      <c r="S1401" s="13"/>
    </row>
    <row r="1402" ht="15.75" customHeight="1">
      <c r="A1402" s="14" t="s">
        <v>5048</v>
      </c>
      <c r="B1402" s="14" t="s">
        <v>316</v>
      </c>
      <c r="C1402" s="14" t="s">
        <v>5049</v>
      </c>
      <c r="D1402" s="14">
        <v>100.0</v>
      </c>
      <c r="E1402" s="14" t="s">
        <v>318</v>
      </c>
      <c r="F1402" s="14" t="s">
        <v>1980</v>
      </c>
      <c r="G1402" s="14" t="s">
        <v>5050</v>
      </c>
      <c r="H1402" s="13"/>
      <c r="I1402" s="13"/>
      <c r="J1402" s="13"/>
      <c r="K1402" s="13"/>
      <c r="L1402" s="13"/>
      <c r="M1402" s="13"/>
      <c r="N1402" s="13"/>
      <c r="O1402" s="13"/>
      <c r="P1402" s="13"/>
      <c r="Q1402" s="13"/>
      <c r="R1402" s="13"/>
      <c r="S1402" s="13"/>
    </row>
    <row r="1403" ht="15.75" customHeight="1">
      <c r="A1403" s="14" t="s">
        <v>5051</v>
      </c>
      <c r="B1403" s="14" t="s">
        <v>316</v>
      </c>
      <c r="C1403" s="14" t="s">
        <v>5052</v>
      </c>
      <c r="D1403" s="14">
        <v>100.0</v>
      </c>
      <c r="E1403" s="14" t="s">
        <v>318</v>
      </c>
      <c r="F1403" s="14" t="s">
        <v>3720</v>
      </c>
      <c r="G1403" s="14" t="s">
        <v>5053</v>
      </c>
      <c r="H1403" s="13"/>
      <c r="I1403" s="13"/>
      <c r="J1403" s="13"/>
      <c r="K1403" s="13"/>
      <c r="L1403" s="13"/>
      <c r="M1403" s="13"/>
      <c r="N1403" s="13"/>
      <c r="O1403" s="13"/>
      <c r="P1403" s="13"/>
      <c r="Q1403" s="13"/>
      <c r="R1403" s="13"/>
      <c r="S1403" s="13"/>
    </row>
    <row r="1404" ht="15.75" customHeight="1">
      <c r="A1404" s="14" t="s">
        <v>5054</v>
      </c>
      <c r="B1404" s="14" t="s">
        <v>316</v>
      </c>
      <c r="C1404" s="14" t="s">
        <v>5055</v>
      </c>
      <c r="D1404" s="14">
        <v>100.0</v>
      </c>
      <c r="E1404" s="14" t="s">
        <v>318</v>
      </c>
      <c r="F1404" s="14" t="s">
        <v>5056</v>
      </c>
      <c r="G1404" s="14" t="s">
        <v>5057</v>
      </c>
      <c r="H1404" s="13"/>
      <c r="I1404" s="13"/>
      <c r="J1404" s="13"/>
      <c r="K1404" s="13"/>
      <c r="L1404" s="13"/>
      <c r="M1404" s="13"/>
      <c r="N1404" s="13"/>
      <c r="O1404" s="13"/>
      <c r="P1404" s="13"/>
      <c r="Q1404" s="13"/>
      <c r="R1404" s="13"/>
      <c r="S1404" s="13"/>
    </row>
    <row r="1405" ht="15.75" customHeight="1">
      <c r="A1405" s="14" t="s">
        <v>5058</v>
      </c>
      <c r="B1405" s="14" t="s">
        <v>316</v>
      </c>
      <c r="C1405" s="14" t="s">
        <v>5059</v>
      </c>
      <c r="D1405" s="14">
        <v>100.0</v>
      </c>
      <c r="E1405" s="14" t="s">
        <v>318</v>
      </c>
      <c r="F1405" s="14" t="s">
        <v>5060</v>
      </c>
      <c r="G1405" s="14" t="s">
        <v>5061</v>
      </c>
      <c r="H1405" s="13"/>
      <c r="I1405" s="13"/>
      <c r="J1405" s="13"/>
      <c r="K1405" s="13"/>
      <c r="L1405" s="13"/>
      <c r="M1405" s="13"/>
      <c r="N1405" s="13"/>
      <c r="O1405" s="13"/>
      <c r="P1405" s="13"/>
      <c r="Q1405" s="13"/>
      <c r="R1405" s="13"/>
      <c r="S1405" s="13"/>
    </row>
    <row r="1406" ht="15.75" customHeight="1">
      <c r="A1406" s="14" t="s">
        <v>5062</v>
      </c>
      <c r="B1406" s="14" t="s">
        <v>316</v>
      </c>
      <c r="C1406" s="14" t="s">
        <v>5063</v>
      </c>
      <c r="D1406" s="14">
        <v>100.0</v>
      </c>
      <c r="E1406" s="14" t="s">
        <v>318</v>
      </c>
      <c r="F1406" s="14" t="s">
        <v>3587</v>
      </c>
      <c r="G1406" s="14" t="s">
        <v>5064</v>
      </c>
      <c r="H1406" s="13"/>
      <c r="I1406" s="13"/>
      <c r="J1406" s="13"/>
      <c r="K1406" s="13"/>
      <c r="L1406" s="13"/>
      <c r="M1406" s="13"/>
      <c r="N1406" s="13"/>
      <c r="O1406" s="13"/>
      <c r="P1406" s="13"/>
      <c r="Q1406" s="13"/>
      <c r="R1406" s="13"/>
      <c r="S1406" s="13"/>
    </row>
    <row r="1407" ht="15.75" customHeight="1">
      <c r="A1407" s="14" t="s">
        <v>5065</v>
      </c>
      <c r="B1407" s="14" t="s">
        <v>316</v>
      </c>
      <c r="C1407" s="14" t="s">
        <v>5066</v>
      </c>
      <c r="D1407" s="14">
        <v>100.0</v>
      </c>
      <c r="E1407" s="14" t="s">
        <v>318</v>
      </c>
      <c r="F1407" s="14" t="s">
        <v>5067</v>
      </c>
      <c r="G1407" s="14" t="s">
        <v>5068</v>
      </c>
      <c r="H1407" s="13"/>
      <c r="I1407" s="13"/>
      <c r="J1407" s="13"/>
      <c r="K1407" s="13"/>
      <c r="L1407" s="13"/>
      <c r="M1407" s="13"/>
      <c r="N1407" s="13"/>
      <c r="O1407" s="13"/>
      <c r="P1407" s="13"/>
      <c r="Q1407" s="13"/>
      <c r="R1407" s="13"/>
      <c r="S1407" s="13"/>
    </row>
    <row r="1408" ht="15.75" customHeight="1">
      <c r="A1408" s="14" t="s">
        <v>5069</v>
      </c>
      <c r="B1408" s="14" t="s">
        <v>316</v>
      </c>
      <c r="C1408" s="14" t="s">
        <v>5070</v>
      </c>
      <c r="D1408" s="14">
        <v>100.0</v>
      </c>
      <c r="E1408" s="14" t="s">
        <v>318</v>
      </c>
      <c r="F1408" s="14" t="s">
        <v>5071</v>
      </c>
      <c r="G1408" s="14" t="s">
        <v>5072</v>
      </c>
      <c r="H1408" s="13"/>
      <c r="I1408" s="13"/>
      <c r="J1408" s="13"/>
      <c r="K1408" s="13"/>
      <c r="L1408" s="13"/>
      <c r="M1408" s="13"/>
      <c r="N1408" s="13"/>
      <c r="O1408" s="13"/>
      <c r="P1408" s="13"/>
      <c r="Q1408" s="13"/>
      <c r="R1408" s="13"/>
      <c r="S1408" s="13"/>
    </row>
    <row r="1409" ht="15.75" customHeight="1">
      <c r="A1409" s="14" t="s">
        <v>5073</v>
      </c>
      <c r="B1409" s="14" t="s">
        <v>316</v>
      </c>
      <c r="C1409" s="14" t="s">
        <v>5074</v>
      </c>
      <c r="D1409" s="14">
        <v>100.0</v>
      </c>
      <c r="E1409" s="14" t="s">
        <v>318</v>
      </c>
      <c r="F1409" s="14" t="s">
        <v>5075</v>
      </c>
      <c r="G1409" s="14" t="s">
        <v>5076</v>
      </c>
      <c r="H1409" s="13"/>
      <c r="I1409" s="13"/>
      <c r="J1409" s="13"/>
      <c r="K1409" s="13"/>
      <c r="L1409" s="13"/>
      <c r="M1409" s="13"/>
      <c r="N1409" s="13"/>
      <c r="O1409" s="13"/>
      <c r="P1409" s="13"/>
      <c r="Q1409" s="13"/>
      <c r="R1409" s="13"/>
      <c r="S1409" s="13"/>
    </row>
    <row r="1410" ht="15.75" customHeight="1">
      <c r="A1410" s="14" t="s">
        <v>5077</v>
      </c>
      <c r="B1410" s="14" t="s">
        <v>316</v>
      </c>
      <c r="C1410" s="14" t="s">
        <v>5078</v>
      </c>
      <c r="D1410" s="14">
        <v>100.0</v>
      </c>
      <c r="E1410" s="14" t="s">
        <v>318</v>
      </c>
      <c r="F1410" s="14" t="s">
        <v>1114</v>
      </c>
      <c r="G1410" s="14" t="s">
        <v>5079</v>
      </c>
      <c r="H1410" s="13"/>
      <c r="I1410" s="13"/>
      <c r="J1410" s="13"/>
      <c r="K1410" s="13"/>
      <c r="L1410" s="13"/>
      <c r="M1410" s="13"/>
      <c r="N1410" s="13"/>
      <c r="O1410" s="13"/>
      <c r="P1410" s="13"/>
      <c r="Q1410" s="13"/>
      <c r="R1410" s="13"/>
      <c r="S1410" s="13"/>
    </row>
    <row r="1411" ht="15.75" customHeight="1">
      <c r="A1411" s="14" t="s">
        <v>5080</v>
      </c>
      <c r="B1411" s="14" t="s">
        <v>316</v>
      </c>
      <c r="C1411" s="14" t="s">
        <v>5081</v>
      </c>
      <c r="D1411" s="14">
        <v>100.0</v>
      </c>
      <c r="E1411" s="14" t="s">
        <v>318</v>
      </c>
      <c r="F1411" s="14" t="s">
        <v>5082</v>
      </c>
      <c r="G1411" s="14" t="s">
        <v>5083</v>
      </c>
      <c r="H1411" s="13"/>
      <c r="I1411" s="13"/>
      <c r="J1411" s="13"/>
      <c r="K1411" s="13"/>
      <c r="L1411" s="13"/>
      <c r="M1411" s="13"/>
      <c r="N1411" s="13"/>
      <c r="O1411" s="13"/>
      <c r="P1411" s="13"/>
      <c r="Q1411" s="13"/>
      <c r="R1411" s="13"/>
      <c r="S1411" s="13"/>
    </row>
    <row r="1412" ht="15.75" customHeight="1">
      <c r="A1412" s="14" t="s">
        <v>5084</v>
      </c>
      <c r="B1412" s="14" t="s">
        <v>316</v>
      </c>
      <c r="C1412" s="14" t="s">
        <v>5085</v>
      </c>
      <c r="D1412" s="14">
        <v>100.0</v>
      </c>
      <c r="E1412" s="14" t="s">
        <v>318</v>
      </c>
      <c r="F1412" s="14" t="s">
        <v>5086</v>
      </c>
      <c r="G1412" s="14" t="s">
        <v>5087</v>
      </c>
      <c r="H1412" s="13"/>
      <c r="I1412" s="13"/>
      <c r="J1412" s="13"/>
      <c r="K1412" s="13"/>
      <c r="L1412" s="13"/>
      <c r="M1412" s="13"/>
      <c r="N1412" s="13"/>
      <c r="O1412" s="13"/>
      <c r="P1412" s="13"/>
      <c r="Q1412" s="13"/>
      <c r="R1412" s="13"/>
      <c r="S1412" s="13"/>
    </row>
    <row r="1413" ht="15.75" customHeight="1">
      <c r="A1413" s="14" t="s">
        <v>5088</v>
      </c>
      <c r="B1413" s="14" t="s">
        <v>316</v>
      </c>
      <c r="C1413" s="14" t="s">
        <v>5089</v>
      </c>
      <c r="D1413" s="14">
        <v>100.0</v>
      </c>
      <c r="E1413" s="14" t="s">
        <v>318</v>
      </c>
      <c r="F1413" s="14" t="s">
        <v>5090</v>
      </c>
      <c r="G1413" s="14" t="s">
        <v>5091</v>
      </c>
      <c r="H1413" s="13"/>
      <c r="I1413" s="13"/>
      <c r="J1413" s="13"/>
      <c r="K1413" s="13"/>
      <c r="L1413" s="13"/>
      <c r="M1413" s="13"/>
      <c r="N1413" s="13"/>
      <c r="O1413" s="13"/>
      <c r="P1413" s="13"/>
      <c r="Q1413" s="13"/>
      <c r="R1413" s="13"/>
      <c r="S1413" s="13"/>
    </row>
    <row r="1414" ht="15.75" customHeight="1">
      <c r="A1414" s="14" t="s">
        <v>5092</v>
      </c>
      <c r="B1414" s="14" t="s">
        <v>316</v>
      </c>
      <c r="C1414" s="14" t="s">
        <v>5093</v>
      </c>
      <c r="D1414" s="14">
        <v>100.0</v>
      </c>
      <c r="E1414" s="14" t="s">
        <v>318</v>
      </c>
      <c r="F1414" s="14" t="s">
        <v>5094</v>
      </c>
      <c r="G1414" s="14" t="s">
        <v>5095</v>
      </c>
      <c r="H1414" s="13"/>
      <c r="I1414" s="13"/>
      <c r="J1414" s="13"/>
      <c r="K1414" s="13"/>
      <c r="L1414" s="13"/>
      <c r="M1414" s="13"/>
      <c r="N1414" s="13"/>
      <c r="O1414" s="13"/>
      <c r="P1414" s="13"/>
      <c r="Q1414" s="13"/>
      <c r="R1414" s="13"/>
      <c r="S1414" s="13"/>
    </row>
    <row r="1415" ht="15.75" customHeight="1">
      <c r="A1415" s="14" t="s">
        <v>5096</v>
      </c>
      <c r="B1415" s="14" t="s">
        <v>316</v>
      </c>
      <c r="C1415" s="14" t="s">
        <v>5097</v>
      </c>
      <c r="D1415" s="14">
        <v>100.0</v>
      </c>
      <c r="E1415" s="14" t="s">
        <v>318</v>
      </c>
      <c r="F1415" s="14" t="s">
        <v>2142</v>
      </c>
      <c r="G1415" s="14" t="s">
        <v>5098</v>
      </c>
      <c r="H1415" s="13"/>
      <c r="I1415" s="13"/>
      <c r="J1415" s="13"/>
      <c r="K1415" s="13"/>
      <c r="L1415" s="13"/>
      <c r="M1415" s="13"/>
      <c r="N1415" s="13"/>
      <c r="O1415" s="13"/>
      <c r="P1415" s="13"/>
      <c r="Q1415" s="13"/>
      <c r="R1415" s="13"/>
      <c r="S1415" s="13"/>
    </row>
    <row r="1416" ht="15.75" customHeight="1">
      <c r="A1416" s="14" t="s">
        <v>5099</v>
      </c>
      <c r="B1416" s="14" t="s">
        <v>316</v>
      </c>
      <c r="C1416" s="14" t="s">
        <v>5100</v>
      </c>
      <c r="D1416" s="14">
        <v>100.0</v>
      </c>
      <c r="E1416" s="14" t="s">
        <v>318</v>
      </c>
      <c r="F1416" s="14" t="s">
        <v>5101</v>
      </c>
      <c r="G1416" s="14" t="s">
        <v>5102</v>
      </c>
      <c r="H1416" s="13"/>
      <c r="I1416" s="13"/>
      <c r="J1416" s="13"/>
      <c r="K1416" s="13"/>
      <c r="L1416" s="13"/>
      <c r="M1416" s="13"/>
      <c r="N1416" s="13"/>
      <c r="O1416" s="13"/>
      <c r="P1416" s="13"/>
      <c r="Q1416" s="13"/>
      <c r="R1416" s="13"/>
      <c r="S1416" s="13"/>
    </row>
    <row r="1417" ht="15.75" customHeight="1">
      <c r="A1417" s="14" t="s">
        <v>5103</v>
      </c>
      <c r="B1417" s="14" t="s">
        <v>316</v>
      </c>
      <c r="C1417" s="14" t="s">
        <v>5104</v>
      </c>
      <c r="D1417" s="14">
        <v>100.0</v>
      </c>
      <c r="E1417" s="14" t="s">
        <v>318</v>
      </c>
      <c r="F1417" s="14" t="s">
        <v>5105</v>
      </c>
      <c r="G1417" s="14" t="s">
        <v>5106</v>
      </c>
      <c r="H1417" s="13"/>
      <c r="I1417" s="13"/>
      <c r="J1417" s="13"/>
      <c r="K1417" s="13"/>
      <c r="L1417" s="13"/>
      <c r="M1417" s="13"/>
      <c r="N1417" s="13"/>
      <c r="O1417" s="13"/>
      <c r="P1417" s="13"/>
      <c r="Q1417" s="13"/>
      <c r="R1417" s="13"/>
      <c r="S1417" s="13"/>
    </row>
    <row r="1418" ht="15.75" customHeight="1">
      <c r="A1418" s="14" t="s">
        <v>5107</v>
      </c>
      <c r="B1418" s="14" t="s">
        <v>316</v>
      </c>
      <c r="C1418" s="14" t="s">
        <v>5108</v>
      </c>
      <c r="D1418" s="14">
        <v>100.0</v>
      </c>
      <c r="E1418" s="14" t="s">
        <v>318</v>
      </c>
      <c r="F1418" s="14" t="s">
        <v>5109</v>
      </c>
      <c r="G1418" s="14" t="s">
        <v>5110</v>
      </c>
      <c r="H1418" s="13"/>
      <c r="I1418" s="13"/>
      <c r="J1418" s="13"/>
      <c r="K1418" s="13"/>
      <c r="L1418" s="13"/>
      <c r="M1418" s="13"/>
      <c r="N1418" s="13"/>
      <c r="O1418" s="13"/>
      <c r="P1418" s="13"/>
      <c r="Q1418" s="13"/>
      <c r="R1418" s="13"/>
      <c r="S1418" s="13"/>
    </row>
    <row r="1419" ht="15.75" customHeight="1">
      <c r="A1419" s="14" t="s">
        <v>5111</v>
      </c>
      <c r="B1419" s="14" t="s">
        <v>316</v>
      </c>
      <c r="C1419" s="14" t="s">
        <v>5112</v>
      </c>
      <c r="D1419" s="14">
        <v>100.0</v>
      </c>
      <c r="E1419" s="14" t="s">
        <v>318</v>
      </c>
      <c r="F1419" s="14" t="s">
        <v>3226</v>
      </c>
      <c r="G1419" s="14" t="s">
        <v>5113</v>
      </c>
      <c r="H1419" s="13"/>
      <c r="I1419" s="13"/>
      <c r="J1419" s="13"/>
      <c r="K1419" s="13"/>
      <c r="L1419" s="13"/>
      <c r="M1419" s="13"/>
      <c r="N1419" s="13"/>
      <c r="O1419" s="13"/>
      <c r="P1419" s="13"/>
      <c r="Q1419" s="13"/>
      <c r="R1419" s="13"/>
      <c r="S1419" s="13"/>
    </row>
    <row r="1420" ht="15.75" customHeight="1">
      <c r="A1420" s="14" t="s">
        <v>5114</v>
      </c>
      <c r="B1420" s="14" t="s">
        <v>316</v>
      </c>
      <c r="C1420" s="14" t="s">
        <v>5115</v>
      </c>
      <c r="D1420" s="14">
        <v>100.0</v>
      </c>
      <c r="E1420" s="14" t="s">
        <v>318</v>
      </c>
      <c r="F1420" s="14" t="s">
        <v>5116</v>
      </c>
      <c r="G1420" s="14" t="s">
        <v>5117</v>
      </c>
      <c r="H1420" s="13"/>
      <c r="I1420" s="13"/>
      <c r="J1420" s="13"/>
      <c r="K1420" s="13"/>
      <c r="L1420" s="13"/>
      <c r="M1420" s="13"/>
      <c r="N1420" s="13"/>
      <c r="O1420" s="13"/>
      <c r="P1420" s="13"/>
      <c r="Q1420" s="13"/>
      <c r="R1420" s="13"/>
      <c r="S1420" s="13"/>
    </row>
    <row r="1421" ht="15.75" customHeight="1">
      <c r="A1421" s="14" t="s">
        <v>5118</v>
      </c>
      <c r="B1421" s="14" t="s">
        <v>316</v>
      </c>
      <c r="C1421" s="14" t="s">
        <v>5119</v>
      </c>
      <c r="D1421" s="14">
        <v>100.0</v>
      </c>
      <c r="E1421" s="14" t="s">
        <v>318</v>
      </c>
      <c r="F1421" s="14" t="s">
        <v>5120</v>
      </c>
      <c r="G1421" s="14" t="s">
        <v>5121</v>
      </c>
      <c r="H1421" s="13"/>
      <c r="I1421" s="13"/>
      <c r="J1421" s="13"/>
      <c r="K1421" s="13"/>
      <c r="L1421" s="13"/>
      <c r="M1421" s="13"/>
      <c r="N1421" s="13"/>
      <c r="O1421" s="13"/>
      <c r="P1421" s="13"/>
      <c r="Q1421" s="13"/>
      <c r="R1421" s="13"/>
      <c r="S1421" s="13"/>
    </row>
    <row r="1422" ht="15.75" customHeight="1">
      <c r="A1422" s="14" t="s">
        <v>5122</v>
      </c>
      <c r="B1422" s="14" t="s">
        <v>316</v>
      </c>
      <c r="C1422" s="14" t="s">
        <v>5123</v>
      </c>
      <c r="D1422" s="14">
        <v>100.0</v>
      </c>
      <c r="E1422" s="14" t="s">
        <v>318</v>
      </c>
      <c r="F1422" s="14" t="s">
        <v>5124</v>
      </c>
      <c r="G1422" s="14" t="s">
        <v>5125</v>
      </c>
      <c r="H1422" s="13"/>
      <c r="I1422" s="13"/>
      <c r="J1422" s="13"/>
      <c r="K1422" s="13"/>
      <c r="L1422" s="13"/>
      <c r="M1422" s="13"/>
      <c r="N1422" s="13"/>
      <c r="O1422" s="13"/>
      <c r="P1422" s="13"/>
      <c r="Q1422" s="13"/>
      <c r="R1422" s="13"/>
      <c r="S1422" s="13"/>
    </row>
    <row r="1423" ht="15.75" customHeight="1">
      <c r="A1423" s="14" t="s">
        <v>5126</v>
      </c>
      <c r="B1423" s="14" t="s">
        <v>316</v>
      </c>
      <c r="C1423" s="14" t="s">
        <v>5127</v>
      </c>
      <c r="D1423" s="14">
        <v>100.0</v>
      </c>
      <c r="E1423" s="14" t="s">
        <v>318</v>
      </c>
      <c r="F1423" s="14" t="s">
        <v>5128</v>
      </c>
      <c r="G1423" s="14" t="s">
        <v>5129</v>
      </c>
      <c r="H1423" s="13"/>
      <c r="I1423" s="13"/>
      <c r="J1423" s="13"/>
      <c r="K1423" s="13"/>
      <c r="L1423" s="13"/>
      <c r="M1423" s="13"/>
      <c r="N1423" s="13"/>
      <c r="O1423" s="13"/>
      <c r="P1423" s="13"/>
      <c r="Q1423" s="13"/>
      <c r="R1423" s="13"/>
      <c r="S1423" s="13"/>
    </row>
    <row r="1424" ht="15.75" customHeight="1">
      <c r="A1424" s="14" t="s">
        <v>5130</v>
      </c>
      <c r="B1424" s="14" t="s">
        <v>316</v>
      </c>
      <c r="C1424" s="14" t="s">
        <v>5131</v>
      </c>
      <c r="D1424" s="14">
        <v>100.0</v>
      </c>
      <c r="E1424" s="14" t="s">
        <v>318</v>
      </c>
      <c r="F1424" s="14" t="s">
        <v>5132</v>
      </c>
      <c r="G1424" s="14" t="s">
        <v>5133</v>
      </c>
      <c r="H1424" s="13"/>
      <c r="I1424" s="13"/>
      <c r="J1424" s="13"/>
      <c r="K1424" s="13"/>
      <c r="L1424" s="13"/>
      <c r="M1424" s="13"/>
      <c r="N1424" s="13"/>
      <c r="O1424" s="13"/>
      <c r="P1424" s="13"/>
      <c r="Q1424" s="13"/>
      <c r="R1424" s="13"/>
      <c r="S1424" s="13"/>
    </row>
    <row r="1425" ht="15.75" customHeight="1">
      <c r="A1425" s="14" t="s">
        <v>5134</v>
      </c>
      <c r="B1425" s="14" t="s">
        <v>316</v>
      </c>
      <c r="C1425" s="14" t="s">
        <v>5135</v>
      </c>
      <c r="D1425" s="14">
        <v>100.0</v>
      </c>
      <c r="E1425" s="14" t="s">
        <v>318</v>
      </c>
      <c r="F1425" s="14" t="s">
        <v>5136</v>
      </c>
      <c r="G1425" s="14" t="s">
        <v>5137</v>
      </c>
      <c r="H1425" s="13"/>
      <c r="I1425" s="13"/>
      <c r="J1425" s="13"/>
      <c r="K1425" s="13"/>
      <c r="L1425" s="13"/>
      <c r="M1425" s="13"/>
      <c r="N1425" s="13"/>
      <c r="O1425" s="13"/>
      <c r="P1425" s="13"/>
      <c r="Q1425" s="13"/>
      <c r="R1425" s="13"/>
      <c r="S1425" s="13"/>
    </row>
    <row r="1426" ht="15.75" customHeight="1">
      <c r="A1426" s="14" t="s">
        <v>5138</v>
      </c>
      <c r="B1426" s="14" t="s">
        <v>316</v>
      </c>
      <c r="C1426" s="14" t="s">
        <v>5139</v>
      </c>
      <c r="D1426" s="14">
        <v>100.0</v>
      </c>
      <c r="E1426" s="14" t="s">
        <v>318</v>
      </c>
      <c r="F1426" s="14" t="s">
        <v>5140</v>
      </c>
      <c r="G1426" s="14" t="s">
        <v>5141</v>
      </c>
      <c r="H1426" s="13"/>
      <c r="I1426" s="13"/>
      <c r="J1426" s="13"/>
      <c r="K1426" s="13"/>
      <c r="L1426" s="13"/>
      <c r="M1426" s="13"/>
      <c r="N1426" s="13"/>
      <c r="O1426" s="13"/>
      <c r="P1426" s="13"/>
      <c r="Q1426" s="13"/>
      <c r="R1426" s="13"/>
      <c r="S1426" s="13"/>
    </row>
    <row r="1427" ht="15.75" customHeight="1">
      <c r="A1427" s="14" t="s">
        <v>5142</v>
      </c>
      <c r="B1427" s="14" t="s">
        <v>316</v>
      </c>
      <c r="C1427" s="14" t="s">
        <v>5143</v>
      </c>
      <c r="D1427" s="14">
        <v>100.0</v>
      </c>
      <c r="E1427" s="14" t="s">
        <v>318</v>
      </c>
      <c r="F1427" s="14" t="s">
        <v>5144</v>
      </c>
      <c r="G1427" s="14" t="s">
        <v>5145</v>
      </c>
      <c r="H1427" s="13"/>
      <c r="I1427" s="13"/>
      <c r="J1427" s="13"/>
      <c r="K1427" s="13"/>
      <c r="L1427" s="13"/>
      <c r="M1427" s="13"/>
      <c r="N1427" s="13"/>
      <c r="O1427" s="13"/>
      <c r="P1427" s="13"/>
      <c r="Q1427" s="13"/>
      <c r="R1427" s="13"/>
      <c r="S1427" s="13"/>
    </row>
    <row r="1428" ht="15.75" customHeight="1">
      <c r="A1428" s="14" t="s">
        <v>5146</v>
      </c>
      <c r="B1428" s="14" t="s">
        <v>316</v>
      </c>
      <c r="C1428" s="14" t="s">
        <v>5147</v>
      </c>
      <c r="D1428" s="14">
        <v>100.0</v>
      </c>
      <c r="E1428" s="14" t="s">
        <v>318</v>
      </c>
      <c r="F1428" s="14" t="s">
        <v>5148</v>
      </c>
      <c r="G1428" s="14" t="s">
        <v>5149</v>
      </c>
      <c r="H1428" s="13"/>
      <c r="I1428" s="13"/>
      <c r="J1428" s="13"/>
      <c r="K1428" s="13"/>
      <c r="L1428" s="13"/>
      <c r="M1428" s="13"/>
      <c r="N1428" s="13"/>
      <c r="O1428" s="13"/>
      <c r="P1428" s="13"/>
      <c r="Q1428" s="13"/>
      <c r="R1428" s="13"/>
      <c r="S1428" s="13"/>
    </row>
    <row r="1429" ht="15.75" customHeight="1">
      <c r="A1429" s="14" t="s">
        <v>5150</v>
      </c>
      <c r="B1429" s="14" t="s">
        <v>316</v>
      </c>
      <c r="C1429" s="14" t="s">
        <v>5151</v>
      </c>
      <c r="D1429" s="14">
        <v>100.0</v>
      </c>
      <c r="E1429" s="14" t="s">
        <v>318</v>
      </c>
      <c r="F1429" s="14" t="s">
        <v>4252</v>
      </c>
      <c r="G1429" s="14" t="s">
        <v>5152</v>
      </c>
      <c r="H1429" s="13"/>
      <c r="I1429" s="13"/>
      <c r="J1429" s="13"/>
      <c r="K1429" s="13"/>
      <c r="L1429" s="13"/>
      <c r="M1429" s="13"/>
      <c r="N1429" s="13"/>
      <c r="O1429" s="13"/>
      <c r="P1429" s="13"/>
      <c r="Q1429" s="13"/>
      <c r="R1429" s="13"/>
      <c r="S1429" s="13"/>
    </row>
    <row r="1430" ht="15.75" customHeight="1">
      <c r="A1430" s="14" t="s">
        <v>5153</v>
      </c>
      <c r="B1430" s="14" t="s">
        <v>316</v>
      </c>
      <c r="C1430" s="14" t="s">
        <v>5154</v>
      </c>
      <c r="D1430" s="14">
        <v>100.0</v>
      </c>
      <c r="E1430" s="14" t="s">
        <v>318</v>
      </c>
      <c r="F1430" s="14" t="s">
        <v>5155</v>
      </c>
      <c r="G1430" s="14" t="s">
        <v>5156</v>
      </c>
      <c r="H1430" s="13"/>
      <c r="I1430" s="13"/>
      <c r="J1430" s="13"/>
      <c r="K1430" s="13"/>
      <c r="L1430" s="13"/>
      <c r="M1430" s="13"/>
      <c r="N1430" s="13"/>
      <c r="O1430" s="13"/>
      <c r="P1430" s="13"/>
      <c r="Q1430" s="13"/>
      <c r="R1430" s="13"/>
      <c r="S1430" s="13"/>
    </row>
    <row r="1431" ht="15.75" customHeight="1">
      <c r="A1431" s="14" t="s">
        <v>5157</v>
      </c>
      <c r="B1431" s="14" t="s">
        <v>316</v>
      </c>
      <c r="C1431" s="14" t="s">
        <v>5158</v>
      </c>
      <c r="D1431" s="14">
        <v>100.0</v>
      </c>
      <c r="E1431" s="14" t="s">
        <v>318</v>
      </c>
      <c r="F1431" s="14" t="s">
        <v>850</v>
      </c>
      <c r="G1431" s="14" t="s">
        <v>5159</v>
      </c>
      <c r="H1431" s="13"/>
      <c r="I1431" s="13"/>
      <c r="J1431" s="13"/>
      <c r="K1431" s="13"/>
      <c r="L1431" s="13"/>
      <c r="M1431" s="13"/>
      <c r="N1431" s="13"/>
      <c r="O1431" s="13"/>
      <c r="P1431" s="13"/>
      <c r="Q1431" s="13"/>
      <c r="R1431" s="13"/>
      <c r="S1431" s="13"/>
    </row>
    <row r="1432" ht="15.75" customHeight="1">
      <c r="A1432" s="14" t="s">
        <v>5160</v>
      </c>
      <c r="B1432" s="14" t="s">
        <v>316</v>
      </c>
      <c r="C1432" s="14" t="s">
        <v>5161</v>
      </c>
      <c r="D1432" s="14">
        <v>100.0</v>
      </c>
      <c r="E1432" s="14" t="s">
        <v>318</v>
      </c>
      <c r="F1432" s="14" t="s">
        <v>5162</v>
      </c>
      <c r="G1432" s="14" t="s">
        <v>5163</v>
      </c>
      <c r="H1432" s="13"/>
      <c r="I1432" s="13"/>
      <c r="J1432" s="13"/>
      <c r="K1432" s="13"/>
      <c r="L1432" s="13"/>
      <c r="M1432" s="13"/>
      <c r="N1432" s="13"/>
      <c r="O1432" s="13"/>
      <c r="P1432" s="13"/>
      <c r="Q1432" s="13"/>
      <c r="R1432" s="13"/>
      <c r="S1432" s="13"/>
    </row>
    <row r="1433" ht="15.75" customHeight="1">
      <c r="A1433" s="14" t="s">
        <v>5164</v>
      </c>
      <c r="B1433" s="14" t="s">
        <v>316</v>
      </c>
      <c r="C1433" s="14" t="s">
        <v>5165</v>
      </c>
      <c r="D1433" s="14">
        <v>100.0</v>
      </c>
      <c r="E1433" s="14" t="s">
        <v>318</v>
      </c>
      <c r="F1433" s="14" t="s">
        <v>5166</v>
      </c>
      <c r="G1433" s="14" t="s">
        <v>5167</v>
      </c>
      <c r="H1433" s="13"/>
      <c r="I1433" s="13"/>
      <c r="J1433" s="13"/>
      <c r="K1433" s="13"/>
      <c r="L1433" s="13"/>
      <c r="M1433" s="13"/>
      <c r="N1433" s="13"/>
      <c r="O1433" s="13"/>
      <c r="P1433" s="13"/>
      <c r="Q1433" s="13"/>
      <c r="R1433" s="13"/>
      <c r="S1433" s="13"/>
    </row>
    <row r="1434" ht="15.75" customHeight="1">
      <c r="A1434" s="14" t="s">
        <v>5168</v>
      </c>
      <c r="B1434" s="14" t="s">
        <v>316</v>
      </c>
      <c r="C1434" s="14" t="s">
        <v>5169</v>
      </c>
      <c r="D1434" s="14">
        <v>100.0</v>
      </c>
      <c r="E1434" s="14" t="s">
        <v>318</v>
      </c>
      <c r="F1434" s="14" t="s">
        <v>5170</v>
      </c>
      <c r="G1434" s="14" t="s">
        <v>5171</v>
      </c>
      <c r="H1434" s="13"/>
      <c r="I1434" s="13"/>
      <c r="J1434" s="13"/>
      <c r="K1434" s="13"/>
      <c r="L1434" s="13"/>
      <c r="M1434" s="13"/>
      <c r="N1434" s="13"/>
      <c r="O1434" s="13"/>
      <c r="P1434" s="13"/>
      <c r="Q1434" s="13"/>
      <c r="R1434" s="13"/>
      <c r="S1434" s="13"/>
    </row>
    <row r="1435" ht="15.75" customHeight="1">
      <c r="A1435" s="14" t="s">
        <v>5172</v>
      </c>
      <c r="B1435" s="14" t="s">
        <v>316</v>
      </c>
      <c r="C1435" s="14" t="s">
        <v>5173</v>
      </c>
      <c r="D1435" s="14">
        <v>100.0</v>
      </c>
      <c r="E1435" s="14" t="s">
        <v>318</v>
      </c>
      <c r="F1435" s="14" t="s">
        <v>5174</v>
      </c>
      <c r="G1435" s="14" t="s">
        <v>5175</v>
      </c>
      <c r="H1435" s="13"/>
      <c r="I1435" s="13"/>
      <c r="J1435" s="13"/>
      <c r="K1435" s="13"/>
      <c r="L1435" s="13"/>
      <c r="M1435" s="13"/>
      <c r="N1435" s="13"/>
      <c r="O1435" s="13"/>
      <c r="P1435" s="13"/>
      <c r="Q1435" s="13"/>
      <c r="R1435" s="13"/>
      <c r="S1435" s="13"/>
    </row>
    <row r="1436" ht="15.75" customHeight="1">
      <c r="A1436" s="14" t="s">
        <v>5176</v>
      </c>
      <c r="B1436" s="14" t="s">
        <v>316</v>
      </c>
      <c r="C1436" s="14" t="s">
        <v>5177</v>
      </c>
      <c r="D1436" s="14">
        <v>100.0</v>
      </c>
      <c r="E1436" s="14" t="s">
        <v>318</v>
      </c>
      <c r="F1436" s="14" t="s">
        <v>5178</v>
      </c>
      <c r="G1436" s="14" t="s">
        <v>5179</v>
      </c>
      <c r="H1436" s="13"/>
      <c r="I1436" s="13"/>
      <c r="J1436" s="13"/>
      <c r="K1436" s="13"/>
      <c r="L1436" s="13"/>
      <c r="M1436" s="13"/>
      <c r="N1436" s="13"/>
      <c r="O1436" s="13"/>
      <c r="P1436" s="13"/>
      <c r="Q1436" s="13"/>
      <c r="R1436" s="13"/>
      <c r="S1436" s="13"/>
    </row>
    <row r="1437" ht="15.75" customHeight="1">
      <c r="A1437" s="14" t="s">
        <v>5180</v>
      </c>
      <c r="B1437" s="14" t="s">
        <v>316</v>
      </c>
      <c r="C1437" s="14" t="s">
        <v>5181</v>
      </c>
      <c r="D1437" s="14">
        <v>100.0</v>
      </c>
      <c r="E1437" s="14" t="s">
        <v>318</v>
      </c>
      <c r="F1437" s="14" t="s">
        <v>5182</v>
      </c>
      <c r="G1437" s="14" t="s">
        <v>5183</v>
      </c>
      <c r="H1437" s="13"/>
      <c r="I1437" s="13"/>
      <c r="J1437" s="13"/>
      <c r="K1437" s="13"/>
      <c r="L1437" s="13"/>
      <c r="M1437" s="13"/>
      <c r="N1437" s="13"/>
      <c r="O1437" s="13"/>
      <c r="P1437" s="13"/>
      <c r="Q1437" s="13"/>
      <c r="R1437" s="13"/>
      <c r="S1437" s="13"/>
    </row>
    <row r="1438" ht="15.75" customHeight="1">
      <c r="A1438" s="14" t="s">
        <v>5184</v>
      </c>
      <c r="B1438" s="14" t="s">
        <v>316</v>
      </c>
      <c r="C1438" s="14" t="s">
        <v>5185</v>
      </c>
      <c r="D1438" s="14">
        <v>100.0</v>
      </c>
      <c r="E1438" s="14" t="s">
        <v>318</v>
      </c>
      <c r="F1438" s="14" t="s">
        <v>5186</v>
      </c>
      <c r="G1438" s="14"/>
      <c r="H1438" s="13"/>
      <c r="I1438" s="13"/>
      <c r="J1438" s="13"/>
      <c r="K1438" s="13"/>
      <c r="L1438" s="13"/>
      <c r="M1438" s="13"/>
      <c r="N1438" s="13"/>
      <c r="O1438" s="13"/>
      <c r="P1438" s="13"/>
      <c r="Q1438" s="13"/>
      <c r="R1438" s="13"/>
      <c r="S1438" s="13"/>
    </row>
    <row r="1439" ht="15.75" customHeight="1">
      <c r="A1439" s="14" t="s">
        <v>5187</v>
      </c>
      <c r="B1439" s="14" t="s">
        <v>5188</v>
      </c>
      <c r="C1439" s="14"/>
      <c r="D1439" s="14"/>
      <c r="E1439" s="14"/>
      <c r="F1439" s="14"/>
      <c r="G1439" s="14"/>
      <c r="H1439" s="13"/>
      <c r="I1439" s="13"/>
      <c r="J1439" s="13"/>
      <c r="K1439" s="13"/>
      <c r="L1439" s="13"/>
      <c r="M1439" s="13"/>
      <c r="N1439" s="13"/>
      <c r="O1439" s="13"/>
      <c r="P1439" s="13"/>
      <c r="Q1439" s="13"/>
      <c r="R1439" s="13"/>
      <c r="S1439" s="13"/>
    </row>
    <row r="1440" ht="15.75" customHeight="1">
      <c r="A1440" s="14" t="s">
        <v>5189</v>
      </c>
      <c r="B1440" s="14" t="s">
        <v>316</v>
      </c>
      <c r="C1440" s="14" t="s">
        <v>5190</v>
      </c>
      <c r="D1440" s="14">
        <v>100.0</v>
      </c>
      <c r="E1440" s="14" t="s">
        <v>318</v>
      </c>
      <c r="F1440" s="14" t="s">
        <v>5191</v>
      </c>
      <c r="G1440" s="14" t="s">
        <v>5192</v>
      </c>
      <c r="H1440" s="13"/>
      <c r="I1440" s="13"/>
      <c r="J1440" s="13"/>
      <c r="K1440" s="13"/>
      <c r="L1440" s="13"/>
      <c r="M1440" s="13"/>
      <c r="N1440" s="13"/>
      <c r="O1440" s="13"/>
      <c r="P1440" s="13"/>
      <c r="Q1440" s="13"/>
      <c r="R1440" s="13"/>
      <c r="S1440" s="13"/>
    </row>
    <row r="1441" ht="15.75" customHeight="1">
      <c r="A1441" s="14" t="s">
        <v>5193</v>
      </c>
      <c r="B1441" s="14" t="s">
        <v>316</v>
      </c>
      <c r="C1441" s="14" t="s">
        <v>5194</v>
      </c>
      <c r="D1441" s="14">
        <v>100.0</v>
      </c>
      <c r="E1441" s="14" t="s">
        <v>318</v>
      </c>
      <c r="F1441" s="14" t="s">
        <v>5195</v>
      </c>
      <c r="G1441" s="14" t="s">
        <v>5196</v>
      </c>
      <c r="H1441" s="13"/>
      <c r="I1441" s="13"/>
      <c r="J1441" s="13"/>
      <c r="K1441" s="13"/>
      <c r="L1441" s="13"/>
      <c r="M1441" s="13"/>
      <c r="N1441" s="13"/>
      <c r="O1441" s="13"/>
      <c r="P1441" s="13"/>
      <c r="Q1441" s="13"/>
      <c r="R1441" s="13"/>
      <c r="S1441" s="13"/>
    </row>
    <row r="1442" ht="15.75" customHeight="1">
      <c r="A1442" s="14" t="s">
        <v>5197</v>
      </c>
      <c r="B1442" s="14" t="s">
        <v>316</v>
      </c>
      <c r="C1442" s="14" t="s">
        <v>5198</v>
      </c>
      <c r="D1442" s="14">
        <v>100.0</v>
      </c>
      <c r="E1442" s="14" t="s">
        <v>318</v>
      </c>
      <c r="F1442" s="14" t="s">
        <v>5199</v>
      </c>
      <c r="G1442" s="14" t="s">
        <v>5200</v>
      </c>
      <c r="H1442" s="13"/>
      <c r="I1442" s="13"/>
      <c r="J1442" s="13"/>
      <c r="K1442" s="13"/>
      <c r="L1442" s="13"/>
      <c r="M1442" s="13"/>
      <c r="N1442" s="13"/>
      <c r="O1442" s="13"/>
      <c r="P1442" s="13"/>
      <c r="Q1442" s="13"/>
      <c r="R1442" s="13"/>
      <c r="S1442" s="13"/>
    </row>
    <row r="1443" ht="15.75" customHeight="1">
      <c r="A1443" s="14" t="s">
        <v>5201</v>
      </c>
      <c r="B1443" s="14" t="s">
        <v>316</v>
      </c>
      <c r="C1443" s="14" t="s">
        <v>5202</v>
      </c>
      <c r="D1443" s="14">
        <v>100.0</v>
      </c>
      <c r="E1443" s="14" t="s">
        <v>318</v>
      </c>
      <c r="F1443" s="14" t="s">
        <v>5203</v>
      </c>
      <c r="G1443" s="14" t="s">
        <v>5204</v>
      </c>
      <c r="H1443" s="13"/>
      <c r="I1443" s="13"/>
      <c r="J1443" s="13"/>
      <c r="K1443" s="13"/>
      <c r="L1443" s="13"/>
      <c r="M1443" s="13"/>
      <c r="N1443" s="13"/>
      <c r="O1443" s="13"/>
      <c r="P1443" s="13"/>
      <c r="Q1443" s="13"/>
      <c r="R1443" s="13"/>
      <c r="S1443" s="13"/>
    </row>
    <row r="1444" ht="15.75" customHeight="1">
      <c r="A1444" s="14" t="s">
        <v>5205</v>
      </c>
      <c r="B1444" s="14" t="s">
        <v>316</v>
      </c>
      <c r="C1444" s="14" t="s">
        <v>5206</v>
      </c>
      <c r="D1444" s="14">
        <v>100.0</v>
      </c>
      <c r="E1444" s="14" t="s">
        <v>318</v>
      </c>
      <c r="F1444" s="14" t="s">
        <v>5207</v>
      </c>
      <c r="G1444" s="14" t="s">
        <v>5208</v>
      </c>
      <c r="H1444" s="13"/>
      <c r="I1444" s="13"/>
      <c r="J1444" s="13"/>
      <c r="K1444" s="13"/>
      <c r="L1444" s="13"/>
      <c r="M1444" s="13"/>
      <c r="N1444" s="13"/>
      <c r="O1444" s="13"/>
      <c r="P1444" s="13"/>
      <c r="Q1444" s="13"/>
      <c r="R1444" s="13"/>
      <c r="S1444" s="13"/>
    </row>
    <row r="1445" ht="15.75" customHeight="1">
      <c r="A1445" s="14" t="s">
        <v>5209</v>
      </c>
      <c r="B1445" s="14" t="s">
        <v>316</v>
      </c>
      <c r="C1445" s="14" t="s">
        <v>5210</v>
      </c>
      <c r="D1445" s="14">
        <v>100.0</v>
      </c>
      <c r="E1445" s="14" t="s">
        <v>318</v>
      </c>
      <c r="F1445" s="14" t="s">
        <v>5211</v>
      </c>
      <c r="G1445" s="14" t="s">
        <v>5212</v>
      </c>
      <c r="H1445" s="13"/>
      <c r="I1445" s="13"/>
      <c r="J1445" s="13"/>
      <c r="K1445" s="13"/>
      <c r="L1445" s="13"/>
      <c r="M1445" s="13"/>
      <c r="N1445" s="13"/>
      <c r="O1445" s="13"/>
      <c r="P1445" s="13"/>
      <c r="Q1445" s="13"/>
      <c r="R1445" s="13"/>
      <c r="S1445" s="13"/>
    </row>
    <row r="1446" ht="15.75" customHeight="1">
      <c r="A1446" s="14" t="s">
        <v>5213</v>
      </c>
      <c r="B1446" s="14" t="s">
        <v>316</v>
      </c>
      <c r="C1446" s="14" t="s">
        <v>5214</v>
      </c>
      <c r="D1446" s="14">
        <v>100.0</v>
      </c>
      <c r="E1446" s="14" t="s">
        <v>318</v>
      </c>
      <c r="F1446" s="14" t="s">
        <v>5215</v>
      </c>
      <c r="G1446" s="14" t="s">
        <v>5216</v>
      </c>
      <c r="H1446" s="13"/>
      <c r="I1446" s="13"/>
      <c r="J1446" s="13"/>
      <c r="K1446" s="13"/>
      <c r="L1446" s="13"/>
      <c r="M1446" s="13"/>
      <c r="N1446" s="13"/>
      <c r="O1446" s="13"/>
      <c r="P1446" s="13"/>
      <c r="Q1446" s="13"/>
      <c r="R1446" s="13"/>
      <c r="S1446" s="13"/>
    </row>
    <row r="1447" ht="15.75" customHeight="1">
      <c r="A1447" s="14" t="s">
        <v>5217</v>
      </c>
      <c r="B1447" s="14" t="s">
        <v>316</v>
      </c>
      <c r="C1447" s="14" t="s">
        <v>5218</v>
      </c>
      <c r="D1447" s="14">
        <v>100.0</v>
      </c>
      <c r="E1447" s="14" t="s">
        <v>318</v>
      </c>
      <c r="F1447" s="14" t="s">
        <v>5219</v>
      </c>
      <c r="G1447" s="14" t="s">
        <v>5220</v>
      </c>
      <c r="H1447" s="13"/>
      <c r="I1447" s="13"/>
      <c r="J1447" s="13"/>
      <c r="K1447" s="13"/>
      <c r="L1447" s="13"/>
      <c r="M1447" s="13"/>
      <c r="N1447" s="13"/>
      <c r="O1447" s="13"/>
      <c r="P1447" s="13"/>
      <c r="Q1447" s="13"/>
      <c r="R1447" s="13"/>
      <c r="S1447" s="13"/>
    </row>
    <row r="1448" ht="15.75" customHeight="1">
      <c r="A1448" s="14" t="s">
        <v>5221</v>
      </c>
      <c r="B1448" s="14" t="s">
        <v>316</v>
      </c>
      <c r="C1448" s="14" t="s">
        <v>5222</v>
      </c>
      <c r="D1448" s="14">
        <v>100.0</v>
      </c>
      <c r="E1448" s="14" t="s">
        <v>318</v>
      </c>
      <c r="F1448" s="14" t="s">
        <v>5223</v>
      </c>
      <c r="G1448" s="14" t="s">
        <v>5224</v>
      </c>
      <c r="H1448" s="13"/>
      <c r="I1448" s="13"/>
      <c r="J1448" s="13"/>
      <c r="K1448" s="13"/>
      <c r="L1448" s="13"/>
      <c r="M1448" s="13"/>
      <c r="N1448" s="13"/>
      <c r="O1448" s="13"/>
      <c r="P1448" s="13"/>
      <c r="Q1448" s="13"/>
      <c r="R1448" s="13"/>
      <c r="S1448" s="13"/>
    </row>
    <row r="1449" ht="15.75" customHeight="1">
      <c r="A1449" s="14" t="s">
        <v>5225</v>
      </c>
      <c r="B1449" s="14" t="s">
        <v>316</v>
      </c>
      <c r="C1449" s="14" t="s">
        <v>5226</v>
      </c>
      <c r="D1449" s="14">
        <v>100.0</v>
      </c>
      <c r="E1449" s="14" t="s">
        <v>318</v>
      </c>
      <c r="F1449" s="14" t="s">
        <v>5227</v>
      </c>
      <c r="G1449" s="14" t="s">
        <v>5228</v>
      </c>
      <c r="H1449" s="13"/>
      <c r="I1449" s="13"/>
      <c r="J1449" s="13"/>
      <c r="K1449" s="13"/>
      <c r="L1449" s="13"/>
      <c r="M1449" s="13"/>
      <c r="N1449" s="13"/>
      <c r="O1449" s="13"/>
      <c r="P1449" s="13"/>
      <c r="Q1449" s="13"/>
      <c r="R1449" s="13"/>
      <c r="S1449" s="13"/>
    </row>
    <row r="1450" ht="15.75" customHeight="1">
      <c r="A1450" s="14" t="s">
        <v>5229</v>
      </c>
      <c r="B1450" s="14" t="s">
        <v>316</v>
      </c>
      <c r="C1450" s="14" t="s">
        <v>5230</v>
      </c>
      <c r="D1450" s="14">
        <v>100.0</v>
      </c>
      <c r="E1450" s="14" t="s">
        <v>318</v>
      </c>
      <c r="F1450" s="14" t="s">
        <v>5231</v>
      </c>
      <c r="G1450" s="14" t="s">
        <v>5232</v>
      </c>
      <c r="H1450" s="13"/>
      <c r="I1450" s="13"/>
      <c r="J1450" s="13"/>
      <c r="K1450" s="13"/>
      <c r="L1450" s="13"/>
      <c r="M1450" s="13"/>
      <c r="N1450" s="13"/>
      <c r="O1450" s="13"/>
      <c r="P1450" s="13"/>
      <c r="Q1450" s="13"/>
      <c r="R1450" s="13"/>
      <c r="S1450" s="13"/>
    </row>
    <row r="1451" ht="15.75" customHeight="1">
      <c r="A1451" s="14" t="s">
        <v>5233</v>
      </c>
      <c r="B1451" s="14" t="s">
        <v>316</v>
      </c>
      <c r="C1451" s="14" t="s">
        <v>5234</v>
      </c>
      <c r="D1451" s="14">
        <v>100.0</v>
      </c>
      <c r="E1451" s="14" t="s">
        <v>318</v>
      </c>
      <c r="F1451" s="14" t="s">
        <v>2419</v>
      </c>
      <c r="G1451" s="14" t="s">
        <v>5235</v>
      </c>
      <c r="H1451" s="13"/>
      <c r="I1451" s="13"/>
      <c r="J1451" s="13"/>
      <c r="K1451" s="13"/>
      <c r="L1451" s="13"/>
      <c r="M1451" s="13"/>
      <c r="N1451" s="13"/>
      <c r="O1451" s="13"/>
      <c r="P1451" s="13"/>
      <c r="Q1451" s="13"/>
      <c r="R1451" s="13"/>
      <c r="S1451" s="13"/>
    </row>
    <row r="1452" ht="15.75" customHeight="1">
      <c r="A1452" s="14" t="s">
        <v>5236</v>
      </c>
      <c r="B1452" s="14" t="s">
        <v>316</v>
      </c>
      <c r="C1452" s="14" t="s">
        <v>5237</v>
      </c>
      <c r="D1452" s="14">
        <v>100.0</v>
      </c>
      <c r="E1452" s="14" t="s">
        <v>318</v>
      </c>
      <c r="F1452" s="14" t="s">
        <v>5238</v>
      </c>
      <c r="G1452" s="14" t="s">
        <v>5239</v>
      </c>
      <c r="H1452" s="13"/>
      <c r="I1452" s="13"/>
      <c r="J1452" s="13"/>
      <c r="K1452" s="13"/>
      <c r="L1452" s="13"/>
      <c r="M1452" s="13"/>
      <c r="N1452" s="13"/>
      <c r="O1452" s="13"/>
      <c r="P1452" s="13"/>
      <c r="Q1452" s="13"/>
      <c r="R1452" s="13"/>
      <c r="S1452" s="13"/>
    </row>
    <row r="1453" ht="15.75" customHeight="1">
      <c r="A1453" s="14" t="s">
        <v>5240</v>
      </c>
      <c r="B1453" s="14" t="s">
        <v>316</v>
      </c>
      <c r="C1453" s="14" t="s">
        <v>5241</v>
      </c>
      <c r="D1453" s="14">
        <v>100.0</v>
      </c>
      <c r="E1453" s="14" t="s">
        <v>318</v>
      </c>
      <c r="F1453" s="14" t="s">
        <v>5242</v>
      </c>
      <c r="G1453" s="14" t="s">
        <v>5243</v>
      </c>
      <c r="H1453" s="13"/>
      <c r="I1453" s="13"/>
      <c r="J1453" s="13"/>
      <c r="K1453" s="13"/>
      <c r="L1453" s="13"/>
      <c r="M1453" s="13"/>
      <c r="N1453" s="13"/>
      <c r="O1453" s="13"/>
      <c r="P1453" s="13"/>
      <c r="Q1453" s="13"/>
      <c r="R1453" s="13"/>
      <c r="S1453" s="13"/>
    </row>
    <row r="1454" ht="15.75" customHeight="1">
      <c r="A1454" s="14" t="s">
        <v>5244</v>
      </c>
      <c r="B1454" s="14" t="s">
        <v>316</v>
      </c>
      <c r="C1454" s="14" t="s">
        <v>5245</v>
      </c>
      <c r="D1454" s="14">
        <v>100.0</v>
      </c>
      <c r="E1454" s="14" t="s">
        <v>318</v>
      </c>
      <c r="F1454" s="14" t="s">
        <v>5246</v>
      </c>
      <c r="G1454" s="14" t="s">
        <v>5247</v>
      </c>
      <c r="H1454" s="13"/>
      <c r="I1454" s="13"/>
      <c r="J1454" s="13"/>
      <c r="K1454" s="13"/>
      <c r="L1454" s="13"/>
      <c r="M1454" s="13"/>
      <c r="N1454" s="13"/>
      <c r="O1454" s="13"/>
      <c r="P1454" s="13"/>
      <c r="Q1454" s="13"/>
      <c r="R1454" s="13"/>
      <c r="S1454" s="13"/>
    </row>
    <row r="1455" ht="15.75" customHeight="1">
      <c r="A1455" s="14" t="s">
        <v>5248</v>
      </c>
      <c r="B1455" s="14" t="s">
        <v>316</v>
      </c>
      <c r="C1455" s="14" t="s">
        <v>5249</v>
      </c>
      <c r="D1455" s="14">
        <v>100.0</v>
      </c>
      <c r="E1455" s="14" t="s">
        <v>318</v>
      </c>
      <c r="F1455" s="14" t="s">
        <v>5250</v>
      </c>
      <c r="G1455" s="14" t="s">
        <v>5251</v>
      </c>
      <c r="H1455" s="13"/>
      <c r="I1455" s="13"/>
      <c r="J1455" s="13"/>
      <c r="K1455" s="13"/>
      <c r="L1455" s="13"/>
      <c r="M1455" s="13"/>
      <c r="N1455" s="13"/>
      <c r="O1455" s="13"/>
      <c r="P1455" s="13"/>
      <c r="Q1455" s="13"/>
      <c r="R1455" s="13"/>
      <c r="S1455" s="13"/>
    </row>
    <row r="1456" ht="15.75" customHeight="1">
      <c r="A1456" s="14" t="s">
        <v>5252</v>
      </c>
      <c r="B1456" s="14" t="s">
        <v>316</v>
      </c>
      <c r="C1456" s="14" t="s">
        <v>5253</v>
      </c>
      <c r="D1456" s="14">
        <v>100.0</v>
      </c>
      <c r="E1456" s="14" t="s">
        <v>318</v>
      </c>
      <c r="F1456" s="14" t="s">
        <v>5254</v>
      </c>
      <c r="G1456" s="14" t="s">
        <v>5255</v>
      </c>
      <c r="H1456" s="13"/>
      <c r="I1456" s="13"/>
      <c r="J1456" s="13"/>
      <c r="K1456" s="13"/>
      <c r="L1456" s="13"/>
      <c r="M1456" s="13"/>
      <c r="N1456" s="13"/>
      <c r="O1456" s="13"/>
      <c r="P1456" s="13"/>
      <c r="Q1456" s="13"/>
      <c r="R1456" s="13"/>
      <c r="S1456" s="13"/>
    </row>
    <row r="1457" ht="15.75" customHeight="1">
      <c r="A1457" s="14" t="s">
        <v>5256</v>
      </c>
      <c r="B1457" s="14" t="s">
        <v>316</v>
      </c>
      <c r="C1457" s="14" t="s">
        <v>5257</v>
      </c>
      <c r="D1457" s="14">
        <v>100.0</v>
      </c>
      <c r="E1457" s="14" t="s">
        <v>318</v>
      </c>
      <c r="F1457" s="14" t="s">
        <v>5258</v>
      </c>
      <c r="G1457" s="14" t="s">
        <v>5259</v>
      </c>
      <c r="H1457" s="13"/>
      <c r="I1457" s="13"/>
      <c r="J1457" s="13"/>
      <c r="K1457" s="13"/>
      <c r="L1457" s="13"/>
      <c r="M1457" s="13"/>
      <c r="N1457" s="13"/>
      <c r="O1457" s="13"/>
      <c r="P1457" s="13"/>
      <c r="Q1457" s="13"/>
      <c r="R1457" s="13"/>
      <c r="S1457" s="13"/>
    </row>
    <row r="1458" ht="15.75" customHeight="1">
      <c r="A1458" s="14" t="s">
        <v>5260</v>
      </c>
      <c r="B1458" s="14" t="s">
        <v>316</v>
      </c>
      <c r="C1458" s="14" t="s">
        <v>5261</v>
      </c>
      <c r="D1458" s="14">
        <v>100.0</v>
      </c>
      <c r="E1458" s="14" t="s">
        <v>318</v>
      </c>
      <c r="F1458" s="14" t="s">
        <v>5262</v>
      </c>
      <c r="G1458" s="14" t="s">
        <v>5263</v>
      </c>
      <c r="H1458" s="13"/>
      <c r="I1458" s="13"/>
      <c r="J1458" s="13"/>
      <c r="K1458" s="13"/>
      <c r="L1458" s="13"/>
      <c r="M1458" s="13"/>
      <c r="N1458" s="13"/>
      <c r="O1458" s="13"/>
      <c r="P1458" s="13"/>
      <c r="Q1458" s="13"/>
      <c r="R1458" s="13"/>
      <c r="S1458" s="13"/>
    </row>
    <row r="1459" ht="15.75" customHeight="1">
      <c r="A1459" s="14" t="s">
        <v>5264</v>
      </c>
      <c r="B1459" s="14" t="s">
        <v>316</v>
      </c>
      <c r="C1459" s="14" t="s">
        <v>5265</v>
      </c>
      <c r="D1459" s="14">
        <v>100.0</v>
      </c>
      <c r="E1459" s="14" t="s">
        <v>318</v>
      </c>
      <c r="F1459" s="14" t="s">
        <v>5266</v>
      </c>
      <c r="G1459" s="14" t="s">
        <v>5267</v>
      </c>
      <c r="H1459" s="13"/>
      <c r="I1459" s="13"/>
      <c r="J1459" s="13"/>
      <c r="K1459" s="13"/>
      <c r="L1459" s="13"/>
      <c r="M1459" s="13"/>
      <c r="N1459" s="13"/>
      <c r="O1459" s="13"/>
      <c r="P1459" s="13"/>
      <c r="Q1459" s="13"/>
      <c r="R1459" s="13"/>
      <c r="S1459" s="13"/>
    </row>
    <row r="1460" ht="15.75" customHeight="1">
      <c r="A1460" s="14" t="s">
        <v>5268</v>
      </c>
      <c r="B1460" s="14" t="s">
        <v>316</v>
      </c>
      <c r="C1460" s="14" t="s">
        <v>5269</v>
      </c>
      <c r="D1460" s="14">
        <v>100.0</v>
      </c>
      <c r="E1460" s="14" t="s">
        <v>318</v>
      </c>
      <c r="F1460" s="14" t="s">
        <v>1935</v>
      </c>
      <c r="G1460" s="14" t="s">
        <v>5270</v>
      </c>
      <c r="H1460" s="13"/>
      <c r="I1460" s="13"/>
      <c r="J1460" s="13"/>
      <c r="K1460" s="13"/>
      <c r="L1460" s="13"/>
      <c r="M1460" s="13"/>
      <c r="N1460" s="13"/>
      <c r="O1460" s="13"/>
      <c r="P1460" s="13"/>
      <c r="Q1460" s="13"/>
      <c r="R1460" s="13"/>
      <c r="S1460" s="13"/>
    </row>
    <row r="1461" ht="15.75" customHeight="1">
      <c r="A1461" s="14" t="s">
        <v>5271</v>
      </c>
      <c r="B1461" s="14" t="s">
        <v>316</v>
      </c>
      <c r="C1461" s="14" t="s">
        <v>5272</v>
      </c>
      <c r="D1461" s="14">
        <v>100.0</v>
      </c>
      <c r="E1461" s="14" t="s">
        <v>318</v>
      </c>
      <c r="F1461" s="14" t="s">
        <v>5273</v>
      </c>
      <c r="G1461" s="14" t="s">
        <v>5274</v>
      </c>
      <c r="H1461" s="13"/>
      <c r="I1461" s="13"/>
      <c r="J1461" s="13"/>
      <c r="K1461" s="13"/>
      <c r="L1461" s="13"/>
      <c r="M1461" s="13"/>
      <c r="N1461" s="13"/>
      <c r="O1461" s="13"/>
      <c r="P1461" s="13"/>
      <c r="Q1461" s="13"/>
      <c r="R1461" s="13"/>
      <c r="S1461" s="13"/>
    </row>
    <row r="1462" ht="15.75" customHeight="1">
      <c r="A1462" s="14" t="s">
        <v>5275</v>
      </c>
      <c r="B1462" s="14" t="s">
        <v>316</v>
      </c>
      <c r="C1462" s="14" t="s">
        <v>5276</v>
      </c>
      <c r="D1462" s="14">
        <v>100.0</v>
      </c>
      <c r="E1462" s="14" t="s">
        <v>318</v>
      </c>
      <c r="F1462" s="14" t="s">
        <v>2755</v>
      </c>
      <c r="G1462" s="14" t="s">
        <v>5277</v>
      </c>
      <c r="H1462" s="13"/>
      <c r="I1462" s="13"/>
      <c r="J1462" s="13"/>
      <c r="K1462" s="13"/>
      <c r="L1462" s="13"/>
      <c r="M1462" s="13"/>
      <c r="N1462" s="13"/>
      <c r="O1462" s="13"/>
      <c r="P1462" s="13"/>
      <c r="Q1462" s="13"/>
      <c r="R1462" s="13"/>
      <c r="S1462" s="13"/>
    </row>
    <row r="1463" ht="15.75" customHeight="1">
      <c r="A1463" s="14" t="s">
        <v>5278</v>
      </c>
      <c r="B1463" s="14" t="s">
        <v>316</v>
      </c>
      <c r="C1463" s="14" t="s">
        <v>5279</v>
      </c>
      <c r="D1463" s="14">
        <v>100.0</v>
      </c>
      <c r="E1463" s="14" t="s">
        <v>318</v>
      </c>
      <c r="F1463" s="14" t="s">
        <v>5280</v>
      </c>
      <c r="G1463" s="14" t="s">
        <v>5281</v>
      </c>
      <c r="H1463" s="13"/>
      <c r="I1463" s="13"/>
      <c r="J1463" s="13"/>
      <c r="K1463" s="13"/>
      <c r="L1463" s="13"/>
      <c r="M1463" s="13"/>
      <c r="N1463" s="13"/>
      <c r="O1463" s="13"/>
      <c r="P1463" s="13"/>
      <c r="Q1463" s="13"/>
      <c r="R1463" s="13"/>
      <c r="S1463" s="13"/>
    </row>
    <row r="1464" ht="15.75" customHeight="1">
      <c r="A1464" s="14" t="s">
        <v>5282</v>
      </c>
      <c r="B1464" s="14" t="s">
        <v>316</v>
      </c>
      <c r="C1464" s="14" t="s">
        <v>5283</v>
      </c>
      <c r="D1464" s="14">
        <v>100.0</v>
      </c>
      <c r="E1464" s="14" t="s">
        <v>318</v>
      </c>
      <c r="F1464" s="14" t="s">
        <v>5284</v>
      </c>
      <c r="G1464" s="14" t="s">
        <v>5285</v>
      </c>
      <c r="H1464" s="13"/>
      <c r="I1464" s="13"/>
      <c r="J1464" s="13"/>
      <c r="K1464" s="13"/>
      <c r="L1464" s="13"/>
      <c r="M1464" s="13"/>
      <c r="N1464" s="13"/>
      <c r="O1464" s="13"/>
      <c r="P1464" s="13"/>
      <c r="Q1464" s="13"/>
      <c r="R1464" s="13"/>
      <c r="S1464" s="13"/>
    </row>
    <row r="1465" ht="15.75" customHeight="1">
      <c r="A1465" s="14" t="s">
        <v>5286</v>
      </c>
      <c r="B1465" s="14" t="s">
        <v>316</v>
      </c>
      <c r="C1465" s="14" t="s">
        <v>5287</v>
      </c>
      <c r="D1465" s="14">
        <v>95.0</v>
      </c>
      <c r="E1465" s="14" t="s">
        <v>318</v>
      </c>
      <c r="F1465" s="14" t="s">
        <v>5288</v>
      </c>
      <c r="G1465" s="14" t="s">
        <v>5289</v>
      </c>
      <c r="H1465" s="13"/>
      <c r="I1465" s="13"/>
      <c r="J1465" s="13"/>
      <c r="K1465" s="13"/>
      <c r="L1465" s="13"/>
      <c r="M1465" s="13"/>
      <c r="N1465" s="13"/>
      <c r="O1465" s="13"/>
      <c r="P1465" s="13"/>
      <c r="Q1465" s="13"/>
      <c r="R1465" s="13"/>
      <c r="S1465" s="13"/>
    </row>
    <row r="1466" ht="15.75" customHeight="1">
      <c r="A1466" s="14" t="s">
        <v>5290</v>
      </c>
      <c r="B1466" s="14" t="s">
        <v>316</v>
      </c>
      <c r="C1466" s="14" t="s">
        <v>5291</v>
      </c>
      <c r="D1466" s="14">
        <v>100.0</v>
      </c>
      <c r="E1466" s="14" t="s">
        <v>318</v>
      </c>
      <c r="F1466" s="14" t="s">
        <v>5292</v>
      </c>
      <c r="G1466" s="14" t="s">
        <v>5293</v>
      </c>
      <c r="H1466" s="13"/>
      <c r="I1466" s="13"/>
      <c r="J1466" s="13"/>
      <c r="K1466" s="13"/>
      <c r="L1466" s="13"/>
      <c r="M1466" s="13"/>
      <c r="N1466" s="13"/>
      <c r="O1466" s="13"/>
      <c r="P1466" s="13"/>
      <c r="Q1466" s="13"/>
      <c r="R1466" s="13"/>
      <c r="S1466" s="13"/>
    </row>
    <row r="1467" ht="15.75" customHeight="1">
      <c r="A1467" s="14" t="s">
        <v>5294</v>
      </c>
      <c r="B1467" s="14" t="s">
        <v>316</v>
      </c>
      <c r="C1467" s="14" t="s">
        <v>5295</v>
      </c>
      <c r="D1467" s="14">
        <v>100.0</v>
      </c>
      <c r="E1467" s="14" t="s">
        <v>318</v>
      </c>
      <c r="F1467" s="14" t="s">
        <v>5296</v>
      </c>
      <c r="G1467" s="14" t="s">
        <v>5297</v>
      </c>
      <c r="H1467" s="13"/>
      <c r="I1467" s="13"/>
      <c r="J1467" s="13"/>
      <c r="K1467" s="13"/>
      <c r="L1467" s="13"/>
      <c r="M1467" s="13"/>
      <c r="N1467" s="13"/>
      <c r="O1467" s="13"/>
      <c r="P1467" s="13"/>
      <c r="Q1467" s="13"/>
      <c r="R1467" s="13"/>
      <c r="S1467" s="13"/>
    </row>
    <row r="1468" ht="15.75" customHeight="1">
      <c r="A1468" s="14" t="s">
        <v>5298</v>
      </c>
      <c r="B1468" s="14" t="s">
        <v>316</v>
      </c>
      <c r="C1468" s="14" t="s">
        <v>5299</v>
      </c>
      <c r="D1468" s="14">
        <v>100.0</v>
      </c>
      <c r="E1468" s="14" t="s">
        <v>318</v>
      </c>
      <c r="F1468" s="14" t="s">
        <v>5300</v>
      </c>
      <c r="G1468" s="14" t="s">
        <v>5301</v>
      </c>
      <c r="H1468" s="13"/>
      <c r="I1468" s="13"/>
      <c r="J1468" s="13"/>
      <c r="K1468" s="13"/>
      <c r="L1468" s="13"/>
      <c r="M1468" s="13"/>
      <c r="N1468" s="13"/>
      <c r="O1468" s="13"/>
      <c r="P1468" s="13"/>
      <c r="Q1468" s="13"/>
      <c r="R1468" s="13"/>
      <c r="S1468" s="13"/>
    </row>
    <row r="1469" ht="15.75" customHeight="1">
      <c r="A1469" s="14" t="s">
        <v>5302</v>
      </c>
      <c r="B1469" s="14" t="s">
        <v>316</v>
      </c>
      <c r="C1469" s="14" t="s">
        <v>5303</v>
      </c>
      <c r="D1469" s="14">
        <v>100.0</v>
      </c>
      <c r="E1469" s="14" t="s">
        <v>318</v>
      </c>
      <c r="F1469" s="14" t="s">
        <v>5304</v>
      </c>
      <c r="G1469" s="14" t="s">
        <v>5305</v>
      </c>
      <c r="H1469" s="13"/>
      <c r="I1469" s="13"/>
      <c r="J1469" s="13"/>
      <c r="K1469" s="13"/>
      <c r="L1469" s="13"/>
      <c r="M1469" s="13"/>
      <c r="N1469" s="13"/>
      <c r="O1469" s="13"/>
      <c r="P1469" s="13"/>
      <c r="Q1469" s="13"/>
      <c r="R1469" s="13"/>
      <c r="S1469" s="13"/>
    </row>
    <row r="1470" ht="15.75" customHeight="1">
      <c r="A1470" s="14" t="s">
        <v>5306</v>
      </c>
      <c r="B1470" s="14" t="s">
        <v>316</v>
      </c>
      <c r="C1470" s="14" t="s">
        <v>5307</v>
      </c>
      <c r="D1470" s="14">
        <v>100.0</v>
      </c>
      <c r="E1470" s="14" t="s">
        <v>318</v>
      </c>
      <c r="F1470" s="14" t="s">
        <v>5308</v>
      </c>
      <c r="G1470" s="14" t="s">
        <v>5309</v>
      </c>
      <c r="H1470" s="13"/>
      <c r="I1470" s="13"/>
      <c r="J1470" s="13"/>
      <c r="K1470" s="13"/>
      <c r="L1470" s="13"/>
      <c r="M1470" s="13"/>
      <c r="N1470" s="13"/>
      <c r="O1470" s="13"/>
      <c r="P1470" s="13"/>
      <c r="Q1470" s="13"/>
      <c r="R1470" s="13"/>
      <c r="S1470" s="13"/>
    </row>
    <row r="1471" ht="15.75" customHeight="1">
      <c r="A1471" s="14" t="s">
        <v>5310</v>
      </c>
      <c r="B1471" s="14" t="s">
        <v>316</v>
      </c>
      <c r="C1471" s="14" t="s">
        <v>5311</v>
      </c>
      <c r="D1471" s="14">
        <v>100.0</v>
      </c>
      <c r="E1471" s="14" t="s">
        <v>318</v>
      </c>
      <c r="F1471" s="14" t="s">
        <v>5312</v>
      </c>
      <c r="G1471" s="14" t="s">
        <v>5313</v>
      </c>
      <c r="H1471" s="13"/>
      <c r="I1471" s="13"/>
      <c r="J1471" s="13"/>
      <c r="K1471" s="13"/>
      <c r="L1471" s="13"/>
      <c r="M1471" s="13"/>
      <c r="N1471" s="13"/>
      <c r="O1471" s="13"/>
      <c r="P1471" s="13"/>
      <c r="Q1471" s="13"/>
      <c r="R1471" s="13"/>
      <c r="S1471" s="13"/>
    </row>
    <row r="1472" ht="15.75" customHeight="1">
      <c r="A1472" s="14" t="s">
        <v>5314</v>
      </c>
      <c r="B1472" s="14" t="s">
        <v>316</v>
      </c>
      <c r="C1472" s="14" t="s">
        <v>5315</v>
      </c>
      <c r="D1472" s="14">
        <v>100.0</v>
      </c>
      <c r="E1472" s="14" t="s">
        <v>318</v>
      </c>
      <c r="F1472" s="14" t="s">
        <v>5316</v>
      </c>
      <c r="G1472" s="14" t="s">
        <v>5317</v>
      </c>
      <c r="H1472" s="13"/>
      <c r="I1472" s="13"/>
      <c r="J1472" s="13"/>
      <c r="K1472" s="13"/>
      <c r="L1472" s="13"/>
      <c r="M1472" s="13"/>
      <c r="N1472" s="13"/>
      <c r="O1472" s="13"/>
      <c r="P1472" s="13"/>
      <c r="Q1472" s="13"/>
      <c r="R1472" s="13"/>
      <c r="S1472" s="13"/>
    </row>
    <row r="1473" ht="15.75" customHeight="1">
      <c r="A1473" s="14" t="s">
        <v>5318</v>
      </c>
      <c r="B1473" s="14" t="s">
        <v>316</v>
      </c>
      <c r="C1473" s="14" t="s">
        <v>5319</v>
      </c>
      <c r="D1473" s="14">
        <v>100.0</v>
      </c>
      <c r="E1473" s="14" t="s">
        <v>318</v>
      </c>
      <c r="F1473" s="14" t="s">
        <v>5320</v>
      </c>
      <c r="G1473" s="14" t="s">
        <v>5321</v>
      </c>
      <c r="H1473" s="13"/>
      <c r="I1473" s="13"/>
      <c r="J1473" s="13"/>
      <c r="K1473" s="13"/>
      <c r="L1473" s="13"/>
      <c r="M1473" s="13"/>
      <c r="N1473" s="13"/>
      <c r="O1473" s="13"/>
      <c r="P1473" s="13"/>
      <c r="Q1473" s="13"/>
      <c r="R1473" s="13"/>
      <c r="S1473" s="13"/>
    </row>
    <row r="1474" ht="15.75" customHeight="1">
      <c r="A1474" s="14" t="s">
        <v>5322</v>
      </c>
      <c r="B1474" s="14" t="s">
        <v>316</v>
      </c>
      <c r="C1474" s="14" t="s">
        <v>5323</v>
      </c>
      <c r="D1474" s="14">
        <v>100.0</v>
      </c>
      <c r="E1474" s="14" t="s">
        <v>318</v>
      </c>
      <c r="F1474" s="14" t="s">
        <v>5324</v>
      </c>
      <c r="G1474" s="14" t="s">
        <v>5325</v>
      </c>
      <c r="H1474" s="13"/>
      <c r="I1474" s="13"/>
      <c r="J1474" s="13"/>
      <c r="K1474" s="13"/>
      <c r="L1474" s="13"/>
      <c r="M1474" s="13"/>
      <c r="N1474" s="13"/>
      <c r="O1474" s="13"/>
      <c r="P1474" s="13"/>
      <c r="Q1474" s="13"/>
      <c r="R1474" s="13"/>
      <c r="S1474" s="13"/>
    </row>
    <row r="1475" ht="15.75" customHeight="1">
      <c r="A1475" s="14" t="s">
        <v>5326</v>
      </c>
      <c r="B1475" s="14" t="s">
        <v>316</v>
      </c>
      <c r="C1475" s="14" t="s">
        <v>5327</v>
      </c>
      <c r="D1475" s="14">
        <v>100.0</v>
      </c>
      <c r="E1475" s="14" t="s">
        <v>318</v>
      </c>
      <c r="F1475" s="14" t="s">
        <v>5328</v>
      </c>
      <c r="G1475" s="14" t="s">
        <v>5329</v>
      </c>
      <c r="H1475" s="13"/>
      <c r="I1475" s="13"/>
      <c r="J1475" s="13"/>
      <c r="K1475" s="13"/>
      <c r="L1475" s="13"/>
      <c r="M1475" s="13"/>
      <c r="N1475" s="13"/>
      <c r="O1475" s="13"/>
      <c r="P1475" s="13"/>
      <c r="Q1475" s="13"/>
      <c r="R1475" s="13"/>
      <c r="S1475" s="13"/>
    </row>
    <row r="1476" ht="15.75" customHeight="1">
      <c r="A1476" s="14" t="s">
        <v>5330</v>
      </c>
      <c r="B1476" s="14" t="s">
        <v>316</v>
      </c>
      <c r="C1476" s="14" t="s">
        <v>5331</v>
      </c>
      <c r="D1476" s="14">
        <v>100.0</v>
      </c>
      <c r="E1476" s="14" t="s">
        <v>318</v>
      </c>
      <c r="F1476" s="14" t="s">
        <v>5332</v>
      </c>
      <c r="G1476" s="14" t="s">
        <v>5333</v>
      </c>
      <c r="H1476" s="13"/>
      <c r="I1476" s="13"/>
      <c r="J1476" s="13"/>
      <c r="K1476" s="13"/>
      <c r="L1476" s="13"/>
      <c r="M1476" s="13"/>
      <c r="N1476" s="13"/>
      <c r="O1476" s="13"/>
      <c r="P1476" s="13"/>
      <c r="Q1476" s="13"/>
      <c r="R1476" s="13"/>
      <c r="S1476" s="13"/>
    </row>
    <row r="1477" ht="15.75" customHeight="1">
      <c r="A1477" s="14" t="s">
        <v>5334</v>
      </c>
      <c r="B1477" s="14" t="s">
        <v>316</v>
      </c>
      <c r="C1477" s="14" t="s">
        <v>5335</v>
      </c>
      <c r="D1477" s="14">
        <v>100.0</v>
      </c>
      <c r="E1477" s="14" t="s">
        <v>318</v>
      </c>
      <c r="F1477" s="14" t="s">
        <v>5336</v>
      </c>
      <c r="G1477" s="14" t="s">
        <v>5337</v>
      </c>
      <c r="H1477" s="13"/>
      <c r="I1477" s="13"/>
      <c r="J1477" s="13"/>
      <c r="K1477" s="13"/>
      <c r="L1477" s="13"/>
      <c r="M1477" s="13"/>
      <c r="N1477" s="13"/>
      <c r="O1477" s="13"/>
      <c r="P1477" s="13"/>
      <c r="Q1477" s="13"/>
      <c r="R1477" s="13"/>
      <c r="S1477" s="13"/>
    </row>
    <row r="1478" ht="15.75" customHeight="1">
      <c r="A1478" s="14" t="s">
        <v>5338</v>
      </c>
      <c r="B1478" s="14" t="s">
        <v>316</v>
      </c>
      <c r="C1478" s="14" t="s">
        <v>5339</v>
      </c>
      <c r="D1478" s="14">
        <v>100.0</v>
      </c>
      <c r="E1478" s="14" t="s">
        <v>318</v>
      </c>
      <c r="F1478" s="14" t="s">
        <v>5340</v>
      </c>
      <c r="G1478" s="14" t="s">
        <v>5341</v>
      </c>
      <c r="H1478" s="13"/>
      <c r="I1478" s="13"/>
      <c r="J1478" s="13"/>
      <c r="K1478" s="13"/>
      <c r="L1478" s="13"/>
      <c r="M1478" s="13"/>
      <c r="N1478" s="13"/>
      <c r="O1478" s="13"/>
      <c r="P1478" s="13"/>
      <c r="Q1478" s="13"/>
      <c r="R1478" s="13"/>
      <c r="S1478" s="13"/>
    </row>
    <row r="1479" ht="15.75" customHeight="1">
      <c r="A1479" s="14" t="s">
        <v>5342</v>
      </c>
      <c r="B1479" s="14" t="s">
        <v>316</v>
      </c>
      <c r="C1479" s="14" t="s">
        <v>5343</v>
      </c>
      <c r="D1479" s="14">
        <v>100.0</v>
      </c>
      <c r="E1479" s="14" t="s">
        <v>318</v>
      </c>
      <c r="F1479" s="14" t="s">
        <v>2028</v>
      </c>
      <c r="G1479" s="14" t="s">
        <v>5344</v>
      </c>
      <c r="H1479" s="13"/>
      <c r="I1479" s="13"/>
      <c r="J1479" s="13"/>
      <c r="K1479" s="13"/>
      <c r="L1479" s="13"/>
      <c r="M1479" s="13"/>
      <c r="N1479" s="13"/>
      <c r="O1479" s="13"/>
      <c r="P1479" s="13"/>
      <c r="Q1479" s="13"/>
      <c r="R1479" s="13"/>
      <c r="S1479" s="13"/>
    </row>
    <row r="1480" ht="15.75" customHeight="1">
      <c r="A1480" s="14" t="s">
        <v>5345</v>
      </c>
      <c r="B1480" s="14" t="s">
        <v>316</v>
      </c>
      <c r="C1480" s="14" t="s">
        <v>5346</v>
      </c>
      <c r="D1480" s="14">
        <v>100.0</v>
      </c>
      <c r="E1480" s="14" t="s">
        <v>318</v>
      </c>
      <c r="F1480" s="14" t="s">
        <v>5347</v>
      </c>
      <c r="G1480" s="14" t="s">
        <v>5348</v>
      </c>
      <c r="H1480" s="13"/>
      <c r="I1480" s="13"/>
      <c r="J1480" s="13"/>
      <c r="K1480" s="13"/>
      <c r="L1480" s="13"/>
      <c r="M1480" s="13"/>
      <c r="N1480" s="13"/>
      <c r="O1480" s="13"/>
      <c r="P1480" s="13"/>
      <c r="Q1480" s="13"/>
      <c r="R1480" s="13"/>
      <c r="S1480" s="13"/>
    </row>
    <row r="1481" ht="15.75" customHeight="1">
      <c r="A1481" s="14" t="s">
        <v>5349</v>
      </c>
      <c r="B1481" s="14" t="s">
        <v>316</v>
      </c>
      <c r="C1481" s="14" t="s">
        <v>5350</v>
      </c>
      <c r="D1481" s="14">
        <v>100.0</v>
      </c>
      <c r="E1481" s="14" t="s">
        <v>318</v>
      </c>
      <c r="F1481" s="14" t="s">
        <v>5351</v>
      </c>
      <c r="G1481" s="14" t="s">
        <v>5352</v>
      </c>
      <c r="H1481" s="13"/>
      <c r="I1481" s="13"/>
      <c r="J1481" s="13"/>
      <c r="K1481" s="13"/>
      <c r="L1481" s="13"/>
      <c r="M1481" s="13"/>
      <c r="N1481" s="13"/>
      <c r="O1481" s="13"/>
      <c r="P1481" s="13"/>
      <c r="Q1481" s="13"/>
      <c r="R1481" s="13"/>
      <c r="S1481" s="13"/>
    </row>
    <row r="1482" ht="15.75" customHeight="1">
      <c r="A1482" s="14" t="s">
        <v>5353</v>
      </c>
      <c r="B1482" s="14" t="s">
        <v>316</v>
      </c>
      <c r="C1482" s="14" t="s">
        <v>5354</v>
      </c>
      <c r="D1482" s="14">
        <v>100.0</v>
      </c>
      <c r="E1482" s="14" t="s">
        <v>318</v>
      </c>
      <c r="F1482" s="14" t="s">
        <v>5355</v>
      </c>
      <c r="G1482" s="14" t="s">
        <v>5356</v>
      </c>
      <c r="H1482" s="13"/>
      <c r="I1482" s="13"/>
      <c r="J1482" s="13"/>
      <c r="K1482" s="13"/>
      <c r="L1482" s="13"/>
      <c r="M1482" s="13"/>
      <c r="N1482" s="13"/>
      <c r="O1482" s="13"/>
      <c r="P1482" s="13"/>
      <c r="Q1482" s="13"/>
      <c r="R1482" s="13"/>
      <c r="S1482" s="13"/>
    </row>
    <row r="1483" ht="15.75" customHeight="1">
      <c r="A1483" s="14" t="s">
        <v>5357</v>
      </c>
      <c r="B1483" s="14" t="s">
        <v>316</v>
      </c>
      <c r="C1483" s="14" t="s">
        <v>5358</v>
      </c>
      <c r="D1483" s="14">
        <v>100.0</v>
      </c>
      <c r="E1483" s="14" t="s">
        <v>318</v>
      </c>
      <c r="F1483" s="14" t="s">
        <v>5359</v>
      </c>
      <c r="G1483" s="14" t="s">
        <v>5360</v>
      </c>
      <c r="H1483" s="13"/>
      <c r="I1483" s="13"/>
      <c r="J1483" s="13"/>
      <c r="K1483" s="13"/>
      <c r="L1483" s="13"/>
      <c r="M1483" s="13"/>
      <c r="N1483" s="13"/>
      <c r="O1483" s="13"/>
      <c r="P1483" s="13"/>
      <c r="Q1483" s="13"/>
      <c r="R1483" s="13"/>
      <c r="S1483" s="13"/>
    </row>
    <row r="1484" ht="15.75" customHeight="1">
      <c r="A1484" s="14" t="s">
        <v>5361</v>
      </c>
      <c r="B1484" s="14" t="s">
        <v>316</v>
      </c>
      <c r="C1484" s="14" t="s">
        <v>5362</v>
      </c>
      <c r="D1484" s="14">
        <v>100.0</v>
      </c>
      <c r="E1484" s="14" t="s">
        <v>318</v>
      </c>
      <c r="F1484" s="14" t="s">
        <v>5363</v>
      </c>
      <c r="G1484" s="14" t="s">
        <v>5364</v>
      </c>
      <c r="H1484" s="13"/>
      <c r="I1484" s="13"/>
      <c r="J1484" s="13"/>
      <c r="K1484" s="13"/>
      <c r="L1484" s="13"/>
      <c r="M1484" s="13"/>
      <c r="N1484" s="13"/>
      <c r="O1484" s="13"/>
      <c r="P1484" s="13"/>
      <c r="Q1484" s="13"/>
      <c r="R1484" s="13"/>
      <c r="S1484" s="13"/>
    </row>
    <row r="1485" ht="15.75" customHeight="1">
      <c r="A1485" s="14" t="s">
        <v>5365</v>
      </c>
      <c r="B1485" s="14" t="s">
        <v>316</v>
      </c>
      <c r="C1485" s="14" t="s">
        <v>5366</v>
      </c>
      <c r="D1485" s="14">
        <v>100.0</v>
      </c>
      <c r="E1485" s="14" t="s">
        <v>318</v>
      </c>
      <c r="F1485" s="14" t="s">
        <v>5367</v>
      </c>
      <c r="G1485" s="14" t="s">
        <v>5368</v>
      </c>
      <c r="H1485" s="13"/>
      <c r="I1485" s="13"/>
      <c r="J1485" s="13"/>
      <c r="K1485" s="13"/>
      <c r="L1485" s="13"/>
      <c r="M1485" s="13"/>
      <c r="N1485" s="13"/>
      <c r="O1485" s="13"/>
      <c r="P1485" s="13"/>
      <c r="Q1485" s="13"/>
      <c r="R1485" s="13"/>
      <c r="S1485" s="13"/>
    </row>
    <row r="1486" ht="15.75" customHeight="1">
      <c r="A1486" s="14" t="s">
        <v>5369</v>
      </c>
      <c r="B1486" s="14" t="s">
        <v>316</v>
      </c>
      <c r="C1486" s="14" t="s">
        <v>5370</v>
      </c>
      <c r="D1486" s="14">
        <v>100.0</v>
      </c>
      <c r="E1486" s="14" t="s">
        <v>318</v>
      </c>
      <c r="F1486" s="14" t="s">
        <v>5371</v>
      </c>
      <c r="G1486" s="14" t="s">
        <v>5372</v>
      </c>
      <c r="H1486" s="13"/>
      <c r="I1486" s="13"/>
      <c r="J1486" s="13"/>
      <c r="K1486" s="13"/>
      <c r="L1486" s="13"/>
      <c r="M1486" s="13"/>
      <c r="N1486" s="13"/>
      <c r="O1486" s="13"/>
      <c r="P1486" s="13"/>
      <c r="Q1486" s="13"/>
      <c r="R1486" s="13"/>
      <c r="S1486" s="13"/>
    </row>
    <row r="1487" ht="15.75" customHeight="1">
      <c r="A1487" s="14" t="s">
        <v>5373</v>
      </c>
      <c r="B1487" s="14" t="s">
        <v>316</v>
      </c>
      <c r="C1487" s="14" t="s">
        <v>5374</v>
      </c>
      <c r="D1487" s="14">
        <v>100.0</v>
      </c>
      <c r="E1487" s="14" t="s">
        <v>318</v>
      </c>
      <c r="F1487" s="14" t="s">
        <v>5375</v>
      </c>
      <c r="G1487" s="14" t="s">
        <v>5376</v>
      </c>
      <c r="H1487" s="13"/>
      <c r="I1487" s="13"/>
      <c r="J1487" s="13"/>
      <c r="K1487" s="13"/>
      <c r="L1487" s="13"/>
      <c r="M1487" s="13"/>
      <c r="N1487" s="13"/>
      <c r="O1487" s="13"/>
      <c r="P1487" s="13"/>
      <c r="Q1487" s="13"/>
      <c r="R1487" s="13"/>
      <c r="S1487" s="13"/>
    </row>
    <row r="1488" ht="15.75" customHeight="1">
      <c r="A1488" s="14" t="s">
        <v>5377</v>
      </c>
      <c r="B1488" s="14" t="s">
        <v>316</v>
      </c>
      <c r="C1488" s="14" t="s">
        <v>5378</v>
      </c>
      <c r="D1488" s="14">
        <v>100.0</v>
      </c>
      <c r="E1488" s="14" t="s">
        <v>318</v>
      </c>
      <c r="F1488" s="14" t="s">
        <v>5379</v>
      </c>
      <c r="G1488" s="14" t="s">
        <v>5380</v>
      </c>
      <c r="H1488" s="13"/>
      <c r="I1488" s="13"/>
      <c r="J1488" s="13"/>
      <c r="K1488" s="13"/>
      <c r="L1488" s="13"/>
      <c r="M1488" s="13"/>
      <c r="N1488" s="13"/>
      <c r="O1488" s="13"/>
      <c r="P1488" s="13"/>
      <c r="Q1488" s="13"/>
      <c r="R1488" s="13"/>
      <c r="S1488" s="13"/>
    </row>
    <row r="1489" ht="15.75" customHeight="1">
      <c r="A1489" s="14" t="s">
        <v>5381</v>
      </c>
      <c r="B1489" s="14" t="s">
        <v>316</v>
      </c>
      <c r="C1489" s="14" t="s">
        <v>5382</v>
      </c>
      <c r="D1489" s="14">
        <v>100.0</v>
      </c>
      <c r="E1489" s="14" t="s">
        <v>318</v>
      </c>
      <c r="F1489" s="14" t="s">
        <v>5383</v>
      </c>
      <c r="G1489" s="14" t="s">
        <v>5384</v>
      </c>
      <c r="H1489" s="13"/>
      <c r="I1489" s="13"/>
      <c r="J1489" s="13"/>
      <c r="K1489" s="13"/>
      <c r="L1489" s="13"/>
      <c r="M1489" s="13"/>
      <c r="N1489" s="13"/>
      <c r="O1489" s="13"/>
      <c r="P1489" s="13"/>
      <c r="Q1489" s="13"/>
      <c r="R1489" s="13"/>
      <c r="S1489" s="13"/>
    </row>
    <row r="1490" ht="15.75" customHeight="1">
      <c r="A1490" s="14" t="s">
        <v>5385</v>
      </c>
      <c r="B1490" s="14" t="s">
        <v>316</v>
      </c>
      <c r="C1490" s="14" t="s">
        <v>5386</v>
      </c>
      <c r="D1490" s="14">
        <v>100.0</v>
      </c>
      <c r="E1490" s="14" t="s">
        <v>318</v>
      </c>
      <c r="F1490" s="14" t="s">
        <v>5387</v>
      </c>
      <c r="G1490" s="14" t="s">
        <v>5388</v>
      </c>
      <c r="H1490" s="13"/>
      <c r="I1490" s="13"/>
      <c r="J1490" s="13"/>
      <c r="K1490" s="13"/>
      <c r="L1490" s="13"/>
      <c r="M1490" s="13"/>
      <c r="N1490" s="13"/>
      <c r="O1490" s="13"/>
      <c r="P1490" s="13"/>
      <c r="Q1490" s="13"/>
      <c r="R1490" s="13"/>
      <c r="S1490" s="13"/>
    </row>
    <row r="1491" ht="15.75" customHeight="1">
      <c r="A1491" s="14" t="s">
        <v>5389</v>
      </c>
      <c r="B1491" s="14" t="s">
        <v>316</v>
      </c>
      <c r="C1491" s="14" t="s">
        <v>5390</v>
      </c>
      <c r="D1491" s="14">
        <v>100.0</v>
      </c>
      <c r="E1491" s="14" t="s">
        <v>318</v>
      </c>
      <c r="F1491" s="14" t="s">
        <v>5391</v>
      </c>
      <c r="G1491" s="14" t="s">
        <v>5392</v>
      </c>
      <c r="H1491" s="13"/>
      <c r="I1491" s="13"/>
      <c r="J1491" s="13"/>
      <c r="K1491" s="13"/>
      <c r="L1491" s="13"/>
      <c r="M1491" s="13"/>
      <c r="N1491" s="13"/>
      <c r="O1491" s="13"/>
      <c r="P1491" s="13"/>
      <c r="Q1491" s="13"/>
      <c r="R1491" s="13"/>
      <c r="S1491" s="13"/>
    </row>
    <row r="1492" ht="15.75" customHeight="1">
      <c r="A1492" s="14" t="s">
        <v>5393</v>
      </c>
      <c r="B1492" s="14" t="s">
        <v>316</v>
      </c>
      <c r="C1492" s="14" t="s">
        <v>5394</v>
      </c>
      <c r="D1492" s="14">
        <v>100.0</v>
      </c>
      <c r="E1492" s="14" t="s">
        <v>318</v>
      </c>
      <c r="F1492" s="14" t="s">
        <v>5395</v>
      </c>
      <c r="G1492" s="14" t="s">
        <v>5396</v>
      </c>
      <c r="H1492" s="13"/>
      <c r="I1492" s="13"/>
      <c r="J1492" s="13"/>
      <c r="K1492" s="13"/>
      <c r="L1492" s="13"/>
      <c r="M1492" s="13"/>
      <c r="N1492" s="13"/>
      <c r="O1492" s="13"/>
      <c r="P1492" s="13"/>
      <c r="Q1492" s="13"/>
      <c r="R1492" s="13"/>
      <c r="S1492" s="13"/>
    </row>
    <row r="1493" ht="15.75" customHeight="1">
      <c r="A1493" s="14" t="s">
        <v>5397</v>
      </c>
      <c r="B1493" s="14" t="s">
        <v>316</v>
      </c>
      <c r="C1493" s="14" t="s">
        <v>5398</v>
      </c>
      <c r="D1493" s="14">
        <v>100.0</v>
      </c>
      <c r="E1493" s="14" t="s">
        <v>318</v>
      </c>
      <c r="F1493" s="14" t="s">
        <v>5399</v>
      </c>
      <c r="G1493" s="14" t="s">
        <v>5400</v>
      </c>
      <c r="H1493" s="13"/>
      <c r="I1493" s="13"/>
      <c r="J1493" s="13"/>
      <c r="K1493" s="13"/>
      <c r="L1493" s="13"/>
      <c r="M1493" s="13"/>
      <c r="N1493" s="13"/>
      <c r="O1493" s="13"/>
      <c r="P1493" s="13"/>
      <c r="Q1493" s="13"/>
      <c r="R1493" s="13"/>
      <c r="S1493" s="13"/>
    </row>
    <row r="1494" ht="15.75" customHeight="1">
      <c r="A1494" s="14" t="s">
        <v>5401</v>
      </c>
      <c r="B1494" s="14" t="s">
        <v>316</v>
      </c>
      <c r="C1494" s="14" t="s">
        <v>5402</v>
      </c>
      <c r="D1494" s="14">
        <v>100.0</v>
      </c>
      <c r="E1494" s="14" t="s">
        <v>318</v>
      </c>
      <c r="F1494" s="14" t="s">
        <v>5403</v>
      </c>
      <c r="G1494" s="14" t="s">
        <v>5404</v>
      </c>
      <c r="H1494" s="13"/>
      <c r="I1494" s="13"/>
      <c r="J1494" s="13"/>
      <c r="K1494" s="13"/>
      <c r="L1494" s="13"/>
      <c r="M1494" s="13"/>
      <c r="N1494" s="13"/>
      <c r="O1494" s="13"/>
      <c r="P1494" s="13"/>
      <c r="Q1494" s="13"/>
      <c r="R1494" s="13"/>
      <c r="S1494" s="13"/>
    </row>
    <row r="1495" ht="15.75" customHeight="1">
      <c r="A1495" s="14" t="s">
        <v>5405</v>
      </c>
      <c r="B1495" s="14" t="s">
        <v>316</v>
      </c>
      <c r="C1495" s="14" t="s">
        <v>5406</v>
      </c>
      <c r="D1495" s="14">
        <v>100.0</v>
      </c>
      <c r="E1495" s="14" t="s">
        <v>318</v>
      </c>
      <c r="F1495" s="14" t="s">
        <v>3369</v>
      </c>
      <c r="G1495" s="14" t="s">
        <v>5407</v>
      </c>
      <c r="H1495" s="13"/>
      <c r="I1495" s="13"/>
      <c r="J1495" s="13"/>
      <c r="K1495" s="13"/>
      <c r="L1495" s="13"/>
      <c r="M1495" s="13"/>
      <c r="N1495" s="13"/>
      <c r="O1495" s="13"/>
      <c r="P1495" s="13"/>
      <c r="Q1495" s="13"/>
      <c r="R1495" s="13"/>
      <c r="S1495" s="13"/>
    </row>
    <row r="1496" ht="15.75" customHeight="1">
      <c r="A1496" s="14" t="s">
        <v>5408</v>
      </c>
      <c r="B1496" s="14" t="s">
        <v>316</v>
      </c>
      <c r="C1496" s="14" t="s">
        <v>5409</v>
      </c>
      <c r="D1496" s="14">
        <v>100.0</v>
      </c>
      <c r="E1496" s="14" t="s">
        <v>318</v>
      </c>
      <c r="F1496" s="14" t="s">
        <v>5410</v>
      </c>
      <c r="G1496" s="14" t="s">
        <v>5411</v>
      </c>
      <c r="H1496" s="13"/>
      <c r="I1496" s="13"/>
      <c r="J1496" s="13"/>
      <c r="K1496" s="13"/>
      <c r="L1496" s="13"/>
      <c r="M1496" s="13"/>
      <c r="N1496" s="13"/>
      <c r="O1496" s="13"/>
      <c r="P1496" s="13"/>
      <c r="Q1496" s="13"/>
      <c r="R1496" s="13"/>
      <c r="S1496" s="13"/>
    </row>
    <row r="1497" ht="15.75" customHeight="1">
      <c r="A1497" s="14" t="s">
        <v>5412</v>
      </c>
      <c r="B1497" s="14" t="s">
        <v>316</v>
      </c>
      <c r="C1497" s="14" t="s">
        <v>5413</v>
      </c>
      <c r="D1497" s="14">
        <v>100.0</v>
      </c>
      <c r="E1497" s="14" t="s">
        <v>318</v>
      </c>
      <c r="F1497" s="14" t="s">
        <v>5414</v>
      </c>
      <c r="G1497" s="14" t="s">
        <v>5415</v>
      </c>
      <c r="H1497" s="13"/>
      <c r="I1497" s="13"/>
      <c r="J1497" s="13"/>
      <c r="K1497" s="13"/>
      <c r="L1497" s="13"/>
      <c r="M1497" s="13"/>
      <c r="N1497" s="13"/>
      <c r="O1497" s="13"/>
      <c r="P1497" s="13"/>
      <c r="Q1497" s="13"/>
      <c r="R1497" s="13"/>
      <c r="S1497" s="13"/>
    </row>
    <row r="1498" ht="15.75" customHeight="1">
      <c r="A1498" s="14" t="s">
        <v>5416</v>
      </c>
      <c r="B1498" s="14" t="s">
        <v>316</v>
      </c>
      <c r="C1498" s="14" t="s">
        <v>5417</v>
      </c>
      <c r="D1498" s="14">
        <v>100.0</v>
      </c>
      <c r="E1498" s="14" t="s">
        <v>318</v>
      </c>
      <c r="F1498" s="14" t="s">
        <v>5418</v>
      </c>
      <c r="G1498" s="14" t="s">
        <v>5419</v>
      </c>
      <c r="H1498" s="13"/>
      <c r="I1498" s="13"/>
      <c r="J1498" s="13"/>
      <c r="K1498" s="13"/>
      <c r="L1498" s="13"/>
      <c r="M1498" s="13"/>
      <c r="N1498" s="13"/>
      <c r="O1498" s="13"/>
      <c r="P1498" s="13"/>
      <c r="Q1498" s="13"/>
      <c r="R1498" s="13"/>
      <c r="S1498" s="13"/>
    </row>
    <row r="1499" ht="15.75" customHeight="1">
      <c r="A1499" s="14" t="s">
        <v>5420</v>
      </c>
      <c r="B1499" s="14" t="s">
        <v>316</v>
      </c>
      <c r="C1499" s="14" t="s">
        <v>5421</v>
      </c>
      <c r="D1499" s="14">
        <v>100.0</v>
      </c>
      <c r="E1499" s="14" t="s">
        <v>318</v>
      </c>
      <c r="F1499" s="14" t="s">
        <v>3921</v>
      </c>
      <c r="G1499" s="14" t="s">
        <v>5422</v>
      </c>
      <c r="H1499" s="13"/>
      <c r="I1499" s="13"/>
      <c r="J1499" s="13"/>
      <c r="K1499" s="13"/>
      <c r="L1499" s="13"/>
      <c r="M1499" s="13"/>
      <c r="N1499" s="13"/>
      <c r="O1499" s="13"/>
      <c r="P1499" s="13"/>
      <c r="Q1499" s="13"/>
      <c r="R1499" s="13"/>
      <c r="S1499" s="13"/>
    </row>
    <row r="1500" ht="15.75" customHeight="1">
      <c r="A1500" s="14" t="s">
        <v>5423</v>
      </c>
      <c r="B1500" s="14" t="s">
        <v>316</v>
      </c>
      <c r="C1500" s="14" t="s">
        <v>5424</v>
      </c>
      <c r="D1500" s="14">
        <v>100.0</v>
      </c>
      <c r="E1500" s="14" t="s">
        <v>318</v>
      </c>
      <c r="F1500" s="14" t="s">
        <v>5425</v>
      </c>
      <c r="G1500" s="14" t="s">
        <v>5426</v>
      </c>
      <c r="H1500" s="13"/>
      <c r="I1500" s="13"/>
      <c r="J1500" s="13"/>
      <c r="K1500" s="13"/>
      <c r="L1500" s="13"/>
      <c r="M1500" s="13"/>
      <c r="N1500" s="13"/>
      <c r="O1500" s="13"/>
      <c r="P1500" s="13"/>
      <c r="Q1500" s="13"/>
      <c r="R1500" s="13"/>
      <c r="S1500" s="13"/>
    </row>
    <row r="1501" ht="15.75" customHeight="1">
      <c r="A1501" s="14" t="s">
        <v>5427</v>
      </c>
      <c r="B1501" s="14" t="s">
        <v>316</v>
      </c>
      <c r="C1501" s="14" t="s">
        <v>5428</v>
      </c>
      <c r="D1501" s="14">
        <v>100.0</v>
      </c>
      <c r="E1501" s="14" t="s">
        <v>318</v>
      </c>
      <c r="F1501" s="14" t="s">
        <v>595</v>
      </c>
      <c r="G1501" s="14" t="s">
        <v>5429</v>
      </c>
      <c r="H1501" s="13"/>
      <c r="I1501" s="13"/>
      <c r="J1501" s="13"/>
      <c r="K1501" s="13"/>
      <c r="L1501" s="13"/>
      <c r="M1501" s="13"/>
      <c r="N1501" s="13"/>
      <c r="O1501" s="13"/>
      <c r="P1501" s="13"/>
      <c r="Q1501" s="13"/>
      <c r="R1501" s="13"/>
      <c r="S1501" s="13"/>
    </row>
    <row r="1502" ht="15.75" customHeight="1">
      <c r="A1502" s="14" t="s">
        <v>5430</v>
      </c>
      <c r="B1502" s="14" t="s">
        <v>316</v>
      </c>
      <c r="C1502" s="14" t="s">
        <v>5431</v>
      </c>
      <c r="D1502" s="14">
        <v>100.0</v>
      </c>
      <c r="E1502" s="14" t="s">
        <v>318</v>
      </c>
      <c r="F1502" s="14" t="s">
        <v>5432</v>
      </c>
      <c r="G1502" s="14" t="s">
        <v>5433</v>
      </c>
      <c r="H1502" s="13"/>
      <c r="I1502" s="13"/>
      <c r="J1502" s="13"/>
      <c r="K1502" s="13"/>
      <c r="L1502" s="13"/>
      <c r="M1502" s="13"/>
      <c r="N1502" s="13"/>
      <c r="O1502" s="13"/>
      <c r="P1502" s="13"/>
      <c r="Q1502" s="13"/>
      <c r="R1502" s="13"/>
      <c r="S1502" s="13"/>
    </row>
    <row r="1503" ht="15.75" customHeight="1">
      <c r="A1503" s="14" t="s">
        <v>5434</v>
      </c>
      <c r="B1503" s="14" t="s">
        <v>316</v>
      </c>
      <c r="C1503" s="14" t="s">
        <v>5435</v>
      </c>
      <c r="D1503" s="14">
        <v>100.0</v>
      </c>
      <c r="E1503" s="14" t="s">
        <v>318</v>
      </c>
      <c r="F1503" s="14" t="s">
        <v>5436</v>
      </c>
      <c r="G1503" s="14" t="s">
        <v>5437</v>
      </c>
      <c r="H1503" s="13"/>
      <c r="I1503" s="13"/>
      <c r="J1503" s="13"/>
      <c r="K1503" s="13"/>
      <c r="L1503" s="13"/>
      <c r="M1503" s="13"/>
      <c r="N1503" s="13"/>
      <c r="O1503" s="13"/>
      <c r="P1503" s="13"/>
      <c r="Q1503" s="13"/>
      <c r="R1503" s="13"/>
      <c r="S1503" s="13"/>
    </row>
    <row r="1504" ht="15.75" customHeight="1">
      <c r="A1504" s="14" t="s">
        <v>5438</v>
      </c>
      <c r="B1504" s="14" t="s">
        <v>316</v>
      </c>
      <c r="C1504" s="14" t="s">
        <v>5439</v>
      </c>
      <c r="D1504" s="14">
        <v>100.0</v>
      </c>
      <c r="E1504" s="14" t="s">
        <v>318</v>
      </c>
      <c r="F1504" s="14" t="s">
        <v>5440</v>
      </c>
      <c r="G1504" s="14" t="s">
        <v>5441</v>
      </c>
      <c r="H1504" s="13"/>
      <c r="I1504" s="13"/>
      <c r="J1504" s="13"/>
      <c r="K1504" s="13"/>
      <c r="L1504" s="13"/>
      <c r="M1504" s="13"/>
      <c r="N1504" s="13"/>
      <c r="O1504" s="13"/>
      <c r="P1504" s="13"/>
      <c r="Q1504" s="13"/>
      <c r="R1504" s="13"/>
      <c r="S1504" s="13"/>
    </row>
    <row r="1505" ht="15.75" customHeight="1">
      <c r="A1505" s="14" t="s">
        <v>5442</v>
      </c>
      <c r="B1505" s="14" t="s">
        <v>316</v>
      </c>
      <c r="C1505" s="14" t="s">
        <v>5443</v>
      </c>
      <c r="D1505" s="14">
        <v>100.0</v>
      </c>
      <c r="E1505" s="14" t="s">
        <v>318</v>
      </c>
      <c r="F1505" s="14" t="s">
        <v>5444</v>
      </c>
      <c r="G1505" s="14" t="s">
        <v>5445</v>
      </c>
      <c r="H1505" s="13"/>
      <c r="I1505" s="13"/>
      <c r="J1505" s="13"/>
      <c r="K1505" s="13"/>
      <c r="L1505" s="13"/>
      <c r="M1505" s="13"/>
      <c r="N1505" s="13"/>
      <c r="O1505" s="13"/>
      <c r="P1505" s="13"/>
      <c r="Q1505" s="13"/>
      <c r="R1505" s="13"/>
      <c r="S1505" s="13"/>
    </row>
    <row r="1506" ht="15.75" customHeight="1">
      <c r="A1506" s="14" t="s">
        <v>5446</v>
      </c>
      <c r="B1506" s="14" t="s">
        <v>316</v>
      </c>
      <c r="C1506" s="14" t="s">
        <v>5447</v>
      </c>
      <c r="D1506" s="14">
        <v>100.0</v>
      </c>
      <c r="E1506" s="14" t="s">
        <v>318</v>
      </c>
      <c r="F1506" s="14" t="s">
        <v>5448</v>
      </c>
      <c r="G1506" s="14" t="s">
        <v>5449</v>
      </c>
      <c r="H1506" s="13"/>
      <c r="I1506" s="13"/>
      <c r="J1506" s="13"/>
      <c r="K1506" s="13"/>
      <c r="L1506" s="13"/>
      <c r="M1506" s="13"/>
      <c r="N1506" s="13"/>
      <c r="O1506" s="13"/>
      <c r="P1506" s="13"/>
      <c r="Q1506" s="13"/>
      <c r="R1506" s="13"/>
      <c r="S1506" s="13"/>
    </row>
    <row r="1507" ht="15.75" customHeight="1">
      <c r="A1507" s="14" t="s">
        <v>5450</v>
      </c>
      <c r="B1507" s="14" t="s">
        <v>316</v>
      </c>
      <c r="C1507" s="14" t="s">
        <v>5451</v>
      </c>
      <c r="D1507" s="14">
        <v>100.0</v>
      </c>
      <c r="E1507" s="14" t="s">
        <v>318</v>
      </c>
      <c r="F1507" s="14" t="s">
        <v>5452</v>
      </c>
      <c r="G1507" s="14" t="s">
        <v>5453</v>
      </c>
      <c r="H1507" s="13"/>
      <c r="I1507" s="13"/>
      <c r="J1507" s="13"/>
      <c r="K1507" s="13"/>
      <c r="L1507" s="13"/>
      <c r="M1507" s="13"/>
      <c r="N1507" s="13"/>
      <c r="O1507" s="13"/>
      <c r="P1507" s="13"/>
      <c r="Q1507" s="13"/>
      <c r="R1507" s="13"/>
      <c r="S1507" s="13"/>
    </row>
    <row r="1508" ht="15.75" customHeight="1">
      <c r="A1508" s="14" t="s">
        <v>5454</v>
      </c>
      <c r="B1508" s="14" t="s">
        <v>316</v>
      </c>
      <c r="C1508" s="14" t="s">
        <v>5455</v>
      </c>
      <c r="D1508" s="14">
        <v>100.0</v>
      </c>
      <c r="E1508" s="14" t="s">
        <v>318</v>
      </c>
      <c r="F1508" s="14" t="s">
        <v>5456</v>
      </c>
      <c r="G1508" s="14" t="s">
        <v>5457</v>
      </c>
      <c r="H1508" s="13"/>
      <c r="I1508" s="13"/>
      <c r="J1508" s="13"/>
      <c r="K1508" s="13"/>
      <c r="L1508" s="13"/>
      <c r="M1508" s="13"/>
      <c r="N1508" s="13"/>
      <c r="O1508" s="13"/>
      <c r="P1508" s="13"/>
      <c r="Q1508" s="13"/>
      <c r="R1508" s="13"/>
      <c r="S1508" s="13"/>
    </row>
    <row r="1509" ht="15.75" customHeight="1">
      <c r="A1509" s="14" t="s">
        <v>5458</v>
      </c>
      <c r="B1509" s="14" t="s">
        <v>316</v>
      </c>
      <c r="C1509" s="14" t="s">
        <v>5459</v>
      </c>
      <c r="D1509" s="14">
        <v>100.0</v>
      </c>
      <c r="E1509" s="14" t="s">
        <v>318</v>
      </c>
      <c r="F1509" s="14" t="s">
        <v>5460</v>
      </c>
      <c r="G1509" s="14" t="s">
        <v>5461</v>
      </c>
      <c r="H1509" s="13"/>
      <c r="I1509" s="13"/>
      <c r="J1509" s="13"/>
      <c r="K1509" s="13"/>
      <c r="L1509" s="13"/>
      <c r="M1509" s="13"/>
      <c r="N1509" s="13"/>
      <c r="O1509" s="13"/>
      <c r="P1509" s="13"/>
      <c r="Q1509" s="13"/>
      <c r="R1509" s="13"/>
      <c r="S1509" s="13"/>
    </row>
    <row r="1510" ht="15.75" customHeight="1">
      <c r="A1510" s="14" t="s">
        <v>5462</v>
      </c>
      <c r="B1510" s="14" t="s">
        <v>316</v>
      </c>
      <c r="C1510" s="14" t="s">
        <v>5463</v>
      </c>
      <c r="D1510" s="14">
        <v>100.0</v>
      </c>
      <c r="E1510" s="14" t="s">
        <v>318</v>
      </c>
      <c r="F1510" s="14" t="s">
        <v>5464</v>
      </c>
      <c r="G1510" s="14" t="s">
        <v>5465</v>
      </c>
      <c r="H1510" s="13"/>
      <c r="I1510" s="13"/>
      <c r="J1510" s="13"/>
      <c r="K1510" s="13"/>
      <c r="L1510" s="13"/>
      <c r="M1510" s="13"/>
      <c r="N1510" s="13"/>
      <c r="O1510" s="13"/>
      <c r="P1510" s="13"/>
      <c r="Q1510" s="13"/>
      <c r="R1510" s="13"/>
      <c r="S1510" s="13"/>
    </row>
    <row r="1511" ht="15.75" customHeight="1">
      <c r="A1511" s="14" t="s">
        <v>5466</v>
      </c>
      <c r="B1511" s="14" t="s">
        <v>316</v>
      </c>
      <c r="C1511" s="14" t="s">
        <v>5467</v>
      </c>
      <c r="D1511" s="14">
        <v>100.0</v>
      </c>
      <c r="E1511" s="14" t="s">
        <v>318</v>
      </c>
      <c r="F1511" s="14" t="s">
        <v>5468</v>
      </c>
      <c r="G1511" s="14" t="s">
        <v>5469</v>
      </c>
      <c r="H1511" s="13"/>
      <c r="I1511" s="13"/>
      <c r="J1511" s="13"/>
      <c r="K1511" s="13"/>
      <c r="L1511" s="13"/>
      <c r="M1511" s="13"/>
      <c r="N1511" s="13"/>
      <c r="O1511" s="13"/>
      <c r="P1511" s="13"/>
      <c r="Q1511" s="13"/>
      <c r="R1511" s="13"/>
      <c r="S1511" s="13"/>
    </row>
    <row r="1512" ht="15.75" customHeight="1">
      <c r="A1512" s="14" t="s">
        <v>5470</v>
      </c>
      <c r="B1512" s="14" t="s">
        <v>316</v>
      </c>
      <c r="C1512" s="14" t="s">
        <v>5471</v>
      </c>
      <c r="D1512" s="14">
        <v>100.0</v>
      </c>
      <c r="E1512" s="14" t="s">
        <v>318</v>
      </c>
      <c r="F1512" s="14" t="s">
        <v>5472</v>
      </c>
      <c r="G1512" s="14" t="s">
        <v>5473</v>
      </c>
      <c r="H1512" s="13"/>
      <c r="I1512" s="13"/>
      <c r="J1512" s="13"/>
      <c r="K1512" s="13"/>
      <c r="L1512" s="13"/>
      <c r="M1512" s="13"/>
      <c r="N1512" s="13"/>
      <c r="O1512" s="13"/>
      <c r="P1512" s="13"/>
      <c r="Q1512" s="13"/>
      <c r="R1512" s="13"/>
      <c r="S1512" s="13"/>
    </row>
    <row r="1513" ht="15.75" customHeight="1">
      <c r="A1513" s="14" t="s">
        <v>5474</v>
      </c>
      <c r="B1513" s="14" t="s">
        <v>316</v>
      </c>
      <c r="C1513" s="14" t="s">
        <v>5475</v>
      </c>
      <c r="D1513" s="14">
        <v>100.0</v>
      </c>
      <c r="E1513" s="14" t="s">
        <v>318</v>
      </c>
      <c r="F1513" s="14" t="s">
        <v>5476</v>
      </c>
      <c r="G1513" s="14" t="s">
        <v>5477</v>
      </c>
      <c r="H1513" s="13"/>
      <c r="I1513" s="13"/>
      <c r="J1513" s="13"/>
      <c r="K1513" s="13"/>
      <c r="L1513" s="13"/>
      <c r="M1513" s="13"/>
      <c r="N1513" s="13"/>
      <c r="O1513" s="13"/>
      <c r="P1513" s="13"/>
      <c r="Q1513" s="13"/>
      <c r="R1513" s="13"/>
      <c r="S1513" s="13"/>
    </row>
    <row r="1514" ht="15.75" customHeight="1">
      <c r="A1514" s="14" t="s">
        <v>5478</v>
      </c>
      <c r="B1514" s="14" t="s">
        <v>316</v>
      </c>
      <c r="C1514" s="14" t="s">
        <v>5479</v>
      </c>
      <c r="D1514" s="14">
        <v>100.0</v>
      </c>
      <c r="E1514" s="14" t="s">
        <v>318</v>
      </c>
      <c r="F1514" s="14" t="s">
        <v>2595</v>
      </c>
      <c r="G1514" s="14" t="s">
        <v>5480</v>
      </c>
      <c r="H1514" s="13"/>
      <c r="I1514" s="13"/>
      <c r="J1514" s="13"/>
      <c r="K1514" s="13"/>
      <c r="L1514" s="13"/>
      <c r="M1514" s="13"/>
      <c r="N1514" s="13"/>
      <c r="O1514" s="13"/>
      <c r="P1514" s="13"/>
      <c r="Q1514" s="13"/>
      <c r="R1514" s="13"/>
      <c r="S1514" s="13"/>
    </row>
    <row r="1515" ht="15.75" customHeight="1">
      <c r="A1515" s="14" t="s">
        <v>5481</v>
      </c>
      <c r="B1515" s="14" t="s">
        <v>316</v>
      </c>
      <c r="C1515" s="14" t="s">
        <v>5482</v>
      </c>
      <c r="D1515" s="14">
        <v>100.0</v>
      </c>
      <c r="E1515" s="14" t="s">
        <v>318</v>
      </c>
      <c r="F1515" s="14" t="s">
        <v>5483</v>
      </c>
      <c r="G1515" s="14" t="s">
        <v>5484</v>
      </c>
      <c r="H1515" s="13"/>
      <c r="I1515" s="13"/>
      <c r="J1515" s="13"/>
      <c r="K1515" s="13"/>
      <c r="L1515" s="13"/>
      <c r="M1515" s="13"/>
      <c r="N1515" s="13"/>
      <c r="O1515" s="13"/>
      <c r="P1515" s="13"/>
      <c r="Q1515" s="13"/>
      <c r="R1515" s="13"/>
      <c r="S1515" s="13"/>
    </row>
    <row r="1516" ht="15.75" customHeight="1">
      <c r="A1516" s="14" t="s">
        <v>5485</v>
      </c>
      <c r="B1516" s="14" t="s">
        <v>316</v>
      </c>
      <c r="C1516" s="14" t="s">
        <v>5486</v>
      </c>
      <c r="D1516" s="14">
        <v>100.0</v>
      </c>
      <c r="E1516" s="14" t="s">
        <v>318</v>
      </c>
      <c r="F1516" s="14" t="s">
        <v>5483</v>
      </c>
      <c r="G1516" s="14" t="s">
        <v>5487</v>
      </c>
      <c r="H1516" s="13"/>
      <c r="I1516" s="13"/>
      <c r="J1516" s="13"/>
      <c r="K1516" s="13"/>
      <c r="L1516" s="13"/>
      <c r="M1516" s="13"/>
      <c r="N1516" s="13"/>
      <c r="O1516" s="13"/>
      <c r="P1516" s="13"/>
      <c r="Q1516" s="13"/>
      <c r="R1516" s="13"/>
      <c r="S1516" s="13"/>
    </row>
    <row r="1517" ht="15.75" customHeight="1">
      <c r="A1517" s="14" t="s">
        <v>5488</v>
      </c>
      <c r="B1517" s="14" t="s">
        <v>316</v>
      </c>
      <c r="C1517" s="14" t="s">
        <v>5489</v>
      </c>
      <c r="D1517" s="14">
        <v>100.0</v>
      </c>
      <c r="E1517" s="14" t="s">
        <v>318</v>
      </c>
      <c r="F1517" s="14" t="s">
        <v>5490</v>
      </c>
      <c r="G1517" s="14" t="s">
        <v>5491</v>
      </c>
      <c r="H1517" s="13"/>
      <c r="I1517" s="13"/>
      <c r="J1517" s="13"/>
      <c r="K1517" s="13"/>
      <c r="L1517" s="13"/>
      <c r="M1517" s="13"/>
      <c r="N1517" s="13"/>
      <c r="O1517" s="13"/>
      <c r="P1517" s="13"/>
      <c r="Q1517" s="13"/>
      <c r="R1517" s="13"/>
      <c r="S1517" s="13"/>
    </row>
    <row r="1518" ht="15.75" customHeight="1">
      <c r="A1518" s="14" t="s">
        <v>5492</v>
      </c>
      <c r="B1518" s="14" t="s">
        <v>316</v>
      </c>
      <c r="C1518" s="14" t="s">
        <v>5493</v>
      </c>
      <c r="D1518" s="14">
        <v>100.0</v>
      </c>
      <c r="E1518" s="14" t="s">
        <v>318</v>
      </c>
      <c r="F1518" s="14" t="s">
        <v>5494</v>
      </c>
      <c r="G1518" s="14" t="s">
        <v>5495</v>
      </c>
      <c r="H1518" s="13"/>
      <c r="I1518" s="13"/>
      <c r="J1518" s="13"/>
      <c r="K1518" s="13"/>
      <c r="L1518" s="13"/>
      <c r="M1518" s="13"/>
      <c r="N1518" s="13"/>
      <c r="O1518" s="13"/>
      <c r="P1518" s="13"/>
      <c r="Q1518" s="13"/>
      <c r="R1518" s="13"/>
      <c r="S1518" s="13"/>
    </row>
    <row r="1519" ht="15.75" customHeight="1">
      <c r="A1519" s="14" t="s">
        <v>5496</v>
      </c>
      <c r="B1519" s="14" t="s">
        <v>316</v>
      </c>
      <c r="C1519" s="14" t="s">
        <v>5497</v>
      </c>
      <c r="D1519" s="14">
        <v>100.0</v>
      </c>
      <c r="E1519" s="14" t="s">
        <v>318</v>
      </c>
      <c r="F1519" s="14" t="s">
        <v>5498</v>
      </c>
      <c r="G1519" s="14"/>
      <c r="H1519" s="13"/>
      <c r="I1519" s="13"/>
      <c r="J1519" s="13"/>
      <c r="K1519" s="13"/>
      <c r="L1519" s="13"/>
      <c r="M1519" s="13"/>
      <c r="N1519" s="13"/>
      <c r="O1519" s="13"/>
      <c r="P1519" s="13"/>
      <c r="Q1519" s="13"/>
      <c r="R1519" s="13"/>
      <c r="S1519" s="13"/>
    </row>
    <row r="1520" ht="15.75" customHeight="1">
      <c r="A1520" s="14" t="s">
        <v>5499</v>
      </c>
      <c r="B1520" s="14" t="s">
        <v>5500</v>
      </c>
      <c r="C1520" s="14"/>
      <c r="D1520" s="14"/>
      <c r="E1520" s="14"/>
      <c r="F1520" s="14"/>
      <c r="G1520" s="14"/>
      <c r="H1520" s="13"/>
      <c r="I1520" s="13"/>
      <c r="J1520" s="13"/>
      <c r="K1520" s="13"/>
      <c r="L1520" s="13"/>
      <c r="M1520" s="13"/>
      <c r="N1520" s="13"/>
      <c r="O1520" s="13"/>
      <c r="P1520" s="13"/>
      <c r="Q1520" s="13"/>
      <c r="R1520" s="13"/>
      <c r="S1520" s="13"/>
    </row>
    <row r="1521" ht="15.75" customHeight="1">
      <c r="A1521" s="14" t="s">
        <v>5501</v>
      </c>
      <c r="B1521" s="14" t="s">
        <v>316</v>
      </c>
      <c r="C1521" s="14" t="s">
        <v>5502</v>
      </c>
      <c r="D1521" s="14">
        <v>100.0</v>
      </c>
      <c r="E1521" s="14" t="s">
        <v>318</v>
      </c>
      <c r="F1521" s="14" t="s">
        <v>5503</v>
      </c>
      <c r="G1521" s="14" t="s">
        <v>5504</v>
      </c>
      <c r="H1521" s="13"/>
      <c r="I1521" s="13"/>
      <c r="J1521" s="13"/>
      <c r="K1521" s="13"/>
      <c r="L1521" s="13"/>
      <c r="M1521" s="13"/>
      <c r="N1521" s="13"/>
      <c r="O1521" s="13"/>
      <c r="P1521" s="13"/>
      <c r="Q1521" s="13"/>
      <c r="R1521" s="13"/>
      <c r="S1521" s="13"/>
    </row>
    <row r="1522" ht="15.75" customHeight="1">
      <c r="A1522" s="14" t="s">
        <v>5505</v>
      </c>
      <c r="B1522" s="14" t="s">
        <v>316</v>
      </c>
      <c r="C1522" s="14" t="s">
        <v>5506</v>
      </c>
      <c r="D1522" s="14">
        <v>100.0</v>
      </c>
      <c r="E1522" s="14" t="s">
        <v>318</v>
      </c>
      <c r="F1522" s="14" t="s">
        <v>1686</v>
      </c>
      <c r="G1522" s="14" t="s">
        <v>5507</v>
      </c>
      <c r="H1522" s="13"/>
      <c r="I1522" s="13"/>
      <c r="J1522" s="13"/>
      <c r="K1522" s="13"/>
      <c r="L1522" s="13"/>
      <c r="M1522" s="13"/>
      <c r="N1522" s="13"/>
      <c r="O1522" s="13"/>
      <c r="P1522" s="13"/>
      <c r="Q1522" s="13"/>
      <c r="R1522" s="13"/>
      <c r="S1522" s="13"/>
    </row>
    <row r="1523" ht="15.75" customHeight="1">
      <c r="A1523" s="14" t="s">
        <v>5508</v>
      </c>
      <c r="B1523" s="14" t="s">
        <v>316</v>
      </c>
      <c r="C1523" s="14" t="s">
        <v>5509</v>
      </c>
      <c r="D1523" s="14">
        <v>100.0</v>
      </c>
      <c r="E1523" s="14" t="s">
        <v>318</v>
      </c>
      <c r="F1523" s="14" t="s">
        <v>5510</v>
      </c>
      <c r="G1523" s="14" t="s">
        <v>5511</v>
      </c>
      <c r="H1523" s="13"/>
      <c r="I1523" s="13"/>
      <c r="J1523" s="13"/>
      <c r="K1523" s="13"/>
      <c r="L1523" s="13"/>
      <c r="M1523" s="13"/>
      <c r="N1523" s="13"/>
      <c r="O1523" s="13"/>
      <c r="P1523" s="13"/>
      <c r="Q1523" s="13"/>
      <c r="R1523" s="13"/>
      <c r="S1523" s="13"/>
    </row>
    <row r="1524" ht="15.75" customHeight="1">
      <c r="A1524" s="14" t="s">
        <v>5512</v>
      </c>
      <c r="B1524" s="14" t="s">
        <v>316</v>
      </c>
      <c r="C1524" s="14" t="s">
        <v>5513</v>
      </c>
      <c r="D1524" s="14">
        <v>100.0</v>
      </c>
      <c r="E1524" s="14" t="s">
        <v>318</v>
      </c>
      <c r="F1524" s="14" t="s">
        <v>5514</v>
      </c>
      <c r="G1524" s="14" t="s">
        <v>5515</v>
      </c>
      <c r="H1524" s="13"/>
      <c r="I1524" s="13"/>
      <c r="J1524" s="13"/>
      <c r="K1524" s="13"/>
      <c r="L1524" s="13"/>
      <c r="M1524" s="13"/>
      <c r="N1524" s="13"/>
      <c r="O1524" s="13"/>
      <c r="P1524" s="13"/>
      <c r="Q1524" s="13"/>
      <c r="R1524" s="13"/>
      <c r="S1524" s="13"/>
    </row>
    <row r="1525" ht="15.75" customHeight="1">
      <c r="A1525" s="14" t="s">
        <v>5516</v>
      </c>
      <c r="B1525" s="14" t="s">
        <v>316</v>
      </c>
      <c r="C1525" s="14" t="s">
        <v>5517</v>
      </c>
      <c r="D1525" s="14">
        <v>100.0</v>
      </c>
      <c r="E1525" s="14" t="s">
        <v>318</v>
      </c>
      <c r="F1525" s="14" t="s">
        <v>5518</v>
      </c>
      <c r="G1525" s="14" t="s">
        <v>5519</v>
      </c>
      <c r="H1525" s="13"/>
      <c r="I1525" s="13"/>
      <c r="J1525" s="13"/>
      <c r="K1525" s="13"/>
      <c r="L1525" s="13"/>
      <c r="M1525" s="13"/>
      <c r="N1525" s="13"/>
      <c r="O1525" s="13"/>
      <c r="P1525" s="13"/>
      <c r="Q1525" s="13"/>
      <c r="R1525" s="13"/>
      <c r="S1525" s="13"/>
    </row>
    <row r="1526" ht="15.75" customHeight="1">
      <c r="A1526" s="14" t="s">
        <v>5520</v>
      </c>
      <c r="B1526" s="14" t="s">
        <v>316</v>
      </c>
      <c r="C1526" s="14" t="s">
        <v>5521</v>
      </c>
      <c r="D1526" s="14">
        <v>100.0</v>
      </c>
      <c r="E1526" s="14" t="s">
        <v>318</v>
      </c>
      <c r="F1526" s="14" t="s">
        <v>5522</v>
      </c>
      <c r="G1526" s="14" t="s">
        <v>5523</v>
      </c>
      <c r="H1526" s="13"/>
      <c r="I1526" s="13"/>
      <c r="J1526" s="13"/>
      <c r="K1526" s="13"/>
      <c r="L1526" s="13"/>
      <c r="M1526" s="13"/>
      <c r="N1526" s="13"/>
      <c r="O1526" s="13"/>
      <c r="P1526" s="13"/>
      <c r="Q1526" s="13"/>
      <c r="R1526" s="13"/>
      <c r="S1526" s="13"/>
    </row>
    <row r="1527" ht="15.75" customHeight="1">
      <c r="A1527" s="14" t="s">
        <v>5524</v>
      </c>
      <c r="B1527" s="14" t="s">
        <v>316</v>
      </c>
      <c r="C1527" s="14" t="s">
        <v>5525</v>
      </c>
      <c r="D1527" s="14">
        <v>100.0</v>
      </c>
      <c r="E1527" s="14" t="s">
        <v>318</v>
      </c>
      <c r="F1527" s="14" t="s">
        <v>5526</v>
      </c>
      <c r="G1527" s="14" t="s">
        <v>5527</v>
      </c>
      <c r="H1527" s="13"/>
      <c r="I1527" s="13"/>
      <c r="J1527" s="13"/>
      <c r="K1527" s="13"/>
      <c r="L1527" s="13"/>
      <c r="M1527" s="13"/>
      <c r="N1527" s="13"/>
      <c r="O1527" s="13"/>
      <c r="P1527" s="13"/>
      <c r="Q1527" s="13"/>
      <c r="R1527" s="13"/>
      <c r="S1527" s="13"/>
    </row>
    <row r="1528" ht="15.75" customHeight="1">
      <c r="A1528" s="14" t="s">
        <v>5528</v>
      </c>
      <c r="B1528" s="14" t="s">
        <v>316</v>
      </c>
      <c r="C1528" s="14" t="s">
        <v>5529</v>
      </c>
      <c r="D1528" s="14">
        <v>100.0</v>
      </c>
      <c r="E1528" s="14" t="s">
        <v>318</v>
      </c>
      <c r="F1528" s="14" t="s">
        <v>5530</v>
      </c>
      <c r="G1528" s="14" t="s">
        <v>5531</v>
      </c>
      <c r="H1528" s="13"/>
      <c r="I1528" s="13"/>
      <c r="J1528" s="13"/>
      <c r="K1528" s="13"/>
      <c r="L1528" s="13"/>
      <c r="M1528" s="13"/>
      <c r="N1528" s="13"/>
      <c r="O1528" s="13"/>
      <c r="P1528" s="13"/>
      <c r="Q1528" s="13"/>
      <c r="R1528" s="13"/>
      <c r="S1528" s="13"/>
    </row>
    <row r="1529" ht="15.75" customHeight="1">
      <c r="A1529" s="14" t="s">
        <v>5532</v>
      </c>
      <c r="B1529" s="14" t="s">
        <v>316</v>
      </c>
      <c r="C1529" s="14" t="s">
        <v>5533</v>
      </c>
      <c r="D1529" s="14">
        <v>100.0</v>
      </c>
      <c r="E1529" s="14" t="s">
        <v>318</v>
      </c>
      <c r="F1529" s="14" t="s">
        <v>5534</v>
      </c>
      <c r="G1529" s="14" t="s">
        <v>5535</v>
      </c>
      <c r="H1529" s="13"/>
      <c r="I1529" s="13"/>
      <c r="J1529" s="13"/>
      <c r="K1529" s="13"/>
      <c r="L1529" s="13"/>
      <c r="M1529" s="13"/>
      <c r="N1529" s="13"/>
      <c r="O1529" s="13"/>
      <c r="P1529" s="13"/>
      <c r="Q1529" s="13"/>
      <c r="R1529" s="13"/>
      <c r="S1529" s="13"/>
    </row>
    <row r="1530" ht="15.75" customHeight="1">
      <c r="A1530" s="14" t="s">
        <v>5536</v>
      </c>
      <c r="B1530" s="14" t="s">
        <v>316</v>
      </c>
      <c r="C1530" s="14" t="s">
        <v>5537</v>
      </c>
      <c r="D1530" s="14">
        <v>100.0</v>
      </c>
      <c r="E1530" s="14" t="s">
        <v>318</v>
      </c>
      <c r="F1530" s="14" t="s">
        <v>5538</v>
      </c>
      <c r="G1530" s="14" t="s">
        <v>5539</v>
      </c>
      <c r="H1530" s="13"/>
      <c r="I1530" s="13"/>
      <c r="J1530" s="13"/>
      <c r="K1530" s="13"/>
      <c r="L1530" s="13"/>
      <c r="M1530" s="13"/>
      <c r="N1530" s="13"/>
      <c r="O1530" s="13"/>
      <c r="P1530" s="13"/>
      <c r="Q1530" s="13"/>
      <c r="R1530" s="13"/>
      <c r="S1530" s="13"/>
    </row>
    <row r="1531" ht="15.75" customHeight="1">
      <c r="A1531" s="14" t="s">
        <v>5540</v>
      </c>
      <c r="B1531" s="14" t="s">
        <v>316</v>
      </c>
      <c r="C1531" s="14" t="s">
        <v>5541</v>
      </c>
      <c r="D1531" s="14">
        <v>100.0</v>
      </c>
      <c r="E1531" s="14" t="s">
        <v>318</v>
      </c>
      <c r="F1531" s="14" t="s">
        <v>5542</v>
      </c>
      <c r="G1531" s="14" t="s">
        <v>5543</v>
      </c>
      <c r="H1531" s="13"/>
      <c r="I1531" s="13"/>
      <c r="J1531" s="13"/>
      <c r="K1531" s="13"/>
      <c r="L1531" s="13"/>
      <c r="M1531" s="13"/>
      <c r="N1531" s="13"/>
      <c r="O1531" s="13"/>
      <c r="P1531" s="13"/>
      <c r="Q1531" s="13"/>
      <c r="R1531" s="13"/>
      <c r="S1531" s="13"/>
    </row>
    <row r="1532" ht="15.75" customHeight="1">
      <c r="A1532" s="14" t="s">
        <v>5544</v>
      </c>
      <c r="B1532" s="14" t="s">
        <v>316</v>
      </c>
      <c r="C1532" s="14" t="s">
        <v>5545</v>
      </c>
      <c r="D1532" s="14">
        <v>100.0</v>
      </c>
      <c r="E1532" s="14" t="s">
        <v>318</v>
      </c>
      <c r="F1532" s="14" t="s">
        <v>5546</v>
      </c>
      <c r="G1532" s="14" t="s">
        <v>5547</v>
      </c>
      <c r="H1532" s="13"/>
      <c r="I1532" s="13"/>
      <c r="J1532" s="13"/>
      <c r="K1532" s="13"/>
      <c r="L1532" s="13"/>
      <c r="M1532" s="13"/>
      <c r="N1532" s="13"/>
      <c r="O1532" s="13"/>
      <c r="P1532" s="13"/>
      <c r="Q1532" s="13"/>
      <c r="R1532" s="13"/>
      <c r="S1532" s="13"/>
    </row>
    <row r="1533" ht="15.75" customHeight="1">
      <c r="A1533" s="14" t="s">
        <v>5548</v>
      </c>
      <c r="B1533" s="14" t="s">
        <v>316</v>
      </c>
      <c r="C1533" s="14" t="s">
        <v>5549</v>
      </c>
      <c r="D1533" s="14">
        <v>100.0</v>
      </c>
      <c r="E1533" s="14" t="s">
        <v>318</v>
      </c>
      <c r="F1533" s="14" t="s">
        <v>5550</v>
      </c>
      <c r="G1533" s="14" t="s">
        <v>5551</v>
      </c>
      <c r="H1533" s="13"/>
      <c r="I1533" s="13"/>
      <c r="J1533" s="13"/>
      <c r="K1533" s="13"/>
      <c r="L1533" s="13"/>
      <c r="M1533" s="13"/>
      <c r="N1533" s="13"/>
      <c r="O1533" s="13"/>
      <c r="P1533" s="13"/>
      <c r="Q1533" s="13"/>
      <c r="R1533" s="13"/>
      <c r="S1533" s="13"/>
    </row>
    <row r="1534" ht="15.75" customHeight="1">
      <c r="A1534" s="14" t="s">
        <v>5552</v>
      </c>
      <c r="B1534" s="14" t="s">
        <v>316</v>
      </c>
      <c r="C1534" s="14" t="s">
        <v>5553</v>
      </c>
      <c r="D1534" s="14">
        <v>100.0</v>
      </c>
      <c r="E1534" s="14" t="s">
        <v>318</v>
      </c>
      <c r="F1534" s="14" t="s">
        <v>5554</v>
      </c>
      <c r="G1534" s="14" t="s">
        <v>5555</v>
      </c>
      <c r="H1534" s="13"/>
      <c r="I1534" s="13"/>
      <c r="J1534" s="13"/>
      <c r="K1534" s="13"/>
      <c r="L1534" s="13"/>
      <c r="M1534" s="13"/>
      <c r="N1534" s="13"/>
      <c r="O1534" s="13"/>
      <c r="P1534" s="13"/>
      <c r="Q1534" s="13"/>
      <c r="R1534" s="13"/>
      <c r="S1534" s="13"/>
    </row>
    <row r="1535" ht="15.75" customHeight="1">
      <c r="A1535" s="14" t="s">
        <v>5556</v>
      </c>
      <c r="B1535" s="14" t="s">
        <v>316</v>
      </c>
      <c r="C1535" s="14" t="s">
        <v>5557</v>
      </c>
      <c r="D1535" s="14">
        <v>100.0</v>
      </c>
      <c r="E1535" s="14" t="s">
        <v>318</v>
      </c>
      <c r="F1535" s="14" t="s">
        <v>5558</v>
      </c>
      <c r="G1535" s="14" t="s">
        <v>5559</v>
      </c>
      <c r="H1535" s="13"/>
      <c r="I1535" s="13"/>
      <c r="J1535" s="13"/>
      <c r="K1535" s="13"/>
      <c r="L1535" s="13"/>
      <c r="M1535" s="13"/>
      <c r="N1535" s="13"/>
      <c r="O1535" s="13"/>
      <c r="P1535" s="13"/>
      <c r="Q1535" s="13"/>
      <c r="R1535" s="13"/>
      <c r="S1535" s="13"/>
    </row>
    <row r="1536" ht="15.75" customHeight="1">
      <c r="A1536" s="14" t="s">
        <v>5560</v>
      </c>
      <c r="B1536" s="14" t="s">
        <v>316</v>
      </c>
      <c r="C1536" s="14" t="s">
        <v>5561</v>
      </c>
      <c r="D1536" s="14">
        <v>100.0</v>
      </c>
      <c r="E1536" s="14" t="s">
        <v>318</v>
      </c>
      <c r="F1536" s="14" t="s">
        <v>5562</v>
      </c>
      <c r="G1536" s="14" t="s">
        <v>5563</v>
      </c>
      <c r="H1536" s="13"/>
      <c r="I1536" s="13"/>
      <c r="J1536" s="13"/>
      <c r="K1536" s="13"/>
      <c r="L1536" s="13"/>
      <c r="M1536" s="13"/>
      <c r="N1536" s="13"/>
      <c r="O1536" s="13"/>
      <c r="P1536" s="13"/>
      <c r="Q1536" s="13"/>
      <c r="R1536" s="13"/>
      <c r="S1536" s="13"/>
    </row>
    <row r="1537" ht="15.75" customHeight="1">
      <c r="A1537" s="14" t="s">
        <v>5564</v>
      </c>
      <c r="B1537" s="14" t="s">
        <v>316</v>
      </c>
      <c r="C1537" s="14" t="s">
        <v>5565</v>
      </c>
      <c r="D1537" s="14">
        <v>100.0</v>
      </c>
      <c r="E1537" s="14" t="s">
        <v>318</v>
      </c>
      <c r="F1537" s="14" t="s">
        <v>5566</v>
      </c>
      <c r="G1537" s="14" t="s">
        <v>5567</v>
      </c>
      <c r="H1537" s="13"/>
      <c r="I1537" s="13"/>
      <c r="J1537" s="13"/>
      <c r="K1537" s="13"/>
      <c r="L1537" s="13"/>
      <c r="M1537" s="13"/>
      <c r="N1537" s="13"/>
      <c r="O1537" s="13"/>
      <c r="P1537" s="13"/>
      <c r="Q1537" s="13"/>
      <c r="R1537" s="13"/>
      <c r="S1537" s="13"/>
    </row>
    <row r="1538" ht="15.75" customHeight="1">
      <c r="A1538" s="14" t="s">
        <v>5568</v>
      </c>
      <c r="B1538" s="14" t="s">
        <v>316</v>
      </c>
      <c r="C1538" s="14" t="s">
        <v>5569</v>
      </c>
      <c r="D1538" s="14">
        <v>100.0</v>
      </c>
      <c r="E1538" s="14" t="s">
        <v>318</v>
      </c>
      <c r="F1538" s="14" t="s">
        <v>1935</v>
      </c>
      <c r="G1538" s="14" t="s">
        <v>5570</v>
      </c>
      <c r="H1538" s="13"/>
      <c r="I1538" s="13"/>
      <c r="J1538" s="13"/>
      <c r="K1538" s="13"/>
      <c r="L1538" s="13"/>
      <c r="M1538" s="13"/>
      <c r="N1538" s="13"/>
      <c r="O1538" s="13"/>
      <c r="P1538" s="13"/>
      <c r="Q1538" s="13"/>
      <c r="R1538" s="13"/>
      <c r="S1538" s="13"/>
    </row>
    <row r="1539" ht="15.75" customHeight="1">
      <c r="A1539" s="14" t="s">
        <v>5571</v>
      </c>
      <c r="B1539" s="14" t="s">
        <v>316</v>
      </c>
      <c r="C1539" s="14" t="s">
        <v>5572</v>
      </c>
      <c r="D1539" s="14">
        <v>100.0</v>
      </c>
      <c r="E1539" s="14" t="s">
        <v>318</v>
      </c>
      <c r="F1539" s="14" t="s">
        <v>5573</v>
      </c>
      <c r="G1539" s="14" t="s">
        <v>5574</v>
      </c>
      <c r="H1539" s="13"/>
      <c r="I1539" s="13"/>
      <c r="J1539" s="13"/>
      <c r="K1539" s="13"/>
      <c r="L1539" s="13"/>
      <c r="M1539" s="13"/>
      <c r="N1539" s="13"/>
      <c r="O1539" s="13"/>
      <c r="P1539" s="13"/>
      <c r="Q1539" s="13"/>
      <c r="R1539" s="13"/>
      <c r="S1539" s="13"/>
    </row>
    <row r="1540" ht="15.75" customHeight="1">
      <c r="A1540" s="14" t="s">
        <v>5575</v>
      </c>
      <c r="B1540" s="14" t="s">
        <v>316</v>
      </c>
      <c r="C1540" s="14" t="s">
        <v>5576</v>
      </c>
      <c r="D1540" s="14">
        <v>100.0</v>
      </c>
      <c r="E1540" s="14" t="s">
        <v>318</v>
      </c>
      <c r="F1540" s="14" t="s">
        <v>5577</v>
      </c>
      <c r="G1540" s="14" t="s">
        <v>5578</v>
      </c>
      <c r="H1540" s="13"/>
      <c r="I1540" s="13"/>
      <c r="J1540" s="13"/>
      <c r="K1540" s="13"/>
      <c r="L1540" s="13"/>
      <c r="M1540" s="13"/>
      <c r="N1540" s="13"/>
      <c r="O1540" s="13"/>
      <c r="P1540" s="13"/>
      <c r="Q1540" s="13"/>
      <c r="R1540" s="13"/>
      <c r="S1540" s="13"/>
    </row>
    <row r="1541" ht="15.75" customHeight="1">
      <c r="A1541" s="14" t="s">
        <v>5579</v>
      </c>
      <c r="B1541" s="14" t="s">
        <v>316</v>
      </c>
      <c r="C1541" s="14" t="s">
        <v>5580</v>
      </c>
      <c r="D1541" s="14">
        <v>100.0</v>
      </c>
      <c r="E1541" s="14" t="s">
        <v>318</v>
      </c>
      <c r="F1541" s="14" t="s">
        <v>3764</v>
      </c>
      <c r="G1541" s="14" t="s">
        <v>5581</v>
      </c>
      <c r="H1541" s="13"/>
      <c r="I1541" s="13"/>
      <c r="J1541" s="13"/>
      <c r="K1541" s="13"/>
      <c r="L1541" s="13"/>
      <c r="M1541" s="13"/>
      <c r="N1541" s="13"/>
      <c r="O1541" s="13"/>
      <c r="P1541" s="13"/>
      <c r="Q1541" s="13"/>
      <c r="R1541" s="13"/>
      <c r="S1541" s="13"/>
    </row>
    <row r="1542" ht="15.75" customHeight="1">
      <c r="A1542" s="14" t="s">
        <v>5582</v>
      </c>
      <c r="B1542" s="14" t="s">
        <v>316</v>
      </c>
      <c r="C1542" s="14" t="s">
        <v>5583</v>
      </c>
      <c r="D1542" s="14">
        <v>100.0</v>
      </c>
      <c r="E1542" s="14" t="s">
        <v>318</v>
      </c>
      <c r="F1542" s="14" t="s">
        <v>5584</v>
      </c>
      <c r="G1542" s="14" t="s">
        <v>5585</v>
      </c>
      <c r="H1542" s="13"/>
      <c r="I1542" s="13"/>
      <c r="J1542" s="13"/>
      <c r="K1542" s="13"/>
      <c r="L1542" s="13"/>
      <c r="M1542" s="13"/>
      <c r="N1542" s="13"/>
      <c r="O1542" s="13"/>
      <c r="P1542" s="13"/>
      <c r="Q1542" s="13"/>
      <c r="R1542" s="13"/>
      <c r="S1542" s="13"/>
    </row>
    <row r="1543" ht="15.75" customHeight="1">
      <c r="A1543" s="14" t="s">
        <v>5586</v>
      </c>
      <c r="B1543" s="14" t="s">
        <v>316</v>
      </c>
      <c r="C1543" s="14" t="s">
        <v>5587</v>
      </c>
      <c r="D1543" s="14">
        <v>100.0</v>
      </c>
      <c r="E1543" s="14" t="s">
        <v>318</v>
      </c>
      <c r="F1543" s="14" t="s">
        <v>5588</v>
      </c>
      <c r="G1543" s="14" t="s">
        <v>5589</v>
      </c>
      <c r="H1543" s="13"/>
      <c r="I1543" s="13"/>
      <c r="J1543" s="13"/>
      <c r="K1543" s="13"/>
      <c r="L1543" s="13"/>
      <c r="M1543" s="13"/>
      <c r="N1543" s="13"/>
      <c r="O1543" s="13"/>
      <c r="P1543" s="13"/>
      <c r="Q1543" s="13"/>
      <c r="R1543" s="13"/>
      <c r="S1543" s="13"/>
    </row>
    <row r="1544" ht="15.75" customHeight="1">
      <c r="A1544" s="14" t="s">
        <v>5590</v>
      </c>
      <c r="B1544" s="14" t="s">
        <v>316</v>
      </c>
      <c r="C1544" s="14" t="s">
        <v>5591</v>
      </c>
      <c r="D1544" s="14">
        <v>100.0</v>
      </c>
      <c r="E1544" s="14" t="s">
        <v>318</v>
      </c>
      <c r="F1544" s="14" t="s">
        <v>5592</v>
      </c>
      <c r="G1544" s="14" t="s">
        <v>5593</v>
      </c>
      <c r="H1544" s="13"/>
      <c r="I1544" s="13"/>
      <c r="J1544" s="13"/>
      <c r="K1544" s="13"/>
      <c r="L1544" s="13"/>
      <c r="M1544" s="13"/>
      <c r="N1544" s="13"/>
      <c r="O1544" s="13"/>
      <c r="P1544" s="13"/>
      <c r="Q1544" s="13"/>
      <c r="R1544" s="13"/>
      <c r="S1544" s="13"/>
    </row>
    <row r="1545" ht="15.75" customHeight="1">
      <c r="A1545" s="14" t="s">
        <v>5594</v>
      </c>
      <c r="B1545" s="14" t="s">
        <v>316</v>
      </c>
      <c r="C1545" s="14" t="s">
        <v>5595</v>
      </c>
      <c r="D1545" s="14">
        <v>100.0</v>
      </c>
      <c r="E1545" s="14" t="s">
        <v>318</v>
      </c>
      <c r="F1545" s="14" t="s">
        <v>5596</v>
      </c>
      <c r="G1545" s="14" t="s">
        <v>5597</v>
      </c>
      <c r="H1545" s="13"/>
      <c r="I1545" s="13"/>
      <c r="J1545" s="13"/>
      <c r="K1545" s="13"/>
      <c r="L1545" s="13"/>
      <c r="M1545" s="13"/>
      <c r="N1545" s="13"/>
      <c r="O1545" s="13"/>
      <c r="P1545" s="13"/>
      <c r="Q1545" s="13"/>
      <c r="R1545" s="13"/>
      <c r="S1545" s="13"/>
    </row>
    <row r="1546" ht="15.75" customHeight="1">
      <c r="A1546" s="14" t="s">
        <v>5598</v>
      </c>
      <c r="B1546" s="14" t="s">
        <v>316</v>
      </c>
      <c r="C1546" s="14" t="s">
        <v>5599</v>
      </c>
      <c r="D1546" s="14">
        <v>100.0</v>
      </c>
      <c r="E1546" s="14" t="s">
        <v>318</v>
      </c>
      <c r="F1546" s="14" t="s">
        <v>5600</v>
      </c>
      <c r="G1546" s="14" t="s">
        <v>5601</v>
      </c>
      <c r="H1546" s="13"/>
      <c r="I1546" s="13"/>
      <c r="J1546" s="13"/>
      <c r="K1546" s="13"/>
      <c r="L1546" s="13"/>
      <c r="M1546" s="13"/>
      <c r="N1546" s="13"/>
      <c r="O1546" s="13"/>
      <c r="P1546" s="13"/>
      <c r="Q1546" s="13"/>
      <c r="R1546" s="13"/>
      <c r="S1546" s="13"/>
    </row>
    <row r="1547" ht="15.75" customHeight="1">
      <c r="A1547" s="14" t="s">
        <v>5602</v>
      </c>
      <c r="B1547" s="14" t="s">
        <v>316</v>
      </c>
      <c r="C1547" s="14" t="s">
        <v>5603</v>
      </c>
      <c r="D1547" s="14">
        <v>100.0</v>
      </c>
      <c r="E1547" s="14" t="s">
        <v>318</v>
      </c>
      <c r="F1547" s="14" t="s">
        <v>5604</v>
      </c>
      <c r="G1547" s="14" t="s">
        <v>5605</v>
      </c>
      <c r="H1547" s="13"/>
      <c r="I1547" s="13"/>
      <c r="J1547" s="13"/>
      <c r="K1547" s="13"/>
      <c r="L1547" s="13"/>
      <c r="M1547" s="13"/>
      <c r="N1547" s="13"/>
      <c r="O1547" s="13"/>
      <c r="P1547" s="13"/>
      <c r="Q1547" s="13"/>
      <c r="R1547" s="13"/>
      <c r="S1547" s="13"/>
    </row>
    <row r="1548" ht="15.75" customHeight="1">
      <c r="A1548" s="14" t="s">
        <v>5606</v>
      </c>
      <c r="B1548" s="14" t="s">
        <v>316</v>
      </c>
      <c r="C1548" s="14" t="s">
        <v>5607</v>
      </c>
      <c r="D1548" s="14">
        <v>100.0</v>
      </c>
      <c r="E1548" s="14" t="s">
        <v>318</v>
      </c>
      <c r="F1548" s="14" t="s">
        <v>5608</v>
      </c>
      <c r="G1548" s="14" t="s">
        <v>5609</v>
      </c>
      <c r="H1548" s="13"/>
      <c r="I1548" s="13"/>
      <c r="J1548" s="13"/>
      <c r="K1548" s="13"/>
      <c r="L1548" s="13"/>
      <c r="M1548" s="13"/>
      <c r="N1548" s="13"/>
      <c r="O1548" s="13"/>
      <c r="P1548" s="13"/>
      <c r="Q1548" s="13"/>
      <c r="R1548" s="13"/>
      <c r="S1548" s="13"/>
    </row>
    <row r="1549" ht="15.75" customHeight="1">
      <c r="A1549" s="14" t="s">
        <v>5610</v>
      </c>
      <c r="B1549" s="14" t="s">
        <v>316</v>
      </c>
      <c r="C1549" s="14" t="s">
        <v>5611</v>
      </c>
      <c r="D1549" s="14">
        <v>100.0</v>
      </c>
      <c r="E1549" s="14" t="s">
        <v>318</v>
      </c>
      <c r="F1549" s="14" t="s">
        <v>5612</v>
      </c>
      <c r="G1549" s="14" t="s">
        <v>5613</v>
      </c>
      <c r="H1549" s="13"/>
      <c r="I1549" s="13"/>
      <c r="J1549" s="13"/>
      <c r="K1549" s="13"/>
      <c r="L1549" s="13"/>
      <c r="M1549" s="13"/>
      <c r="N1549" s="13"/>
      <c r="O1549" s="13"/>
      <c r="P1549" s="13"/>
      <c r="Q1549" s="13"/>
      <c r="R1549" s="13"/>
      <c r="S1549" s="13"/>
    </row>
    <row r="1550" ht="15.75" customHeight="1">
      <c r="A1550" s="14" t="s">
        <v>5614</v>
      </c>
      <c r="B1550" s="14" t="s">
        <v>316</v>
      </c>
      <c r="C1550" s="14" t="s">
        <v>5615</v>
      </c>
      <c r="D1550" s="14">
        <v>100.0</v>
      </c>
      <c r="E1550" s="14" t="s">
        <v>318</v>
      </c>
      <c r="F1550" s="14" t="s">
        <v>5616</v>
      </c>
      <c r="G1550" s="14" t="s">
        <v>5617</v>
      </c>
      <c r="H1550" s="13"/>
      <c r="I1550" s="13"/>
      <c r="J1550" s="13"/>
      <c r="K1550" s="13"/>
      <c r="L1550" s="13"/>
      <c r="M1550" s="13"/>
      <c r="N1550" s="13"/>
      <c r="O1550" s="13"/>
      <c r="P1550" s="13"/>
      <c r="Q1550" s="13"/>
      <c r="R1550" s="13"/>
      <c r="S1550" s="13"/>
    </row>
    <row r="1551" ht="15.75" customHeight="1">
      <c r="A1551" s="14" t="s">
        <v>5618</v>
      </c>
      <c r="B1551" s="14" t="s">
        <v>316</v>
      </c>
      <c r="C1551" s="14" t="s">
        <v>5619</v>
      </c>
      <c r="D1551" s="14">
        <v>100.0</v>
      </c>
      <c r="E1551" s="14" t="s">
        <v>318</v>
      </c>
      <c r="F1551" s="14" t="s">
        <v>4838</v>
      </c>
      <c r="G1551" s="14" t="s">
        <v>5620</v>
      </c>
      <c r="H1551" s="13"/>
      <c r="I1551" s="13"/>
      <c r="J1551" s="13"/>
      <c r="K1551" s="13"/>
      <c r="L1551" s="13"/>
      <c r="M1551" s="13"/>
      <c r="N1551" s="13"/>
      <c r="O1551" s="13"/>
      <c r="P1551" s="13"/>
      <c r="Q1551" s="13"/>
      <c r="R1551" s="13"/>
      <c r="S1551" s="13"/>
    </row>
    <row r="1552" ht="15.75" customHeight="1">
      <c r="A1552" s="14" t="s">
        <v>5621</v>
      </c>
      <c r="B1552" s="14" t="s">
        <v>316</v>
      </c>
      <c r="C1552" s="14" t="s">
        <v>5622</v>
      </c>
      <c r="D1552" s="14">
        <v>100.0</v>
      </c>
      <c r="E1552" s="14" t="s">
        <v>318</v>
      </c>
      <c r="F1552" s="14" t="s">
        <v>5623</v>
      </c>
      <c r="G1552" s="14" t="s">
        <v>5624</v>
      </c>
      <c r="H1552" s="13"/>
      <c r="I1552" s="13"/>
      <c r="J1552" s="13"/>
      <c r="K1552" s="13"/>
      <c r="L1552" s="13"/>
      <c r="M1552" s="13"/>
      <c r="N1552" s="13"/>
      <c r="O1552" s="13"/>
      <c r="P1552" s="13"/>
      <c r="Q1552" s="13"/>
      <c r="R1552" s="13"/>
      <c r="S1552" s="13"/>
    </row>
    <row r="1553" ht="15.75" customHeight="1">
      <c r="A1553" s="14" t="s">
        <v>5625</v>
      </c>
      <c r="B1553" s="14" t="s">
        <v>316</v>
      </c>
      <c r="C1553" s="14" t="s">
        <v>5626</v>
      </c>
      <c r="D1553" s="14">
        <v>100.0</v>
      </c>
      <c r="E1553" s="14" t="s">
        <v>318</v>
      </c>
      <c r="F1553" s="14" t="s">
        <v>5627</v>
      </c>
      <c r="G1553" s="14" t="s">
        <v>5628</v>
      </c>
      <c r="H1553" s="13"/>
      <c r="I1553" s="13"/>
      <c r="J1553" s="13"/>
      <c r="K1553" s="13"/>
      <c r="L1553" s="13"/>
      <c r="M1553" s="13"/>
      <c r="N1553" s="13"/>
      <c r="O1553" s="13"/>
      <c r="P1553" s="13"/>
      <c r="Q1553" s="13"/>
      <c r="R1553" s="13"/>
      <c r="S1553" s="13"/>
    </row>
    <row r="1554" ht="15.75" customHeight="1">
      <c r="A1554" s="14" t="s">
        <v>5629</v>
      </c>
      <c r="B1554" s="14" t="s">
        <v>316</v>
      </c>
      <c r="C1554" s="14" t="s">
        <v>5630</v>
      </c>
      <c r="D1554" s="14">
        <v>100.0</v>
      </c>
      <c r="E1554" s="14" t="s">
        <v>318</v>
      </c>
      <c r="F1554" s="14" t="s">
        <v>3764</v>
      </c>
      <c r="G1554" s="14" t="s">
        <v>5631</v>
      </c>
      <c r="H1554" s="13"/>
      <c r="I1554" s="13"/>
      <c r="J1554" s="13"/>
      <c r="K1554" s="13"/>
      <c r="L1554" s="13"/>
      <c r="M1554" s="13"/>
      <c r="N1554" s="13"/>
      <c r="O1554" s="13"/>
      <c r="P1554" s="13"/>
      <c r="Q1554" s="13"/>
      <c r="R1554" s="13"/>
      <c r="S1554" s="13"/>
    </row>
    <row r="1555" ht="15.75" customHeight="1">
      <c r="A1555" s="14" t="s">
        <v>5632</v>
      </c>
      <c r="B1555" s="14" t="s">
        <v>316</v>
      </c>
      <c r="C1555" s="14" t="s">
        <v>5633</v>
      </c>
      <c r="D1555" s="14">
        <v>100.0</v>
      </c>
      <c r="E1555" s="14" t="s">
        <v>318</v>
      </c>
      <c r="F1555" s="14" t="s">
        <v>5634</v>
      </c>
      <c r="G1555" s="14" t="s">
        <v>5635</v>
      </c>
      <c r="H1555" s="13"/>
      <c r="I1555" s="13"/>
      <c r="J1555" s="13"/>
      <c r="K1555" s="13"/>
      <c r="L1555" s="13"/>
      <c r="M1555" s="13"/>
      <c r="N1555" s="13"/>
      <c r="O1555" s="13"/>
      <c r="P1555" s="13"/>
      <c r="Q1555" s="13"/>
      <c r="R1555" s="13"/>
      <c r="S1555" s="13"/>
    </row>
    <row r="1556" ht="15.75" customHeight="1">
      <c r="A1556" s="14" t="s">
        <v>5636</v>
      </c>
      <c r="B1556" s="14" t="s">
        <v>316</v>
      </c>
      <c r="C1556" s="14" t="s">
        <v>5637</v>
      </c>
      <c r="D1556" s="14">
        <v>100.0</v>
      </c>
      <c r="E1556" s="14" t="s">
        <v>318</v>
      </c>
      <c r="F1556" s="14" t="s">
        <v>5638</v>
      </c>
      <c r="G1556" s="14" t="s">
        <v>5639</v>
      </c>
      <c r="H1556" s="13"/>
      <c r="I1556" s="13"/>
      <c r="J1556" s="13"/>
      <c r="K1556" s="13"/>
      <c r="L1556" s="13"/>
      <c r="M1556" s="13"/>
      <c r="N1556" s="13"/>
      <c r="O1556" s="13"/>
      <c r="P1556" s="13"/>
      <c r="Q1556" s="13"/>
      <c r="R1556" s="13"/>
      <c r="S1556" s="13"/>
    </row>
    <row r="1557" ht="15.75" customHeight="1">
      <c r="A1557" s="14" t="s">
        <v>5640</v>
      </c>
      <c r="B1557" s="14" t="s">
        <v>316</v>
      </c>
      <c r="C1557" s="14" t="s">
        <v>5641</v>
      </c>
      <c r="D1557" s="14">
        <v>100.0</v>
      </c>
      <c r="E1557" s="14" t="s">
        <v>318</v>
      </c>
      <c r="F1557" s="14" t="s">
        <v>883</v>
      </c>
      <c r="G1557" s="14" t="s">
        <v>5642</v>
      </c>
      <c r="H1557" s="13"/>
      <c r="I1557" s="13"/>
      <c r="J1557" s="13"/>
      <c r="K1557" s="13"/>
      <c r="L1557" s="13"/>
      <c r="M1557" s="13"/>
      <c r="N1557" s="13"/>
      <c r="O1557" s="13"/>
      <c r="P1557" s="13"/>
      <c r="Q1557" s="13"/>
      <c r="R1557" s="13"/>
      <c r="S1557" s="13"/>
    </row>
    <row r="1558" ht="15.75" customHeight="1">
      <c r="A1558" s="14" t="s">
        <v>5643</v>
      </c>
      <c r="B1558" s="14" t="s">
        <v>316</v>
      </c>
      <c r="C1558" s="14" t="s">
        <v>5644</v>
      </c>
      <c r="D1558" s="14">
        <v>100.0</v>
      </c>
      <c r="E1558" s="14" t="s">
        <v>318</v>
      </c>
      <c r="F1558" s="14" t="s">
        <v>5645</v>
      </c>
      <c r="G1558" s="14" t="s">
        <v>5646</v>
      </c>
      <c r="H1558" s="13"/>
      <c r="I1558" s="13"/>
      <c r="J1558" s="13"/>
      <c r="K1558" s="13"/>
      <c r="L1558" s="13"/>
      <c r="M1558" s="13"/>
      <c r="N1558" s="13"/>
      <c r="O1558" s="13"/>
      <c r="P1558" s="13"/>
      <c r="Q1558" s="13"/>
      <c r="R1558" s="13"/>
      <c r="S1558" s="13"/>
    </row>
    <row r="1559" ht="15.75" customHeight="1">
      <c r="A1559" s="14" t="s">
        <v>5647</v>
      </c>
      <c r="B1559" s="14" t="s">
        <v>316</v>
      </c>
      <c r="C1559" s="14" t="s">
        <v>5648</v>
      </c>
      <c r="D1559" s="14">
        <v>100.0</v>
      </c>
      <c r="E1559" s="14" t="s">
        <v>318</v>
      </c>
      <c r="F1559" s="14" t="s">
        <v>5649</v>
      </c>
      <c r="G1559" s="14" t="s">
        <v>5650</v>
      </c>
      <c r="H1559" s="13"/>
      <c r="I1559" s="13"/>
      <c r="J1559" s="13"/>
      <c r="K1559" s="13"/>
      <c r="L1559" s="13"/>
      <c r="M1559" s="13"/>
      <c r="N1559" s="13"/>
      <c r="O1559" s="13"/>
      <c r="P1559" s="13"/>
      <c r="Q1559" s="13"/>
      <c r="R1559" s="13"/>
      <c r="S1559" s="13"/>
    </row>
    <row r="1560" ht="15.75" customHeight="1">
      <c r="A1560" s="14" t="s">
        <v>5651</v>
      </c>
      <c r="B1560" s="14" t="s">
        <v>316</v>
      </c>
      <c r="C1560" s="14" t="s">
        <v>5652</v>
      </c>
      <c r="D1560" s="14">
        <v>100.0</v>
      </c>
      <c r="E1560" s="14" t="s">
        <v>318</v>
      </c>
      <c r="F1560" s="14" t="s">
        <v>5653</v>
      </c>
      <c r="G1560" s="14" t="s">
        <v>5654</v>
      </c>
      <c r="H1560" s="13"/>
      <c r="I1560" s="13"/>
      <c r="J1560" s="13"/>
      <c r="K1560" s="13"/>
      <c r="L1560" s="13"/>
      <c r="M1560" s="13"/>
      <c r="N1560" s="13"/>
      <c r="O1560" s="13"/>
      <c r="P1560" s="13"/>
      <c r="Q1560" s="13"/>
      <c r="R1560" s="13"/>
      <c r="S1560" s="13"/>
    </row>
    <row r="1561" ht="15.75" customHeight="1">
      <c r="A1561" s="14" t="s">
        <v>5655</v>
      </c>
      <c r="B1561" s="14" t="s">
        <v>316</v>
      </c>
      <c r="C1561" s="14" t="s">
        <v>5656</v>
      </c>
      <c r="D1561" s="14">
        <v>100.0</v>
      </c>
      <c r="E1561" s="14" t="s">
        <v>318</v>
      </c>
      <c r="F1561" s="14" t="s">
        <v>5657</v>
      </c>
      <c r="G1561" s="14" t="s">
        <v>5658</v>
      </c>
      <c r="H1561" s="13"/>
      <c r="I1561" s="13"/>
      <c r="J1561" s="13"/>
      <c r="K1561" s="13"/>
      <c r="L1561" s="13"/>
      <c r="M1561" s="13"/>
      <c r="N1561" s="13"/>
      <c r="O1561" s="13"/>
      <c r="P1561" s="13"/>
      <c r="Q1561" s="13"/>
      <c r="R1561" s="13"/>
      <c r="S1561" s="13"/>
    </row>
    <row r="1562" ht="15.75" customHeight="1">
      <c r="A1562" s="14" t="s">
        <v>5659</v>
      </c>
      <c r="B1562" s="14" t="s">
        <v>316</v>
      </c>
      <c r="C1562" s="14" t="s">
        <v>5660</v>
      </c>
      <c r="D1562" s="14">
        <v>100.0</v>
      </c>
      <c r="E1562" s="14" t="s">
        <v>318</v>
      </c>
      <c r="F1562" s="14" t="s">
        <v>5661</v>
      </c>
      <c r="G1562" s="14" t="s">
        <v>5662</v>
      </c>
      <c r="H1562" s="13"/>
      <c r="I1562" s="13"/>
      <c r="J1562" s="13"/>
      <c r="K1562" s="13"/>
      <c r="L1562" s="13"/>
      <c r="M1562" s="13"/>
      <c r="N1562" s="13"/>
      <c r="O1562" s="13"/>
      <c r="P1562" s="13"/>
      <c r="Q1562" s="13"/>
      <c r="R1562" s="13"/>
      <c r="S1562" s="13"/>
    </row>
    <row r="1563" ht="15.75" customHeight="1">
      <c r="A1563" s="14" t="s">
        <v>5663</v>
      </c>
      <c r="B1563" s="14" t="s">
        <v>316</v>
      </c>
      <c r="C1563" s="14" t="s">
        <v>5664</v>
      </c>
      <c r="D1563" s="14">
        <v>100.0</v>
      </c>
      <c r="E1563" s="14" t="s">
        <v>318</v>
      </c>
      <c r="F1563" s="14" t="s">
        <v>5665</v>
      </c>
      <c r="G1563" s="14" t="s">
        <v>5666</v>
      </c>
      <c r="H1563" s="13"/>
      <c r="I1563" s="13"/>
      <c r="J1563" s="13"/>
      <c r="K1563" s="13"/>
      <c r="L1563" s="13"/>
      <c r="M1563" s="13"/>
      <c r="N1563" s="13"/>
      <c r="O1563" s="13"/>
      <c r="P1563" s="13"/>
      <c r="Q1563" s="13"/>
      <c r="R1563" s="13"/>
      <c r="S1563" s="13"/>
    </row>
    <row r="1564" ht="15.75" customHeight="1">
      <c r="A1564" s="14" t="s">
        <v>5667</v>
      </c>
      <c r="B1564" s="14" t="s">
        <v>316</v>
      </c>
      <c r="C1564" s="14" t="s">
        <v>5668</v>
      </c>
      <c r="D1564" s="14">
        <v>100.0</v>
      </c>
      <c r="E1564" s="14" t="s">
        <v>318</v>
      </c>
      <c r="F1564" s="14" t="s">
        <v>5669</v>
      </c>
      <c r="G1564" s="14" t="s">
        <v>5670</v>
      </c>
      <c r="H1564" s="13"/>
      <c r="I1564" s="13"/>
      <c r="J1564" s="13"/>
      <c r="K1564" s="13"/>
      <c r="L1564" s="13"/>
      <c r="M1564" s="13"/>
      <c r="N1564" s="13"/>
      <c r="O1564" s="13"/>
      <c r="P1564" s="13"/>
      <c r="Q1564" s="13"/>
      <c r="R1564" s="13"/>
      <c r="S1564" s="13"/>
    </row>
    <row r="1565" ht="15.75" customHeight="1">
      <c r="A1565" s="14" t="s">
        <v>5671</v>
      </c>
      <c r="B1565" s="14" t="s">
        <v>316</v>
      </c>
      <c r="C1565" s="14" t="s">
        <v>5672</v>
      </c>
      <c r="D1565" s="14">
        <v>100.0</v>
      </c>
      <c r="E1565" s="14" t="s">
        <v>318</v>
      </c>
      <c r="F1565" s="14" t="s">
        <v>5673</v>
      </c>
      <c r="G1565" s="14" t="s">
        <v>5674</v>
      </c>
      <c r="H1565" s="13"/>
      <c r="I1565" s="13"/>
      <c r="J1565" s="13"/>
      <c r="K1565" s="13"/>
      <c r="L1565" s="13"/>
      <c r="M1565" s="13"/>
      <c r="N1565" s="13"/>
      <c r="O1565" s="13"/>
      <c r="P1565" s="13"/>
      <c r="Q1565" s="13"/>
      <c r="R1565" s="13"/>
      <c r="S1565" s="13"/>
    </row>
    <row r="1566" ht="15.75" customHeight="1">
      <c r="A1566" s="14" t="s">
        <v>5675</v>
      </c>
      <c r="B1566" s="14" t="s">
        <v>316</v>
      </c>
      <c r="C1566" s="14" t="s">
        <v>5676</v>
      </c>
      <c r="D1566" s="14">
        <v>100.0</v>
      </c>
      <c r="E1566" s="14" t="s">
        <v>318</v>
      </c>
      <c r="F1566" s="14" t="s">
        <v>4710</v>
      </c>
      <c r="G1566" s="14" t="s">
        <v>5677</v>
      </c>
      <c r="H1566" s="13"/>
      <c r="I1566" s="13"/>
      <c r="J1566" s="13"/>
      <c r="K1566" s="13"/>
      <c r="L1566" s="13"/>
      <c r="M1566" s="13"/>
      <c r="N1566" s="13"/>
      <c r="O1566" s="13"/>
      <c r="P1566" s="13"/>
      <c r="Q1566" s="13"/>
      <c r="R1566" s="13"/>
      <c r="S1566" s="13"/>
    </row>
    <row r="1567" ht="15.75" customHeight="1">
      <c r="A1567" s="14" t="s">
        <v>5678</v>
      </c>
      <c r="B1567" s="14" t="s">
        <v>316</v>
      </c>
      <c r="C1567" s="14" t="s">
        <v>5679</v>
      </c>
      <c r="D1567" s="14">
        <v>100.0</v>
      </c>
      <c r="E1567" s="14" t="s">
        <v>318</v>
      </c>
      <c r="F1567" s="14" t="s">
        <v>5680</v>
      </c>
      <c r="G1567" s="14"/>
      <c r="H1567" s="13"/>
      <c r="I1567" s="13"/>
      <c r="J1567" s="13"/>
      <c r="K1567" s="13"/>
      <c r="L1567" s="13"/>
      <c r="M1567" s="13"/>
      <c r="N1567" s="13"/>
      <c r="O1567" s="13"/>
      <c r="P1567" s="13"/>
      <c r="Q1567" s="13"/>
      <c r="R1567" s="13"/>
      <c r="S1567" s="13"/>
    </row>
    <row r="1568" ht="15.75" customHeight="1">
      <c r="A1568" s="14" t="s">
        <v>5681</v>
      </c>
      <c r="B1568" s="14" t="s">
        <v>5682</v>
      </c>
      <c r="C1568" s="14"/>
      <c r="D1568" s="14"/>
      <c r="E1568" s="14"/>
      <c r="F1568" s="14"/>
      <c r="G1568" s="14"/>
      <c r="H1568" s="13"/>
      <c r="I1568" s="13"/>
      <c r="J1568" s="13"/>
      <c r="K1568" s="13"/>
      <c r="L1568" s="13"/>
      <c r="M1568" s="13"/>
      <c r="N1568" s="13"/>
      <c r="O1568" s="13"/>
      <c r="P1568" s="13"/>
      <c r="Q1568" s="13"/>
      <c r="R1568" s="13"/>
      <c r="S1568" s="13"/>
    </row>
    <row r="1569" ht="15.75" customHeight="1">
      <c r="A1569" s="14" t="s">
        <v>5683</v>
      </c>
      <c r="B1569" s="14" t="s">
        <v>316</v>
      </c>
      <c r="C1569" s="14" t="s">
        <v>5684</v>
      </c>
      <c r="D1569" s="14">
        <v>100.0</v>
      </c>
      <c r="E1569" s="14" t="s">
        <v>318</v>
      </c>
      <c r="F1569" s="14" t="s">
        <v>5685</v>
      </c>
      <c r="G1569" s="14" t="s">
        <v>5686</v>
      </c>
      <c r="H1569" s="13"/>
      <c r="I1569" s="13"/>
      <c r="J1569" s="13"/>
      <c r="K1569" s="13"/>
      <c r="L1569" s="13"/>
      <c r="M1569" s="13"/>
      <c r="N1569" s="13"/>
      <c r="O1569" s="13"/>
      <c r="P1569" s="13"/>
      <c r="Q1569" s="13"/>
      <c r="R1569" s="13"/>
      <c r="S1569" s="13"/>
    </row>
    <row r="1570" ht="15.75" customHeight="1">
      <c r="A1570" s="14" t="s">
        <v>5687</v>
      </c>
      <c r="B1570" s="14" t="s">
        <v>316</v>
      </c>
      <c r="C1570" s="14" t="s">
        <v>5688</v>
      </c>
      <c r="D1570" s="14">
        <v>100.0</v>
      </c>
      <c r="E1570" s="14" t="s">
        <v>318</v>
      </c>
      <c r="F1570" s="14" t="s">
        <v>5689</v>
      </c>
      <c r="G1570" s="14" t="s">
        <v>5690</v>
      </c>
      <c r="H1570" s="13"/>
      <c r="I1570" s="13"/>
      <c r="J1570" s="13"/>
      <c r="K1570" s="13"/>
      <c r="L1570" s="13"/>
      <c r="M1570" s="13"/>
      <c r="N1570" s="13"/>
      <c r="O1570" s="13"/>
      <c r="P1570" s="13"/>
      <c r="Q1570" s="13"/>
      <c r="R1570" s="13"/>
      <c r="S1570" s="13"/>
    </row>
    <row r="1571" ht="15.75" customHeight="1">
      <c r="A1571" s="14" t="s">
        <v>5691</v>
      </c>
      <c r="B1571" s="14" t="s">
        <v>316</v>
      </c>
      <c r="C1571" s="14" t="s">
        <v>5692</v>
      </c>
      <c r="D1571" s="14">
        <v>100.0</v>
      </c>
      <c r="E1571" s="14" t="s">
        <v>318</v>
      </c>
      <c r="F1571" s="14" t="s">
        <v>5693</v>
      </c>
      <c r="G1571" s="14" t="s">
        <v>5694</v>
      </c>
      <c r="H1571" s="13"/>
      <c r="I1571" s="13"/>
      <c r="J1571" s="13"/>
      <c r="K1571" s="13"/>
      <c r="L1571" s="13"/>
      <c r="M1571" s="13"/>
      <c r="N1571" s="13"/>
      <c r="O1571" s="13"/>
      <c r="P1571" s="13"/>
      <c r="Q1571" s="13"/>
      <c r="R1571" s="13"/>
      <c r="S1571" s="13"/>
    </row>
    <row r="1572" ht="15.75" customHeight="1">
      <c r="A1572" s="14" t="s">
        <v>5695</v>
      </c>
      <c r="B1572" s="14" t="s">
        <v>316</v>
      </c>
      <c r="C1572" s="14" t="s">
        <v>5696</v>
      </c>
      <c r="D1572" s="14">
        <v>100.0</v>
      </c>
      <c r="E1572" s="14" t="s">
        <v>318</v>
      </c>
      <c r="F1572" s="14" t="s">
        <v>5697</v>
      </c>
      <c r="G1572" s="14" t="s">
        <v>5698</v>
      </c>
      <c r="H1572" s="13"/>
      <c r="I1572" s="13"/>
      <c r="J1572" s="13"/>
      <c r="K1572" s="13"/>
      <c r="L1572" s="13"/>
      <c r="M1572" s="13"/>
      <c r="N1572" s="13"/>
      <c r="O1572" s="13"/>
      <c r="P1572" s="13"/>
      <c r="Q1572" s="13"/>
      <c r="R1572" s="13"/>
      <c r="S1572" s="13"/>
    </row>
    <row r="1573" ht="15.75" customHeight="1">
      <c r="A1573" s="14" t="s">
        <v>5699</v>
      </c>
      <c r="B1573" s="14" t="s">
        <v>316</v>
      </c>
      <c r="C1573" s="14" t="s">
        <v>5700</v>
      </c>
      <c r="D1573" s="14">
        <v>100.0</v>
      </c>
      <c r="E1573" s="14" t="s">
        <v>318</v>
      </c>
      <c r="F1573" s="14" t="s">
        <v>2294</v>
      </c>
      <c r="G1573" s="14" t="s">
        <v>5701</v>
      </c>
      <c r="H1573" s="13"/>
      <c r="I1573" s="13"/>
      <c r="J1573" s="13"/>
      <c r="K1573" s="13"/>
      <c r="L1573" s="13"/>
      <c r="M1573" s="13"/>
      <c r="N1573" s="13"/>
      <c r="O1573" s="13"/>
      <c r="P1573" s="13"/>
      <c r="Q1573" s="13"/>
      <c r="R1573" s="13"/>
      <c r="S1573" s="13"/>
    </row>
    <row r="1574" ht="15.75" customHeight="1">
      <c r="A1574" s="14" t="s">
        <v>5702</v>
      </c>
      <c r="B1574" s="14" t="s">
        <v>316</v>
      </c>
      <c r="C1574" s="14" t="s">
        <v>5703</v>
      </c>
      <c r="D1574" s="14">
        <v>100.0</v>
      </c>
      <c r="E1574" s="14" t="s">
        <v>318</v>
      </c>
      <c r="F1574" s="14" t="s">
        <v>5704</v>
      </c>
      <c r="G1574" s="14" t="s">
        <v>5705</v>
      </c>
      <c r="H1574" s="13"/>
      <c r="I1574" s="13"/>
      <c r="J1574" s="13"/>
      <c r="K1574" s="13"/>
      <c r="L1574" s="13"/>
      <c r="M1574" s="13"/>
      <c r="N1574" s="13"/>
      <c r="O1574" s="13"/>
      <c r="P1574" s="13"/>
      <c r="Q1574" s="13"/>
      <c r="R1574" s="13"/>
      <c r="S1574" s="13"/>
    </row>
    <row r="1575" ht="15.75" customHeight="1">
      <c r="A1575" s="14" t="s">
        <v>5706</v>
      </c>
      <c r="B1575" s="14" t="s">
        <v>316</v>
      </c>
      <c r="C1575" s="14" t="s">
        <v>5707</v>
      </c>
      <c r="D1575" s="14">
        <v>100.0</v>
      </c>
      <c r="E1575" s="14" t="s">
        <v>318</v>
      </c>
      <c r="F1575" s="14" t="s">
        <v>5403</v>
      </c>
      <c r="G1575" s="14" t="s">
        <v>5708</v>
      </c>
      <c r="H1575" s="13"/>
      <c r="I1575" s="13"/>
      <c r="J1575" s="13"/>
      <c r="K1575" s="13"/>
      <c r="L1575" s="13"/>
      <c r="M1575" s="13"/>
      <c r="N1575" s="13"/>
      <c r="O1575" s="13"/>
      <c r="P1575" s="13"/>
      <c r="Q1575" s="13"/>
      <c r="R1575" s="13"/>
      <c r="S1575" s="13"/>
    </row>
    <row r="1576" ht="15.75" customHeight="1">
      <c r="A1576" s="14" t="s">
        <v>5709</v>
      </c>
      <c r="B1576" s="14" t="s">
        <v>316</v>
      </c>
      <c r="C1576" s="14" t="s">
        <v>5710</v>
      </c>
      <c r="D1576" s="14">
        <v>100.0</v>
      </c>
      <c r="E1576" s="14" t="s">
        <v>318</v>
      </c>
      <c r="F1576" s="14" t="s">
        <v>5403</v>
      </c>
      <c r="G1576" s="14" t="s">
        <v>5711</v>
      </c>
      <c r="H1576" s="13"/>
      <c r="I1576" s="13"/>
      <c r="J1576" s="13"/>
      <c r="K1576" s="13"/>
      <c r="L1576" s="13"/>
      <c r="M1576" s="13"/>
      <c r="N1576" s="13"/>
      <c r="O1576" s="13"/>
      <c r="P1576" s="13"/>
      <c r="Q1576" s="13"/>
      <c r="R1576" s="13"/>
      <c r="S1576" s="13"/>
    </row>
    <row r="1577" ht="15.75" customHeight="1">
      <c r="A1577" s="14" t="s">
        <v>5712</v>
      </c>
      <c r="B1577" s="14" t="s">
        <v>316</v>
      </c>
      <c r="C1577" s="14" t="s">
        <v>5713</v>
      </c>
      <c r="D1577" s="14">
        <v>100.0</v>
      </c>
      <c r="E1577" s="14" t="s">
        <v>318</v>
      </c>
      <c r="F1577" s="14" t="s">
        <v>1858</v>
      </c>
      <c r="G1577" s="14" t="s">
        <v>5714</v>
      </c>
      <c r="H1577" s="13"/>
      <c r="I1577" s="13"/>
      <c r="J1577" s="13"/>
      <c r="K1577" s="13"/>
      <c r="L1577" s="13"/>
      <c r="M1577" s="13"/>
      <c r="N1577" s="13"/>
      <c r="O1577" s="13"/>
      <c r="P1577" s="13"/>
      <c r="Q1577" s="13"/>
      <c r="R1577" s="13"/>
      <c r="S1577" s="13"/>
    </row>
    <row r="1578" ht="15.75" customHeight="1">
      <c r="A1578" s="14" t="s">
        <v>5715</v>
      </c>
      <c r="B1578" s="14" t="s">
        <v>316</v>
      </c>
      <c r="C1578" s="14" t="s">
        <v>5716</v>
      </c>
      <c r="D1578" s="14">
        <v>100.0</v>
      </c>
      <c r="E1578" s="14" t="s">
        <v>318</v>
      </c>
      <c r="F1578" s="14" t="s">
        <v>5717</v>
      </c>
      <c r="G1578" s="14" t="s">
        <v>5718</v>
      </c>
      <c r="H1578" s="13"/>
      <c r="I1578" s="13"/>
      <c r="J1578" s="13"/>
      <c r="K1578" s="13"/>
      <c r="L1578" s="13"/>
      <c r="M1578" s="13"/>
      <c r="N1578" s="13"/>
      <c r="O1578" s="13"/>
      <c r="P1578" s="13"/>
      <c r="Q1578" s="13"/>
      <c r="R1578" s="13"/>
      <c r="S1578" s="13"/>
    </row>
    <row r="1579" ht="15.75" customHeight="1">
      <c r="A1579" s="14" t="s">
        <v>5719</v>
      </c>
      <c r="B1579" s="14" t="s">
        <v>316</v>
      </c>
      <c r="C1579" s="14" t="s">
        <v>5720</v>
      </c>
      <c r="D1579" s="14">
        <v>100.0</v>
      </c>
      <c r="E1579" s="14" t="s">
        <v>318</v>
      </c>
      <c r="F1579" s="14" t="s">
        <v>5721</v>
      </c>
      <c r="G1579" s="14" t="s">
        <v>5722</v>
      </c>
      <c r="H1579" s="13"/>
      <c r="I1579" s="13"/>
      <c r="J1579" s="13"/>
      <c r="K1579" s="13"/>
      <c r="L1579" s="13"/>
      <c r="M1579" s="13"/>
      <c r="N1579" s="13"/>
      <c r="O1579" s="13"/>
      <c r="P1579" s="13"/>
      <c r="Q1579" s="13"/>
      <c r="R1579" s="13"/>
      <c r="S1579" s="13"/>
    </row>
    <row r="1580" ht="15.75" customHeight="1">
      <c r="A1580" s="14" t="s">
        <v>5723</v>
      </c>
      <c r="B1580" s="14" t="s">
        <v>316</v>
      </c>
      <c r="C1580" s="14" t="s">
        <v>5724</v>
      </c>
      <c r="D1580" s="14">
        <v>100.0</v>
      </c>
      <c r="E1580" s="14" t="s">
        <v>318</v>
      </c>
      <c r="F1580" s="14" t="s">
        <v>5725</v>
      </c>
      <c r="G1580" s="14" t="s">
        <v>5726</v>
      </c>
      <c r="H1580" s="13"/>
      <c r="I1580" s="13"/>
      <c r="J1580" s="13"/>
      <c r="K1580" s="13"/>
      <c r="L1580" s="13"/>
      <c r="M1580" s="13"/>
      <c r="N1580" s="13"/>
      <c r="O1580" s="13"/>
      <c r="P1580" s="13"/>
      <c r="Q1580" s="13"/>
      <c r="R1580" s="13"/>
      <c r="S1580" s="13"/>
    </row>
    <row r="1581" ht="15.75" customHeight="1">
      <c r="A1581" s="14" t="s">
        <v>5727</v>
      </c>
      <c r="B1581" s="14" t="s">
        <v>316</v>
      </c>
      <c r="C1581" s="14" t="s">
        <v>5728</v>
      </c>
      <c r="D1581" s="14">
        <v>100.0</v>
      </c>
      <c r="E1581" s="14" t="s">
        <v>318</v>
      </c>
      <c r="F1581" s="14" t="s">
        <v>5729</v>
      </c>
      <c r="G1581" s="14" t="s">
        <v>5730</v>
      </c>
      <c r="H1581" s="13"/>
      <c r="I1581" s="13"/>
      <c r="J1581" s="13"/>
      <c r="K1581" s="13"/>
      <c r="L1581" s="13"/>
      <c r="M1581" s="13"/>
      <c r="N1581" s="13"/>
      <c r="O1581" s="13"/>
      <c r="P1581" s="13"/>
      <c r="Q1581" s="13"/>
      <c r="R1581" s="13"/>
      <c r="S1581" s="13"/>
    </row>
    <row r="1582" ht="15.75" customHeight="1">
      <c r="A1582" s="14" t="s">
        <v>5731</v>
      </c>
      <c r="B1582" s="14" t="s">
        <v>316</v>
      </c>
      <c r="C1582" s="14" t="s">
        <v>5732</v>
      </c>
      <c r="D1582" s="14">
        <v>100.0</v>
      </c>
      <c r="E1582" s="14" t="s">
        <v>318</v>
      </c>
      <c r="F1582" s="14" t="s">
        <v>1381</v>
      </c>
      <c r="G1582" s="14" t="s">
        <v>5733</v>
      </c>
      <c r="H1582" s="13"/>
      <c r="I1582" s="13"/>
      <c r="J1582" s="13"/>
      <c r="K1582" s="13"/>
      <c r="L1582" s="13"/>
      <c r="M1582" s="13"/>
      <c r="N1582" s="13"/>
      <c r="O1582" s="13"/>
      <c r="P1582" s="13"/>
      <c r="Q1582" s="13"/>
      <c r="R1582" s="13"/>
      <c r="S1582" s="13"/>
    </row>
    <row r="1583" ht="15.75" customHeight="1">
      <c r="A1583" s="14" t="s">
        <v>5734</v>
      </c>
      <c r="B1583" s="14" t="s">
        <v>316</v>
      </c>
      <c r="C1583" s="14" t="s">
        <v>5735</v>
      </c>
      <c r="D1583" s="14">
        <v>100.0</v>
      </c>
      <c r="E1583" s="14" t="s">
        <v>318</v>
      </c>
      <c r="F1583" s="14" t="s">
        <v>5736</v>
      </c>
      <c r="G1583" s="14" t="s">
        <v>5737</v>
      </c>
      <c r="H1583" s="13"/>
      <c r="I1583" s="13"/>
      <c r="J1583" s="13"/>
      <c r="K1583" s="13"/>
      <c r="L1583" s="13"/>
      <c r="M1583" s="13"/>
      <c r="N1583" s="13"/>
      <c r="O1583" s="13"/>
      <c r="P1583" s="13"/>
      <c r="Q1583" s="13"/>
      <c r="R1583" s="13"/>
      <c r="S1583" s="13"/>
    </row>
    <row r="1584" ht="15.75" customHeight="1">
      <c r="A1584" s="14" t="s">
        <v>5738</v>
      </c>
      <c r="B1584" s="14" t="s">
        <v>316</v>
      </c>
      <c r="C1584" s="14" t="s">
        <v>5739</v>
      </c>
      <c r="D1584" s="14">
        <v>100.0</v>
      </c>
      <c r="E1584" s="14" t="s">
        <v>318</v>
      </c>
      <c r="F1584" s="14" t="s">
        <v>5740</v>
      </c>
      <c r="G1584" s="14" t="s">
        <v>5741</v>
      </c>
      <c r="H1584" s="13"/>
      <c r="I1584" s="13"/>
      <c r="J1584" s="13"/>
      <c r="K1584" s="13"/>
      <c r="L1584" s="13"/>
      <c r="M1584" s="13"/>
      <c r="N1584" s="13"/>
      <c r="O1584" s="13"/>
      <c r="P1584" s="13"/>
      <c r="Q1584" s="13"/>
      <c r="R1584" s="13"/>
      <c r="S1584" s="13"/>
    </row>
    <row r="1585" ht="15.75" customHeight="1">
      <c r="A1585" s="14" t="s">
        <v>5742</v>
      </c>
      <c r="B1585" s="14" t="s">
        <v>316</v>
      </c>
      <c r="C1585" s="14" t="s">
        <v>5743</v>
      </c>
      <c r="D1585" s="14">
        <v>100.0</v>
      </c>
      <c r="E1585" s="14" t="s">
        <v>318</v>
      </c>
      <c r="F1585" s="14" t="s">
        <v>5744</v>
      </c>
      <c r="G1585" s="14" t="s">
        <v>5745</v>
      </c>
      <c r="H1585" s="13"/>
      <c r="I1585" s="13"/>
      <c r="J1585" s="13"/>
      <c r="K1585" s="13"/>
      <c r="L1585" s="13"/>
      <c r="M1585" s="13"/>
      <c r="N1585" s="13"/>
      <c r="O1585" s="13"/>
      <c r="P1585" s="13"/>
      <c r="Q1585" s="13"/>
      <c r="R1585" s="13"/>
      <c r="S1585" s="13"/>
    </row>
    <row r="1586" ht="15.75" customHeight="1">
      <c r="A1586" s="14" t="s">
        <v>5746</v>
      </c>
      <c r="B1586" s="14" t="s">
        <v>316</v>
      </c>
      <c r="C1586" s="14" t="s">
        <v>5747</v>
      </c>
      <c r="D1586" s="14">
        <v>100.0</v>
      </c>
      <c r="E1586" s="14" t="s">
        <v>318</v>
      </c>
      <c r="F1586" s="14" t="s">
        <v>5340</v>
      </c>
      <c r="G1586" s="14" t="s">
        <v>5748</v>
      </c>
      <c r="H1586" s="13"/>
      <c r="I1586" s="13"/>
      <c r="J1586" s="13"/>
      <c r="K1586" s="13"/>
      <c r="L1586" s="13"/>
      <c r="M1586" s="13"/>
      <c r="N1586" s="13"/>
      <c r="O1586" s="13"/>
      <c r="P1586" s="13"/>
      <c r="Q1586" s="13"/>
      <c r="R1586" s="13"/>
      <c r="S1586" s="13"/>
    </row>
    <row r="1587" ht="15.75" customHeight="1">
      <c r="A1587" s="14" t="s">
        <v>5749</v>
      </c>
      <c r="B1587" s="14" t="s">
        <v>316</v>
      </c>
      <c r="C1587" s="14" t="s">
        <v>5750</v>
      </c>
      <c r="D1587" s="14">
        <v>100.0</v>
      </c>
      <c r="E1587" s="14" t="s">
        <v>318</v>
      </c>
      <c r="F1587" s="14" t="s">
        <v>1935</v>
      </c>
      <c r="G1587" s="14" t="s">
        <v>5751</v>
      </c>
      <c r="H1587" s="13"/>
      <c r="I1587" s="13"/>
      <c r="J1587" s="13"/>
      <c r="K1587" s="13"/>
      <c r="L1587" s="13"/>
      <c r="M1587" s="13"/>
      <c r="N1587" s="13"/>
      <c r="O1587" s="13"/>
      <c r="P1587" s="13"/>
      <c r="Q1587" s="13"/>
      <c r="R1587" s="13"/>
      <c r="S1587" s="13"/>
    </row>
    <row r="1588" ht="15.75" customHeight="1">
      <c r="A1588" s="14" t="s">
        <v>5752</v>
      </c>
      <c r="B1588" s="14" t="s">
        <v>316</v>
      </c>
      <c r="C1588" s="14" t="s">
        <v>5753</v>
      </c>
      <c r="D1588" s="14">
        <v>100.0</v>
      </c>
      <c r="E1588" s="14" t="s">
        <v>318</v>
      </c>
      <c r="F1588" s="14" t="s">
        <v>5754</v>
      </c>
      <c r="G1588" s="14" t="s">
        <v>5755</v>
      </c>
      <c r="H1588" s="13"/>
      <c r="I1588" s="13"/>
      <c r="J1588" s="13"/>
      <c r="K1588" s="13"/>
      <c r="L1588" s="13"/>
      <c r="M1588" s="13"/>
      <c r="N1588" s="13"/>
      <c r="O1588" s="13"/>
      <c r="P1588" s="13"/>
      <c r="Q1588" s="13"/>
      <c r="R1588" s="13"/>
      <c r="S1588" s="13"/>
    </row>
    <row r="1589" ht="15.75" customHeight="1">
      <c r="A1589" s="14" t="s">
        <v>5756</v>
      </c>
      <c r="B1589" s="14" t="s">
        <v>316</v>
      </c>
      <c r="C1589" s="14" t="s">
        <v>5757</v>
      </c>
      <c r="D1589" s="14">
        <v>100.0</v>
      </c>
      <c r="E1589" s="14" t="s">
        <v>318</v>
      </c>
      <c r="F1589" s="14" t="s">
        <v>5758</v>
      </c>
      <c r="G1589" s="14" t="s">
        <v>5759</v>
      </c>
      <c r="H1589" s="13"/>
      <c r="I1589" s="13"/>
      <c r="J1589" s="13"/>
      <c r="K1589" s="13"/>
      <c r="L1589" s="13"/>
      <c r="M1589" s="13"/>
      <c r="N1589" s="13"/>
      <c r="O1589" s="13"/>
      <c r="P1589" s="13"/>
      <c r="Q1589" s="13"/>
      <c r="R1589" s="13"/>
      <c r="S1589" s="13"/>
    </row>
    <row r="1590" ht="15.75" customHeight="1">
      <c r="A1590" s="14" t="s">
        <v>5760</v>
      </c>
      <c r="B1590" s="14" t="s">
        <v>316</v>
      </c>
      <c r="C1590" s="14" t="s">
        <v>3056</v>
      </c>
      <c r="D1590" s="14">
        <v>100.0</v>
      </c>
      <c r="E1590" s="14" t="s">
        <v>318</v>
      </c>
      <c r="F1590" s="14" t="s">
        <v>591</v>
      </c>
      <c r="G1590" s="14" t="s">
        <v>5761</v>
      </c>
      <c r="H1590" s="13"/>
      <c r="I1590" s="13"/>
      <c r="J1590" s="13"/>
      <c r="K1590" s="13"/>
      <c r="L1590" s="13"/>
      <c r="M1590" s="13"/>
      <c r="N1590" s="13"/>
      <c r="O1590" s="13"/>
      <c r="P1590" s="13"/>
      <c r="Q1590" s="13"/>
      <c r="R1590" s="13"/>
      <c r="S1590" s="13"/>
    </row>
    <row r="1591" ht="15.75" customHeight="1">
      <c r="A1591" s="14" t="s">
        <v>5762</v>
      </c>
      <c r="B1591" s="14" t="s">
        <v>316</v>
      </c>
      <c r="C1591" s="14" t="s">
        <v>5763</v>
      </c>
      <c r="D1591" s="14">
        <v>100.0</v>
      </c>
      <c r="E1591" s="14" t="s">
        <v>318</v>
      </c>
      <c r="F1591" s="14" t="s">
        <v>5764</v>
      </c>
      <c r="G1591" s="14" t="s">
        <v>5765</v>
      </c>
      <c r="H1591" s="13"/>
      <c r="I1591" s="13"/>
      <c r="J1591" s="13"/>
      <c r="K1591" s="13"/>
      <c r="L1591" s="13"/>
      <c r="M1591" s="13"/>
      <c r="N1591" s="13"/>
      <c r="O1591" s="13"/>
      <c r="P1591" s="13"/>
      <c r="Q1591" s="13"/>
      <c r="R1591" s="13"/>
      <c r="S1591" s="13"/>
    </row>
    <row r="1592" ht="15.75" customHeight="1">
      <c r="A1592" s="14" t="s">
        <v>5766</v>
      </c>
      <c r="B1592" s="14" t="s">
        <v>316</v>
      </c>
      <c r="C1592" s="14" t="s">
        <v>5767</v>
      </c>
      <c r="D1592" s="14">
        <v>100.0</v>
      </c>
      <c r="E1592" s="14" t="s">
        <v>318</v>
      </c>
      <c r="F1592" s="14" t="s">
        <v>5768</v>
      </c>
      <c r="G1592" s="14" t="s">
        <v>5769</v>
      </c>
      <c r="H1592" s="13"/>
      <c r="I1592" s="13"/>
      <c r="J1592" s="13"/>
      <c r="K1592" s="13"/>
      <c r="L1592" s="13"/>
      <c r="M1592" s="13"/>
      <c r="N1592" s="13"/>
      <c r="O1592" s="13"/>
      <c r="P1592" s="13"/>
      <c r="Q1592" s="13"/>
      <c r="R1592" s="13"/>
      <c r="S1592" s="13"/>
    </row>
    <row r="1593" ht="15.75" customHeight="1">
      <c r="A1593" s="14" t="s">
        <v>5770</v>
      </c>
      <c r="B1593" s="14" t="s">
        <v>316</v>
      </c>
      <c r="C1593" s="14" t="s">
        <v>5771</v>
      </c>
      <c r="D1593" s="14">
        <v>100.0</v>
      </c>
      <c r="E1593" s="14" t="s">
        <v>318</v>
      </c>
      <c r="F1593" s="14" t="s">
        <v>3369</v>
      </c>
      <c r="G1593" s="14" t="s">
        <v>5772</v>
      </c>
      <c r="H1593" s="13"/>
      <c r="I1593" s="13"/>
      <c r="J1593" s="13"/>
      <c r="K1593" s="13"/>
      <c r="L1593" s="13"/>
      <c r="M1593" s="13"/>
      <c r="N1593" s="13"/>
      <c r="O1593" s="13"/>
      <c r="P1593" s="13"/>
      <c r="Q1593" s="13"/>
      <c r="R1593" s="13"/>
      <c r="S1593" s="13"/>
    </row>
    <row r="1594" ht="15.75" customHeight="1">
      <c r="A1594" s="14" t="s">
        <v>5773</v>
      </c>
      <c r="B1594" s="14" t="s">
        <v>316</v>
      </c>
      <c r="C1594" s="14" t="s">
        <v>5774</v>
      </c>
      <c r="D1594" s="14">
        <v>100.0</v>
      </c>
      <c r="E1594" s="14" t="s">
        <v>318</v>
      </c>
      <c r="F1594" s="14" t="s">
        <v>5775</v>
      </c>
      <c r="G1594" s="14" t="s">
        <v>5776</v>
      </c>
      <c r="H1594" s="13"/>
      <c r="I1594" s="13"/>
      <c r="J1594" s="13"/>
      <c r="K1594" s="13"/>
      <c r="L1594" s="13"/>
      <c r="M1594" s="13"/>
      <c r="N1594" s="13"/>
      <c r="O1594" s="13"/>
      <c r="P1594" s="13"/>
      <c r="Q1594" s="13"/>
      <c r="R1594" s="13"/>
      <c r="S1594" s="13"/>
    </row>
    <row r="1595" ht="15.75" customHeight="1">
      <c r="A1595" s="14" t="s">
        <v>5777</v>
      </c>
      <c r="B1595" s="14" t="s">
        <v>316</v>
      </c>
      <c r="C1595" s="14" t="s">
        <v>5778</v>
      </c>
      <c r="D1595" s="14">
        <v>100.0</v>
      </c>
      <c r="E1595" s="14" t="s">
        <v>318</v>
      </c>
      <c r="F1595" s="14" t="s">
        <v>5779</v>
      </c>
      <c r="G1595" s="14" t="s">
        <v>5780</v>
      </c>
      <c r="H1595" s="13"/>
      <c r="I1595" s="13"/>
      <c r="J1595" s="13"/>
      <c r="K1595" s="13"/>
      <c r="L1595" s="13"/>
      <c r="M1595" s="13"/>
      <c r="N1595" s="13"/>
      <c r="O1595" s="13"/>
      <c r="P1595" s="13"/>
      <c r="Q1595" s="13"/>
      <c r="R1595" s="13"/>
      <c r="S1595" s="13"/>
    </row>
    <row r="1596" ht="15.75" customHeight="1">
      <c r="A1596" s="14" t="s">
        <v>5781</v>
      </c>
      <c r="B1596" s="14" t="s">
        <v>316</v>
      </c>
      <c r="C1596" s="14" t="s">
        <v>5782</v>
      </c>
      <c r="D1596" s="14">
        <v>100.0</v>
      </c>
      <c r="E1596" s="14" t="s">
        <v>318</v>
      </c>
      <c r="F1596" s="14" t="s">
        <v>5783</v>
      </c>
      <c r="G1596" s="14" t="s">
        <v>5784</v>
      </c>
      <c r="H1596" s="13"/>
      <c r="I1596" s="13"/>
      <c r="J1596" s="13"/>
      <c r="K1596" s="13"/>
      <c r="L1596" s="13"/>
      <c r="M1596" s="13"/>
      <c r="N1596" s="13"/>
      <c r="O1596" s="13"/>
      <c r="P1596" s="13"/>
      <c r="Q1596" s="13"/>
      <c r="R1596" s="13"/>
      <c r="S1596" s="13"/>
    </row>
    <row r="1597" ht="15.75" customHeight="1">
      <c r="A1597" s="14" t="s">
        <v>5785</v>
      </c>
      <c r="B1597" s="14" t="s">
        <v>316</v>
      </c>
      <c r="C1597" s="14" t="s">
        <v>5786</v>
      </c>
      <c r="D1597" s="14">
        <v>100.0</v>
      </c>
      <c r="E1597" s="14" t="s">
        <v>318</v>
      </c>
      <c r="F1597" s="14" t="s">
        <v>5787</v>
      </c>
      <c r="G1597" s="14" t="s">
        <v>5788</v>
      </c>
      <c r="H1597" s="13"/>
      <c r="I1597" s="13"/>
      <c r="J1597" s="13"/>
      <c r="K1597" s="13"/>
      <c r="L1597" s="13"/>
      <c r="M1597" s="13"/>
      <c r="N1597" s="13"/>
      <c r="O1597" s="13"/>
      <c r="P1597" s="13"/>
      <c r="Q1597" s="13"/>
      <c r="R1597" s="13"/>
      <c r="S1597" s="13"/>
    </row>
    <row r="1598" ht="15.75" customHeight="1">
      <c r="A1598" s="14" t="s">
        <v>5789</v>
      </c>
      <c r="B1598" s="14" t="s">
        <v>316</v>
      </c>
      <c r="C1598" s="14" t="s">
        <v>5790</v>
      </c>
      <c r="D1598" s="14">
        <v>100.0</v>
      </c>
      <c r="E1598" s="14" t="s">
        <v>318</v>
      </c>
      <c r="F1598" s="14" t="s">
        <v>664</v>
      </c>
      <c r="G1598" s="14" t="s">
        <v>5791</v>
      </c>
      <c r="H1598" s="13"/>
      <c r="I1598" s="13"/>
      <c r="J1598" s="13"/>
      <c r="K1598" s="13"/>
      <c r="L1598" s="13"/>
      <c r="M1598" s="13"/>
      <c r="N1598" s="13"/>
      <c r="O1598" s="13"/>
      <c r="P1598" s="13"/>
      <c r="Q1598" s="13"/>
      <c r="R1598" s="13"/>
      <c r="S1598" s="13"/>
    </row>
    <row r="1599" ht="15.75" customHeight="1">
      <c r="A1599" s="14" t="s">
        <v>5792</v>
      </c>
      <c r="B1599" s="14" t="s">
        <v>316</v>
      </c>
      <c r="C1599" s="14" t="s">
        <v>5793</v>
      </c>
      <c r="D1599" s="14">
        <v>100.0</v>
      </c>
      <c r="E1599" s="14" t="s">
        <v>318</v>
      </c>
      <c r="F1599" s="14" t="s">
        <v>5794</v>
      </c>
      <c r="G1599" s="14" t="s">
        <v>5795</v>
      </c>
      <c r="H1599" s="13"/>
      <c r="I1599" s="13"/>
      <c r="J1599" s="13"/>
      <c r="K1599" s="13"/>
      <c r="L1599" s="13"/>
      <c r="M1599" s="13"/>
      <c r="N1599" s="13"/>
      <c r="O1599" s="13"/>
      <c r="P1599" s="13"/>
      <c r="Q1599" s="13"/>
      <c r="R1599" s="13"/>
      <c r="S1599" s="13"/>
    </row>
    <row r="1600" ht="15.75" customHeight="1">
      <c r="A1600" s="14" t="s">
        <v>5796</v>
      </c>
      <c r="B1600" s="14" t="s">
        <v>316</v>
      </c>
      <c r="C1600" s="14" t="s">
        <v>5797</v>
      </c>
      <c r="D1600" s="14">
        <v>100.0</v>
      </c>
      <c r="E1600" s="14" t="s">
        <v>318</v>
      </c>
      <c r="F1600" s="14" t="s">
        <v>5798</v>
      </c>
      <c r="G1600" s="14" t="s">
        <v>5799</v>
      </c>
      <c r="H1600" s="13"/>
      <c r="I1600" s="13"/>
      <c r="J1600" s="13"/>
      <c r="K1600" s="13"/>
      <c r="L1600" s="13"/>
      <c r="M1600" s="13"/>
      <c r="N1600" s="13"/>
      <c r="O1600" s="13"/>
      <c r="P1600" s="13"/>
      <c r="Q1600" s="13"/>
      <c r="R1600" s="13"/>
      <c r="S1600" s="13"/>
    </row>
    <row r="1601" ht="15.75" customHeight="1">
      <c r="A1601" s="14" t="s">
        <v>5800</v>
      </c>
      <c r="B1601" s="14" t="s">
        <v>316</v>
      </c>
      <c r="C1601" s="14" t="s">
        <v>5801</v>
      </c>
      <c r="D1601" s="14">
        <v>100.0</v>
      </c>
      <c r="E1601" s="14" t="s">
        <v>318</v>
      </c>
      <c r="F1601" s="14" t="s">
        <v>5802</v>
      </c>
      <c r="G1601" s="14" t="s">
        <v>5803</v>
      </c>
      <c r="H1601" s="13"/>
      <c r="I1601" s="13"/>
      <c r="J1601" s="13"/>
      <c r="K1601" s="13"/>
      <c r="L1601" s="13"/>
      <c r="M1601" s="13"/>
      <c r="N1601" s="13"/>
      <c r="O1601" s="13"/>
      <c r="P1601" s="13"/>
      <c r="Q1601" s="13"/>
      <c r="R1601" s="13"/>
      <c r="S1601" s="13"/>
    </row>
    <row r="1602" ht="15.75" customHeight="1">
      <c r="A1602" s="14" t="s">
        <v>5804</v>
      </c>
      <c r="B1602" s="14" t="s">
        <v>316</v>
      </c>
      <c r="C1602" s="14" t="s">
        <v>5805</v>
      </c>
      <c r="D1602" s="14">
        <v>100.0</v>
      </c>
      <c r="E1602" s="14" t="s">
        <v>318</v>
      </c>
      <c r="F1602" s="14" t="s">
        <v>5806</v>
      </c>
      <c r="G1602" s="14" t="s">
        <v>5807</v>
      </c>
      <c r="H1602" s="13"/>
      <c r="I1602" s="13"/>
      <c r="J1602" s="13"/>
      <c r="K1602" s="13"/>
      <c r="L1602" s="13"/>
      <c r="M1602" s="13"/>
      <c r="N1602" s="13"/>
      <c r="O1602" s="13"/>
      <c r="P1602" s="13"/>
      <c r="Q1602" s="13"/>
      <c r="R1602" s="13"/>
      <c r="S1602" s="13"/>
    </row>
    <row r="1603" ht="15.75" customHeight="1">
      <c r="A1603" s="14" t="s">
        <v>5808</v>
      </c>
      <c r="B1603" s="14" t="s">
        <v>316</v>
      </c>
      <c r="C1603" s="14" t="s">
        <v>5809</v>
      </c>
      <c r="D1603" s="14">
        <v>93.0</v>
      </c>
      <c r="E1603" s="14" t="s">
        <v>318</v>
      </c>
      <c r="F1603" s="14" t="s">
        <v>5810</v>
      </c>
      <c r="G1603" s="14" t="s">
        <v>5811</v>
      </c>
      <c r="H1603" s="13"/>
      <c r="I1603" s="13"/>
      <c r="J1603" s="13"/>
      <c r="K1603" s="13"/>
      <c r="L1603" s="13"/>
      <c r="M1603" s="13"/>
      <c r="N1603" s="13"/>
      <c r="O1603" s="13"/>
      <c r="P1603" s="13"/>
      <c r="Q1603" s="13"/>
      <c r="R1603" s="13"/>
      <c r="S1603" s="13"/>
    </row>
    <row r="1604" ht="15.75" customHeight="1">
      <c r="A1604" s="14" t="s">
        <v>5812</v>
      </c>
      <c r="B1604" s="14" t="s">
        <v>316</v>
      </c>
      <c r="C1604" s="14" t="s">
        <v>5813</v>
      </c>
      <c r="D1604" s="14">
        <v>100.0</v>
      </c>
      <c r="E1604" s="14" t="s">
        <v>318</v>
      </c>
      <c r="F1604" s="14" t="s">
        <v>5814</v>
      </c>
      <c r="G1604" s="14" t="s">
        <v>5815</v>
      </c>
      <c r="H1604" s="13"/>
      <c r="I1604" s="13"/>
      <c r="J1604" s="13"/>
      <c r="K1604" s="13"/>
      <c r="L1604" s="13"/>
      <c r="M1604" s="13"/>
      <c r="N1604" s="13"/>
      <c r="O1604" s="13"/>
      <c r="P1604" s="13"/>
      <c r="Q1604" s="13"/>
      <c r="R1604" s="13"/>
      <c r="S1604" s="13"/>
    </row>
    <row r="1605" ht="15.75" customHeight="1">
      <c r="A1605" s="14" t="s">
        <v>5816</v>
      </c>
      <c r="B1605" s="14" t="s">
        <v>316</v>
      </c>
      <c r="C1605" s="14" t="s">
        <v>3901</v>
      </c>
      <c r="D1605" s="14">
        <v>100.0</v>
      </c>
      <c r="E1605" s="14" t="s">
        <v>318</v>
      </c>
      <c r="F1605" s="14" t="s">
        <v>755</v>
      </c>
      <c r="G1605" s="14" t="s">
        <v>5817</v>
      </c>
      <c r="H1605" s="13"/>
      <c r="I1605" s="13"/>
      <c r="J1605" s="13"/>
      <c r="K1605" s="13"/>
      <c r="L1605" s="13"/>
      <c r="M1605" s="13"/>
      <c r="N1605" s="13"/>
      <c r="O1605" s="13"/>
      <c r="P1605" s="13"/>
      <c r="Q1605" s="13"/>
      <c r="R1605" s="13"/>
      <c r="S1605" s="13"/>
    </row>
    <row r="1606" ht="15.75" customHeight="1">
      <c r="A1606" s="14" t="s">
        <v>5818</v>
      </c>
      <c r="B1606" s="14" t="s">
        <v>316</v>
      </c>
      <c r="C1606" s="14" t="s">
        <v>5819</v>
      </c>
      <c r="D1606" s="14">
        <v>100.0</v>
      </c>
      <c r="E1606" s="14" t="s">
        <v>318</v>
      </c>
      <c r="F1606" s="14" t="s">
        <v>1035</v>
      </c>
      <c r="G1606" s="14" t="s">
        <v>5820</v>
      </c>
      <c r="H1606" s="13"/>
      <c r="I1606" s="13"/>
      <c r="J1606" s="13"/>
      <c r="K1606" s="13"/>
      <c r="L1606" s="13"/>
      <c r="M1606" s="13"/>
      <c r="N1606" s="13"/>
      <c r="O1606" s="13"/>
      <c r="P1606" s="13"/>
      <c r="Q1606" s="13"/>
      <c r="R1606" s="13"/>
      <c r="S1606" s="13"/>
    </row>
    <row r="1607" ht="15.75" customHeight="1">
      <c r="A1607" s="14" t="s">
        <v>5821</v>
      </c>
      <c r="B1607" s="14" t="s">
        <v>316</v>
      </c>
      <c r="C1607" s="14" t="s">
        <v>5822</v>
      </c>
      <c r="D1607" s="14">
        <v>100.0</v>
      </c>
      <c r="E1607" s="14" t="s">
        <v>318</v>
      </c>
      <c r="F1607" s="14" t="s">
        <v>5823</v>
      </c>
      <c r="G1607" s="14" t="s">
        <v>5824</v>
      </c>
      <c r="H1607" s="13"/>
      <c r="I1607" s="13"/>
      <c r="J1607" s="13"/>
      <c r="K1607" s="13"/>
      <c r="L1607" s="13"/>
      <c r="M1607" s="13"/>
      <c r="N1607" s="13"/>
      <c r="O1607" s="13"/>
      <c r="P1607" s="13"/>
      <c r="Q1607" s="13"/>
      <c r="R1607" s="13"/>
      <c r="S1607" s="13"/>
    </row>
    <row r="1608" ht="15.75" customHeight="1">
      <c r="A1608" s="14" t="s">
        <v>5825</v>
      </c>
      <c r="B1608" s="14" t="s">
        <v>316</v>
      </c>
      <c r="C1608" s="14" t="s">
        <v>5826</v>
      </c>
      <c r="D1608" s="14">
        <v>100.0</v>
      </c>
      <c r="E1608" s="14" t="s">
        <v>318</v>
      </c>
      <c r="F1608" s="14" t="s">
        <v>1980</v>
      </c>
      <c r="G1608" s="14" t="s">
        <v>5827</v>
      </c>
      <c r="H1608" s="13"/>
      <c r="I1608" s="13"/>
      <c r="J1608" s="13"/>
      <c r="K1608" s="13"/>
      <c r="L1608" s="13"/>
      <c r="M1608" s="13"/>
      <c r="N1608" s="13"/>
      <c r="O1608" s="13"/>
      <c r="P1608" s="13"/>
      <c r="Q1608" s="13"/>
      <c r="R1608" s="13"/>
      <c r="S1608" s="13"/>
    </row>
    <row r="1609" ht="15.75" customHeight="1">
      <c r="A1609" s="14" t="s">
        <v>5828</v>
      </c>
      <c r="B1609" s="14" t="s">
        <v>316</v>
      </c>
      <c r="C1609" s="14" t="s">
        <v>5829</v>
      </c>
      <c r="D1609" s="14">
        <v>100.0</v>
      </c>
      <c r="E1609" s="14" t="s">
        <v>318</v>
      </c>
      <c r="F1609" s="14" t="s">
        <v>5830</v>
      </c>
      <c r="G1609" s="14" t="s">
        <v>5831</v>
      </c>
      <c r="H1609" s="13"/>
      <c r="I1609" s="13"/>
      <c r="J1609" s="13"/>
      <c r="K1609" s="13"/>
      <c r="L1609" s="13"/>
      <c r="M1609" s="13"/>
      <c r="N1609" s="13"/>
      <c r="O1609" s="13"/>
      <c r="P1609" s="13"/>
      <c r="Q1609" s="13"/>
      <c r="R1609" s="13"/>
      <c r="S1609" s="13"/>
    </row>
    <row r="1610" ht="15.75" customHeight="1">
      <c r="A1610" s="14" t="s">
        <v>5832</v>
      </c>
      <c r="B1610" s="14" t="s">
        <v>316</v>
      </c>
      <c r="C1610" s="14" t="s">
        <v>5833</v>
      </c>
      <c r="D1610" s="14">
        <v>100.0</v>
      </c>
      <c r="E1610" s="14" t="s">
        <v>318</v>
      </c>
      <c r="F1610" s="14" t="s">
        <v>4304</v>
      </c>
      <c r="G1610" s="14" t="s">
        <v>5834</v>
      </c>
      <c r="H1610" s="13"/>
      <c r="I1610" s="13"/>
      <c r="J1610" s="13"/>
      <c r="K1610" s="13"/>
      <c r="L1610" s="13"/>
      <c r="M1610" s="13"/>
      <c r="N1610" s="13"/>
      <c r="O1610" s="13"/>
      <c r="P1610" s="13"/>
      <c r="Q1610" s="13"/>
      <c r="R1610" s="13"/>
      <c r="S1610" s="13"/>
    </row>
    <row r="1611" ht="15.75" customHeight="1">
      <c r="A1611" s="14" t="s">
        <v>5835</v>
      </c>
      <c r="B1611" s="14" t="s">
        <v>316</v>
      </c>
      <c r="C1611" s="14" t="s">
        <v>5836</v>
      </c>
      <c r="D1611" s="14">
        <v>100.0</v>
      </c>
      <c r="E1611" s="14" t="s">
        <v>318</v>
      </c>
      <c r="F1611" s="14" t="s">
        <v>5837</v>
      </c>
      <c r="G1611" s="14" t="s">
        <v>5838</v>
      </c>
      <c r="H1611" s="13"/>
      <c r="I1611" s="13"/>
      <c r="J1611" s="13"/>
      <c r="K1611" s="13"/>
      <c r="L1611" s="13"/>
      <c r="M1611" s="13"/>
      <c r="N1611" s="13"/>
      <c r="O1611" s="13"/>
      <c r="P1611" s="13"/>
      <c r="Q1611" s="13"/>
      <c r="R1611" s="13"/>
      <c r="S1611" s="13"/>
    </row>
    <row r="1612" ht="15.75" customHeight="1">
      <c r="A1612" s="14" t="s">
        <v>5839</v>
      </c>
      <c r="B1612" s="14" t="s">
        <v>316</v>
      </c>
      <c r="C1612" s="14" t="s">
        <v>5840</v>
      </c>
      <c r="D1612" s="14">
        <v>100.0</v>
      </c>
      <c r="E1612" s="14" t="s">
        <v>318</v>
      </c>
      <c r="F1612" s="14" t="s">
        <v>5841</v>
      </c>
      <c r="G1612" s="14" t="s">
        <v>5842</v>
      </c>
      <c r="H1612" s="13"/>
      <c r="I1612" s="13"/>
      <c r="J1612" s="13"/>
      <c r="K1612" s="13"/>
      <c r="L1612" s="13"/>
      <c r="M1612" s="13"/>
      <c r="N1612" s="13"/>
      <c r="O1612" s="13"/>
      <c r="P1612" s="13"/>
      <c r="Q1612" s="13"/>
      <c r="R1612" s="13"/>
      <c r="S1612" s="13"/>
    </row>
    <row r="1613" ht="15.75" customHeight="1">
      <c r="A1613" s="14" t="s">
        <v>5843</v>
      </c>
      <c r="B1613" s="14" t="s">
        <v>316</v>
      </c>
      <c r="C1613" s="14" t="s">
        <v>5844</v>
      </c>
      <c r="D1613" s="14">
        <v>100.0</v>
      </c>
      <c r="E1613" s="14" t="s">
        <v>318</v>
      </c>
      <c r="F1613" s="14" t="s">
        <v>5845</v>
      </c>
      <c r="G1613" s="14" t="s">
        <v>5846</v>
      </c>
      <c r="H1613" s="13"/>
      <c r="I1613" s="13"/>
      <c r="J1613" s="13"/>
      <c r="K1613" s="13"/>
      <c r="L1613" s="13"/>
      <c r="M1613" s="13"/>
      <c r="N1613" s="13"/>
      <c r="O1613" s="13"/>
      <c r="P1613" s="13"/>
      <c r="Q1613" s="13"/>
      <c r="R1613" s="13"/>
      <c r="S1613" s="13"/>
    </row>
    <row r="1614" ht="15.75" customHeight="1">
      <c r="A1614" s="14" t="s">
        <v>5847</v>
      </c>
      <c r="B1614" s="14" t="s">
        <v>316</v>
      </c>
      <c r="C1614" s="14" t="s">
        <v>5848</v>
      </c>
      <c r="D1614" s="14">
        <v>100.0</v>
      </c>
      <c r="E1614" s="14" t="s">
        <v>318</v>
      </c>
      <c r="F1614" s="14" t="s">
        <v>5340</v>
      </c>
      <c r="G1614" s="14" t="s">
        <v>5849</v>
      </c>
      <c r="H1614" s="13"/>
      <c r="I1614" s="13"/>
      <c r="J1614" s="13"/>
      <c r="K1614" s="13"/>
      <c r="L1614" s="13"/>
      <c r="M1614" s="13"/>
      <c r="N1614" s="13"/>
      <c r="O1614" s="13"/>
      <c r="P1614" s="13"/>
      <c r="Q1614" s="13"/>
      <c r="R1614" s="13"/>
      <c r="S1614" s="13"/>
    </row>
    <row r="1615" ht="15.75" customHeight="1">
      <c r="A1615" s="14" t="s">
        <v>5850</v>
      </c>
      <c r="B1615" s="14" t="s">
        <v>316</v>
      </c>
      <c r="C1615" s="14" t="s">
        <v>5851</v>
      </c>
      <c r="D1615" s="14">
        <v>100.0</v>
      </c>
      <c r="E1615" s="14" t="s">
        <v>318</v>
      </c>
      <c r="F1615" s="14" t="s">
        <v>591</v>
      </c>
      <c r="G1615" s="14" t="s">
        <v>5852</v>
      </c>
      <c r="H1615" s="13"/>
      <c r="I1615" s="13"/>
      <c r="J1615" s="13"/>
      <c r="K1615" s="13"/>
      <c r="L1615" s="13"/>
      <c r="M1615" s="13"/>
      <c r="N1615" s="13"/>
      <c r="O1615" s="13"/>
      <c r="P1615" s="13"/>
      <c r="Q1615" s="13"/>
      <c r="R1615" s="13"/>
      <c r="S1615" s="13"/>
    </row>
    <row r="1616" ht="15.75" customHeight="1">
      <c r="A1616" s="14" t="s">
        <v>5853</v>
      </c>
      <c r="B1616" s="14" t="s">
        <v>316</v>
      </c>
      <c r="C1616" s="14" t="s">
        <v>5854</v>
      </c>
      <c r="D1616" s="14">
        <v>100.0</v>
      </c>
      <c r="E1616" s="14" t="s">
        <v>318</v>
      </c>
      <c r="F1616" s="14" t="s">
        <v>5855</v>
      </c>
      <c r="G1616" s="14" t="s">
        <v>5856</v>
      </c>
      <c r="H1616" s="13"/>
      <c r="I1616" s="13"/>
      <c r="J1616" s="13"/>
      <c r="K1616" s="13"/>
      <c r="L1616" s="13"/>
      <c r="M1616" s="13"/>
      <c r="N1616" s="13"/>
      <c r="O1616" s="13"/>
      <c r="P1616" s="13"/>
      <c r="Q1616" s="13"/>
      <c r="R1616" s="13"/>
      <c r="S1616" s="13"/>
    </row>
    <row r="1617" ht="15.75" customHeight="1">
      <c r="A1617" s="14" t="s">
        <v>5857</v>
      </c>
      <c r="B1617" s="14" t="s">
        <v>316</v>
      </c>
      <c r="C1617" s="14" t="s">
        <v>5858</v>
      </c>
      <c r="D1617" s="14">
        <v>100.0</v>
      </c>
      <c r="E1617" s="14" t="s">
        <v>318</v>
      </c>
      <c r="F1617" s="14" t="s">
        <v>5859</v>
      </c>
      <c r="G1617" s="14" t="s">
        <v>5860</v>
      </c>
      <c r="H1617" s="13"/>
      <c r="I1617" s="13"/>
      <c r="J1617" s="13"/>
      <c r="K1617" s="13"/>
      <c r="L1617" s="13"/>
      <c r="M1617" s="13"/>
      <c r="N1617" s="13"/>
      <c r="O1617" s="13"/>
      <c r="P1617" s="13"/>
      <c r="Q1617" s="13"/>
      <c r="R1617" s="13"/>
      <c r="S1617" s="13"/>
    </row>
    <row r="1618" ht="15.75" customHeight="1">
      <c r="A1618" s="14" t="s">
        <v>5861</v>
      </c>
      <c r="B1618" s="14" t="s">
        <v>316</v>
      </c>
      <c r="C1618" s="14" t="s">
        <v>5862</v>
      </c>
      <c r="D1618" s="14">
        <v>100.0</v>
      </c>
      <c r="E1618" s="14" t="s">
        <v>318</v>
      </c>
      <c r="F1618" s="14" t="s">
        <v>5863</v>
      </c>
      <c r="G1618" s="14" t="s">
        <v>5864</v>
      </c>
      <c r="H1618" s="13"/>
      <c r="I1618" s="13"/>
      <c r="J1618" s="13"/>
      <c r="K1618" s="13"/>
      <c r="L1618" s="13"/>
      <c r="M1618" s="13"/>
      <c r="N1618" s="13"/>
      <c r="O1618" s="13"/>
      <c r="P1618" s="13"/>
      <c r="Q1618" s="13"/>
      <c r="R1618" s="13"/>
      <c r="S1618" s="13"/>
    </row>
    <row r="1619" ht="15.75" customHeight="1">
      <c r="A1619" s="14" t="s">
        <v>5865</v>
      </c>
      <c r="B1619" s="14" t="s">
        <v>316</v>
      </c>
      <c r="C1619" s="14" t="s">
        <v>5866</v>
      </c>
      <c r="D1619" s="14">
        <v>100.0</v>
      </c>
      <c r="E1619" s="14" t="s">
        <v>318</v>
      </c>
      <c r="F1619" s="14" t="s">
        <v>5867</v>
      </c>
      <c r="G1619" s="14" t="s">
        <v>5868</v>
      </c>
      <c r="H1619" s="13"/>
      <c r="I1619" s="13"/>
      <c r="J1619" s="13"/>
      <c r="K1619" s="13"/>
      <c r="L1619" s="13"/>
      <c r="M1619" s="13"/>
      <c r="N1619" s="13"/>
      <c r="O1619" s="13"/>
      <c r="P1619" s="13"/>
      <c r="Q1619" s="13"/>
      <c r="R1619" s="13"/>
      <c r="S1619" s="13"/>
    </row>
    <row r="1620" ht="15.75" customHeight="1">
      <c r="A1620" s="14" t="s">
        <v>5869</v>
      </c>
      <c r="B1620" s="14" t="s">
        <v>316</v>
      </c>
      <c r="C1620" s="14" t="s">
        <v>5870</v>
      </c>
      <c r="D1620" s="14">
        <v>100.0</v>
      </c>
      <c r="E1620" s="14" t="s">
        <v>318</v>
      </c>
      <c r="F1620" s="14" t="s">
        <v>850</v>
      </c>
      <c r="G1620" s="14" t="s">
        <v>5871</v>
      </c>
      <c r="H1620" s="13"/>
      <c r="I1620" s="13"/>
      <c r="J1620" s="13"/>
      <c r="K1620" s="13"/>
      <c r="L1620" s="13"/>
      <c r="M1620" s="13"/>
      <c r="N1620" s="13"/>
      <c r="O1620" s="13"/>
      <c r="P1620" s="13"/>
      <c r="Q1620" s="13"/>
      <c r="R1620" s="13"/>
      <c r="S1620" s="13"/>
    </row>
    <row r="1621" ht="15.75" customHeight="1">
      <c r="A1621" s="14" t="s">
        <v>5872</v>
      </c>
      <c r="B1621" s="14" t="s">
        <v>316</v>
      </c>
      <c r="C1621" s="14" t="s">
        <v>5873</v>
      </c>
      <c r="D1621" s="14">
        <v>100.0</v>
      </c>
      <c r="E1621" s="14" t="s">
        <v>318</v>
      </c>
      <c r="F1621" s="14" t="s">
        <v>5874</v>
      </c>
      <c r="G1621" s="14" t="s">
        <v>5875</v>
      </c>
      <c r="H1621" s="13"/>
      <c r="I1621" s="13"/>
      <c r="J1621" s="13"/>
      <c r="K1621" s="13"/>
      <c r="L1621" s="13"/>
      <c r="M1621" s="13"/>
      <c r="N1621" s="13"/>
      <c r="O1621" s="13"/>
      <c r="P1621" s="13"/>
      <c r="Q1621" s="13"/>
      <c r="R1621" s="13"/>
      <c r="S1621" s="13"/>
    </row>
    <row r="1622" ht="15.75" customHeight="1">
      <c r="A1622" s="14" t="s">
        <v>5876</v>
      </c>
      <c r="B1622" s="14" t="s">
        <v>316</v>
      </c>
      <c r="C1622" s="14" t="s">
        <v>5877</v>
      </c>
      <c r="D1622" s="14">
        <v>100.0</v>
      </c>
      <c r="E1622" s="14" t="s">
        <v>318</v>
      </c>
      <c r="F1622" s="14" t="s">
        <v>5878</v>
      </c>
      <c r="G1622" s="14" t="s">
        <v>5879</v>
      </c>
      <c r="H1622" s="13"/>
      <c r="I1622" s="13"/>
      <c r="J1622" s="13"/>
      <c r="K1622" s="13"/>
      <c r="L1622" s="13"/>
      <c r="M1622" s="13"/>
      <c r="N1622" s="13"/>
      <c r="O1622" s="13"/>
      <c r="P1622" s="13"/>
      <c r="Q1622" s="13"/>
      <c r="R1622" s="13"/>
      <c r="S1622" s="13"/>
    </row>
    <row r="1623" ht="15.75" customHeight="1">
      <c r="A1623" s="14" t="s">
        <v>5880</v>
      </c>
      <c r="B1623" s="14" t="s">
        <v>316</v>
      </c>
      <c r="C1623" s="14" t="s">
        <v>5881</v>
      </c>
      <c r="D1623" s="14">
        <v>100.0</v>
      </c>
      <c r="E1623" s="14" t="s">
        <v>318</v>
      </c>
      <c r="F1623" s="14" t="s">
        <v>5882</v>
      </c>
      <c r="G1623" s="14" t="s">
        <v>5883</v>
      </c>
      <c r="H1623" s="13"/>
      <c r="I1623" s="13"/>
      <c r="J1623" s="13"/>
      <c r="K1623" s="13"/>
      <c r="L1623" s="13"/>
      <c r="M1623" s="13"/>
      <c r="N1623" s="13"/>
      <c r="O1623" s="13"/>
      <c r="P1623" s="13"/>
      <c r="Q1623" s="13"/>
      <c r="R1623" s="13"/>
      <c r="S1623" s="13"/>
    </row>
    <row r="1624" ht="15.75" customHeight="1">
      <c r="A1624" s="14" t="s">
        <v>5884</v>
      </c>
      <c r="B1624" s="14" t="s">
        <v>316</v>
      </c>
      <c r="C1624" s="14" t="s">
        <v>5885</v>
      </c>
      <c r="D1624" s="14">
        <v>100.0</v>
      </c>
      <c r="E1624" s="14" t="s">
        <v>318</v>
      </c>
      <c r="F1624" s="14" t="s">
        <v>5886</v>
      </c>
      <c r="G1624" s="14" t="s">
        <v>5887</v>
      </c>
      <c r="H1624" s="13"/>
      <c r="I1624" s="13"/>
      <c r="J1624" s="13"/>
      <c r="K1624" s="13"/>
      <c r="L1624" s="13"/>
      <c r="M1624" s="13"/>
      <c r="N1624" s="13"/>
      <c r="O1624" s="13"/>
      <c r="P1624" s="13"/>
      <c r="Q1624" s="13"/>
      <c r="R1624" s="13"/>
      <c r="S1624" s="13"/>
    </row>
    <row r="1625" ht="15.75" customHeight="1">
      <c r="A1625" s="14" t="s">
        <v>5888</v>
      </c>
      <c r="B1625" s="14" t="s">
        <v>316</v>
      </c>
      <c r="C1625" s="14" t="s">
        <v>5889</v>
      </c>
      <c r="D1625" s="14">
        <v>100.0</v>
      </c>
      <c r="E1625" s="14" t="s">
        <v>318</v>
      </c>
      <c r="F1625" s="14" t="s">
        <v>2170</v>
      </c>
      <c r="G1625" s="14" t="s">
        <v>5890</v>
      </c>
      <c r="H1625" s="13"/>
      <c r="I1625" s="13"/>
      <c r="J1625" s="13"/>
      <c r="K1625" s="13"/>
      <c r="L1625" s="13"/>
      <c r="M1625" s="13"/>
      <c r="N1625" s="13"/>
      <c r="O1625" s="13"/>
      <c r="P1625" s="13"/>
      <c r="Q1625" s="13"/>
      <c r="R1625" s="13"/>
      <c r="S1625" s="13"/>
    </row>
    <row r="1626" ht="15.75" customHeight="1">
      <c r="A1626" s="14" t="s">
        <v>5891</v>
      </c>
      <c r="B1626" s="14" t="s">
        <v>316</v>
      </c>
      <c r="C1626" s="14" t="s">
        <v>5892</v>
      </c>
      <c r="D1626" s="14">
        <v>100.0</v>
      </c>
      <c r="E1626" s="14" t="s">
        <v>318</v>
      </c>
      <c r="F1626" s="14" t="s">
        <v>583</v>
      </c>
      <c r="G1626" s="14" t="s">
        <v>5893</v>
      </c>
      <c r="H1626" s="13"/>
      <c r="I1626" s="13"/>
      <c r="J1626" s="13"/>
      <c r="K1626" s="13"/>
      <c r="L1626" s="13"/>
      <c r="M1626" s="13"/>
      <c r="N1626" s="13"/>
      <c r="O1626" s="13"/>
      <c r="P1626" s="13"/>
      <c r="Q1626" s="13"/>
      <c r="R1626" s="13"/>
      <c r="S1626" s="13"/>
    </row>
    <row r="1627" ht="15.75" customHeight="1">
      <c r="A1627" s="14" t="s">
        <v>5894</v>
      </c>
      <c r="B1627" s="14" t="s">
        <v>316</v>
      </c>
      <c r="C1627" s="14" t="s">
        <v>5895</v>
      </c>
      <c r="D1627" s="14">
        <v>100.0</v>
      </c>
      <c r="E1627" s="14" t="s">
        <v>318</v>
      </c>
      <c r="F1627" s="14" t="s">
        <v>4703</v>
      </c>
      <c r="G1627" s="14" t="s">
        <v>5896</v>
      </c>
      <c r="H1627" s="13"/>
      <c r="I1627" s="13"/>
      <c r="J1627" s="13"/>
      <c r="K1627" s="13"/>
      <c r="L1627" s="13"/>
      <c r="M1627" s="13"/>
      <c r="N1627" s="13"/>
      <c r="O1627" s="13"/>
      <c r="P1627" s="13"/>
      <c r="Q1627" s="13"/>
      <c r="R1627" s="13"/>
      <c r="S1627" s="13"/>
    </row>
    <row r="1628" ht="15.75" customHeight="1">
      <c r="A1628" s="14" t="s">
        <v>5897</v>
      </c>
      <c r="B1628" s="14" t="s">
        <v>316</v>
      </c>
      <c r="C1628" s="14" t="s">
        <v>1212</v>
      </c>
      <c r="D1628" s="14">
        <v>100.0</v>
      </c>
      <c r="E1628" s="14" t="s">
        <v>318</v>
      </c>
      <c r="F1628" s="14" t="s">
        <v>755</v>
      </c>
      <c r="G1628" s="14" t="s">
        <v>5898</v>
      </c>
      <c r="H1628" s="13"/>
      <c r="I1628" s="13"/>
      <c r="J1628" s="13"/>
      <c r="K1628" s="13"/>
      <c r="L1628" s="13"/>
      <c r="M1628" s="13"/>
      <c r="N1628" s="13"/>
      <c r="O1628" s="13"/>
      <c r="P1628" s="13"/>
      <c r="Q1628" s="13"/>
      <c r="R1628" s="13"/>
      <c r="S1628" s="13"/>
    </row>
    <row r="1629" ht="15.75" customHeight="1">
      <c r="A1629" s="14" t="s">
        <v>5899</v>
      </c>
      <c r="B1629" s="14" t="s">
        <v>316</v>
      </c>
      <c r="C1629" s="14" t="s">
        <v>5900</v>
      </c>
      <c r="D1629" s="14">
        <v>100.0</v>
      </c>
      <c r="E1629" s="14" t="s">
        <v>318</v>
      </c>
      <c r="F1629" s="14" t="s">
        <v>5901</v>
      </c>
      <c r="G1629" s="14" t="s">
        <v>5902</v>
      </c>
      <c r="H1629" s="13"/>
      <c r="I1629" s="13"/>
      <c r="J1629" s="13"/>
      <c r="K1629" s="13"/>
      <c r="L1629" s="13"/>
      <c r="M1629" s="13"/>
      <c r="N1629" s="13"/>
      <c r="O1629" s="13"/>
      <c r="P1629" s="13"/>
      <c r="Q1629" s="13"/>
      <c r="R1629" s="13"/>
      <c r="S1629" s="13"/>
    </row>
    <row r="1630" ht="15.75" customHeight="1">
      <c r="A1630" s="14" t="s">
        <v>5903</v>
      </c>
      <c r="B1630" s="14" t="s">
        <v>316</v>
      </c>
      <c r="C1630" s="14" t="s">
        <v>5904</v>
      </c>
      <c r="D1630" s="14">
        <v>100.0</v>
      </c>
      <c r="E1630" s="14" t="s">
        <v>318</v>
      </c>
      <c r="F1630" s="14" t="s">
        <v>5905</v>
      </c>
      <c r="G1630" s="14" t="s">
        <v>5906</v>
      </c>
      <c r="H1630" s="13"/>
      <c r="I1630" s="13"/>
      <c r="J1630" s="13"/>
      <c r="K1630" s="13"/>
      <c r="L1630" s="13"/>
      <c r="M1630" s="13"/>
      <c r="N1630" s="13"/>
      <c r="O1630" s="13"/>
      <c r="P1630" s="13"/>
      <c r="Q1630" s="13"/>
      <c r="R1630" s="13"/>
      <c r="S1630" s="13"/>
    </row>
    <row r="1631" ht="15.75" customHeight="1">
      <c r="A1631" s="14" t="s">
        <v>5907</v>
      </c>
      <c r="B1631" s="14" t="s">
        <v>316</v>
      </c>
      <c r="C1631" s="14" t="s">
        <v>5908</v>
      </c>
      <c r="D1631" s="14">
        <v>100.0</v>
      </c>
      <c r="E1631" s="14" t="s">
        <v>318</v>
      </c>
      <c r="F1631" s="14" t="s">
        <v>5909</v>
      </c>
      <c r="G1631" s="14" t="s">
        <v>5910</v>
      </c>
      <c r="H1631" s="13"/>
      <c r="I1631" s="13"/>
      <c r="J1631" s="13"/>
      <c r="K1631" s="13"/>
      <c r="L1631" s="13"/>
      <c r="M1631" s="13"/>
      <c r="N1631" s="13"/>
      <c r="O1631" s="13"/>
      <c r="P1631" s="13"/>
      <c r="Q1631" s="13"/>
      <c r="R1631" s="13"/>
      <c r="S1631" s="13"/>
    </row>
    <row r="1632" ht="15.75" customHeight="1">
      <c r="A1632" s="14" t="s">
        <v>5911</v>
      </c>
      <c r="B1632" s="14" t="s">
        <v>316</v>
      </c>
      <c r="C1632" s="14" t="s">
        <v>5912</v>
      </c>
      <c r="D1632" s="14">
        <v>96.0</v>
      </c>
      <c r="E1632" s="14" t="s">
        <v>318</v>
      </c>
      <c r="F1632" s="14" t="s">
        <v>5913</v>
      </c>
      <c r="G1632" s="14" t="s">
        <v>5914</v>
      </c>
      <c r="H1632" s="13"/>
      <c r="I1632" s="13"/>
      <c r="J1632" s="13"/>
      <c r="K1632" s="13"/>
      <c r="L1632" s="13"/>
      <c r="M1632" s="13"/>
      <c r="N1632" s="13"/>
      <c r="O1632" s="13"/>
      <c r="P1632" s="13"/>
      <c r="Q1632" s="13"/>
      <c r="R1632" s="13"/>
      <c r="S1632" s="13"/>
    </row>
    <row r="1633" ht="15.75" customHeight="1">
      <c r="A1633" s="14" t="s">
        <v>5915</v>
      </c>
      <c r="B1633" s="14" t="s">
        <v>316</v>
      </c>
      <c r="C1633" s="14" t="s">
        <v>5916</v>
      </c>
      <c r="D1633" s="14">
        <v>100.0</v>
      </c>
      <c r="E1633" s="14" t="s">
        <v>318</v>
      </c>
      <c r="F1633" s="14" t="s">
        <v>5917</v>
      </c>
      <c r="G1633" s="14" t="s">
        <v>5918</v>
      </c>
      <c r="H1633" s="13"/>
      <c r="I1633" s="13"/>
      <c r="J1633" s="13"/>
      <c r="K1633" s="13"/>
      <c r="L1633" s="13"/>
      <c r="M1633" s="13"/>
      <c r="N1633" s="13"/>
      <c r="O1633" s="13"/>
      <c r="P1633" s="13"/>
      <c r="Q1633" s="13"/>
      <c r="R1633" s="13"/>
      <c r="S1633" s="13"/>
    </row>
    <row r="1634" ht="15.75" customHeight="1">
      <c r="A1634" s="14" t="s">
        <v>5919</v>
      </c>
      <c r="B1634" s="14" t="s">
        <v>316</v>
      </c>
      <c r="C1634" s="14" t="s">
        <v>5920</v>
      </c>
      <c r="D1634" s="14">
        <v>100.0</v>
      </c>
      <c r="E1634" s="14" t="s">
        <v>318</v>
      </c>
      <c r="F1634" s="14" t="s">
        <v>5921</v>
      </c>
      <c r="G1634" s="14" t="s">
        <v>5922</v>
      </c>
      <c r="H1634" s="13"/>
      <c r="I1634" s="13"/>
      <c r="J1634" s="13"/>
      <c r="K1634" s="13"/>
      <c r="L1634" s="13"/>
      <c r="M1634" s="13"/>
      <c r="N1634" s="13"/>
      <c r="O1634" s="13"/>
      <c r="P1634" s="13"/>
      <c r="Q1634" s="13"/>
      <c r="R1634" s="13"/>
      <c r="S1634" s="13"/>
    </row>
    <row r="1635" ht="15.75" customHeight="1">
      <c r="A1635" s="14" t="s">
        <v>5923</v>
      </c>
      <c r="B1635" s="14" t="s">
        <v>316</v>
      </c>
      <c r="C1635" s="14" t="s">
        <v>5924</v>
      </c>
      <c r="D1635" s="14">
        <v>100.0</v>
      </c>
      <c r="E1635" s="14" t="s">
        <v>318</v>
      </c>
      <c r="F1635" s="14" t="s">
        <v>5921</v>
      </c>
      <c r="G1635" s="14" t="s">
        <v>5925</v>
      </c>
      <c r="H1635" s="13"/>
      <c r="I1635" s="13"/>
      <c r="J1635" s="13"/>
      <c r="K1635" s="13"/>
      <c r="L1635" s="13"/>
      <c r="M1635" s="13"/>
      <c r="N1635" s="13"/>
      <c r="O1635" s="13"/>
      <c r="P1635" s="13"/>
      <c r="Q1635" s="13"/>
      <c r="R1635" s="13"/>
      <c r="S1635" s="13"/>
    </row>
    <row r="1636" ht="15.75" customHeight="1">
      <c r="A1636" s="14" t="s">
        <v>5926</v>
      </c>
      <c r="B1636" s="14" t="s">
        <v>316</v>
      </c>
      <c r="C1636" s="14" t="s">
        <v>5927</v>
      </c>
      <c r="D1636" s="14">
        <v>100.0</v>
      </c>
      <c r="E1636" s="14" t="s">
        <v>318</v>
      </c>
      <c r="F1636" s="14" t="s">
        <v>5928</v>
      </c>
      <c r="G1636" s="14" t="s">
        <v>5929</v>
      </c>
      <c r="H1636" s="13"/>
      <c r="I1636" s="13"/>
      <c r="J1636" s="13"/>
      <c r="K1636" s="13"/>
      <c r="L1636" s="13"/>
      <c r="M1636" s="13"/>
      <c r="N1636" s="13"/>
      <c r="O1636" s="13"/>
      <c r="P1636" s="13"/>
      <c r="Q1636" s="13"/>
      <c r="R1636" s="13"/>
      <c r="S1636" s="13"/>
    </row>
    <row r="1637" ht="15.75" customHeight="1">
      <c r="A1637" s="14" t="s">
        <v>5930</v>
      </c>
      <c r="B1637" s="14" t="s">
        <v>316</v>
      </c>
      <c r="C1637" s="14" t="s">
        <v>5931</v>
      </c>
      <c r="D1637" s="14">
        <v>100.0</v>
      </c>
      <c r="E1637" s="14" t="s">
        <v>318</v>
      </c>
      <c r="F1637" s="14" t="s">
        <v>5932</v>
      </c>
      <c r="G1637" s="14" t="s">
        <v>5933</v>
      </c>
      <c r="H1637" s="13"/>
      <c r="I1637" s="13"/>
      <c r="J1637" s="13"/>
      <c r="K1637" s="13"/>
      <c r="L1637" s="13"/>
      <c r="M1637" s="13"/>
      <c r="N1637" s="13"/>
      <c r="O1637" s="13"/>
      <c r="P1637" s="13"/>
      <c r="Q1637" s="13"/>
      <c r="R1637" s="13"/>
      <c r="S1637" s="13"/>
    </row>
    <row r="1638" ht="15.75" customHeight="1">
      <c r="A1638" s="14" t="s">
        <v>5934</v>
      </c>
      <c r="B1638" s="14" t="s">
        <v>316</v>
      </c>
      <c r="C1638" s="14" t="s">
        <v>5935</v>
      </c>
      <c r="D1638" s="14">
        <v>100.0</v>
      </c>
      <c r="E1638" s="14" t="s">
        <v>318</v>
      </c>
      <c r="F1638" s="14" t="s">
        <v>595</v>
      </c>
      <c r="G1638" s="14" t="s">
        <v>5936</v>
      </c>
      <c r="H1638" s="13"/>
      <c r="I1638" s="13"/>
      <c r="J1638" s="13"/>
      <c r="K1638" s="13"/>
      <c r="L1638" s="13"/>
      <c r="M1638" s="13"/>
      <c r="N1638" s="13"/>
      <c r="O1638" s="13"/>
      <c r="P1638" s="13"/>
      <c r="Q1638" s="13"/>
      <c r="R1638" s="13"/>
      <c r="S1638" s="13"/>
    </row>
    <row r="1639" ht="15.75" customHeight="1">
      <c r="A1639" s="14" t="s">
        <v>5937</v>
      </c>
      <c r="B1639" s="14" t="s">
        <v>316</v>
      </c>
      <c r="C1639" s="14" t="s">
        <v>5938</v>
      </c>
      <c r="D1639" s="14">
        <v>100.0</v>
      </c>
      <c r="E1639" s="14" t="s">
        <v>318</v>
      </c>
      <c r="F1639" s="14" t="s">
        <v>5939</v>
      </c>
      <c r="G1639" s="14" t="s">
        <v>5940</v>
      </c>
      <c r="H1639" s="13"/>
      <c r="I1639" s="13"/>
      <c r="J1639" s="13"/>
      <c r="K1639" s="13"/>
      <c r="L1639" s="13"/>
      <c r="M1639" s="13"/>
      <c r="N1639" s="13"/>
      <c r="O1639" s="13"/>
      <c r="P1639" s="13"/>
      <c r="Q1639" s="13"/>
      <c r="R1639" s="13"/>
      <c r="S1639" s="13"/>
    </row>
    <row r="1640" ht="15.75" customHeight="1">
      <c r="A1640" s="14" t="s">
        <v>5941</v>
      </c>
      <c r="B1640" s="14" t="s">
        <v>316</v>
      </c>
      <c r="C1640" s="14" t="s">
        <v>5942</v>
      </c>
      <c r="D1640" s="14">
        <v>100.0</v>
      </c>
      <c r="E1640" s="14" t="s">
        <v>318</v>
      </c>
      <c r="F1640" s="14" t="s">
        <v>5943</v>
      </c>
      <c r="G1640" s="14" t="s">
        <v>5944</v>
      </c>
      <c r="H1640" s="13"/>
      <c r="I1640" s="13"/>
      <c r="J1640" s="13"/>
      <c r="K1640" s="13"/>
      <c r="L1640" s="13"/>
      <c r="M1640" s="13"/>
      <c r="N1640" s="13"/>
      <c r="O1640" s="13"/>
      <c r="P1640" s="13"/>
      <c r="Q1640" s="13"/>
      <c r="R1640" s="13"/>
      <c r="S1640" s="13"/>
    </row>
    <row r="1641" ht="15.75" customHeight="1">
      <c r="A1641" s="14" t="s">
        <v>5945</v>
      </c>
      <c r="B1641" s="14" t="s">
        <v>316</v>
      </c>
      <c r="C1641" s="14" t="s">
        <v>5946</v>
      </c>
      <c r="D1641" s="14">
        <v>100.0</v>
      </c>
      <c r="E1641" s="14" t="s">
        <v>318</v>
      </c>
      <c r="F1641" s="14" t="s">
        <v>5947</v>
      </c>
      <c r="G1641" s="14" t="s">
        <v>5948</v>
      </c>
      <c r="H1641" s="13"/>
      <c r="I1641" s="13"/>
      <c r="J1641" s="13"/>
      <c r="K1641" s="13"/>
      <c r="L1641" s="13"/>
      <c r="M1641" s="13"/>
      <c r="N1641" s="13"/>
      <c r="O1641" s="13"/>
      <c r="P1641" s="13"/>
      <c r="Q1641" s="13"/>
      <c r="R1641" s="13"/>
      <c r="S1641" s="13"/>
    </row>
    <row r="1642" ht="15.75" customHeight="1">
      <c r="A1642" s="14" t="s">
        <v>5949</v>
      </c>
      <c r="B1642" s="14" t="s">
        <v>316</v>
      </c>
      <c r="C1642" s="14" t="s">
        <v>5950</v>
      </c>
      <c r="D1642" s="14">
        <v>100.0</v>
      </c>
      <c r="E1642" s="14" t="s">
        <v>318</v>
      </c>
      <c r="F1642" s="14" t="s">
        <v>5951</v>
      </c>
      <c r="G1642" s="14" t="s">
        <v>5952</v>
      </c>
      <c r="H1642" s="13"/>
      <c r="I1642" s="13"/>
      <c r="J1642" s="13"/>
      <c r="K1642" s="13"/>
      <c r="L1642" s="13"/>
      <c r="M1642" s="13"/>
      <c r="N1642" s="13"/>
      <c r="O1642" s="13"/>
      <c r="P1642" s="13"/>
      <c r="Q1642" s="13"/>
      <c r="R1642" s="13"/>
      <c r="S1642" s="13"/>
    </row>
    <row r="1643" ht="15.75" customHeight="1">
      <c r="A1643" s="14" t="s">
        <v>5953</v>
      </c>
      <c r="B1643" s="14" t="s">
        <v>316</v>
      </c>
      <c r="C1643" s="14" t="s">
        <v>5954</v>
      </c>
      <c r="D1643" s="14">
        <v>100.0</v>
      </c>
      <c r="E1643" s="14" t="s">
        <v>318</v>
      </c>
      <c r="F1643" s="14" t="s">
        <v>5955</v>
      </c>
      <c r="G1643" s="14" t="s">
        <v>5956</v>
      </c>
      <c r="H1643" s="13"/>
      <c r="I1643" s="13"/>
      <c r="J1643" s="13"/>
      <c r="K1643" s="13"/>
      <c r="L1643" s="13"/>
      <c r="M1643" s="13"/>
      <c r="N1643" s="13"/>
      <c r="O1643" s="13"/>
      <c r="P1643" s="13"/>
      <c r="Q1643" s="13"/>
      <c r="R1643" s="13"/>
      <c r="S1643" s="13"/>
    </row>
    <row r="1644" ht="15.75" customHeight="1">
      <c r="A1644" s="14" t="s">
        <v>5957</v>
      </c>
      <c r="B1644" s="14" t="s">
        <v>316</v>
      </c>
      <c r="C1644" s="14" t="s">
        <v>5958</v>
      </c>
      <c r="D1644" s="14">
        <v>100.0</v>
      </c>
      <c r="E1644" s="14" t="s">
        <v>318</v>
      </c>
      <c r="F1644" s="14" t="s">
        <v>5959</v>
      </c>
      <c r="G1644" s="14" t="s">
        <v>5960</v>
      </c>
      <c r="H1644" s="13"/>
      <c r="I1644" s="13"/>
      <c r="J1644" s="13"/>
      <c r="K1644" s="13"/>
      <c r="L1644" s="13"/>
      <c r="M1644" s="13"/>
      <c r="N1644" s="13"/>
      <c r="O1644" s="13"/>
      <c r="P1644" s="13"/>
      <c r="Q1644" s="13"/>
      <c r="R1644" s="13"/>
      <c r="S1644" s="13"/>
    </row>
    <row r="1645" ht="15.75" customHeight="1">
      <c r="A1645" s="14" t="s">
        <v>5961</v>
      </c>
      <c r="B1645" s="14" t="s">
        <v>316</v>
      </c>
      <c r="C1645" s="14" t="s">
        <v>5962</v>
      </c>
      <c r="D1645" s="14">
        <v>100.0</v>
      </c>
      <c r="E1645" s="14" t="s">
        <v>318</v>
      </c>
      <c r="F1645" s="14" t="s">
        <v>5963</v>
      </c>
      <c r="G1645" s="14" t="s">
        <v>5964</v>
      </c>
      <c r="H1645" s="13"/>
      <c r="I1645" s="13"/>
      <c r="J1645" s="13"/>
      <c r="K1645" s="13"/>
      <c r="L1645" s="13"/>
      <c r="M1645" s="13"/>
      <c r="N1645" s="13"/>
      <c r="O1645" s="13"/>
      <c r="P1645" s="13"/>
      <c r="Q1645" s="13"/>
      <c r="R1645" s="13"/>
      <c r="S1645" s="13"/>
    </row>
    <row r="1646" ht="15.75" customHeight="1">
      <c r="A1646" s="14" t="s">
        <v>5965</v>
      </c>
      <c r="B1646" s="14" t="s">
        <v>316</v>
      </c>
      <c r="C1646" s="14" t="s">
        <v>5966</v>
      </c>
      <c r="D1646" s="14">
        <v>100.0</v>
      </c>
      <c r="E1646" s="14" t="s">
        <v>318</v>
      </c>
      <c r="F1646" s="14" t="s">
        <v>5967</v>
      </c>
      <c r="G1646" s="14" t="s">
        <v>5968</v>
      </c>
      <c r="H1646" s="13"/>
      <c r="I1646" s="13"/>
      <c r="J1646" s="13"/>
      <c r="K1646" s="13"/>
      <c r="L1646" s="13"/>
      <c r="M1646" s="13"/>
      <c r="N1646" s="13"/>
      <c r="O1646" s="13"/>
      <c r="P1646" s="13"/>
      <c r="Q1646" s="13"/>
      <c r="R1646" s="13"/>
      <c r="S1646" s="13"/>
    </row>
    <row r="1647" ht="15.75" customHeight="1">
      <c r="A1647" s="14" t="s">
        <v>5969</v>
      </c>
      <c r="B1647" s="14" t="s">
        <v>316</v>
      </c>
      <c r="C1647" s="14" t="s">
        <v>5970</v>
      </c>
      <c r="D1647" s="14">
        <v>100.0</v>
      </c>
      <c r="E1647" s="14" t="s">
        <v>318</v>
      </c>
      <c r="F1647" s="14" t="s">
        <v>637</v>
      </c>
      <c r="G1647" s="14" t="s">
        <v>5971</v>
      </c>
      <c r="H1647" s="13"/>
      <c r="I1647" s="13"/>
      <c r="J1647" s="13"/>
      <c r="K1647" s="13"/>
      <c r="L1647" s="13"/>
      <c r="M1647" s="13"/>
      <c r="N1647" s="13"/>
      <c r="O1647" s="13"/>
      <c r="P1647" s="13"/>
      <c r="Q1647" s="13"/>
      <c r="R1647" s="13"/>
      <c r="S1647" s="13"/>
    </row>
    <row r="1648" ht="15.75" customHeight="1">
      <c r="A1648" s="14" t="s">
        <v>5972</v>
      </c>
      <c r="B1648" s="14" t="s">
        <v>316</v>
      </c>
      <c r="C1648" s="14" t="s">
        <v>5973</v>
      </c>
      <c r="D1648" s="14">
        <v>100.0</v>
      </c>
      <c r="E1648" s="14" t="s">
        <v>318</v>
      </c>
      <c r="F1648" s="14" t="s">
        <v>1299</v>
      </c>
      <c r="G1648" s="14" t="s">
        <v>5974</v>
      </c>
      <c r="H1648" s="13"/>
      <c r="I1648" s="13"/>
      <c r="J1648" s="13"/>
      <c r="K1648" s="13"/>
      <c r="L1648" s="13"/>
      <c r="M1648" s="13"/>
      <c r="N1648" s="13"/>
      <c r="O1648" s="13"/>
      <c r="P1648" s="13"/>
      <c r="Q1648" s="13"/>
      <c r="R1648" s="13"/>
      <c r="S1648" s="13"/>
    </row>
    <row r="1649" ht="15.75" customHeight="1">
      <c r="A1649" s="14" t="s">
        <v>5975</v>
      </c>
      <c r="B1649" s="14" t="s">
        <v>316</v>
      </c>
      <c r="C1649" s="14" t="s">
        <v>5976</v>
      </c>
      <c r="D1649" s="14">
        <v>100.0</v>
      </c>
      <c r="E1649" s="14" t="s">
        <v>318</v>
      </c>
      <c r="F1649" s="14" t="s">
        <v>5977</v>
      </c>
      <c r="G1649" s="14" t="s">
        <v>5978</v>
      </c>
      <c r="H1649" s="13"/>
      <c r="I1649" s="13"/>
      <c r="J1649" s="13"/>
      <c r="K1649" s="13"/>
      <c r="L1649" s="13"/>
      <c r="M1649" s="13"/>
      <c r="N1649" s="13"/>
      <c r="O1649" s="13"/>
      <c r="P1649" s="13"/>
      <c r="Q1649" s="13"/>
      <c r="R1649" s="13"/>
      <c r="S1649" s="13"/>
    </row>
    <row r="1650" ht="15.75" customHeight="1">
      <c r="A1650" s="14" t="s">
        <v>5979</v>
      </c>
      <c r="B1650" s="14" t="s">
        <v>316</v>
      </c>
      <c r="C1650" s="14" t="s">
        <v>5980</v>
      </c>
      <c r="D1650" s="14">
        <v>100.0</v>
      </c>
      <c r="E1650" s="14" t="s">
        <v>318</v>
      </c>
      <c r="F1650" s="14" t="s">
        <v>5981</v>
      </c>
      <c r="G1650" s="14" t="s">
        <v>5982</v>
      </c>
      <c r="H1650" s="13"/>
      <c r="I1650" s="13"/>
      <c r="J1650" s="13"/>
      <c r="K1650" s="13"/>
      <c r="L1650" s="13"/>
      <c r="M1650" s="13"/>
      <c r="N1650" s="13"/>
      <c r="O1650" s="13"/>
      <c r="P1650" s="13"/>
      <c r="Q1650" s="13"/>
      <c r="R1650" s="13"/>
      <c r="S1650" s="13"/>
    </row>
    <row r="1651" ht="15.75" customHeight="1">
      <c r="A1651" s="14" t="s">
        <v>5983</v>
      </c>
      <c r="B1651" s="14" t="s">
        <v>316</v>
      </c>
      <c r="C1651" s="14" t="s">
        <v>5984</v>
      </c>
      <c r="D1651" s="14">
        <v>100.0</v>
      </c>
      <c r="E1651" s="14" t="s">
        <v>318</v>
      </c>
      <c r="F1651" s="14" t="s">
        <v>5985</v>
      </c>
      <c r="G1651" s="14" t="s">
        <v>5986</v>
      </c>
      <c r="H1651" s="13"/>
      <c r="I1651" s="13"/>
      <c r="J1651" s="13"/>
      <c r="K1651" s="13"/>
      <c r="L1651" s="13"/>
      <c r="M1651" s="13"/>
      <c r="N1651" s="13"/>
      <c r="O1651" s="13"/>
      <c r="P1651" s="13"/>
      <c r="Q1651" s="13"/>
      <c r="R1651" s="13"/>
      <c r="S1651" s="13"/>
    </row>
    <row r="1652" ht="15.75" customHeight="1">
      <c r="A1652" s="14" t="s">
        <v>5987</v>
      </c>
      <c r="B1652" s="14" t="s">
        <v>316</v>
      </c>
      <c r="C1652" s="14" t="s">
        <v>5988</v>
      </c>
      <c r="D1652" s="14">
        <v>100.0</v>
      </c>
      <c r="E1652" s="14" t="s">
        <v>318</v>
      </c>
      <c r="F1652" s="14" t="s">
        <v>5989</v>
      </c>
      <c r="G1652" s="14" t="s">
        <v>5990</v>
      </c>
      <c r="H1652" s="13"/>
      <c r="I1652" s="13"/>
      <c r="J1652" s="13"/>
      <c r="K1652" s="13"/>
      <c r="L1652" s="13"/>
      <c r="M1652" s="13"/>
      <c r="N1652" s="13"/>
      <c r="O1652" s="13"/>
      <c r="P1652" s="13"/>
      <c r="Q1652" s="13"/>
      <c r="R1652" s="13"/>
      <c r="S1652" s="13"/>
    </row>
    <row r="1653" ht="15.75" customHeight="1">
      <c r="A1653" s="14" t="s">
        <v>5991</v>
      </c>
      <c r="B1653" s="14" t="s">
        <v>316</v>
      </c>
      <c r="C1653" s="14" t="s">
        <v>5992</v>
      </c>
      <c r="D1653" s="14">
        <v>96.0</v>
      </c>
      <c r="E1653" s="14" t="s">
        <v>318</v>
      </c>
      <c r="F1653" s="14" t="s">
        <v>5993</v>
      </c>
      <c r="G1653" s="14" t="s">
        <v>5994</v>
      </c>
      <c r="H1653" s="13"/>
      <c r="I1653" s="13"/>
      <c r="J1653" s="13"/>
      <c r="K1653" s="13"/>
      <c r="L1653" s="13"/>
      <c r="M1653" s="13"/>
      <c r="N1653" s="13"/>
      <c r="O1653" s="13"/>
      <c r="P1653" s="13"/>
      <c r="Q1653" s="13"/>
      <c r="R1653" s="13"/>
      <c r="S1653" s="13"/>
    </row>
    <row r="1654" ht="15.75" customHeight="1">
      <c r="A1654" s="14" t="s">
        <v>5995</v>
      </c>
      <c r="B1654" s="14" t="s">
        <v>316</v>
      </c>
      <c r="C1654" s="14" t="s">
        <v>5996</v>
      </c>
      <c r="D1654" s="14">
        <v>100.0</v>
      </c>
      <c r="E1654" s="14" t="s">
        <v>318</v>
      </c>
      <c r="F1654" s="14" t="s">
        <v>5997</v>
      </c>
      <c r="G1654" s="14" t="s">
        <v>5998</v>
      </c>
      <c r="H1654" s="13"/>
      <c r="I1654" s="13"/>
      <c r="J1654" s="13"/>
      <c r="K1654" s="13"/>
      <c r="L1654" s="13"/>
      <c r="M1654" s="13"/>
      <c r="N1654" s="13"/>
      <c r="O1654" s="13"/>
      <c r="P1654" s="13"/>
      <c r="Q1654" s="13"/>
      <c r="R1654" s="13"/>
      <c r="S1654" s="13"/>
    </row>
    <row r="1655" ht="15.75" customHeight="1">
      <c r="A1655" s="14" t="s">
        <v>5999</v>
      </c>
      <c r="B1655" s="14" t="s">
        <v>316</v>
      </c>
      <c r="C1655" s="14" t="s">
        <v>6000</v>
      </c>
      <c r="D1655" s="14">
        <v>100.0</v>
      </c>
      <c r="E1655" s="14" t="s">
        <v>318</v>
      </c>
      <c r="F1655" s="14" t="s">
        <v>6001</v>
      </c>
      <c r="G1655" s="14" t="s">
        <v>6002</v>
      </c>
      <c r="H1655" s="13"/>
      <c r="I1655" s="13"/>
      <c r="J1655" s="13"/>
      <c r="K1655" s="13"/>
      <c r="L1655" s="13"/>
      <c r="M1655" s="13"/>
      <c r="N1655" s="13"/>
      <c r="O1655" s="13"/>
      <c r="P1655" s="13"/>
      <c r="Q1655" s="13"/>
      <c r="R1655" s="13"/>
      <c r="S1655" s="13"/>
    </row>
    <row r="1656" ht="15.75" customHeight="1">
      <c r="A1656" s="14" t="s">
        <v>6003</v>
      </c>
      <c r="B1656" s="14" t="s">
        <v>316</v>
      </c>
      <c r="C1656" s="14" t="s">
        <v>6004</v>
      </c>
      <c r="D1656" s="14">
        <v>100.0</v>
      </c>
      <c r="E1656" s="14" t="s">
        <v>318</v>
      </c>
      <c r="F1656" s="14" t="s">
        <v>2515</v>
      </c>
      <c r="G1656" s="14" t="s">
        <v>6005</v>
      </c>
      <c r="H1656" s="13"/>
      <c r="I1656" s="13"/>
      <c r="J1656" s="13"/>
      <c r="K1656" s="13"/>
      <c r="L1656" s="13"/>
      <c r="M1656" s="13"/>
      <c r="N1656" s="13"/>
      <c r="O1656" s="13"/>
      <c r="P1656" s="13"/>
      <c r="Q1656" s="13"/>
      <c r="R1656" s="13"/>
      <c r="S1656" s="13"/>
    </row>
    <row r="1657" ht="15.75" customHeight="1">
      <c r="A1657" s="14" t="s">
        <v>6006</v>
      </c>
      <c r="B1657" s="14" t="s">
        <v>316</v>
      </c>
      <c r="C1657" s="14" t="s">
        <v>6007</v>
      </c>
      <c r="D1657" s="14">
        <v>100.0</v>
      </c>
      <c r="E1657" s="14" t="s">
        <v>318</v>
      </c>
      <c r="F1657" s="14" t="s">
        <v>6008</v>
      </c>
      <c r="G1657" s="14" t="s">
        <v>6009</v>
      </c>
      <c r="H1657" s="13"/>
      <c r="I1657" s="13"/>
      <c r="J1657" s="13"/>
      <c r="K1657" s="13"/>
      <c r="L1657" s="13"/>
      <c r="M1657" s="13"/>
      <c r="N1657" s="13"/>
      <c r="O1657" s="13"/>
      <c r="P1657" s="13"/>
      <c r="Q1657" s="13"/>
      <c r="R1657" s="13"/>
      <c r="S1657" s="13"/>
    </row>
    <row r="1658" ht="15.75" customHeight="1">
      <c r="A1658" s="14" t="s">
        <v>6010</v>
      </c>
      <c r="B1658" s="14" t="s">
        <v>316</v>
      </c>
      <c r="C1658" s="14" t="s">
        <v>6011</v>
      </c>
      <c r="D1658" s="14">
        <v>100.0</v>
      </c>
      <c r="E1658" s="14" t="s">
        <v>318</v>
      </c>
      <c r="F1658" s="14" t="s">
        <v>6012</v>
      </c>
      <c r="G1658" s="14" t="s">
        <v>6013</v>
      </c>
      <c r="H1658" s="13"/>
      <c r="I1658" s="13"/>
      <c r="J1658" s="13"/>
      <c r="K1658" s="13"/>
      <c r="L1658" s="13"/>
      <c r="M1658" s="13"/>
      <c r="N1658" s="13"/>
      <c r="O1658" s="13"/>
      <c r="P1658" s="13"/>
      <c r="Q1658" s="13"/>
      <c r="R1658" s="13"/>
      <c r="S1658" s="13"/>
    </row>
    <row r="1659" ht="15.75" customHeight="1">
      <c r="A1659" s="14" t="s">
        <v>6014</v>
      </c>
      <c r="B1659" s="14" t="s">
        <v>316</v>
      </c>
      <c r="C1659" s="14" t="s">
        <v>6015</v>
      </c>
      <c r="D1659" s="14">
        <v>100.0</v>
      </c>
      <c r="E1659" s="14" t="s">
        <v>318</v>
      </c>
      <c r="F1659" s="14" t="s">
        <v>6016</v>
      </c>
      <c r="G1659" s="14" t="s">
        <v>6017</v>
      </c>
      <c r="H1659" s="13"/>
      <c r="I1659" s="13"/>
      <c r="J1659" s="13"/>
      <c r="K1659" s="13"/>
      <c r="L1659" s="13"/>
      <c r="M1659" s="13"/>
      <c r="N1659" s="13"/>
      <c r="O1659" s="13"/>
      <c r="P1659" s="13"/>
      <c r="Q1659" s="13"/>
      <c r="R1659" s="13"/>
      <c r="S1659" s="13"/>
    </row>
    <row r="1660" ht="15.75" customHeight="1">
      <c r="A1660" s="14" t="s">
        <v>6018</v>
      </c>
      <c r="B1660" s="14" t="s">
        <v>316</v>
      </c>
      <c r="C1660" s="14" t="s">
        <v>6019</v>
      </c>
      <c r="D1660" s="14">
        <v>100.0</v>
      </c>
      <c r="E1660" s="14" t="s">
        <v>318</v>
      </c>
      <c r="F1660" s="14" t="s">
        <v>6020</v>
      </c>
      <c r="G1660" s="14" t="s">
        <v>6021</v>
      </c>
      <c r="H1660" s="13"/>
      <c r="I1660" s="13"/>
      <c r="J1660" s="13"/>
      <c r="K1660" s="13"/>
      <c r="L1660" s="13"/>
      <c r="M1660" s="13"/>
      <c r="N1660" s="13"/>
      <c r="O1660" s="13"/>
      <c r="P1660" s="13"/>
      <c r="Q1660" s="13"/>
      <c r="R1660" s="13"/>
      <c r="S1660" s="13"/>
    </row>
    <row r="1661" ht="15.75" customHeight="1">
      <c r="A1661" s="14" t="s">
        <v>6022</v>
      </c>
      <c r="B1661" s="14" t="s">
        <v>316</v>
      </c>
      <c r="C1661" s="14" t="s">
        <v>6023</v>
      </c>
      <c r="D1661" s="14">
        <v>100.0</v>
      </c>
      <c r="E1661" s="14" t="s">
        <v>318</v>
      </c>
      <c r="F1661" s="14" t="s">
        <v>6024</v>
      </c>
      <c r="G1661" s="14" t="s">
        <v>6025</v>
      </c>
      <c r="H1661" s="13"/>
      <c r="I1661" s="13"/>
      <c r="J1661" s="13"/>
      <c r="K1661" s="13"/>
      <c r="L1661" s="13"/>
      <c r="M1661" s="13"/>
      <c r="N1661" s="13"/>
      <c r="O1661" s="13"/>
      <c r="P1661" s="13"/>
      <c r="Q1661" s="13"/>
      <c r="R1661" s="13"/>
      <c r="S1661" s="13"/>
    </row>
    <row r="1662" ht="15.75" customHeight="1">
      <c r="A1662" s="14" t="s">
        <v>6026</v>
      </c>
      <c r="B1662" s="14" t="s">
        <v>316</v>
      </c>
      <c r="C1662" s="14" t="s">
        <v>6027</v>
      </c>
      <c r="D1662" s="14">
        <v>100.0</v>
      </c>
      <c r="E1662" s="14" t="s">
        <v>318</v>
      </c>
      <c r="F1662" s="14" t="s">
        <v>2209</v>
      </c>
      <c r="G1662" s="14" t="s">
        <v>6028</v>
      </c>
      <c r="H1662" s="13"/>
      <c r="I1662" s="13"/>
      <c r="J1662" s="13"/>
      <c r="K1662" s="13"/>
      <c r="L1662" s="13"/>
      <c r="M1662" s="13"/>
      <c r="N1662" s="13"/>
      <c r="O1662" s="13"/>
      <c r="P1662" s="13"/>
      <c r="Q1662" s="13"/>
      <c r="R1662" s="13"/>
      <c r="S1662" s="13"/>
    </row>
    <row r="1663" ht="15.75" customHeight="1">
      <c r="A1663" s="14" t="s">
        <v>6029</v>
      </c>
      <c r="B1663" s="14" t="s">
        <v>316</v>
      </c>
      <c r="C1663" s="14" t="s">
        <v>6030</v>
      </c>
      <c r="D1663" s="14">
        <v>100.0</v>
      </c>
      <c r="E1663" s="14" t="s">
        <v>318</v>
      </c>
      <c r="F1663" s="14" t="s">
        <v>6031</v>
      </c>
      <c r="G1663" s="14" t="s">
        <v>6032</v>
      </c>
      <c r="H1663" s="13"/>
      <c r="I1663" s="13"/>
      <c r="J1663" s="13"/>
      <c r="K1663" s="13"/>
      <c r="L1663" s="13"/>
      <c r="M1663" s="13"/>
      <c r="N1663" s="13"/>
      <c r="O1663" s="13"/>
      <c r="P1663" s="13"/>
      <c r="Q1663" s="13"/>
      <c r="R1663" s="13"/>
      <c r="S1663" s="13"/>
    </row>
    <row r="1664" ht="15.75" customHeight="1">
      <c r="A1664" s="14" t="s">
        <v>6033</v>
      </c>
      <c r="B1664" s="14" t="s">
        <v>316</v>
      </c>
      <c r="C1664" s="14" t="s">
        <v>6034</v>
      </c>
      <c r="D1664" s="14">
        <v>100.0</v>
      </c>
      <c r="E1664" s="14" t="s">
        <v>318</v>
      </c>
      <c r="F1664" s="14" t="s">
        <v>1639</v>
      </c>
      <c r="G1664" s="14" t="s">
        <v>6035</v>
      </c>
      <c r="H1664" s="13"/>
      <c r="I1664" s="13"/>
      <c r="J1664" s="13"/>
      <c r="K1664" s="13"/>
      <c r="L1664" s="13"/>
      <c r="M1664" s="13"/>
      <c r="N1664" s="13"/>
      <c r="O1664" s="13"/>
      <c r="P1664" s="13"/>
      <c r="Q1664" s="13"/>
      <c r="R1664" s="13"/>
      <c r="S1664" s="13"/>
    </row>
    <row r="1665" ht="15.75" customHeight="1">
      <c r="A1665" s="14" t="s">
        <v>6036</v>
      </c>
      <c r="B1665" s="14" t="s">
        <v>316</v>
      </c>
      <c r="C1665" s="14" t="s">
        <v>6037</v>
      </c>
      <c r="D1665" s="14">
        <v>100.0</v>
      </c>
      <c r="E1665" s="14" t="s">
        <v>318</v>
      </c>
      <c r="F1665" s="14" t="s">
        <v>6038</v>
      </c>
      <c r="G1665" s="14" t="s">
        <v>6039</v>
      </c>
      <c r="H1665" s="13"/>
      <c r="I1665" s="13"/>
      <c r="J1665" s="13"/>
      <c r="K1665" s="13"/>
      <c r="L1665" s="13"/>
      <c r="M1665" s="13"/>
      <c r="N1665" s="13"/>
      <c r="O1665" s="13"/>
      <c r="P1665" s="13"/>
      <c r="Q1665" s="13"/>
      <c r="R1665" s="13"/>
      <c r="S1665" s="13"/>
    </row>
    <row r="1666" ht="15.75" customHeight="1">
      <c r="A1666" s="14" t="s">
        <v>6040</v>
      </c>
      <c r="B1666" s="14" t="s">
        <v>316</v>
      </c>
      <c r="C1666" s="14" t="s">
        <v>6041</v>
      </c>
      <c r="D1666" s="14">
        <v>100.0</v>
      </c>
      <c r="E1666" s="14" t="s">
        <v>318</v>
      </c>
      <c r="F1666" s="14" t="s">
        <v>6042</v>
      </c>
      <c r="G1666" s="14" t="s">
        <v>6043</v>
      </c>
      <c r="H1666" s="13"/>
      <c r="I1666" s="13"/>
      <c r="J1666" s="13"/>
      <c r="K1666" s="13"/>
      <c r="L1666" s="13"/>
      <c r="M1666" s="13"/>
      <c r="N1666" s="13"/>
      <c r="O1666" s="13"/>
      <c r="P1666" s="13"/>
      <c r="Q1666" s="13"/>
      <c r="R1666" s="13"/>
      <c r="S1666" s="13"/>
    </row>
    <row r="1667" ht="15.75" customHeight="1">
      <c r="A1667" s="14" t="s">
        <v>6044</v>
      </c>
      <c r="B1667" s="14" t="s">
        <v>316</v>
      </c>
      <c r="C1667" s="14" t="s">
        <v>6045</v>
      </c>
      <c r="D1667" s="14">
        <v>100.0</v>
      </c>
      <c r="E1667" s="14" t="s">
        <v>318</v>
      </c>
      <c r="F1667" s="14" t="s">
        <v>6046</v>
      </c>
      <c r="G1667" s="14" t="s">
        <v>6047</v>
      </c>
      <c r="H1667" s="13"/>
      <c r="I1667" s="13"/>
      <c r="J1667" s="13"/>
      <c r="K1667" s="13"/>
      <c r="L1667" s="13"/>
      <c r="M1667" s="13"/>
      <c r="N1667" s="13"/>
      <c r="O1667" s="13"/>
      <c r="P1667" s="13"/>
      <c r="Q1667" s="13"/>
      <c r="R1667" s="13"/>
      <c r="S1667" s="13"/>
    </row>
    <row r="1668" ht="15.75" customHeight="1">
      <c r="A1668" s="14" t="s">
        <v>6048</v>
      </c>
      <c r="B1668" s="14" t="s">
        <v>316</v>
      </c>
      <c r="C1668" s="14" t="s">
        <v>6049</v>
      </c>
      <c r="D1668" s="14">
        <v>100.0</v>
      </c>
      <c r="E1668" s="14" t="s">
        <v>318</v>
      </c>
      <c r="F1668" s="14" t="s">
        <v>6050</v>
      </c>
      <c r="G1668" s="14" t="s">
        <v>6051</v>
      </c>
      <c r="H1668" s="13"/>
      <c r="I1668" s="13"/>
      <c r="J1668" s="13"/>
      <c r="K1668" s="13"/>
      <c r="L1668" s="13"/>
      <c r="M1668" s="13"/>
      <c r="N1668" s="13"/>
      <c r="O1668" s="13"/>
      <c r="P1668" s="13"/>
      <c r="Q1668" s="13"/>
      <c r="R1668" s="13"/>
      <c r="S1668" s="13"/>
    </row>
    <row r="1669" ht="15.75" customHeight="1">
      <c r="A1669" s="14" t="s">
        <v>6052</v>
      </c>
      <c r="B1669" s="14" t="s">
        <v>316</v>
      </c>
      <c r="C1669" s="14" t="s">
        <v>6053</v>
      </c>
      <c r="D1669" s="14">
        <v>100.0</v>
      </c>
      <c r="E1669" s="14" t="s">
        <v>318</v>
      </c>
      <c r="F1669" s="14" t="s">
        <v>6054</v>
      </c>
      <c r="G1669" s="14" t="s">
        <v>6055</v>
      </c>
      <c r="H1669" s="13"/>
      <c r="I1669" s="13"/>
      <c r="J1669" s="13"/>
      <c r="K1669" s="13"/>
      <c r="L1669" s="13"/>
      <c r="M1669" s="13"/>
      <c r="N1669" s="13"/>
      <c r="O1669" s="13"/>
      <c r="P1669" s="13"/>
      <c r="Q1669" s="13"/>
      <c r="R1669" s="13"/>
      <c r="S1669" s="13"/>
    </row>
    <row r="1670" ht="15.75" customHeight="1">
      <c r="A1670" s="14" t="s">
        <v>6056</v>
      </c>
      <c r="B1670" s="14" t="s">
        <v>316</v>
      </c>
      <c r="C1670" s="14" t="s">
        <v>6057</v>
      </c>
      <c r="D1670" s="14">
        <v>100.0</v>
      </c>
      <c r="E1670" s="14" t="s">
        <v>318</v>
      </c>
      <c r="F1670" s="14" t="s">
        <v>6058</v>
      </c>
      <c r="G1670" s="14" t="s">
        <v>6059</v>
      </c>
      <c r="H1670" s="13"/>
      <c r="I1670" s="13"/>
      <c r="J1670" s="13"/>
      <c r="K1670" s="13"/>
      <c r="L1670" s="13"/>
      <c r="M1670" s="13"/>
      <c r="N1670" s="13"/>
      <c r="O1670" s="13"/>
      <c r="P1670" s="13"/>
      <c r="Q1670" s="13"/>
      <c r="R1670" s="13"/>
      <c r="S1670" s="13"/>
    </row>
    <row r="1671" ht="15.75" customHeight="1">
      <c r="A1671" s="14" t="s">
        <v>6060</v>
      </c>
      <c r="B1671" s="14" t="s">
        <v>316</v>
      </c>
      <c r="C1671" s="14" t="s">
        <v>6061</v>
      </c>
      <c r="D1671" s="14">
        <v>100.0</v>
      </c>
      <c r="E1671" s="14" t="s">
        <v>318</v>
      </c>
      <c r="F1671" s="14" t="s">
        <v>6062</v>
      </c>
      <c r="G1671" s="14" t="s">
        <v>6063</v>
      </c>
      <c r="H1671" s="13"/>
      <c r="I1671" s="13"/>
      <c r="J1671" s="13"/>
      <c r="K1671" s="13"/>
      <c r="L1671" s="13"/>
      <c r="M1671" s="13"/>
      <c r="N1671" s="13"/>
      <c r="O1671" s="13"/>
      <c r="P1671" s="13"/>
      <c r="Q1671" s="13"/>
      <c r="R1671" s="13"/>
      <c r="S1671" s="13"/>
    </row>
    <row r="1672" ht="15.75" customHeight="1">
      <c r="A1672" s="14" t="s">
        <v>6064</v>
      </c>
      <c r="B1672" s="14" t="s">
        <v>316</v>
      </c>
      <c r="C1672" s="14" t="s">
        <v>6065</v>
      </c>
      <c r="D1672" s="14">
        <v>100.0</v>
      </c>
      <c r="E1672" s="14" t="s">
        <v>318</v>
      </c>
      <c r="F1672" s="14" t="s">
        <v>1459</v>
      </c>
      <c r="G1672" s="14" t="s">
        <v>6066</v>
      </c>
      <c r="H1672" s="13"/>
      <c r="I1672" s="13"/>
      <c r="J1672" s="13"/>
      <c r="K1672" s="13"/>
      <c r="L1672" s="13"/>
      <c r="M1672" s="13"/>
      <c r="N1672" s="13"/>
      <c r="O1672" s="13"/>
      <c r="P1672" s="13"/>
      <c r="Q1672" s="13"/>
      <c r="R1672" s="13"/>
      <c r="S1672" s="13"/>
    </row>
    <row r="1673" ht="15.75" customHeight="1">
      <c r="A1673" s="14" t="s">
        <v>6067</v>
      </c>
      <c r="B1673" s="14" t="s">
        <v>316</v>
      </c>
      <c r="C1673" s="14" t="s">
        <v>6068</v>
      </c>
      <c r="D1673" s="14">
        <v>100.0</v>
      </c>
      <c r="E1673" s="14" t="s">
        <v>318</v>
      </c>
      <c r="F1673" s="14" t="s">
        <v>6069</v>
      </c>
      <c r="G1673" s="14" t="s">
        <v>6070</v>
      </c>
      <c r="H1673" s="13"/>
      <c r="I1673" s="13"/>
      <c r="J1673" s="13"/>
      <c r="K1673" s="13"/>
      <c r="L1673" s="13"/>
      <c r="M1673" s="13"/>
      <c r="N1673" s="13"/>
      <c r="O1673" s="13"/>
      <c r="P1673" s="13"/>
      <c r="Q1673" s="13"/>
      <c r="R1673" s="13"/>
      <c r="S1673" s="13"/>
    </row>
    <row r="1674" ht="15.75" customHeight="1">
      <c r="A1674" s="14" t="s">
        <v>6071</v>
      </c>
      <c r="B1674" s="14" t="s">
        <v>316</v>
      </c>
      <c r="C1674" s="14" t="s">
        <v>6072</v>
      </c>
      <c r="D1674" s="14">
        <v>100.0</v>
      </c>
      <c r="E1674" s="14" t="s">
        <v>318</v>
      </c>
      <c r="F1674" s="14" t="s">
        <v>6073</v>
      </c>
      <c r="G1674" s="14" t="s">
        <v>6074</v>
      </c>
      <c r="H1674" s="13"/>
      <c r="I1674" s="13"/>
      <c r="J1674" s="13"/>
      <c r="K1674" s="13"/>
      <c r="L1674" s="13"/>
      <c r="M1674" s="13"/>
      <c r="N1674" s="13"/>
      <c r="O1674" s="13"/>
      <c r="P1674" s="13"/>
      <c r="Q1674" s="13"/>
      <c r="R1674" s="13"/>
      <c r="S1674" s="13"/>
    </row>
    <row r="1675" ht="15.75" customHeight="1">
      <c r="A1675" s="14" t="s">
        <v>6075</v>
      </c>
      <c r="B1675" s="14" t="s">
        <v>316</v>
      </c>
      <c r="C1675" s="14" t="s">
        <v>6076</v>
      </c>
      <c r="D1675" s="14">
        <v>100.0</v>
      </c>
      <c r="E1675" s="14" t="s">
        <v>318</v>
      </c>
      <c r="F1675" s="14" t="s">
        <v>1291</v>
      </c>
      <c r="G1675" s="14" t="s">
        <v>6077</v>
      </c>
      <c r="H1675" s="13"/>
      <c r="I1675" s="13"/>
      <c r="J1675" s="13"/>
      <c r="K1675" s="13"/>
      <c r="L1675" s="13"/>
      <c r="M1675" s="13"/>
      <c r="N1675" s="13"/>
      <c r="O1675" s="13"/>
      <c r="P1675" s="13"/>
      <c r="Q1675" s="13"/>
      <c r="R1675" s="13"/>
      <c r="S1675" s="13"/>
    </row>
    <row r="1676" ht="15.75" customHeight="1">
      <c r="A1676" s="14" t="s">
        <v>6078</v>
      </c>
      <c r="B1676" s="14" t="s">
        <v>316</v>
      </c>
      <c r="C1676" s="14" t="s">
        <v>6079</v>
      </c>
      <c r="D1676" s="14">
        <v>100.0</v>
      </c>
      <c r="E1676" s="14" t="s">
        <v>318</v>
      </c>
      <c r="F1676" s="14" t="s">
        <v>6080</v>
      </c>
      <c r="G1676" s="14" t="s">
        <v>6081</v>
      </c>
      <c r="H1676" s="13"/>
      <c r="I1676" s="13"/>
      <c r="J1676" s="13"/>
      <c r="K1676" s="13"/>
      <c r="L1676" s="13"/>
      <c r="M1676" s="13"/>
      <c r="N1676" s="13"/>
      <c r="O1676" s="13"/>
      <c r="P1676" s="13"/>
      <c r="Q1676" s="13"/>
      <c r="R1676" s="13"/>
      <c r="S1676" s="13"/>
    </row>
    <row r="1677" ht="15.75" customHeight="1">
      <c r="A1677" s="14" t="s">
        <v>6082</v>
      </c>
      <c r="B1677" s="14" t="s">
        <v>316</v>
      </c>
      <c r="C1677" s="14" t="s">
        <v>6083</v>
      </c>
      <c r="D1677" s="14">
        <v>100.0</v>
      </c>
      <c r="E1677" s="14" t="s">
        <v>318</v>
      </c>
      <c r="F1677" s="14" t="s">
        <v>6084</v>
      </c>
      <c r="G1677" s="14" t="s">
        <v>6085</v>
      </c>
      <c r="H1677" s="13"/>
      <c r="I1677" s="13"/>
      <c r="J1677" s="13"/>
      <c r="K1677" s="13"/>
      <c r="L1677" s="13"/>
      <c r="M1677" s="13"/>
      <c r="N1677" s="13"/>
      <c r="O1677" s="13"/>
      <c r="P1677" s="13"/>
      <c r="Q1677" s="13"/>
      <c r="R1677" s="13"/>
      <c r="S1677" s="13"/>
    </row>
    <row r="1678" ht="15.75" customHeight="1">
      <c r="A1678" s="14" t="s">
        <v>6086</v>
      </c>
      <c r="B1678" s="14" t="s">
        <v>316</v>
      </c>
      <c r="C1678" s="14" t="s">
        <v>6087</v>
      </c>
      <c r="D1678" s="14">
        <v>100.0</v>
      </c>
      <c r="E1678" s="14" t="s">
        <v>318</v>
      </c>
      <c r="F1678" s="14" t="s">
        <v>6088</v>
      </c>
      <c r="G1678" s="14" t="s">
        <v>6089</v>
      </c>
      <c r="H1678" s="13"/>
      <c r="I1678" s="13"/>
      <c r="J1678" s="13"/>
      <c r="K1678" s="13"/>
      <c r="L1678" s="13"/>
      <c r="M1678" s="13"/>
      <c r="N1678" s="13"/>
      <c r="O1678" s="13"/>
      <c r="P1678" s="13"/>
      <c r="Q1678" s="13"/>
      <c r="R1678" s="13"/>
      <c r="S1678" s="13"/>
    </row>
    <row r="1679" ht="15.75" customHeight="1">
      <c r="A1679" s="14" t="s">
        <v>6090</v>
      </c>
      <c r="B1679" s="14" t="s">
        <v>316</v>
      </c>
      <c r="C1679" s="14" t="s">
        <v>6091</v>
      </c>
      <c r="D1679" s="14">
        <v>100.0</v>
      </c>
      <c r="E1679" s="14" t="s">
        <v>318</v>
      </c>
      <c r="F1679" s="14" t="s">
        <v>6092</v>
      </c>
      <c r="G1679" s="14" t="s">
        <v>6093</v>
      </c>
      <c r="H1679" s="13"/>
      <c r="I1679" s="13"/>
      <c r="J1679" s="13"/>
      <c r="K1679" s="13"/>
      <c r="L1679" s="13"/>
      <c r="M1679" s="13"/>
      <c r="N1679" s="13"/>
      <c r="O1679" s="13"/>
      <c r="P1679" s="13"/>
      <c r="Q1679" s="13"/>
      <c r="R1679" s="13"/>
      <c r="S1679" s="13"/>
    </row>
    <row r="1680" ht="15.75" customHeight="1">
      <c r="A1680" s="14" t="s">
        <v>6094</v>
      </c>
      <c r="B1680" s="14" t="s">
        <v>316</v>
      </c>
      <c r="C1680" s="14" t="s">
        <v>6095</v>
      </c>
      <c r="D1680" s="14">
        <v>100.0</v>
      </c>
      <c r="E1680" s="14" t="s">
        <v>318</v>
      </c>
      <c r="F1680" s="14" t="s">
        <v>516</v>
      </c>
      <c r="G1680" s="14" t="s">
        <v>6096</v>
      </c>
      <c r="H1680" s="13"/>
      <c r="I1680" s="13"/>
      <c r="J1680" s="13"/>
      <c r="K1680" s="13"/>
      <c r="L1680" s="13"/>
      <c r="M1680" s="13"/>
      <c r="N1680" s="13"/>
      <c r="O1680" s="13"/>
      <c r="P1680" s="13"/>
      <c r="Q1680" s="13"/>
      <c r="R1680" s="13"/>
      <c r="S1680" s="13"/>
    </row>
    <row r="1681" ht="15.75" customHeight="1">
      <c r="A1681" s="14" t="s">
        <v>6097</v>
      </c>
      <c r="B1681" s="14" t="s">
        <v>316</v>
      </c>
      <c r="C1681" s="14" t="s">
        <v>6098</v>
      </c>
      <c r="D1681" s="14">
        <v>100.0</v>
      </c>
      <c r="E1681" s="14" t="s">
        <v>318</v>
      </c>
      <c r="F1681" s="14" t="s">
        <v>6099</v>
      </c>
      <c r="G1681" s="14" t="s">
        <v>6100</v>
      </c>
      <c r="H1681" s="13"/>
      <c r="I1681" s="13"/>
      <c r="J1681" s="13"/>
      <c r="K1681" s="13"/>
      <c r="L1681" s="13"/>
      <c r="M1681" s="13"/>
      <c r="N1681" s="13"/>
      <c r="O1681" s="13"/>
      <c r="P1681" s="13"/>
      <c r="Q1681" s="13"/>
      <c r="R1681" s="13"/>
      <c r="S1681" s="13"/>
    </row>
    <row r="1682" ht="15.75" customHeight="1">
      <c r="A1682" s="14" t="s">
        <v>6101</v>
      </c>
      <c r="B1682" s="14" t="s">
        <v>316</v>
      </c>
      <c r="C1682" s="14" t="s">
        <v>6102</v>
      </c>
      <c r="D1682" s="14">
        <v>100.0</v>
      </c>
      <c r="E1682" s="14" t="s">
        <v>318</v>
      </c>
      <c r="F1682" s="14" t="s">
        <v>988</v>
      </c>
      <c r="G1682" s="14" t="s">
        <v>6103</v>
      </c>
      <c r="H1682" s="13"/>
      <c r="I1682" s="13"/>
      <c r="J1682" s="13"/>
      <c r="K1682" s="13"/>
      <c r="L1682" s="13"/>
      <c r="M1682" s="13"/>
      <c r="N1682" s="13"/>
      <c r="O1682" s="13"/>
      <c r="P1682" s="13"/>
      <c r="Q1682" s="13"/>
      <c r="R1682" s="13"/>
      <c r="S1682" s="13"/>
    </row>
    <row r="1683" ht="15.75" customHeight="1">
      <c r="A1683" s="14" t="s">
        <v>6104</v>
      </c>
      <c r="B1683" s="14" t="s">
        <v>316</v>
      </c>
      <c r="C1683" s="14" t="s">
        <v>6105</v>
      </c>
      <c r="D1683" s="14">
        <v>100.0</v>
      </c>
      <c r="E1683" s="14" t="s">
        <v>318</v>
      </c>
      <c r="F1683" s="14" t="s">
        <v>6106</v>
      </c>
      <c r="G1683" s="14" t="s">
        <v>6107</v>
      </c>
      <c r="H1683" s="13"/>
      <c r="I1683" s="13"/>
      <c r="J1683" s="13"/>
      <c r="K1683" s="13"/>
      <c r="L1683" s="13"/>
      <c r="M1683" s="13"/>
      <c r="N1683" s="13"/>
      <c r="O1683" s="13"/>
      <c r="P1683" s="13"/>
      <c r="Q1683" s="13"/>
      <c r="R1683" s="13"/>
      <c r="S1683" s="13"/>
    </row>
    <row r="1684" ht="15.75" customHeight="1">
      <c r="A1684" s="14" t="s">
        <v>6108</v>
      </c>
      <c r="B1684" s="14" t="s">
        <v>316</v>
      </c>
      <c r="C1684" s="14" t="s">
        <v>6109</v>
      </c>
      <c r="D1684" s="14">
        <v>100.0</v>
      </c>
      <c r="E1684" s="14" t="s">
        <v>318</v>
      </c>
      <c r="F1684" s="14" t="s">
        <v>583</v>
      </c>
      <c r="G1684" s="14" t="s">
        <v>6110</v>
      </c>
      <c r="H1684" s="13"/>
      <c r="I1684" s="13"/>
      <c r="J1684" s="13"/>
      <c r="K1684" s="13"/>
      <c r="L1684" s="13"/>
      <c r="M1684" s="13"/>
      <c r="N1684" s="13"/>
      <c r="O1684" s="13"/>
      <c r="P1684" s="13"/>
      <c r="Q1684" s="13"/>
      <c r="R1684" s="13"/>
      <c r="S1684" s="13"/>
    </row>
    <row r="1685" ht="15.75" customHeight="1">
      <c r="A1685" s="14" t="s">
        <v>6111</v>
      </c>
      <c r="B1685" s="14" t="s">
        <v>316</v>
      </c>
      <c r="C1685" s="14" t="s">
        <v>6112</v>
      </c>
      <c r="D1685" s="14">
        <v>100.0</v>
      </c>
      <c r="E1685" s="14" t="s">
        <v>318</v>
      </c>
      <c r="F1685" s="14" t="s">
        <v>6113</v>
      </c>
      <c r="G1685" s="14" t="s">
        <v>6114</v>
      </c>
      <c r="H1685" s="13"/>
      <c r="I1685" s="13"/>
      <c r="J1685" s="13"/>
      <c r="K1685" s="13"/>
      <c r="L1685" s="13"/>
      <c r="M1685" s="13"/>
      <c r="N1685" s="13"/>
      <c r="O1685" s="13"/>
      <c r="P1685" s="13"/>
      <c r="Q1685" s="13"/>
      <c r="R1685" s="13"/>
      <c r="S1685" s="13"/>
    </row>
    <row r="1686" ht="15.75" customHeight="1">
      <c r="A1686" s="14" t="s">
        <v>6115</v>
      </c>
      <c r="B1686" s="14" t="s">
        <v>316</v>
      </c>
      <c r="C1686" s="14" t="s">
        <v>6116</v>
      </c>
      <c r="D1686" s="14">
        <v>100.0</v>
      </c>
      <c r="E1686" s="14" t="s">
        <v>318</v>
      </c>
      <c r="F1686" s="14" t="s">
        <v>6117</v>
      </c>
      <c r="G1686" s="14" t="s">
        <v>6118</v>
      </c>
      <c r="H1686" s="13"/>
      <c r="I1686" s="13"/>
      <c r="J1686" s="13"/>
      <c r="K1686" s="13"/>
      <c r="L1686" s="13"/>
      <c r="M1686" s="13"/>
      <c r="N1686" s="13"/>
      <c r="O1686" s="13"/>
      <c r="P1686" s="13"/>
      <c r="Q1686" s="13"/>
      <c r="R1686" s="13"/>
      <c r="S1686" s="13"/>
    </row>
    <row r="1687" ht="15.75" customHeight="1">
      <c r="A1687" s="14" t="s">
        <v>6119</v>
      </c>
      <c r="B1687" s="14" t="s">
        <v>316</v>
      </c>
      <c r="C1687" s="14" t="s">
        <v>6120</v>
      </c>
      <c r="D1687" s="14">
        <v>100.0</v>
      </c>
      <c r="E1687" s="14" t="s">
        <v>318</v>
      </c>
      <c r="F1687" s="14" t="s">
        <v>6121</v>
      </c>
      <c r="G1687" s="14" t="s">
        <v>6122</v>
      </c>
      <c r="H1687" s="13"/>
      <c r="I1687" s="13"/>
      <c r="J1687" s="13"/>
      <c r="K1687" s="13"/>
      <c r="L1687" s="13"/>
      <c r="M1687" s="13"/>
      <c r="N1687" s="13"/>
      <c r="O1687" s="13"/>
      <c r="P1687" s="13"/>
      <c r="Q1687" s="13"/>
      <c r="R1687" s="13"/>
      <c r="S1687" s="13"/>
    </row>
    <row r="1688" ht="15.75" customHeight="1">
      <c r="A1688" s="14" t="s">
        <v>6123</v>
      </c>
      <c r="B1688" s="14" t="s">
        <v>316</v>
      </c>
      <c r="C1688" s="14" t="s">
        <v>6124</v>
      </c>
      <c r="D1688" s="14">
        <v>100.0</v>
      </c>
      <c r="E1688" s="14" t="s">
        <v>318</v>
      </c>
      <c r="F1688" s="14" t="s">
        <v>6125</v>
      </c>
      <c r="G1688" s="14" t="s">
        <v>6126</v>
      </c>
      <c r="H1688" s="13"/>
      <c r="I1688" s="13"/>
      <c r="J1688" s="13"/>
      <c r="K1688" s="13"/>
      <c r="L1688" s="13"/>
      <c r="M1688" s="13"/>
      <c r="N1688" s="13"/>
      <c r="O1688" s="13"/>
      <c r="P1688" s="13"/>
      <c r="Q1688" s="13"/>
      <c r="R1688" s="13"/>
      <c r="S1688" s="13"/>
    </row>
    <row r="1689" ht="15.75" customHeight="1">
      <c r="A1689" s="14" t="s">
        <v>6127</v>
      </c>
      <c r="B1689" s="14" t="s">
        <v>316</v>
      </c>
      <c r="C1689" s="14" t="s">
        <v>6128</v>
      </c>
      <c r="D1689" s="14">
        <v>100.0</v>
      </c>
      <c r="E1689" s="14" t="s">
        <v>318</v>
      </c>
      <c r="F1689" s="14" t="s">
        <v>6129</v>
      </c>
      <c r="G1689" s="14" t="s">
        <v>6130</v>
      </c>
      <c r="H1689" s="13"/>
      <c r="I1689" s="13"/>
      <c r="J1689" s="13"/>
      <c r="K1689" s="13"/>
      <c r="L1689" s="13"/>
      <c r="M1689" s="13"/>
      <c r="N1689" s="13"/>
      <c r="O1689" s="13"/>
      <c r="P1689" s="13"/>
      <c r="Q1689" s="13"/>
      <c r="R1689" s="13"/>
      <c r="S1689" s="13"/>
    </row>
    <row r="1690" ht="15.75" customHeight="1">
      <c r="A1690" s="14" t="s">
        <v>6131</v>
      </c>
      <c r="B1690" s="14" t="s">
        <v>316</v>
      </c>
      <c r="C1690" s="14" t="s">
        <v>6132</v>
      </c>
      <c r="D1690" s="14">
        <v>100.0</v>
      </c>
      <c r="E1690" s="14" t="s">
        <v>318</v>
      </c>
      <c r="F1690" s="14" t="s">
        <v>6133</v>
      </c>
      <c r="G1690" s="14" t="s">
        <v>6134</v>
      </c>
      <c r="H1690" s="13"/>
      <c r="I1690" s="13"/>
      <c r="J1690" s="13"/>
      <c r="K1690" s="13"/>
      <c r="L1690" s="13"/>
      <c r="M1690" s="13"/>
      <c r="N1690" s="13"/>
      <c r="O1690" s="13"/>
      <c r="P1690" s="13"/>
      <c r="Q1690" s="13"/>
      <c r="R1690" s="13"/>
      <c r="S1690" s="13"/>
    </row>
    <row r="1691" ht="15.75" customHeight="1">
      <c r="A1691" s="14" t="s">
        <v>6135</v>
      </c>
      <c r="B1691" s="14" t="s">
        <v>316</v>
      </c>
      <c r="C1691" s="14" t="s">
        <v>6136</v>
      </c>
      <c r="D1691" s="14">
        <v>100.0</v>
      </c>
      <c r="E1691" s="14" t="s">
        <v>318</v>
      </c>
      <c r="F1691" s="14" t="s">
        <v>6137</v>
      </c>
      <c r="G1691" s="14" t="s">
        <v>6138</v>
      </c>
      <c r="H1691" s="13"/>
      <c r="I1691" s="13"/>
      <c r="J1691" s="13"/>
      <c r="K1691" s="13"/>
      <c r="L1691" s="13"/>
      <c r="M1691" s="13"/>
      <c r="N1691" s="13"/>
      <c r="O1691" s="13"/>
      <c r="P1691" s="13"/>
      <c r="Q1691" s="13"/>
      <c r="R1691" s="13"/>
      <c r="S1691" s="13"/>
    </row>
    <row r="1692" ht="15.75" customHeight="1">
      <c r="A1692" s="14" t="s">
        <v>6139</v>
      </c>
      <c r="B1692" s="14" t="s">
        <v>316</v>
      </c>
      <c r="C1692" s="14" t="s">
        <v>6140</v>
      </c>
      <c r="D1692" s="14">
        <v>100.0</v>
      </c>
      <c r="E1692" s="14" t="s">
        <v>318</v>
      </c>
      <c r="F1692" s="14" t="s">
        <v>709</v>
      </c>
      <c r="G1692" s="14" t="s">
        <v>6141</v>
      </c>
      <c r="H1692" s="13"/>
      <c r="I1692" s="13"/>
      <c r="J1692" s="13"/>
      <c r="K1692" s="13"/>
      <c r="L1692" s="13"/>
      <c r="M1692" s="13"/>
      <c r="N1692" s="13"/>
      <c r="O1692" s="13"/>
      <c r="P1692" s="13"/>
      <c r="Q1692" s="13"/>
      <c r="R1692" s="13"/>
      <c r="S1692" s="13"/>
    </row>
    <row r="1693" ht="15.75" customHeight="1">
      <c r="A1693" s="14" t="s">
        <v>6142</v>
      </c>
      <c r="B1693" s="14" t="s">
        <v>316</v>
      </c>
      <c r="C1693" s="14" t="s">
        <v>6143</v>
      </c>
      <c r="D1693" s="14">
        <v>100.0</v>
      </c>
      <c r="E1693" s="14" t="s">
        <v>318</v>
      </c>
      <c r="F1693" s="14" t="s">
        <v>709</v>
      </c>
      <c r="G1693" s="14" t="s">
        <v>6144</v>
      </c>
      <c r="H1693" s="13"/>
      <c r="I1693" s="13"/>
      <c r="J1693" s="13"/>
      <c r="K1693" s="13"/>
      <c r="L1693" s="13"/>
      <c r="M1693" s="13"/>
      <c r="N1693" s="13"/>
      <c r="O1693" s="13"/>
      <c r="P1693" s="13"/>
      <c r="Q1693" s="13"/>
      <c r="R1693" s="13"/>
      <c r="S1693" s="13"/>
    </row>
    <row r="1694" ht="15.75" customHeight="1">
      <c r="A1694" s="14" t="s">
        <v>6145</v>
      </c>
      <c r="B1694" s="14" t="s">
        <v>316</v>
      </c>
      <c r="C1694" s="14" t="s">
        <v>6146</v>
      </c>
      <c r="D1694" s="14">
        <v>100.0</v>
      </c>
      <c r="E1694" s="14" t="s">
        <v>318</v>
      </c>
      <c r="F1694" s="14" t="s">
        <v>2515</v>
      </c>
      <c r="G1694" s="14" t="s">
        <v>6147</v>
      </c>
      <c r="H1694" s="13"/>
      <c r="I1694" s="13"/>
      <c r="J1694" s="13"/>
      <c r="K1694" s="13"/>
      <c r="L1694" s="13"/>
      <c r="M1694" s="13"/>
      <c r="N1694" s="13"/>
      <c r="O1694" s="13"/>
      <c r="P1694" s="13"/>
      <c r="Q1694" s="13"/>
      <c r="R1694" s="13"/>
      <c r="S1694" s="13"/>
    </row>
    <row r="1695" ht="15.75" customHeight="1">
      <c r="A1695" s="14" t="s">
        <v>6148</v>
      </c>
      <c r="B1695" s="14" t="s">
        <v>316</v>
      </c>
      <c r="C1695" s="14" t="s">
        <v>6149</v>
      </c>
      <c r="D1695" s="14">
        <v>100.0</v>
      </c>
      <c r="E1695" s="14" t="s">
        <v>318</v>
      </c>
      <c r="F1695" s="14" t="s">
        <v>6150</v>
      </c>
      <c r="G1695" s="14" t="s">
        <v>6151</v>
      </c>
      <c r="H1695" s="13"/>
      <c r="I1695" s="13"/>
      <c r="J1695" s="13"/>
      <c r="K1695" s="13"/>
      <c r="L1695" s="13"/>
      <c r="M1695" s="13"/>
      <c r="N1695" s="13"/>
      <c r="O1695" s="13"/>
      <c r="P1695" s="13"/>
      <c r="Q1695" s="13"/>
      <c r="R1695" s="13"/>
      <c r="S1695" s="13"/>
    </row>
    <row r="1696" ht="15.75" customHeight="1">
      <c r="A1696" s="14" t="s">
        <v>6152</v>
      </c>
      <c r="B1696" s="14" t="s">
        <v>316</v>
      </c>
      <c r="C1696" s="14" t="s">
        <v>6153</v>
      </c>
      <c r="D1696" s="14">
        <v>100.0</v>
      </c>
      <c r="E1696" s="14" t="s">
        <v>318</v>
      </c>
      <c r="F1696" s="14" t="s">
        <v>6154</v>
      </c>
      <c r="G1696" s="14" t="s">
        <v>6155</v>
      </c>
      <c r="H1696" s="13"/>
      <c r="I1696" s="13"/>
      <c r="J1696" s="13"/>
      <c r="K1696" s="13"/>
      <c r="L1696" s="13"/>
      <c r="M1696" s="13"/>
      <c r="N1696" s="13"/>
      <c r="O1696" s="13"/>
      <c r="P1696" s="13"/>
      <c r="Q1696" s="13"/>
      <c r="R1696" s="13"/>
      <c r="S1696" s="13"/>
    </row>
    <row r="1697" ht="15.75" customHeight="1">
      <c r="A1697" s="14" t="s">
        <v>6156</v>
      </c>
      <c r="B1697" s="14" t="s">
        <v>316</v>
      </c>
      <c r="C1697" s="14" t="s">
        <v>6157</v>
      </c>
      <c r="D1697" s="14">
        <v>96.0</v>
      </c>
      <c r="E1697" s="14" t="s">
        <v>318</v>
      </c>
      <c r="F1697" s="14" t="s">
        <v>6158</v>
      </c>
      <c r="G1697" s="14" t="s">
        <v>6159</v>
      </c>
      <c r="H1697" s="13"/>
      <c r="I1697" s="13"/>
      <c r="J1697" s="13"/>
      <c r="K1697" s="13"/>
      <c r="L1697" s="13"/>
      <c r="M1697" s="13"/>
      <c r="N1697" s="13"/>
      <c r="O1697" s="13"/>
      <c r="P1697" s="13"/>
      <c r="Q1697" s="13"/>
      <c r="R1697" s="13"/>
      <c r="S1697" s="13"/>
    </row>
    <row r="1698" ht="15.75" customHeight="1">
      <c r="A1698" s="14" t="s">
        <v>6160</v>
      </c>
      <c r="B1698" s="14" t="s">
        <v>316</v>
      </c>
      <c r="C1698" s="14" t="s">
        <v>6161</v>
      </c>
      <c r="D1698" s="14">
        <v>100.0</v>
      </c>
      <c r="E1698" s="14" t="s">
        <v>318</v>
      </c>
      <c r="F1698" s="14" t="s">
        <v>6162</v>
      </c>
      <c r="G1698" s="14" t="s">
        <v>6163</v>
      </c>
      <c r="H1698" s="13"/>
      <c r="I1698" s="13"/>
      <c r="J1698" s="13"/>
      <c r="K1698" s="13"/>
      <c r="L1698" s="13"/>
      <c r="M1698" s="13"/>
      <c r="N1698" s="13"/>
      <c r="O1698" s="13"/>
      <c r="P1698" s="13"/>
      <c r="Q1698" s="13"/>
      <c r="R1698" s="13"/>
      <c r="S1698" s="13"/>
    </row>
    <row r="1699" ht="15.75" customHeight="1">
      <c r="A1699" s="14" t="s">
        <v>6164</v>
      </c>
      <c r="B1699" s="14" t="s">
        <v>316</v>
      </c>
      <c r="C1699" s="14" t="s">
        <v>6165</v>
      </c>
      <c r="D1699" s="14">
        <v>100.0</v>
      </c>
      <c r="E1699" s="14" t="s">
        <v>318</v>
      </c>
      <c r="F1699" s="14" t="s">
        <v>6166</v>
      </c>
      <c r="G1699" s="14" t="s">
        <v>6167</v>
      </c>
      <c r="H1699" s="13"/>
      <c r="I1699" s="13"/>
      <c r="J1699" s="13"/>
      <c r="K1699" s="13"/>
      <c r="L1699" s="13"/>
      <c r="M1699" s="13"/>
      <c r="N1699" s="13"/>
      <c r="O1699" s="13"/>
      <c r="P1699" s="13"/>
      <c r="Q1699" s="13"/>
      <c r="R1699" s="13"/>
      <c r="S1699" s="13"/>
    </row>
    <row r="1700" ht="15.75" customHeight="1">
      <c r="A1700" s="14" t="s">
        <v>6168</v>
      </c>
      <c r="B1700" s="14" t="s">
        <v>316</v>
      </c>
      <c r="C1700" s="14" t="s">
        <v>6169</v>
      </c>
      <c r="D1700" s="14">
        <v>100.0</v>
      </c>
      <c r="E1700" s="14" t="s">
        <v>318</v>
      </c>
      <c r="F1700" s="14" t="s">
        <v>6170</v>
      </c>
      <c r="G1700" s="14" t="s">
        <v>6171</v>
      </c>
      <c r="H1700" s="13"/>
      <c r="I1700" s="13"/>
      <c r="J1700" s="13"/>
      <c r="K1700" s="13"/>
      <c r="L1700" s="13"/>
      <c r="M1700" s="13"/>
      <c r="N1700" s="13"/>
      <c r="O1700" s="13"/>
      <c r="P1700" s="13"/>
      <c r="Q1700" s="13"/>
      <c r="R1700" s="13"/>
      <c r="S1700" s="13"/>
    </row>
    <row r="1701" ht="15.75" customHeight="1">
      <c r="A1701" s="14" t="s">
        <v>6172</v>
      </c>
      <c r="B1701" s="14" t="s">
        <v>316</v>
      </c>
      <c r="C1701" s="14" t="s">
        <v>6173</v>
      </c>
      <c r="D1701" s="14">
        <v>100.0</v>
      </c>
      <c r="E1701" s="14" t="s">
        <v>318</v>
      </c>
      <c r="F1701" s="14" t="s">
        <v>5573</v>
      </c>
      <c r="G1701" s="14" t="s">
        <v>6174</v>
      </c>
      <c r="H1701" s="13"/>
      <c r="I1701" s="13"/>
      <c r="J1701" s="13"/>
      <c r="K1701" s="13"/>
      <c r="L1701" s="13"/>
      <c r="M1701" s="13"/>
      <c r="N1701" s="13"/>
      <c r="O1701" s="13"/>
      <c r="P1701" s="13"/>
      <c r="Q1701" s="13"/>
      <c r="R1701" s="13"/>
      <c r="S1701" s="13"/>
    </row>
    <row r="1702" ht="15.75" customHeight="1">
      <c r="A1702" s="14" t="s">
        <v>6175</v>
      </c>
      <c r="B1702" s="14" t="s">
        <v>316</v>
      </c>
      <c r="C1702" s="14" t="s">
        <v>6176</v>
      </c>
      <c r="D1702" s="14">
        <v>100.0</v>
      </c>
      <c r="E1702" s="14" t="s">
        <v>318</v>
      </c>
      <c r="F1702" s="14" t="s">
        <v>6177</v>
      </c>
      <c r="G1702" s="14" t="s">
        <v>6178</v>
      </c>
      <c r="H1702" s="13"/>
      <c r="I1702" s="13"/>
      <c r="J1702" s="13"/>
      <c r="K1702" s="13"/>
      <c r="L1702" s="13"/>
      <c r="M1702" s="13"/>
      <c r="N1702" s="13"/>
      <c r="O1702" s="13"/>
      <c r="P1702" s="13"/>
      <c r="Q1702" s="13"/>
      <c r="R1702" s="13"/>
      <c r="S1702" s="13"/>
    </row>
    <row r="1703" ht="15.75" customHeight="1">
      <c r="A1703" s="14" t="s">
        <v>6179</v>
      </c>
      <c r="B1703" s="14" t="s">
        <v>316</v>
      </c>
      <c r="C1703" s="14" t="s">
        <v>6180</v>
      </c>
      <c r="D1703" s="14">
        <v>100.0</v>
      </c>
      <c r="E1703" s="14" t="s">
        <v>318</v>
      </c>
      <c r="F1703" s="14" t="s">
        <v>6181</v>
      </c>
      <c r="G1703" s="14" t="s">
        <v>6182</v>
      </c>
      <c r="H1703" s="13"/>
      <c r="I1703" s="13"/>
      <c r="J1703" s="13"/>
      <c r="K1703" s="13"/>
      <c r="L1703" s="13"/>
      <c r="M1703" s="13"/>
      <c r="N1703" s="13"/>
      <c r="O1703" s="13"/>
      <c r="P1703" s="13"/>
      <c r="Q1703" s="13"/>
      <c r="R1703" s="13"/>
      <c r="S1703" s="13"/>
    </row>
    <row r="1704" ht="15.75" customHeight="1">
      <c r="A1704" s="14" t="s">
        <v>6183</v>
      </c>
      <c r="B1704" s="14" t="s">
        <v>316</v>
      </c>
      <c r="C1704" s="14" t="s">
        <v>6184</v>
      </c>
      <c r="D1704" s="14">
        <v>100.0</v>
      </c>
      <c r="E1704" s="14" t="s">
        <v>318</v>
      </c>
      <c r="F1704" s="14" t="s">
        <v>1858</v>
      </c>
      <c r="G1704" s="14" t="s">
        <v>6185</v>
      </c>
      <c r="H1704" s="13"/>
      <c r="I1704" s="13"/>
      <c r="J1704" s="13"/>
      <c r="K1704" s="13"/>
      <c r="L1704" s="13"/>
      <c r="M1704" s="13"/>
      <c r="N1704" s="13"/>
      <c r="O1704" s="13"/>
      <c r="P1704" s="13"/>
      <c r="Q1704" s="13"/>
      <c r="R1704" s="13"/>
      <c r="S1704" s="13"/>
    </row>
    <row r="1705" ht="15.75" customHeight="1">
      <c r="A1705" s="14" t="s">
        <v>6186</v>
      </c>
      <c r="B1705" s="14" t="s">
        <v>316</v>
      </c>
      <c r="C1705" s="14" t="s">
        <v>6187</v>
      </c>
      <c r="D1705" s="14">
        <v>100.0</v>
      </c>
      <c r="E1705" s="14" t="s">
        <v>318</v>
      </c>
      <c r="F1705" s="14" t="s">
        <v>1114</v>
      </c>
      <c r="G1705" s="14" t="s">
        <v>6188</v>
      </c>
      <c r="H1705" s="13"/>
      <c r="I1705" s="13"/>
      <c r="J1705" s="13"/>
      <c r="K1705" s="13"/>
      <c r="L1705" s="13"/>
      <c r="M1705" s="13"/>
      <c r="N1705" s="13"/>
      <c r="O1705" s="13"/>
      <c r="P1705" s="13"/>
      <c r="Q1705" s="13"/>
      <c r="R1705" s="13"/>
      <c r="S1705" s="13"/>
    </row>
    <row r="1706" ht="15.75" customHeight="1">
      <c r="A1706" s="14" t="s">
        <v>6189</v>
      </c>
      <c r="B1706" s="14" t="s">
        <v>316</v>
      </c>
      <c r="C1706" s="14" t="s">
        <v>6190</v>
      </c>
      <c r="D1706" s="14">
        <v>100.0</v>
      </c>
      <c r="E1706" s="14" t="s">
        <v>318</v>
      </c>
      <c r="F1706" s="14" t="s">
        <v>3954</v>
      </c>
      <c r="G1706" s="14" t="s">
        <v>6191</v>
      </c>
      <c r="H1706" s="13"/>
      <c r="I1706" s="13"/>
      <c r="J1706" s="13"/>
      <c r="K1706" s="13"/>
      <c r="L1706" s="13"/>
      <c r="M1706" s="13"/>
      <c r="N1706" s="13"/>
      <c r="O1706" s="13"/>
      <c r="P1706" s="13"/>
      <c r="Q1706" s="13"/>
      <c r="R1706" s="13"/>
      <c r="S1706" s="13"/>
    </row>
    <row r="1707" ht="15.75" customHeight="1">
      <c r="A1707" s="14" t="s">
        <v>6192</v>
      </c>
      <c r="B1707" s="14" t="s">
        <v>316</v>
      </c>
      <c r="C1707" s="14" t="s">
        <v>6193</v>
      </c>
      <c r="D1707" s="14">
        <v>100.0</v>
      </c>
      <c r="E1707" s="14" t="s">
        <v>318</v>
      </c>
      <c r="F1707" s="14" t="s">
        <v>6194</v>
      </c>
      <c r="G1707" s="14" t="s">
        <v>6195</v>
      </c>
      <c r="H1707" s="13"/>
      <c r="I1707" s="13"/>
      <c r="J1707" s="13"/>
      <c r="K1707" s="13"/>
      <c r="L1707" s="13"/>
      <c r="M1707" s="13"/>
      <c r="N1707" s="13"/>
      <c r="O1707" s="13"/>
      <c r="P1707" s="13"/>
      <c r="Q1707" s="13"/>
      <c r="R1707" s="13"/>
      <c r="S1707" s="13"/>
    </row>
    <row r="1708" ht="15.75" customHeight="1">
      <c r="A1708" s="14" t="s">
        <v>6196</v>
      </c>
      <c r="B1708" s="14" t="s">
        <v>316</v>
      </c>
      <c r="C1708" s="14" t="s">
        <v>6197</v>
      </c>
      <c r="D1708" s="14">
        <v>100.0</v>
      </c>
      <c r="E1708" s="14" t="s">
        <v>318</v>
      </c>
      <c r="F1708" s="14" t="s">
        <v>656</v>
      </c>
      <c r="G1708" s="14" t="s">
        <v>6198</v>
      </c>
      <c r="H1708" s="13"/>
      <c r="I1708" s="13"/>
      <c r="J1708" s="13"/>
      <c r="K1708" s="13"/>
      <c r="L1708" s="13"/>
      <c r="M1708" s="13"/>
      <c r="N1708" s="13"/>
      <c r="O1708" s="13"/>
      <c r="P1708" s="13"/>
      <c r="Q1708" s="13"/>
      <c r="R1708" s="13"/>
      <c r="S1708" s="13"/>
    </row>
    <row r="1709" ht="15.75" customHeight="1">
      <c r="A1709" s="14" t="s">
        <v>6199</v>
      </c>
      <c r="B1709" s="14" t="s">
        <v>316</v>
      </c>
      <c r="C1709" s="14" t="s">
        <v>6200</v>
      </c>
      <c r="D1709" s="14">
        <v>100.0</v>
      </c>
      <c r="E1709" s="14" t="s">
        <v>318</v>
      </c>
      <c r="F1709" s="14" t="s">
        <v>3000</v>
      </c>
      <c r="G1709" s="14" t="s">
        <v>6201</v>
      </c>
      <c r="H1709" s="13"/>
      <c r="I1709" s="13"/>
      <c r="J1709" s="13"/>
      <c r="K1709" s="13"/>
      <c r="L1709" s="13"/>
      <c r="M1709" s="13"/>
      <c r="N1709" s="13"/>
      <c r="O1709" s="13"/>
      <c r="P1709" s="13"/>
      <c r="Q1709" s="13"/>
      <c r="R1709" s="13"/>
      <c r="S1709" s="13"/>
    </row>
    <row r="1710" ht="15.75" customHeight="1">
      <c r="A1710" s="14" t="s">
        <v>6202</v>
      </c>
      <c r="B1710" s="14" t="s">
        <v>316</v>
      </c>
      <c r="C1710" s="14" t="s">
        <v>6203</v>
      </c>
      <c r="D1710" s="14">
        <v>100.0</v>
      </c>
      <c r="E1710" s="14" t="s">
        <v>318</v>
      </c>
      <c r="F1710" s="14" t="s">
        <v>3720</v>
      </c>
      <c r="G1710" s="14" t="s">
        <v>6204</v>
      </c>
      <c r="H1710" s="13"/>
      <c r="I1710" s="13"/>
      <c r="J1710" s="13"/>
      <c r="K1710" s="13"/>
      <c r="L1710" s="13"/>
      <c r="M1710" s="13"/>
      <c r="N1710" s="13"/>
      <c r="O1710" s="13"/>
      <c r="P1710" s="13"/>
      <c r="Q1710" s="13"/>
      <c r="R1710" s="13"/>
      <c r="S1710" s="13"/>
    </row>
    <row r="1711" ht="15.75" customHeight="1">
      <c r="A1711" s="14" t="s">
        <v>6205</v>
      </c>
      <c r="B1711" s="14" t="s">
        <v>316</v>
      </c>
      <c r="C1711" s="14" t="s">
        <v>6206</v>
      </c>
      <c r="D1711" s="14">
        <v>100.0</v>
      </c>
      <c r="E1711" s="14" t="s">
        <v>318</v>
      </c>
      <c r="F1711" s="14" t="s">
        <v>1381</v>
      </c>
      <c r="G1711" s="14" t="s">
        <v>6207</v>
      </c>
      <c r="H1711" s="13"/>
      <c r="I1711" s="13"/>
      <c r="J1711" s="13"/>
      <c r="K1711" s="13"/>
      <c r="L1711" s="13"/>
      <c r="M1711" s="13"/>
      <c r="N1711" s="13"/>
      <c r="O1711" s="13"/>
      <c r="P1711" s="13"/>
      <c r="Q1711" s="13"/>
      <c r="R1711" s="13"/>
      <c r="S1711" s="13"/>
    </row>
    <row r="1712" ht="15.75" customHeight="1">
      <c r="A1712" s="14" t="s">
        <v>6208</v>
      </c>
      <c r="B1712" s="14" t="s">
        <v>316</v>
      </c>
      <c r="C1712" s="14" t="s">
        <v>6209</v>
      </c>
      <c r="D1712" s="14">
        <v>100.0</v>
      </c>
      <c r="E1712" s="14" t="s">
        <v>318</v>
      </c>
      <c r="F1712" s="14" t="s">
        <v>6210</v>
      </c>
      <c r="G1712" s="14" t="s">
        <v>6211</v>
      </c>
      <c r="H1712" s="13"/>
      <c r="I1712" s="13"/>
      <c r="J1712" s="13"/>
      <c r="K1712" s="13"/>
      <c r="L1712" s="13"/>
      <c r="M1712" s="13"/>
      <c r="N1712" s="13"/>
      <c r="O1712" s="13"/>
      <c r="P1712" s="13"/>
      <c r="Q1712" s="13"/>
      <c r="R1712" s="13"/>
      <c r="S1712" s="13"/>
    </row>
    <row r="1713" ht="15.75" customHeight="1">
      <c r="A1713" s="14" t="s">
        <v>6212</v>
      </c>
      <c r="B1713" s="14" t="s">
        <v>316</v>
      </c>
      <c r="C1713" s="14" t="s">
        <v>6213</v>
      </c>
      <c r="D1713" s="14">
        <v>100.0</v>
      </c>
      <c r="E1713" s="14" t="s">
        <v>318</v>
      </c>
      <c r="F1713" s="14" t="s">
        <v>6214</v>
      </c>
      <c r="G1713" s="14" t="s">
        <v>6215</v>
      </c>
      <c r="H1713" s="13"/>
      <c r="I1713" s="13"/>
      <c r="J1713" s="13"/>
      <c r="K1713" s="13"/>
      <c r="L1713" s="13"/>
      <c r="M1713" s="13"/>
      <c r="N1713" s="13"/>
      <c r="O1713" s="13"/>
      <c r="P1713" s="13"/>
      <c r="Q1713" s="13"/>
      <c r="R1713" s="13"/>
      <c r="S1713" s="13"/>
    </row>
    <row r="1714" ht="15.75" customHeight="1">
      <c r="A1714" s="14" t="s">
        <v>6216</v>
      </c>
      <c r="B1714" s="14" t="s">
        <v>316</v>
      </c>
      <c r="C1714" s="14" t="s">
        <v>6217</v>
      </c>
      <c r="D1714" s="14">
        <v>100.0</v>
      </c>
      <c r="E1714" s="14" t="s">
        <v>318</v>
      </c>
      <c r="F1714" s="14" t="s">
        <v>595</v>
      </c>
      <c r="G1714" s="14" t="s">
        <v>6218</v>
      </c>
      <c r="H1714" s="13"/>
      <c r="I1714" s="13"/>
      <c r="J1714" s="13"/>
      <c r="K1714" s="13"/>
      <c r="L1714" s="13"/>
      <c r="M1714" s="13"/>
      <c r="N1714" s="13"/>
      <c r="O1714" s="13"/>
      <c r="P1714" s="13"/>
      <c r="Q1714" s="13"/>
      <c r="R1714" s="13"/>
      <c r="S1714" s="13"/>
    </row>
    <row r="1715" ht="15.75" customHeight="1">
      <c r="A1715" s="14" t="s">
        <v>6219</v>
      </c>
      <c r="B1715" s="14" t="s">
        <v>316</v>
      </c>
      <c r="C1715" s="14" t="s">
        <v>6220</v>
      </c>
      <c r="D1715" s="14">
        <v>100.0</v>
      </c>
      <c r="E1715" s="14" t="s">
        <v>318</v>
      </c>
      <c r="F1715" s="14" t="s">
        <v>595</v>
      </c>
      <c r="G1715" s="14" t="s">
        <v>6221</v>
      </c>
      <c r="H1715" s="13"/>
      <c r="I1715" s="13"/>
      <c r="J1715" s="13"/>
      <c r="K1715" s="13"/>
      <c r="L1715" s="13"/>
      <c r="M1715" s="13"/>
      <c r="N1715" s="13"/>
      <c r="O1715" s="13"/>
      <c r="P1715" s="13"/>
      <c r="Q1715" s="13"/>
      <c r="R1715" s="13"/>
      <c r="S1715" s="13"/>
    </row>
    <row r="1716" ht="15.75" customHeight="1">
      <c r="A1716" s="14" t="s">
        <v>6222</v>
      </c>
      <c r="B1716" s="14" t="s">
        <v>316</v>
      </c>
      <c r="C1716" s="14" t="s">
        <v>6223</v>
      </c>
      <c r="D1716" s="14">
        <v>100.0</v>
      </c>
      <c r="E1716" s="14" t="s">
        <v>318</v>
      </c>
      <c r="F1716" s="14" t="s">
        <v>6224</v>
      </c>
      <c r="G1716" s="14" t="s">
        <v>6225</v>
      </c>
      <c r="H1716" s="13"/>
      <c r="I1716" s="13"/>
      <c r="J1716" s="13"/>
      <c r="K1716" s="13"/>
      <c r="L1716" s="13"/>
      <c r="M1716" s="13"/>
      <c r="N1716" s="13"/>
      <c r="O1716" s="13"/>
      <c r="P1716" s="13"/>
      <c r="Q1716" s="13"/>
      <c r="R1716" s="13"/>
      <c r="S1716" s="13"/>
    </row>
    <row r="1717" ht="15.75" customHeight="1">
      <c r="A1717" s="14" t="s">
        <v>6226</v>
      </c>
      <c r="B1717" s="14" t="s">
        <v>316</v>
      </c>
      <c r="C1717" s="14" t="s">
        <v>6227</v>
      </c>
      <c r="D1717" s="14">
        <v>100.0</v>
      </c>
      <c r="E1717" s="14" t="s">
        <v>318</v>
      </c>
      <c r="F1717" s="14" t="s">
        <v>6228</v>
      </c>
      <c r="G1717" s="14" t="s">
        <v>6229</v>
      </c>
      <c r="H1717" s="13"/>
      <c r="I1717" s="13"/>
      <c r="J1717" s="13"/>
      <c r="K1717" s="13"/>
      <c r="L1717" s="13"/>
      <c r="M1717" s="13"/>
      <c r="N1717" s="13"/>
      <c r="O1717" s="13"/>
      <c r="P1717" s="13"/>
      <c r="Q1717" s="13"/>
      <c r="R1717" s="13"/>
      <c r="S1717" s="13"/>
    </row>
    <row r="1718" ht="15.75" customHeight="1">
      <c r="A1718" s="14" t="s">
        <v>6230</v>
      </c>
      <c r="B1718" s="14" t="s">
        <v>316</v>
      </c>
      <c r="C1718" s="14" t="s">
        <v>6231</v>
      </c>
      <c r="D1718" s="14">
        <v>100.0</v>
      </c>
      <c r="E1718" s="14" t="s">
        <v>318</v>
      </c>
      <c r="F1718" s="14" t="s">
        <v>6232</v>
      </c>
      <c r="G1718" s="14" t="s">
        <v>6233</v>
      </c>
      <c r="H1718" s="13"/>
      <c r="I1718" s="13"/>
      <c r="J1718" s="13"/>
      <c r="K1718" s="13"/>
      <c r="L1718" s="13"/>
      <c r="M1718" s="13"/>
      <c r="N1718" s="13"/>
      <c r="O1718" s="13"/>
      <c r="P1718" s="13"/>
      <c r="Q1718" s="13"/>
      <c r="R1718" s="13"/>
      <c r="S1718" s="13"/>
    </row>
    <row r="1719" ht="15.75" customHeight="1">
      <c r="A1719" s="14" t="s">
        <v>6234</v>
      </c>
      <c r="B1719" s="14" t="s">
        <v>316</v>
      </c>
      <c r="C1719" s="14" t="s">
        <v>6235</v>
      </c>
      <c r="D1719" s="14">
        <v>100.0</v>
      </c>
      <c r="E1719" s="14" t="s">
        <v>318</v>
      </c>
      <c r="F1719" s="14" t="s">
        <v>6236</v>
      </c>
      <c r="G1719" s="14" t="s">
        <v>6237</v>
      </c>
      <c r="H1719" s="13"/>
      <c r="I1719" s="13"/>
      <c r="J1719" s="13"/>
      <c r="K1719" s="13"/>
      <c r="L1719" s="13"/>
      <c r="M1719" s="13"/>
      <c r="N1719" s="13"/>
      <c r="O1719" s="13"/>
      <c r="P1719" s="13"/>
      <c r="Q1719" s="13"/>
      <c r="R1719" s="13"/>
      <c r="S1719" s="13"/>
    </row>
    <row r="1720" ht="15.75" customHeight="1">
      <c r="A1720" s="14" t="s">
        <v>6238</v>
      </c>
      <c r="B1720" s="14" t="s">
        <v>316</v>
      </c>
      <c r="C1720" s="14" t="s">
        <v>6239</v>
      </c>
      <c r="D1720" s="14">
        <v>100.0</v>
      </c>
      <c r="E1720" s="14" t="s">
        <v>318</v>
      </c>
      <c r="F1720" s="14" t="s">
        <v>709</v>
      </c>
      <c r="G1720" s="14" t="s">
        <v>6240</v>
      </c>
      <c r="H1720" s="13"/>
      <c r="I1720" s="13"/>
      <c r="J1720" s="13"/>
      <c r="K1720" s="13"/>
      <c r="L1720" s="13"/>
      <c r="M1720" s="13"/>
      <c r="N1720" s="13"/>
      <c r="O1720" s="13"/>
      <c r="P1720" s="13"/>
      <c r="Q1720" s="13"/>
      <c r="R1720" s="13"/>
      <c r="S1720" s="13"/>
    </row>
    <row r="1721" ht="15.75" customHeight="1">
      <c r="A1721" s="14" t="s">
        <v>6241</v>
      </c>
      <c r="B1721" s="14" t="s">
        <v>316</v>
      </c>
      <c r="C1721" s="14" t="s">
        <v>6242</v>
      </c>
      <c r="D1721" s="14">
        <v>100.0</v>
      </c>
      <c r="E1721" s="14" t="s">
        <v>318</v>
      </c>
      <c r="F1721" s="14" t="s">
        <v>6243</v>
      </c>
      <c r="G1721" s="14" t="s">
        <v>6244</v>
      </c>
      <c r="H1721" s="13"/>
      <c r="I1721" s="13"/>
      <c r="J1721" s="13"/>
      <c r="K1721" s="13"/>
      <c r="L1721" s="13"/>
      <c r="M1721" s="13"/>
      <c r="N1721" s="13"/>
      <c r="O1721" s="13"/>
      <c r="P1721" s="13"/>
      <c r="Q1721" s="13"/>
      <c r="R1721" s="13"/>
      <c r="S1721" s="13"/>
    </row>
    <row r="1722" ht="15.75" customHeight="1">
      <c r="A1722" s="14" t="s">
        <v>6245</v>
      </c>
      <c r="B1722" s="14" t="s">
        <v>316</v>
      </c>
      <c r="C1722" s="14" t="s">
        <v>6246</v>
      </c>
      <c r="D1722" s="14">
        <v>100.0</v>
      </c>
      <c r="E1722" s="14" t="s">
        <v>318</v>
      </c>
      <c r="F1722" s="14" t="s">
        <v>591</v>
      </c>
      <c r="G1722" s="14" t="s">
        <v>6247</v>
      </c>
      <c r="H1722" s="13"/>
      <c r="I1722" s="13"/>
      <c r="J1722" s="13"/>
      <c r="K1722" s="13"/>
      <c r="L1722" s="13"/>
      <c r="M1722" s="13"/>
      <c r="N1722" s="13"/>
      <c r="O1722" s="13"/>
      <c r="P1722" s="13"/>
      <c r="Q1722" s="13"/>
      <c r="R1722" s="13"/>
      <c r="S1722" s="13"/>
    </row>
    <row r="1723" ht="15.75" customHeight="1">
      <c r="A1723" s="14" t="s">
        <v>6248</v>
      </c>
      <c r="B1723" s="14" t="s">
        <v>316</v>
      </c>
      <c r="C1723" s="14" t="s">
        <v>4244</v>
      </c>
      <c r="D1723" s="14">
        <v>100.0</v>
      </c>
      <c r="E1723" s="14" t="s">
        <v>318</v>
      </c>
      <c r="F1723" s="14" t="s">
        <v>591</v>
      </c>
      <c r="G1723" s="14" t="s">
        <v>6249</v>
      </c>
      <c r="H1723" s="13"/>
      <c r="I1723" s="13"/>
      <c r="J1723" s="13"/>
      <c r="K1723" s="13"/>
      <c r="L1723" s="13"/>
      <c r="M1723" s="13"/>
      <c r="N1723" s="13"/>
      <c r="O1723" s="13"/>
      <c r="P1723" s="13"/>
      <c r="Q1723" s="13"/>
      <c r="R1723" s="13"/>
      <c r="S1723" s="13"/>
    </row>
    <row r="1724" ht="15.75" customHeight="1">
      <c r="A1724" s="14" t="s">
        <v>6250</v>
      </c>
      <c r="B1724" s="14" t="s">
        <v>316</v>
      </c>
      <c r="C1724" s="14" t="s">
        <v>6251</v>
      </c>
      <c r="D1724" s="14">
        <v>100.0</v>
      </c>
      <c r="E1724" s="14" t="s">
        <v>318</v>
      </c>
      <c r="F1724" s="14" t="s">
        <v>591</v>
      </c>
      <c r="G1724" s="14" t="s">
        <v>6252</v>
      </c>
      <c r="H1724" s="13"/>
      <c r="I1724" s="13"/>
      <c r="J1724" s="13"/>
      <c r="K1724" s="13"/>
      <c r="L1724" s="13"/>
      <c r="M1724" s="13"/>
      <c r="N1724" s="13"/>
      <c r="O1724" s="13"/>
      <c r="P1724" s="13"/>
      <c r="Q1724" s="13"/>
      <c r="R1724" s="13"/>
      <c r="S1724" s="13"/>
    </row>
    <row r="1725" ht="15.75" customHeight="1">
      <c r="A1725" s="14" t="s">
        <v>6253</v>
      </c>
      <c r="B1725" s="14" t="s">
        <v>316</v>
      </c>
      <c r="C1725" s="14" t="s">
        <v>6254</v>
      </c>
      <c r="D1725" s="14">
        <v>100.0</v>
      </c>
      <c r="E1725" s="14" t="s">
        <v>318</v>
      </c>
      <c r="F1725" s="14" t="s">
        <v>591</v>
      </c>
      <c r="G1725" s="14" t="s">
        <v>6255</v>
      </c>
      <c r="H1725" s="13"/>
      <c r="I1725" s="13"/>
      <c r="J1725" s="13"/>
      <c r="K1725" s="13"/>
      <c r="L1725" s="13"/>
      <c r="M1725" s="13"/>
      <c r="N1725" s="13"/>
      <c r="O1725" s="13"/>
      <c r="P1725" s="13"/>
      <c r="Q1725" s="13"/>
      <c r="R1725" s="13"/>
      <c r="S1725" s="13"/>
    </row>
    <row r="1726" ht="15.75" customHeight="1">
      <c r="A1726" s="14" t="s">
        <v>6256</v>
      </c>
      <c r="B1726" s="14" t="s">
        <v>316</v>
      </c>
      <c r="C1726" s="14" t="s">
        <v>6257</v>
      </c>
      <c r="D1726" s="14">
        <v>100.0</v>
      </c>
      <c r="E1726" s="14" t="s">
        <v>318</v>
      </c>
      <c r="F1726" s="14" t="s">
        <v>6258</v>
      </c>
      <c r="G1726" s="14" t="s">
        <v>6259</v>
      </c>
      <c r="H1726" s="13"/>
      <c r="I1726" s="13"/>
      <c r="J1726" s="13"/>
      <c r="K1726" s="13"/>
      <c r="L1726" s="13"/>
      <c r="M1726" s="13"/>
      <c r="N1726" s="13"/>
      <c r="O1726" s="13"/>
      <c r="P1726" s="13"/>
      <c r="Q1726" s="13"/>
      <c r="R1726" s="13"/>
      <c r="S1726" s="13"/>
    </row>
    <row r="1727" ht="15.75" customHeight="1">
      <c r="A1727" s="14" t="s">
        <v>6260</v>
      </c>
      <c r="B1727" s="14" t="s">
        <v>316</v>
      </c>
      <c r="C1727" s="14" t="s">
        <v>6261</v>
      </c>
      <c r="D1727" s="14">
        <v>100.0</v>
      </c>
      <c r="E1727" s="14" t="s">
        <v>318</v>
      </c>
      <c r="F1727" s="14" t="s">
        <v>6262</v>
      </c>
      <c r="G1727" s="14" t="s">
        <v>6263</v>
      </c>
      <c r="H1727" s="13"/>
      <c r="I1727" s="13"/>
      <c r="J1727" s="13"/>
      <c r="K1727" s="13"/>
      <c r="L1727" s="13"/>
      <c r="M1727" s="13"/>
      <c r="N1727" s="13"/>
      <c r="O1727" s="13"/>
      <c r="P1727" s="13"/>
      <c r="Q1727" s="13"/>
      <c r="R1727" s="13"/>
      <c r="S1727" s="13"/>
    </row>
    <row r="1728" ht="15.75" customHeight="1">
      <c r="A1728" s="14" t="s">
        <v>6264</v>
      </c>
      <c r="B1728" s="14" t="s">
        <v>316</v>
      </c>
      <c r="C1728" s="14" t="s">
        <v>6265</v>
      </c>
      <c r="D1728" s="14">
        <v>100.0</v>
      </c>
      <c r="E1728" s="14" t="s">
        <v>318</v>
      </c>
      <c r="F1728" s="14" t="s">
        <v>6266</v>
      </c>
      <c r="G1728" s="14" t="s">
        <v>6267</v>
      </c>
      <c r="H1728" s="13"/>
      <c r="I1728" s="13"/>
      <c r="J1728" s="13"/>
      <c r="K1728" s="13"/>
      <c r="L1728" s="13"/>
      <c r="M1728" s="13"/>
      <c r="N1728" s="13"/>
      <c r="O1728" s="13"/>
      <c r="P1728" s="13"/>
      <c r="Q1728" s="13"/>
      <c r="R1728" s="13"/>
      <c r="S1728" s="13"/>
    </row>
    <row r="1729" ht="15.75" customHeight="1">
      <c r="A1729" s="14" t="s">
        <v>6268</v>
      </c>
      <c r="B1729" s="14" t="s">
        <v>316</v>
      </c>
      <c r="C1729" s="14" t="s">
        <v>6269</v>
      </c>
      <c r="D1729" s="14">
        <v>100.0</v>
      </c>
      <c r="E1729" s="14" t="s">
        <v>318</v>
      </c>
      <c r="F1729" s="14" t="s">
        <v>6270</v>
      </c>
      <c r="G1729" s="14" t="s">
        <v>6271</v>
      </c>
      <c r="H1729" s="13"/>
      <c r="I1729" s="13"/>
      <c r="J1729" s="13"/>
      <c r="K1729" s="13"/>
      <c r="L1729" s="13"/>
      <c r="M1729" s="13"/>
      <c r="N1729" s="13"/>
      <c r="O1729" s="13"/>
      <c r="P1729" s="13"/>
      <c r="Q1729" s="13"/>
      <c r="R1729" s="13"/>
      <c r="S1729" s="13"/>
    </row>
    <row r="1730" ht="15.75" customHeight="1">
      <c r="A1730" s="14" t="s">
        <v>6272</v>
      </c>
      <c r="B1730" s="14" t="s">
        <v>316</v>
      </c>
      <c r="C1730" s="14" t="s">
        <v>6273</v>
      </c>
      <c r="D1730" s="14">
        <v>100.0</v>
      </c>
      <c r="E1730" s="14" t="s">
        <v>318</v>
      </c>
      <c r="F1730" s="14" t="s">
        <v>6274</v>
      </c>
      <c r="G1730" s="14" t="s">
        <v>6275</v>
      </c>
      <c r="H1730" s="13"/>
      <c r="I1730" s="13"/>
      <c r="J1730" s="13"/>
      <c r="K1730" s="13"/>
      <c r="L1730" s="13"/>
      <c r="M1730" s="13"/>
      <c r="N1730" s="13"/>
      <c r="O1730" s="13"/>
      <c r="P1730" s="13"/>
      <c r="Q1730" s="13"/>
      <c r="R1730" s="13"/>
      <c r="S1730" s="13"/>
    </row>
    <row r="1731" ht="15.75" customHeight="1">
      <c r="A1731" s="14" t="s">
        <v>6276</v>
      </c>
      <c r="B1731" s="14" t="s">
        <v>316</v>
      </c>
      <c r="C1731" s="14" t="s">
        <v>6277</v>
      </c>
      <c r="D1731" s="14">
        <v>100.0</v>
      </c>
      <c r="E1731" s="14" t="s">
        <v>318</v>
      </c>
      <c r="F1731" s="14" t="s">
        <v>1836</v>
      </c>
      <c r="G1731" s="14" t="s">
        <v>6278</v>
      </c>
      <c r="H1731" s="13"/>
      <c r="I1731" s="13"/>
      <c r="J1731" s="13"/>
      <c r="K1731" s="13"/>
      <c r="L1731" s="13"/>
      <c r="M1731" s="13"/>
      <c r="N1731" s="13"/>
      <c r="O1731" s="13"/>
      <c r="P1731" s="13"/>
      <c r="Q1731" s="13"/>
      <c r="R1731" s="13"/>
      <c r="S1731" s="13"/>
    </row>
    <row r="1732" ht="15.75" customHeight="1">
      <c r="A1732" s="14" t="s">
        <v>6279</v>
      </c>
      <c r="B1732" s="14" t="s">
        <v>316</v>
      </c>
      <c r="C1732" s="14" t="s">
        <v>6280</v>
      </c>
      <c r="D1732" s="14">
        <v>100.0</v>
      </c>
      <c r="E1732" s="14" t="s">
        <v>318</v>
      </c>
      <c r="F1732" s="14" t="s">
        <v>6281</v>
      </c>
      <c r="G1732" s="14" t="s">
        <v>6282</v>
      </c>
      <c r="H1732" s="13"/>
      <c r="I1732" s="13"/>
      <c r="J1732" s="13"/>
      <c r="K1732" s="13"/>
      <c r="L1732" s="13"/>
      <c r="M1732" s="13"/>
      <c r="N1732" s="13"/>
      <c r="O1732" s="13"/>
      <c r="P1732" s="13"/>
      <c r="Q1732" s="13"/>
      <c r="R1732" s="13"/>
      <c r="S1732" s="13"/>
    </row>
    <row r="1733" ht="15.75" customHeight="1">
      <c r="A1733" s="14" t="s">
        <v>6283</v>
      </c>
      <c r="B1733" s="14" t="s">
        <v>316</v>
      </c>
      <c r="C1733" s="14" t="s">
        <v>6284</v>
      </c>
      <c r="D1733" s="14">
        <v>100.0</v>
      </c>
      <c r="E1733" s="14" t="s">
        <v>318</v>
      </c>
      <c r="F1733" s="14" t="s">
        <v>6285</v>
      </c>
      <c r="G1733" s="14" t="s">
        <v>6286</v>
      </c>
      <c r="H1733" s="13"/>
      <c r="I1733" s="13"/>
      <c r="J1733" s="13"/>
      <c r="K1733" s="13"/>
      <c r="L1733" s="13"/>
      <c r="M1733" s="13"/>
      <c r="N1733" s="13"/>
      <c r="O1733" s="13"/>
      <c r="P1733" s="13"/>
      <c r="Q1733" s="13"/>
      <c r="R1733" s="13"/>
      <c r="S1733" s="13"/>
    </row>
    <row r="1734" ht="15.75" customHeight="1">
      <c r="A1734" s="14" t="s">
        <v>6287</v>
      </c>
      <c r="B1734" s="14" t="s">
        <v>316</v>
      </c>
      <c r="C1734" s="14" t="s">
        <v>6288</v>
      </c>
      <c r="D1734" s="14">
        <v>100.0</v>
      </c>
      <c r="E1734" s="14" t="s">
        <v>318</v>
      </c>
      <c r="F1734" s="14" t="s">
        <v>6289</v>
      </c>
      <c r="G1734" s="14" t="s">
        <v>6290</v>
      </c>
      <c r="H1734" s="13"/>
      <c r="I1734" s="13"/>
      <c r="J1734" s="13"/>
      <c r="K1734" s="13"/>
      <c r="L1734" s="13"/>
      <c r="M1734" s="13"/>
      <c r="N1734" s="13"/>
      <c r="O1734" s="13"/>
      <c r="P1734" s="13"/>
      <c r="Q1734" s="13"/>
      <c r="R1734" s="13"/>
      <c r="S1734" s="13"/>
    </row>
    <row r="1735" ht="15.75" customHeight="1">
      <c r="A1735" s="14" t="s">
        <v>6291</v>
      </c>
      <c r="B1735" s="14" t="s">
        <v>316</v>
      </c>
      <c r="C1735" s="14" t="s">
        <v>6292</v>
      </c>
      <c r="D1735" s="14">
        <v>100.0</v>
      </c>
      <c r="E1735" s="14" t="s">
        <v>318</v>
      </c>
      <c r="F1735" s="14" t="s">
        <v>6293</v>
      </c>
      <c r="G1735" s="14" t="s">
        <v>6294</v>
      </c>
      <c r="H1735" s="13"/>
      <c r="I1735" s="13"/>
      <c r="J1735" s="13"/>
      <c r="K1735" s="13"/>
      <c r="L1735" s="13"/>
      <c r="M1735" s="13"/>
      <c r="N1735" s="13"/>
      <c r="O1735" s="13"/>
      <c r="P1735" s="13"/>
      <c r="Q1735" s="13"/>
      <c r="R1735" s="13"/>
      <c r="S1735" s="13"/>
    </row>
    <row r="1736" ht="15.75" customHeight="1">
      <c r="A1736" s="14" t="s">
        <v>6295</v>
      </c>
      <c r="B1736" s="14" t="s">
        <v>316</v>
      </c>
      <c r="C1736" s="14" t="s">
        <v>6296</v>
      </c>
      <c r="D1736" s="14">
        <v>100.0</v>
      </c>
      <c r="E1736" s="14" t="s">
        <v>318</v>
      </c>
      <c r="F1736" s="14" t="s">
        <v>6297</v>
      </c>
      <c r="G1736" s="14"/>
      <c r="H1736" s="13"/>
      <c r="I1736" s="13"/>
      <c r="J1736" s="13"/>
      <c r="K1736" s="13"/>
      <c r="L1736" s="13"/>
      <c r="M1736" s="13"/>
      <c r="N1736" s="13"/>
      <c r="O1736" s="13"/>
      <c r="P1736" s="13"/>
      <c r="Q1736" s="13"/>
      <c r="R1736" s="13"/>
      <c r="S1736" s="13"/>
    </row>
    <row r="1737" ht="15.75" customHeight="1">
      <c r="A1737" s="14" t="s">
        <v>3222</v>
      </c>
      <c r="B1737" s="14" t="s">
        <v>6298</v>
      </c>
      <c r="C1737" s="14"/>
      <c r="D1737" s="14"/>
      <c r="E1737" s="14"/>
      <c r="F1737" s="14"/>
      <c r="G1737" s="14"/>
      <c r="H1737" s="13"/>
      <c r="I1737" s="13"/>
      <c r="J1737" s="13"/>
      <c r="K1737" s="13"/>
      <c r="L1737" s="13"/>
      <c r="M1737" s="13"/>
      <c r="N1737" s="13"/>
      <c r="O1737" s="13"/>
      <c r="P1737" s="13"/>
      <c r="Q1737" s="13"/>
      <c r="R1737" s="13"/>
      <c r="S1737" s="13"/>
    </row>
    <row r="1738" ht="15.75" customHeight="1">
      <c r="A1738" s="14" t="s">
        <v>6299</v>
      </c>
      <c r="B1738" s="14" t="s">
        <v>316</v>
      </c>
      <c r="C1738" s="14" t="s">
        <v>6300</v>
      </c>
      <c r="D1738" s="14">
        <v>100.0</v>
      </c>
      <c r="E1738" s="14" t="s">
        <v>318</v>
      </c>
      <c r="F1738" s="14" t="s">
        <v>6301</v>
      </c>
      <c r="G1738" s="14" t="s">
        <v>6302</v>
      </c>
      <c r="H1738" s="13"/>
      <c r="I1738" s="13"/>
      <c r="J1738" s="13"/>
      <c r="K1738" s="13"/>
      <c r="L1738" s="13"/>
      <c r="M1738" s="13"/>
      <c r="N1738" s="13"/>
      <c r="O1738" s="13"/>
      <c r="P1738" s="13"/>
      <c r="Q1738" s="13"/>
      <c r="R1738" s="13"/>
      <c r="S1738" s="13"/>
    </row>
    <row r="1739" ht="15.75" customHeight="1">
      <c r="A1739" s="14" t="s">
        <v>6303</v>
      </c>
      <c r="B1739" s="14" t="s">
        <v>316</v>
      </c>
      <c r="C1739" s="14" t="s">
        <v>6304</v>
      </c>
      <c r="D1739" s="14">
        <v>100.0</v>
      </c>
      <c r="E1739" s="14" t="s">
        <v>318</v>
      </c>
      <c r="F1739" s="14" t="s">
        <v>6305</v>
      </c>
      <c r="G1739" s="14" t="s">
        <v>6306</v>
      </c>
      <c r="H1739" s="13"/>
      <c r="I1739" s="13"/>
      <c r="J1739" s="13"/>
      <c r="K1739" s="13"/>
      <c r="L1739" s="13"/>
      <c r="M1739" s="13"/>
      <c r="N1739" s="13"/>
      <c r="O1739" s="13"/>
      <c r="P1739" s="13"/>
      <c r="Q1739" s="13"/>
      <c r="R1739" s="13"/>
      <c r="S1739" s="13"/>
    </row>
    <row r="1740" ht="15.75" customHeight="1">
      <c r="A1740" s="14" t="s">
        <v>6307</v>
      </c>
      <c r="B1740" s="14" t="s">
        <v>316</v>
      </c>
      <c r="C1740" s="14" t="s">
        <v>6308</v>
      </c>
      <c r="D1740" s="14">
        <v>100.0</v>
      </c>
      <c r="E1740" s="14" t="s">
        <v>318</v>
      </c>
      <c r="F1740" s="14" t="s">
        <v>6309</v>
      </c>
      <c r="G1740" s="14" t="s">
        <v>6310</v>
      </c>
      <c r="H1740" s="13"/>
      <c r="I1740" s="13"/>
      <c r="J1740" s="13"/>
      <c r="K1740" s="13"/>
      <c r="L1740" s="13"/>
      <c r="M1740" s="13"/>
      <c r="N1740" s="13"/>
      <c r="O1740" s="13"/>
      <c r="P1740" s="13"/>
      <c r="Q1740" s="13"/>
      <c r="R1740" s="13"/>
      <c r="S1740" s="13"/>
    </row>
    <row r="1741" ht="15.75" customHeight="1">
      <c r="A1741" s="14" t="s">
        <v>6311</v>
      </c>
      <c r="B1741" s="14" t="s">
        <v>316</v>
      </c>
      <c r="C1741" s="14" t="s">
        <v>6312</v>
      </c>
      <c r="D1741" s="14">
        <v>95.0</v>
      </c>
      <c r="E1741" s="14" t="s">
        <v>318</v>
      </c>
      <c r="F1741" s="14" t="s">
        <v>6313</v>
      </c>
      <c r="G1741" s="14" t="s">
        <v>6314</v>
      </c>
      <c r="H1741" s="13"/>
      <c r="I1741" s="13"/>
      <c r="J1741" s="13"/>
      <c r="K1741" s="13"/>
      <c r="L1741" s="13"/>
      <c r="M1741" s="13"/>
      <c r="N1741" s="13"/>
      <c r="O1741" s="13"/>
      <c r="P1741" s="13"/>
      <c r="Q1741" s="13"/>
      <c r="R1741" s="13"/>
      <c r="S1741" s="13"/>
    </row>
    <row r="1742" ht="15.75" customHeight="1">
      <c r="A1742" s="14" t="s">
        <v>6315</v>
      </c>
      <c r="B1742" s="14" t="s">
        <v>316</v>
      </c>
      <c r="C1742" s="14" t="s">
        <v>6316</v>
      </c>
      <c r="D1742" s="14">
        <v>100.0</v>
      </c>
      <c r="E1742" s="14" t="s">
        <v>318</v>
      </c>
      <c r="F1742" s="14" t="s">
        <v>6317</v>
      </c>
      <c r="G1742" s="14" t="s">
        <v>6318</v>
      </c>
      <c r="H1742" s="13"/>
      <c r="I1742" s="13"/>
      <c r="J1742" s="13"/>
      <c r="K1742" s="13"/>
      <c r="L1742" s="13"/>
      <c r="M1742" s="13"/>
      <c r="N1742" s="13"/>
      <c r="O1742" s="13"/>
      <c r="P1742" s="13"/>
      <c r="Q1742" s="13"/>
      <c r="R1742" s="13"/>
      <c r="S1742" s="13"/>
    </row>
    <row r="1743" ht="15.75" customHeight="1">
      <c r="A1743" s="14" t="s">
        <v>6319</v>
      </c>
      <c r="B1743" s="14" t="s">
        <v>316</v>
      </c>
      <c r="C1743" s="14" t="s">
        <v>6320</v>
      </c>
      <c r="D1743" s="14">
        <v>100.0</v>
      </c>
      <c r="E1743" s="14" t="s">
        <v>318</v>
      </c>
      <c r="F1743" s="14" t="s">
        <v>595</v>
      </c>
      <c r="G1743" s="14" t="s">
        <v>6321</v>
      </c>
      <c r="H1743" s="13"/>
      <c r="I1743" s="13"/>
      <c r="J1743" s="13"/>
      <c r="K1743" s="13"/>
      <c r="L1743" s="13"/>
      <c r="M1743" s="13"/>
      <c r="N1743" s="13"/>
      <c r="O1743" s="13"/>
      <c r="P1743" s="13"/>
      <c r="Q1743" s="13"/>
      <c r="R1743" s="13"/>
      <c r="S1743" s="13"/>
    </row>
    <row r="1744" ht="15.75" customHeight="1">
      <c r="A1744" s="14" t="s">
        <v>6322</v>
      </c>
      <c r="B1744" s="14" t="s">
        <v>316</v>
      </c>
      <c r="C1744" s="14" t="s">
        <v>6323</v>
      </c>
      <c r="D1744" s="14">
        <v>100.0</v>
      </c>
      <c r="E1744" s="14" t="s">
        <v>318</v>
      </c>
      <c r="F1744" s="14" t="s">
        <v>6324</v>
      </c>
      <c r="G1744" s="14" t="s">
        <v>6325</v>
      </c>
      <c r="H1744" s="13"/>
      <c r="I1744" s="13"/>
      <c r="J1744" s="13"/>
      <c r="K1744" s="13"/>
      <c r="L1744" s="13"/>
      <c r="M1744" s="13"/>
      <c r="N1744" s="13"/>
      <c r="O1744" s="13"/>
      <c r="P1744" s="13"/>
      <c r="Q1744" s="13"/>
      <c r="R1744" s="13"/>
      <c r="S1744" s="13"/>
    </row>
    <row r="1745" ht="15.75" customHeight="1">
      <c r="A1745" s="14" t="s">
        <v>6326</v>
      </c>
      <c r="B1745" s="14" t="s">
        <v>316</v>
      </c>
      <c r="C1745" s="14" t="s">
        <v>6327</v>
      </c>
      <c r="D1745" s="14">
        <v>100.0</v>
      </c>
      <c r="E1745" s="14" t="s">
        <v>318</v>
      </c>
      <c r="F1745" s="14" t="s">
        <v>6328</v>
      </c>
      <c r="G1745" s="14" t="s">
        <v>6329</v>
      </c>
      <c r="H1745" s="13"/>
      <c r="I1745" s="13"/>
      <c r="J1745" s="13"/>
      <c r="K1745" s="13"/>
      <c r="L1745" s="13"/>
      <c r="M1745" s="13"/>
      <c r="N1745" s="13"/>
      <c r="O1745" s="13"/>
      <c r="P1745" s="13"/>
      <c r="Q1745" s="13"/>
      <c r="R1745" s="13"/>
      <c r="S1745" s="13"/>
    </row>
    <row r="1746" ht="15.75" customHeight="1">
      <c r="A1746" s="14" t="s">
        <v>6330</v>
      </c>
      <c r="B1746" s="14" t="s">
        <v>316</v>
      </c>
      <c r="C1746" s="14" t="s">
        <v>6331</v>
      </c>
      <c r="D1746" s="14">
        <v>100.0</v>
      </c>
      <c r="E1746" s="14" t="s">
        <v>318</v>
      </c>
      <c r="F1746" s="14" t="s">
        <v>3648</v>
      </c>
      <c r="G1746" s="14" t="s">
        <v>6332</v>
      </c>
      <c r="H1746" s="13"/>
      <c r="I1746" s="13"/>
      <c r="J1746" s="13"/>
      <c r="K1746" s="13"/>
      <c r="L1746" s="13"/>
      <c r="M1746" s="13"/>
      <c r="N1746" s="13"/>
      <c r="O1746" s="13"/>
      <c r="P1746" s="13"/>
      <c r="Q1746" s="13"/>
      <c r="R1746" s="13"/>
      <c r="S1746" s="13"/>
    </row>
    <row r="1747" ht="15.75" customHeight="1">
      <c r="A1747" s="14" t="s">
        <v>6333</v>
      </c>
      <c r="B1747" s="14" t="s">
        <v>316</v>
      </c>
      <c r="C1747" s="14" t="s">
        <v>6334</v>
      </c>
      <c r="D1747" s="14">
        <v>100.0</v>
      </c>
      <c r="E1747" s="14" t="s">
        <v>318</v>
      </c>
      <c r="F1747" s="14" t="s">
        <v>3720</v>
      </c>
      <c r="G1747" s="14" t="s">
        <v>6335</v>
      </c>
      <c r="H1747" s="13"/>
      <c r="I1747" s="13"/>
      <c r="J1747" s="13"/>
      <c r="K1747" s="13"/>
      <c r="L1747" s="13"/>
      <c r="M1747" s="13"/>
      <c r="N1747" s="13"/>
      <c r="O1747" s="13"/>
      <c r="P1747" s="13"/>
      <c r="Q1747" s="13"/>
      <c r="R1747" s="13"/>
      <c r="S1747" s="13"/>
    </row>
    <row r="1748" ht="15.75" customHeight="1">
      <c r="A1748" s="14" t="s">
        <v>6336</v>
      </c>
      <c r="B1748" s="14" t="s">
        <v>316</v>
      </c>
      <c r="C1748" s="14" t="s">
        <v>6337</v>
      </c>
      <c r="D1748" s="14">
        <v>100.0</v>
      </c>
      <c r="E1748" s="14" t="s">
        <v>318</v>
      </c>
      <c r="F1748" s="14" t="s">
        <v>6338</v>
      </c>
      <c r="G1748" s="14" t="s">
        <v>6339</v>
      </c>
      <c r="H1748" s="13"/>
      <c r="I1748" s="13"/>
      <c r="J1748" s="13"/>
      <c r="K1748" s="13"/>
      <c r="L1748" s="13"/>
      <c r="M1748" s="13"/>
      <c r="N1748" s="13"/>
      <c r="O1748" s="13"/>
      <c r="P1748" s="13"/>
      <c r="Q1748" s="13"/>
      <c r="R1748" s="13"/>
      <c r="S1748" s="13"/>
    </row>
    <row r="1749" ht="15.75" customHeight="1">
      <c r="A1749" s="14" t="s">
        <v>6340</v>
      </c>
      <c r="B1749" s="14" t="s">
        <v>316</v>
      </c>
      <c r="C1749" s="14" t="s">
        <v>6341</v>
      </c>
      <c r="D1749" s="14">
        <v>100.0</v>
      </c>
      <c r="E1749" s="14" t="s">
        <v>318</v>
      </c>
      <c r="F1749" s="14" t="s">
        <v>6342</v>
      </c>
      <c r="G1749" s="14" t="s">
        <v>6343</v>
      </c>
      <c r="H1749" s="13"/>
      <c r="I1749" s="13"/>
      <c r="J1749" s="13"/>
      <c r="K1749" s="13"/>
      <c r="L1749" s="13"/>
      <c r="M1749" s="13"/>
      <c r="N1749" s="13"/>
      <c r="O1749" s="13"/>
      <c r="P1749" s="13"/>
      <c r="Q1749" s="13"/>
      <c r="R1749" s="13"/>
      <c r="S1749" s="13"/>
    </row>
    <row r="1750" ht="15.75" customHeight="1">
      <c r="A1750" s="14" t="s">
        <v>6344</v>
      </c>
      <c r="B1750" s="14" t="s">
        <v>316</v>
      </c>
      <c r="C1750" s="14" t="s">
        <v>6345</v>
      </c>
      <c r="D1750" s="14">
        <v>100.0</v>
      </c>
      <c r="E1750" s="14" t="s">
        <v>318</v>
      </c>
      <c r="F1750" s="14" t="s">
        <v>6346</v>
      </c>
      <c r="G1750" s="14" t="s">
        <v>6347</v>
      </c>
      <c r="H1750" s="13"/>
      <c r="I1750" s="13"/>
      <c r="J1750" s="13"/>
      <c r="K1750" s="13"/>
      <c r="L1750" s="13"/>
      <c r="M1750" s="13"/>
      <c r="N1750" s="13"/>
      <c r="O1750" s="13"/>
      <c r="P1750" s="13"/>
      <c r="Q1750" s="13"/>
      <c r="R1750" s="13"/>
      <c r="S1750" s="13"/>
    </row>
    <row r="1751" ht="15.75" customHeight="1">
      <c r="A1751" s="14" t="s">
        <v>6348</v>
      </c>
      <c r="B1751" s="14" t="s">
        <v>316</v>
      </c>
      <c r="C1751" s="14" t="s">
        <v>6349</v>
      </c>
      <c r="D1751" s="14">
        <v>100.0</v>
      </c>
      <c r="E1751" s="14" t="s">
        <v>318</v>
      </c>
      <c r="F1751" s="14" t="s">
        <v>6350</v>
      </c>
      <c r="G1751" s="14" t="s">
        <v>6351</v>
      </c>
      <c r="H1751" s="13"/>
      <c r="I1751" s="13"/>
      <c r="J1751" s="13"/>
      <c r="K1751" s="13"/>
      <c r="L1751" s="13"/>
      <c r="M1751" s="13"/>
      <c r="N1751" s="13"/>
      <c r="O1751" s="13"/>
      <c r="P1751" s="13"/>
      <c r="Q1751" s="13"/>
      <c r="R1751" s="13"/>
      <c r="S1751" s="13"/>
    </row>
    <row r="1752" ht="15.75" customHeight="1">
      <c r="A1752" s="14" t="s">
        <v>6352</v>
      </c>
      <c r="B1752" s="14" t="s">
        <v>316</v>
      </c>
      <c r="C1752" s="14" t="s">
        <v>6353</v>
      </c>
      <c r="D1752" s="14">
        <v>100.0</v>
      </c>
      <c r="E1752" s="14" t="s">
        <v>318</v>
      </c>
      <c r="F1752" s="14" t="s">
        <v>1935</v>
      </c>
      <c r="G1752" s="14" t="s">
        <v>6354</v>
      </c>
      <c r="H1752" s="13"/>
      <c r="I1752" s="13"/>
      <c r="J1752" s="13"/>
      <c r="K1752" s="13"/>
      <c r="L1752" s="13"/>
      <c r="M1752" s="13"/>
      <c r="N1752" s="13"/>
      <c r="O1752" s="13"/>
      <c r="P1752" s="13"/>
      <c r="Q1752" s="13"/>
      <c r="R1752" s="13"/>
      <c r="S1752" s="13"/>
    </row>
    <row r="1753" ht="15.75" customHeight="1">
      <c r="A1753" s="14" t="s">
        <v>6355</v>
      </c>
      <c r="B1753" s="14" t="s">
        <v>316</v>
      </c>
      <c r="C1753" s="14" t="s">
        <v>6356</v>
      </c>
      <c r="D1753" s="14">
        <v>100.0</v>
      </c>
      <c r="E1753" s="14" t="s">
        <v>318</v>
      </c>
      <c r="F1753" s="14" t="s">
        <v>6357</v>
      </c>
      <c r="G1753" s="14" t="s">
        <v>6358</v>
      </c>
      <c r="H1753" s="13"/>
      <c r="I1753" s="13"/>
      <c r="J1753" s="13"/>
      <c r="K1753" s="13"/>
      <c r="L1753" s="13"/>
      <c r="M1753" s="13"/>
      <c r="N1753" s="13"/>
      <c r="O1753" s="13"/>
      <c r="P1753" s="13"/>
      <c r="Q1753" s="13"/>
      <c r="R1753" s="13"/>
      <c r="S1753" s="13"/>
    </row>
    <row r="1754" ht="15.75" customHeight="1">
      <c r="A1754" s="14" t="s">
        <v>6359</v>
      </c>
      <c r="B1754" s="14" t="s">
        <v>316</v>
      </c>
      <c r="C1754" s="14" t="s">
        <v>6360</v>
      </c>
      <c r="D1754" s="14">
        <v>100.0</v>
      </c>
      <c r="E1754" s="14" t="s">
        <v>318</v>
      </c>
      <c r="F1754" s="14" t="s">
        <v>6361</v>
      </c>
      <c r="G1754" s="14" t="s">
        <v>6362</v>
      </c>
      <c r="H1754" s="13"/>
      <c r="I1754" s="13"/>
      <c r="J1754" s="13"/>
      <c r="K1754" s="13"/>
      <c r="L1754" s="13"/>
      <c r="M1754" s="13"/>
      <c r="N1754" s="13"/>
      <c r="O1754" s="13"/>
      <c r="P1754" s="13"/>
      <c r="Q1754" s="13"/>
      <c r="R1754" s="13"/>
      <c r="S1754" s="13"/>
    </row>
    <row r="1755" ht="15.75" customHeight="1">
      <c r="A1755" s="14" t="s">
        <v>6363</v>
      </c>
      <c r="B1755" s="14" t="s">
        <v>316</v>
      </c>
      <c r="C1755" s="14" t="s">
        <v>6364</v>
      </c>
      <c r="D1755" s="14">
        <v>100.0</v>
      </c>
      <c r="E1755" s="14" t="s">
        <v>318</v>
      </c>
      <c r="F1755" s="14" t="s">
        <v>6365</v>
      </c>
      <c r="G1755" s="14" t="s">
        <v>6366</v>
      </c>
      <c r="H1755" s="13"/>
      <c r="I1755" s="13"/>
      <c r="J1755" s="13"/>
      <c r="K1755" s="13"/>
      <c r="L1755" s="13"/>
      <c r="M1755" s="13"/>
      <c r="N1755" s="13"/>
      <c r="O1755" s="13"/>
      <c r="P1755" s="13"/>
      <c r="Q1755" s="13"/>
      <c r="R1755" s="13"/>
      <c r="S1755" s="13"/>
    </row>
    <row r="1756" ht="15.75" customHeight="1">
      <c r="A1756" s="14" t="s">
        <v>6367</v>
      </c>
      <c r="B1756" s="14" t="s">
        <v>316</v>
      </c>
      <c r="C1756" s="14" t="s">
        <v>6368</v>
      </c>
      <c r="D1756" s="14">
        <v>100.0</v>
      </c>
      <c r="E1756" s="14" t="s">
        <v>318</v>
      </c>
      <c r="F1756" s="14" t="s">
        <v>3788</v>
      </c>
      <c r="G1756" s="14" t="s">
        <v>6369</v>
      </c>
      <c r="H1756" s="13"/>
      <c r="I1756" s="13"/>
      <c r="J1756" s="13"/>
      <c r="K1756" s="13"/>
      <c r="L1756" s="13"/>
      <c r="M1756" s="13"/>
      <c r="N1756" s="13"/>
      <c r="O1756" s="13"/>
      <c r="P1756" s="13"/>
      <c r="Q1756" s="13"/>
      <c r="R1756" s="13"/>
      <c r="S1756" s="13"/>
    </row>
    <row r="1757" ht="15.75" customHeight="1">
      <c r="A1757" s="14" t="s">
        <v>6370</v>
      </c>
      <c r="B1757" s="14" t="s">
        <v>316</v>
      </c>
      <c r="C1757" s="14" t="s">
        <v>6371</v>
      </c>
      <c r="D1757" s="14">
        <v>100.0</v>
      </c>
      <c r="E1757" s="14" t="s">
        <v>318</v>
      </c>
      <c r="F1757" s="14" t="s">
        <v>6372</v>
      </c>
      <c r="G1757" s="14" t="s">
        <v>6373</v>
      </c>
      <c r="H1757" s="13"/>
      <c r="I1757" s="13"/>
      <c r="J1757" s="13"/>
      <c r="K1757" s="13"/>
      <c r="L1757" s="13"/>
      <c r="M1757" s="13"/>
      <c r="N1757" s="13"/>
      <c r="O1757" s="13"/>
      <c r="P1757" s="13"/>
      <c r="Q1757" s="13"/>
      <c r="R1757" s="13"/>
      <c r="S1757" s="13"/>
    </row>
    <row r="1758" ht="15.75" customHeight="1">
      <c r="A1758" s="14" t="s">
        <v>6374</v>
      </c>
      <c r="B1758" s="14" t="s">
        <v>316</v>
      </c>
      <c r="C1758" s="14" t="s">
        <v>3647</v>
      </c>
      <c r="D1758" s="14">
        <v>100.0</v>
      </c>
      <c r="E1758" s="14" t="s">
        <v>318</v>
      </c>
      <c r="F1758" s="14" t="s">
        <v>3788</v>
      </c>
      <c r="G1758" s="14" t="s">
        <v>6375</v>
      </c>
      <c r="H1758" s="13"/>
      <c r="I1758" s="13"/>
      <c r="J1758" s="13"/>
      <c r="K1758" s="13"/>
      <c r="L1758" s="13"/>
      <c r="M1758" s="13"/>
      <c r="N1758" s="13"/>
      <c r="O1758" s="13"/>
      <c r="P1758" s="13"/>
      <c r="Q1758" s="13"/>
      <c r="R1758" s="13"/>
      <c r="S1758" s="13"/>
    </row>
    <row r="1759" ht="15.75" customHeight="1">
      <c r="A1759" s="14" t="s">
        <v>6376</v>
      </c>
      <c r="B1759" s="14" t="s">
        <v>316</v>
      </c>
      <c r="C1759" s="14" t="s">
        <v>6377</v>
      </c>
      <c r="D1759" s="14">
        <v>100.0</v>
      </c>
      <c r="E1759" s="14" t="s">
        <v>318</v>
      </c>
      <c r="F1759" s="14" t="s">
        <v>4170</v>
      </c>
      <c r="G1759" s="14" t="s">
        <v>6378</v>
      </c>
      <c r="H1759" s="13"/>
      <c r="I1759" s="13"/>
      <c r="J1759" s="13"/>
      <c r="K1759" s="13"/>
      <c r="L1759" s="13"/>
      <c r="M1759" s="13"/>
      <c r="N1759" s="13"/>
      <c r="O1759" s="13"/>
      <c r="P1759" s="13"/>
      <c r="Q1759" s="13"/>
      <c r="R1759" s="13"/>
      <c r="S1759" s="13"/>
    </row>
    <row r="1760" ht="15.75" customHeight="1">
      <c r="A1760" s="14" t="s">
        <v>6379</v>
      </c>
      <c r="B1760" s="14" t="s">
        <v>316</v>
      </c>
      <c r="C1760" s="14" t="s">
        <v>6380</v>
      </c>
      <c r="D1760" s="14">
        <v>100.0</v>
      </c>
      <c r="E1760" s="14" t="s">
        <v>318</v>
      </c>
      <c r="F1760" s="14" t="s">
        <v>2240</v>
      </c>
      <c r="G1760" s="14" t="s">
        <v>6381</v>
      </c>
      <c r="H1760" s="13"/>
      <c r="I1760" s="13"/>
      <c r="J1760" s="13"/>
      <c r="K1760" s="13"/>
      <c r="L1760" s="13"/>
      <c r="M1760" s="13"/>
      <c r="N1760" s="13"/>
      <c r="O1760" s="13"/>
      <c r="P1760" s="13"/>
      <c r="Q1760" s="13"/>
      <c r="R1760" s="13"/>
      <c r="S1760" s="13"/>
    </row>
    <row r="1761" ht="15.75" customHeight="1">
      <c r="A1761" s="14" t="s">
        <v>6382</v>
      </c>
      <c r="B1761" s="14" t="s">
        <v>316</v>
      </c>
      <c r="C1761" s="14" t="s">
        <v>6383</v>
      </c>
      <c r="D1761" s="14">
        <v>100.0</v>
      </c>
      <c r="E1761" s="14" t="s">
        <v>318</v>
      </c>
      <c r="F1761" s="14" t="s">
        <v>6384</v>
      </c>
      <c r="G1761" s="14" t="s">
        <v>6385</v>
      </c>
      <c r="H1761" s="13"/>
      <c r="I1761" s="13"/>
      <c r="J1761" s="13"/>
      <c r="K1761" s="13"/>
      <c r="L1761" s="13"/>
      <c r="M1761" s="13"/>
      <c r="N1761" s="13"/>
      <c r="O1761" s="13"/>
      <c r="P1761" s="13"/>
      <c r="Q1761" s="13"/>
      <c r="R1761" s="13"/>
      <c r="S1761" s="13"/>
    </row>
    <row r="1762" ht="15.75" customHeight="1">
      <c r="A1762" s="14" t="s">
        <v>6386</v>
      </c>
      <c r="B1762" s="14" t="s">
        <v>316</v>
      </c>
      <c r="C1762" s="14" t="s">
        <v>6387</v>
      </c>
      <c r="D1762" s="14">
        <v>96.0</v>
      </c>
      <c r="E1762" s="14" t="s">
        <v>318</v>
      </c>
      <c r="F1762" s="14" t="s">
        <v>6388</v>
      </c>
      <c r="G1762" s="14" t="s">
        <v>6389</v>
      </c>
      <c r="H1762" s="13"/>
      <c r="I1762" s="13"/>
      <c r="J1762" s="13"/>
      <c r="K1762" s="13"/>
      <c r="L1762" s="13"/>
      <c r="M1762" s="13"/>
      <c r="N1762" s="13"/>
      <c r="O1762" s="13"/>
      <c r="P1762" s="13"/>
      <c r="Q1762" s="13"/>
      <c r="R1762" s="13"/>
      <c r="S1762" s="13"/>
    </row>
    <row r="1763" ht="15.75" customHeight="1">
      <c r="A1763" s="14" t="s">
        <v>6390</v>
      </c>
      <c r="B1763" s="14" t="s">
        <v>316</v>
      </c>
      <c r="C1763" s="14" t="s">
        <v>6391</v>
      </c>
      <c r="D1763" s="14">
        <v>100.0</v>
      </c>
      <c r="E1763" s="14" t="s">
        <v>318</v>
      </c>
      <c r="F1763" s="14" t="s">
        <v>6392</v>
      </c>
      <c r="G1763" s="14" t="s">
        <v>6393</v>
      </c>
      <c r="H1763" s="13"/>
      <c r="I1763" s="13"/>
      <c r="J1763" s="13"/>
      <c r="K1763" s="13"/>
      <c r="L1763" s="13"/>
      <c r="M1763" s="13"/>
      <c r="N1763" s="13"/>
      <c r="O1763" s="13"/>
      <c r="P1763" s="13"/>
      <c r="Q1763" s="13"/>
      <c r="R1763" s="13"/>
      <c r="S1763" s="13"/>
    </row>
    <row r="1764" ht="15.75" customHeight="1">
      <c r="A1764" s="14" t="s">
        <v>6394</v>
      </c>
      <c r="B1764" s="14" t="s">
        <v>316</v>
      </c>
      <c r="C1764" s="14" t="s">
        <v>6395</v>
      </c>
      <c r="D1764" s="14">
        <v>100.0</v>
      </c>
      <c r="E1764" s="14" t="s">
        <v>318</v>
      </c>
      <c r="F1764" s="14" t="s">
        <v>6396</v>
      </c>
      <c r="G1764" s="14" t="s">
        <v>6397</v>
      </c>
      <c r="H1764" s="13"/>
      <c r="I1764" s="13"/>
      <c r="J1764" s="13"/>
      <c r="K1764" s="13"/>
      <c r="L1764" s="13"/>
      <c r="M1764" s="13"/>
      <c r="N1764" s="13"/>
      <c r="O1764" s="13"/>
      <c r="P1764" s="13"/>
      <c r="Q1764" s="13"/>
      <c r="R1764" s="13"/>
      <c r="S1764" s="13"/>
    </row>
    <row r="1765" ht="15.75" customHeight="1">
      <c r="A1765" s="14" t="s">
        <v>6398</v>
      </c>
      <c r="B1765" s="14" t="s">
        <v>316</v>
      </c>
      <c r="C1765" s="14" t="s">
        <v>2613</v>
      </c>
      <c r="D1765" s="14">
        <v>100.0</v>
      </c>
      <c r="E1765" s="14" t="s">
        <v>318</v>
      </c>
      <c r="F1765" s="14" t="s">
        <v>591</v>
      </c>
      <c r="G1765" s="14" t="s">
        <v>6399</v>
      </c>
      <c r="H1765" s="13"/>
      <c r="I1765" s="13"/>
      <c r="J1765" s="13"/>
      <c r="K1765" s="13"/>
      <c r="L1765" s="13"/>
      <c r="M1765" s="13"/>
      <c r="N1765" s="13"/>
      <c r="O1765" s="13"/>
      <c r="P1765" s="13"/>
      <c r="Q1765" s="13"/>
      <c r="R1765" s="13"/>
      <c r="S1765" s="13"/>
    </row>
    <row r="1766" ht="15.75" customHeight="1">
      <c r="A1766" s="14" t="s">
        <v>6400</v>
      </c>
      <c r="B1766" s="14" t="s">
        <v>316</v>
      </c>
      <c r="C1766" s="14" t="s">
        <v>6401</v>
      </c>
      <c r="D1766" s="14">
        <v>96.0</v>
      </c>
      <c r="E1766" s="14" t="s">
        <v>318</v>
      </c>
      <c r="F1766" s="14" t="s">
        <v>6402</v>
      </c>
      <c r="G1766" s="14" t="s">
        <v>6403</v>
      </c>
      <c r="H1766" s="13"/>
      <c r="I1766" s="13"/>
      <c r="J1766" s="13"/>
      <c r="K1766" s="13"/>
      <c r="L1766" s="13"/>
      <c r="M1766" s="13"/>
      <c r="N1766" s="13"/>
      <c r="O1766" s="13"/>
      <c r="P1766" s="13"/>
      <c r="Q1766" s="13"/>
      <c r="R1766" s="13"/>
      <c r="S1766" s="13"/>
    </row>
    <row r="1767" ht="15.75" customHeight="1">
      <c r="A1767" s="14" t="s">
        <v>6404</v>
      </c>
      <c r="B1767" s="14" t="s">
        <v>316</v>
      </c>
      <c r="C1767" s="14" t="s">
        <v>6405</v>
      </c>
      <c r="D1767" s="14">
        <v>96.0</v>
      </c>
      <c r="E1767" s="14" t="s">
        <v>318</v>
      </c>
      <c r="F1767" s="14" t="s">
        <v>6402</v>
      </c>
      <c r="G1767" s="14" t="s">
        <v>6406</v>
      </c>
      <c r="H1767" s="13"/>
      <c r="I1767" s="13"/>
      <c r="J1767" s="13"/>
      <c r="K1767" s="13"/>
      <c r="L1767" s="13"/>
      <c r="M1767" s="13"/>
      <c r="N1767" s="13"/>
      <c r="O1767" s="13"/>
      <c r="P1767" s="13"/>
      <c r="Q1767" s="13"/>
      <c r="R1767" s="13"/>
      <c r="S1767" s="13"/>
    </row>
    <row r="1768" ht="15.75" customHeight="1">
      <c r="A1768" s="14" t="s">
        <v>6407</v>
      </c>
      <c r="B1768" s="14" t="s">
        <v>316</v>
      </c>
      <c r="C1768" s="14" t="s">
        <v>6408</v>
      </c>
      <c r="D1768" s="14">
        <v>100.0</v>
      </c>
      <c r="E1768" s="14" t="s">
        <v>318</v>
      </c>
      <c r="F1768" s="14" t="s">
        <v>637</v>
      </c>
      <c r="G1768" s="14" t="s">
        <v>6409</v>
      </c>
      <c r="H1768" s="13"/>
      <c r="I1768" s="13"/>
      <c r="J1768" s="13"/>
      <c r="K1768" s="13"/>
      <c r="L1768" s="13"/>
      <c r="M1768" s="13"/>
      <c r="N1768" s="13"/>
      <c r="O1768" s="13"/>
      <c r="P1768" s="13"/>
      <c r="Q1768" s="13"/>
      <c r="R1768" s="13"/>
      <c r="S1768" s="13"/>
    </row>
    <row r="1769" ht="15.75" customHeight="1">
      <c r="A1769" s="14" t="s">
        <v>6410</v>
      </c>
      <c r="B1769" s="14" t="s">
        <v>316</v>
      </c>
      <c r="C1769" s="14" t="s">
        <v>6411</v>
      </c>
      <c r="D1769" s="14">
        <v>100.0</v>
      </c>
      <c r="E1769" s="14" t="s">
        <v>318</v>
      </c>
      <c r="F1769" s="14" t="s">
        <v>6412</v>
      </c>
      <c r="G1769" s="14" t="s">
        <v>6413</v>
      </c>
      <c r="H1769" s="13"/>
      <c r="I1769" s="13"/>
      <c r="J1769" s="13"/>
      <c r="K1769" s="13"/>
      <c r="L1769" s="13"/>
      <c r="M1769" s="13"/>
      <c r="N1769" s="13"/>
      <c r="O1769" s="13"/>
      <c r="P1769" s="13"/>
      <c r="Q1769" s="13"/>
      <c r="R1769" s="13"/>
      <c r="S1769" s="13"/>
    </row>
    <row r="1770" ht="15.75" customHeight="1">
      <c r="A1770" s="14" t="s">
        <v>6414</v>
      </c>
      <c r="B1770" s="14" t="s">
        <v>316</v>
      </c>
      <c r="C1770" s="14" t="s">
        <v>6415</v>
      </c>
      <c r="D1770" s="14">
        <v>96.0</v>
      </c>
      <c r="E1770" s="14" t="s">
        <v>318</v>
      </c>
      <c r="F1770" s="14" t="s">
        <v>6416</v>
      </c>
      <c r="G1770" s="14" t="s">
        <v>6417</v>
      </c>
      <c r="H1770" s="13"/>
      <c r="I1770" s="13"/>
      <c r="J1770" s="13"/>
      <c r="K1770" s="13"/>
      <c r="L1770" s="13"/>
      <c r="M1770" s="13"/>
      <c r="N1770" s="13"/>
      <c r="O1770" s="13"/>
      <c r="P1770" s="13"/>
      <c r="Q1770" s="13"/>
      <c r="R1770" s="13"/>
      <c r="S1770" s="13"/>
    </row>
    <row r="1771" ht="15.75" customHeight="1">
      <c r="A1771" s="14" t="s">
        <v>6418</v>
      </c>
      <c r="B1771" s="14" t="s">
        <v>316</v>
      </c>
      <c r="C1771" s="14" t="s">
        <v>4185</v>
      </c>
      <c r="D1771" s="14">
        <v>100.0</v>
      </c>
      <c r="E1771" s="14" t="s">
        <v>318</v>
      </c>
      <c r="F1771" s="14" t="s">
        <v>591</v>
      </c>
      <c r="G1771" s="14" t="s">
        <v>6419</v>
      </c>
      <c r="H1771" s="13"/>
      <c r="I1771" s="13"/>
      <c r="J1771" s="13"/>
      <c r="K1771" s="13"/>
      <c r="L1771" s="13"/>
      <c r="M1771" s="13"/>
      <c r="N1771" s="13"/>
      <c r="O1771" s="13"/>
      <c r="P1771" s="13"/>
      <c r="Q1771" s="13"/>
      <c r="R1771" s="13"/>
      <c r="S1771" s="13"/>
    </row>
    <row r="1772" ht="15.75" customHeight="1">
      <c r="A1772" s="14" t="s">
        <v>6420</v>
      </c>
      <c r="B1772" s="14" t="s">
        <v>316</v>
      </c>
      <c r="C1772" s="14" t="s">
        <v>4188</v>
      </c>
      <c r="D1772" s="14">
        <v>100.0</v>
      </c>
      <c r="E1772" s="14" t="s">
        <v>318</v>
      </c>
      <c r="F1772" s="14" t="s">
        <v>591</v>
      </c>
      <c r="G1772" s="14" t="s">
        <v>6421</v>
      </c>
      <c r="H1772" s="13"/>
      <c r="I1772" s="13"/>
      <c r="J1772" s="13"/>
      <c r="K1772" s="13"/>
      <c r="L1772" s="13"/>
      <c r="M1772" s="13"/>
      <c r="N1772" s="13"/>
      <c r="O1772" s="13"/>
      <c r="P1772" s="13"/>
      <c r="Q1772" s="13"/>
      <c r="R1772" s="13"/>
      <c r="S1772" s="13"/>
    </row>
    <row r="1773" ht="15.75" customHeight="1">
      <c r="A1773" s="14" t="s">
        <v>6422</v>
      </c>
      <c r="B1773" s="14" t="s">
        <v>316</v>
      </c>
      <c r="C1773" s="14" t="s">
        <v>6423</v>
      </c>
      <c r="D1773" s="14">
        <v>85.0</v>
      </c>
      <c r="E1773" s="14" t="s">
        <v>318</v>
      </c>
      <c r="F1773" s="14" t="s">
        <v>6424</v>
      </c>
      <c r="G1773" s="14" t="s">
        <v>6425</v>
      </c>
      <c r="H1773" s="13"/>
      <c r="I1773" s="13"/>
      <c r="J1773" s="13"/>
      <c r="K1773" s="13"/>
      <c r="L1773" s="13"/>
      <c r="M1773" s="13"/>
      <c r="N1773" s="13"/>
      <c r="O1773" s="13"/>
      <c r="P1773" s="13"/>
      <c r="Q1773" s="13"/>
      <c r="R1773" s="13"/>
      <c r="S1773" s="13"/>
    </row>
    <row r="1774" ht="15.75" customHeight="1">
      <c r="A1774" s="14" t="s">
        <v>6426</v>
      </c>
      <c r="B1774" s="14" t="s">
        <v>316</v>
      </c>
      <c r="C1774" s="14" t="s">
        <v>6427</v>
      </c>
      <c r="D1774" s="14">
        <v>96.0</v>
      </c>
      <c r="E1774" s="14" t="s">
        <v>318</v>
      </c>
      <c r="F1774" s="14" t="s">
        <v>6416</v>
      </c>
      <c r="G1774" s="14" t="s">
        <v>6428</v>
      </c>
      <c r="H1774" s="13"/>
      <c r="I1774" s="13"/>
      <c r="J1774" s="13"/>
      <c r="K1774" s="13"/>
      <c r="L1774" s="13"/>
      <c r="M1774" s="13"/>
      <c r="N1774" s="13"/>
      <c r="O1774" s="13"/>
      <c r="P1774" s="13"/>
      <c r="Q1774" s="13"/>
      <c r="R1774" s="13"/>
      <c r="S1774" s="13"/>
    </row>
    <row r="1775" ht="15.75" customHeight="1">
      <c r="A1775" s="14" t="s">
        <v>6429</v>
      </c>
      <c r="B1775" s="14" t="s">
        <v>316</v>
      </c>
      <c r="C1775" s="14" t="s">
        <v>6430</v>
      </c>
      <c r="D1775" s="14">
        <v>96.0</v>
      </c>
      <c r="E1775" s="14" t="s">
        <v>318</v>
      </c>
      <c r="F1775" s="14" t="s">
        <v>6416</v>
      </c>
      <c r="G1775" s="14" t="s">
        <v>6431</v>
      </c>
      <c r="H1775" s="13"/>
      <c r="I1775" s="13"/>
      <c r="J1775" s="13"/>
      <c r="K1775" s="13"/>
      <c r="L1775" s="13"/>
      <c r="M1775" s="13"/>
      <c r="N1775" s="13"/>
      <c r="O1775" s="13"/>
      <c r="P1775" s="13"/>
      <c r="Q1775" s="13"/>
      <c r="R1775" s="13"/>
      <c r="S1775" s="13"/>
    </row>
    <row r="1776" ht="15.75" customHeight="1">
      <c r="A1776" s="14" t="s">
        <v>6432</v>
      </c>
      <c r="B1776" s="14" t="s">
        <v>316</v>
      </c>
      <c r="C1776" s="14" t="s">
        <v>6433</v>
      </c>
      <c r="D1776" s="14">
        <v>100.0</v>
      </c>
      <c r="E1776" s="14" t="s">
        <v>318</v>
      </c>
      <c r="F1776" s="14" t="s">
        <v>6434</v>
      </c>
      <c r="G1776" s="14" t="s">
        <v>6435</v>
      </c>
      <c r="H1776" s="13"/>
      <c r="I1776" s="13"/>
      <c r="J1776" s="13"/>
      <c r="K1776" s="13"/>
      <c r="L1776" s="13"/>
      <c r="M1776" s="13"/>
      <c r="N1776" s="13"/>
      <c r="O1776" s="13"/>
      <c r="P1776" s="13"/>
      <c r="Q1776" s="13"/>
      <c r="R1776" s="13"/>
      <c r="S1776" s="13"/>
    </row>
    <row r="1777" ht="15.75" customHeight="1">
      <c r="A1777" s="14" t="s">
        <v>6436</v>
      </c>
      <c r="B1777" s="14" t="s">
        <v>316</v>
      </c>
      <c r="C1777" s="14" t="s">
        <v>6437</v>
      </c>
      <c r="D1777" s="14">
        <v>90.0</v>
      </c>
      <c r="E1777" s="14" t="s">
        <v>318</v>
      </c>
      <c r="F1777" s="14" t="s">
        <v>6438</v>
      </c>
      <c r="G1777" s="14" t="s">
        <v>6439</v>
      </c>
      <c r="H1777" s="13"/>
      <c r="I1777" s="13"/>
      <c r="J1777" s="13"/>
      <c r="K1777" s="13"/>
      <c r="L1777" s="13"/>
      <c r="M1777" s="13"/>
      <c r="N1777" s="13"/>
      <c r="O1777" s="13"/>
      <c r="P1777" s="13"/>
      <c r="Q1777" s="13"/>
      <c r="R1777" s="13"/>
      <c r="S1777" s="13"/>
    </row>
    <row r="1778" ht="15.75" customHeight="1">
      <c r="A1778" s="14" t="s">
        <v>6440</v>
      </c>
      <c r="B1778" s="14" t="s">
        <v>316</v>
      </c>
      <c r="C1778" s="14" t="s">
        <v>1728</v>
      </c>
      <c r="D1778" s="14">
        <v>100.0</v>
      </c>
      <c r="E1778" s="14" t="s">
        <v>318</v>
      </c>
      <c r="F1778" s="14" t="s">
        <v>755</v>
      </c>
      <c r="G1778" s="14" t="s">
        <v>6441</v>
      </c>
      <c r="H1778" s="13"/>
      <c r="I1778" s="13"/>
      <c r="J1778" s="13"/>
      <c r="K1778" s="13"/>
      <c r="L1778" s="13"/>
      <c r="M1778" s="13"/>
      <c r="N1778" s="13"/>
      <c r="O1778" s="13"/>
      <c r="P1778" s="13"/>
      <c r="Q1778" s="13"/>
      <c r="R1778" s="13"/>
      <c r="S1778" s="13"/>
    </row>
    <row r="1779" ht="15.75" customHeight="1">
      <c r="A1779" s="14" t="s">
        <v>6442</v>
      </c>
      <c r="B1779" s="14" t="s">
        <v>316</v>
      </c>
      <c r="C1779" s="14" t="s">
        <v>6443</v>
      </c>
      <c r="D1779" s="14">
        <v>100.0</v>
      </c>
      <c r="E1779" s="14" t="s">
        <v>318</v>
      </c>
      <c r="F1779" s="14" t="s">
        <v>6444</v>
      </c>
      <c r="G1779" s="14" t="s">
        <v>6445</v>
      </c>
      <c r="H1779" s="13"/>
      <c r="I1779" s="13"/>
      <c r="J1779" s="13"/>
      <c r="K1779" s="13"/>
      <c r="L1779" s="13"/>
      <c r="M1779" s="13"/>
      <c r="N1779" s="13"/>
      <c r="O1779" s="13"/>
      <c r="P1779" s="13"/>
      <c r="Q1779" s="13"/>
      <c r="R1779" s="13"/>
      <c r="S1779" s="13"/>
    </row>
    <row r="1780" ht="15.75" customHeight="1">
      <c r="A1780" s="14" t="s">
        <v>6446</v>
      </c>
      <c r="B1780" s="14" t="s">
        <v>316</v>
      </c>
      <c r="C1780" s="14" t="s">
        <v>6447</v>
      </c>
      <c r="D1780" s="14">
        <v>100.0</v>
      </c>
      <c r="E1780" s="14" t="s">
        <v>318</v>
      </c>
      <c r="F1780" s="14" t="s">
        <v>6305</v>
      </c>
      <c r="G1780" s="14" t="s">
        <v>6448</v>
      </c>
      <c r="H1780" s="13"/>
      <c r="I1780" s="13"/>
      <c r="J1780" s="13"/>
      <c r="K1780" s="13"/>
      <c r="L1780" s="13"/>
      <c r="M1780" s="13"/>
      <c r="N1780" s="13"/>
      <c r="O1780" s="13"/>
      <c r="P1780" s="13"/>
      <c r="Q1780" s="13"/>
      <c r="R1780" s="13"/>
      <c r="S1780" s="13"/>
    </row>
    <row r="1781" ht="15.75" customHeight="1">
      <c r="A1781" s="14" t="s">
        <v>6449</v>
      </c>
      <c r="B1781" s="14" t="s">
        <v>316</v>
      </c>
      <c r="C1781" s="14" t="s">
        <v>6450</v>
      </c>
      <c r="D1781" s="14">
        <v>100.0</v>
      </c>
      <c r="E1781" s="14" t="s">
        <v>318</v>
      </c>
      <c r="F1781" s="14" t="s">
        <v>6451</v>
      </c>
      <c r="G1781" s="14" t="s">
        <v>6452</v>
      </c>
      <c r="H1781" s="13"/>
      <c r="I1781" s="13"/>
      <c r="J1781" s="13"/>
      <c r="K1781" s="13"/>
      <c r="L1781" s="13"/>
      <c r="M1781" s="13"/>
      <c r="N1781" s="13"/>
      <c r="O1781" s="13"/>
      <c r="P1781" s="13"/>
      <c r="Q1781" s="13"/>
      <c r="R1781" s="13"/>
      <c r="S1781" s="13"/>
    </row>
    <row r="1782" ht="15.75" customHeight="1">
      <c r="A1782" s="14" t="s">
        <v>6453</v>
      </c>
      <c r="B1782" s="14" t="s">
        <v>316</v>
      </c>
      <c r="C1782" s="14" t="s">
        <v>6454</v>
      </c>
      <c r="D1782" s="14">
        <v>100.0</v>
      </c>
      <c r="E1782" s="14" t="s">
        <v>318</v>
      </c>
      <c r="F1782" s="14" t="s">
        <v>6455</v>
      </c>
      <c r="G1782" s="14" t="s">
        <v>6456</v>
      </c>
      <c r="H1782" s="13"/>
      <c r="I1782" s="13"/>
      <c r="J1782" s="13"/>
      <c r="K1782" s="13"/>
      <c r="L1782" s="13"/>
      <c r="M1782" s="13"/>
      <c r="N1782" s="13"/>
      <c r="O1782" s="13"/>
      <c r="P1782" s="13"/>
      <c r="Q1782" s="13"/>
      <c r="R1782" s="13"/>
      <c r="S1782" s="13"/>
    </row>
    <row r="1783" ht="15.75" customHeight="1">
      <c r="A1783" s="14" t="s">
        <v>6457</v>
      </c>
      <c r="B1783" s="14" t="s">
        <v>316</v>
      </c>
      <c r="C1783" s="14" t="s">
        <v>6458</v>
      </c>
      <c r="D1783" s="14">
        <v>100.0</v>
      </c>
      <c r="E1783" s="14" t="s">
        <v>318</v>
      </c>
      <c r="F1783" s="14" t="s">
        <v>6459</v>
      </c>
      <c r="G1783" s="14" t="s">
        <v>6460</v>
      </c>
      <c r="H1783" s="13"/>
      <c r="I1783" s="13"/>
      <c r="J1783" s="13"/>
      <c r="K1783" s="13"/>
      <c r="L1783" s="13"/>
      <c r="M1783" s="13"/>
      <c r="N1783" s="13"/>
      <c r="O1783" s="13"/>
      <c r="P1783" s="13"/>
      <c r="Q1783" s="13"/>
      <c r="R1783" s="13"/>
      <c r="S1783" s="13"/>
    </row>
    <row r="1784" ht="15.75" customHeight="1">
      <c r="A1784" s="14" t="s">
        <v>6461</v>
      </c>
      <c r="B1784" s="14" t="s">
        <v>316</v>
      </c>
      <c r="C1784" s="14" t="s">
        <v>6462</v>
      </c>
      <c r="D1784" s="14">
        <v>100.0</v>
      </c>
      <c r="E1784" s="14" t="s">
        <v>318</v>
      </c>
      <c r="F1784" s="14" t="s">
        <v>595</v>
      </c>
      <c r="G1784" s="14" t="s">
        <v>6463</v>
      </c>
      <c r="H1784" s="13"/>
      <c r="I1784" s="13"/>
      <c r="J1784" s="13"/>
      <c r="K1784" s="13"/>
      <c r="L1784" s="13"/>
      <c r="M1784" s="13"/>
      <c r="N1784" s="13"/>
      <c r="O1784" s="13"/>
      <c r="P1784" s="13"/>
      <c r="Q1784" s="13"/>
      <c r="R1784" s="13"/>
      <c r="S1784" s="13"/>
    </row>
    <row r="1785" ht="15.75" customHeight="1">
      <c r="A1785" s="14" t="s">
        <v>6464</v>
      </c>
      <c r="B1785" s="14" t="s">
        <v>316</v>
      </c>
      <c r="C1785" s="14" t="s">
        <v>6465</v>
      </c>
      <c r="D1785" s="14">
        <v>100.0</v>
      </c>
      <c r="E1785" s="14" t="s">
        <v>318</v>
      </c>
      <c r="F1785" s="14" t="s">
        <v>3788</v>
      </c>
      <c r="G1785" s="14" t="s">
        <v>6466</v>
      </c>
      <c r="H1785" s="13"/>
      <c r="I1785" s="13"/>
      <c r="J1785" s="13"/>
      <c r="K1785" s="13"/>
      <c r="L1785" s="13"/>
      <c r="M1785" s="13"/>
      <c r="N1785" s="13"/>
      <c r="O1785" s="13"/>
      <c r="P1785" s="13"/>
      <c r="Q1785" s="13"/>
      <c r="R1785" s="13"/>
      <c r="S1785" s="13"/>
    </row>
    <row r="1786" ht="15.75" customHeight="1">
      <c r="A1786" s="14" t="s">
        <v>6467</v>
      </c>
      <c r="B1786" s="14" t="s">
        <v>316</v>
      </c>
      <c r="C1786" s="14" t="s">
        <v>6468</v>
      </c>
      <c r="D1786" s="14">
        <v>100.0</v>
      </c>
      <c r="E1786" s="14" t="s">
        <v>318</v>
      </c>
      <c r="F1786" s="14" t="s">
        <v>3720</v>
      </c>
      <c r="G1786" s="14" t="s">
        <v>6469</v>
      </c>
      <c r="H1786" s="13"/>
      <c r="I1786" s="13"/>
      <c r="J1786" s="13"/>
      <c r="K1786" s="13"/>
      <c r="L1786" s="13"/>
      <c r="M1786" s="13"/>
      <c r="N1786" s="13"/>
      <c r="O1786" s="13"/>
      <c r="P1786" s="13"/>
      <c r="Q1786" s="13"/>
      <c r="R1786" s="13"/>
      <c r="S1786" s="13"/>
    </row>
    <row r="1787" ht="15.75" customHeight="1">
      <c r="A1787" s="14" t="s">
        <v>6470</v>
      </c>
      <c r="B1787" s="14" t="s">
        <v>316</v>
      </c>
      <c r="C1787" s="14" t="s">
        <v>6471</v>
      </c>
      <c r="D1787" s="14">
        <v>100.0</v>
      </c>
      <c r="E1787" s="14" t="s">
        <v>318</v>
      </c>
      <c r="F1787" s="14" t="s">
        <v>3134</v>
      </c>
      <c r="G1787" s="14" t="s">
        <v>6472</v>
      </c>
      <c r="H1787" s="13"/>
      <c r="I1787" s="13"/>
      <c r="J1787" s="13"/>
      <c r="K1787" s="13"/>
      <c r="L1787" s="13"/>
      <c r="M1787" s="13"/>
      <c r="N1787" s="13"/>
      <c r="O1787" s="13"/>
      <c r="P1787" s="13"/>
      <c r="Q1787" s="13"/>
      <c r="R1787" s="13"/>
      <c r="S1787" s="13"/>
    </row>
    <row r="1788" ht="15.75" customHeight="1">
      <c r="A1788" s="14" t="s">
        <v>6473</v>
      </c>
      <c r="B1788" s="14" t="s">
        <v>316</v>
      </c>
      <c r="C1788" s="14" t="s">
        <v>6474</v>
      </c>
      <c r="D1788" s="14">
        <v>100.0</v>
      </c>
      <c r="E1788" s="14" t="s">
        <v>318</v>
      </c>
      <c r="F1788" s="14" t="s">
        <v>6475</v>
      </c>
      <c r="G1788" s="14" t="s">
        <v>6476</v>
      </c>
      <c r="H1788" s="13"/>
      <c r="I1788" s="13"/>
      <c r="J1788" s="13"/>
      <c r="K1788" s="13"/>
      <c r="L1788" s="13"/>
      <c r="M1788" s="13"/>
      <c r="N1788" s="13"/>
      <c r="O1788" s="13"/>
      <c r="P1788" s="13"/>
      <c r="Q1788" s="13"/>
      <c r="R1788" s="13"/>
      <c r="S1788" s="13"/>
    </row>
    <row r="1789" ht="15.75" customHeight="1">
      <c r="A1789" s="14" t="s">
        <v>6477</v>
      </c>
      <c r="B1789" s="14" t="s">
        <v>316</v>
      </c>
      <c r="C1789" s="14" t="s">
        <v>6478</v>
      </c>
      <c r="D1789" s="14">
        <v>100.0</v>
      </c>
      <c r="E1789" s="14" t="s">
        <v>318</v>
      </c>
      <c r="F1789" s="14" t="s">
        <v>1047</v>
      </c>
      <c r="G1789" s="14" t="s">
        <v>6479</v>
      </c>
      <c r="H1789" s="13"/>
      <c r="I1789" s="13"/>
      <c r="J1789" s="13"/>
      <c r="K1789" s="13"/>
      <c r="L1789" s="13"/>
      <c r="M1789" s="13"/>
      <c r="N1789" s="13"/>
      <c r="O1789" s="13"/>
      <c r="P1789" s="13"/>
      <c r="Q1789" s="13"/>
      <c r="R1789" s="13"/>
      <c r="S1789" s="13"/>
    </row>
    <row r="1790" ht="15.75" customHeight="1">
      <c r="A1790" s="14" t="s">
        <v>6480</v>
      </c>
      <c r="B1790" s="14" t="s">
        <v>316</v>
      </c>
      <c r="C1790" s="14" t="s">
        <v>6481</v>
      </c>
      <c r="D1790" s="14">
        <v>100.0</v>
      </c>
      <c r="E1790" s="14" t="s">
        <v>318</v>
      </c>
      <c r="F1790" s="14" t="s">
        <v>1622</v>
      </c>
      <c r="G1790" s="14" t="s">
        <v>6482</v>
      </c>
      <c r="H1790" s="13"/>
      <c r="I1790" s="13"/>
      <c r="J1790" s="13"/>
      <c r="K1790" s="13"/>
      <c r="L1790" s="13"/>
      <c r="M1790" s="13"/>
      <c r="N1790" s="13"/>
      <c r="O1790" s="13"/>
      <c r="P1790" s="13"/>
      <c r="Q1790" s="13"/>
      <c r="R1790" s="13"/>
      <c r="S1790" s="13"/>
    </row>
    <row r="1791" ht="15.75" customHeight="1">
      <c r="A1791" s="14" t="s">
        <v>6483</v>
      </c>
      <c r="B1791" s="14" t="s">
        <v>316</v>
      </c>
      <c r="C1791" s="14" t="s">
        <v>6484</v>
      </c>
      <c r="D1791" s="14">
        <v>100.0</v>
      </c>
      <c r="E1791" s="14" t="s">
        <v>318</v>
      </c>
      <c r="F1791" s="14" t="s">
        <v>6485</v>
      </c>
      <c r="G1791" s="14" t="s">
        <v>6486</v>
      </c>
      <c r="H1791" s="13"/>
      <c r="I1791" s="13"/>
      <c r="J1791" s="13"/>
      <c r="K1791" s="13"/>
      <c r="L1791" s="13"/>
      <c r="M1791" s="13"/>
      <c r="N1791" s="13"/>
      <c r="O1791" s="13"/>
      <c r="P1791" s="13"/>
      <c r="Q1791" s="13"/>
      <c r="R1791" s="13"/>
      <c r="S1791" s="13"/>
    </row>
    <row r="1792" ht="15.75" customHeight="1">
      <c r="A1792" s="14" t="s">
        <v>6487</v>
      </c>
      <c r="B1792" s="14" t="s">
        <v>316</v>
      </c>
      <c r="C1792" s="14" t="s">
        <v>6488</v>
      </c>
      <c r="D1792" s="14">
        <v>100.0</v>
      </c>
      <c r="E1792" s="14" t="s">
        <v>318</v>
      </c>
      <c r="F1792" s="14" t="s">
        <v>6489</v>
      </c>
      <c r="G1792" s="14" t="s">
        <v>6490</v>
      </c>
      <c r="H1792" s="13"/>
      <c r="I1792" s="13"/>
      <c r="J1792" s="13"/>
      <c r="K1792" s="13"/>
      <c r="L1792" s="13"/>
      <c r="M1792" s="13"/>
      <c r="N1792" s="13"/>
      <c r="O1792" s="13"/>
      <c r="P1792" s="13"/>
      <c r="Q1792" s="13"/>
      <c r="R1792" s="13"/>
      <c r="S1792" s="13"/>
    </row>
    <row r="1793" ht="15.75" customHeight="1">
      <c r="A1793" s="14" t="s">
        <v>6491</v>
      </c>
      <c r="B1793" s="14" t="s">
        <v>316</v>
      </c>
      <c r="C1793" s="14" t="s">
        <v>6492</v>
      </c>
      <c r="D1793" s="14">
        <v>90.0</v>
      </c>
      <c r="E1793" s="14" t="s">
        <v>318</v>
      </c>
      <c r="F1793" s="14" t="s">
        <v>6493</v>
      </c>
      <c r="G1793" s="14" t="s">
        <v>6494</v>
      </c>
      <c r="H1793" s="13"/>
      <c r="I1793" s="13"/>
      <c r="J1793" s="13"/>
      <c r="K1793" s="13"/>
      <c r="L1793" s="13"/>
      <c r="M1793" s="13"/>
      <c r="N1793" s="13"/>
      <c r="O1793" s="13"/>
      <c r="P1793" s="13"/>
      <c r="Q1793" s="13"/>
      <c r="R1793" s="13"/>
      <c r="S1793" s="13"/>
    </row>
    <row r="1794" ht="15.75" customHeight="1">
      <c r="A1794" s="14" t="s">
        <v>6495</v>
      </c>
      <c r="B1794" s="14" t="s">
        <v>316</v>
      </c>
      <c r="C1794" s="14" t="s">
        <v>6496</v>
      </c>
      <c r="D1794" s="14">
        <v>100.0</v>
      </c>
      <c r="E1794" s="14" t="s">
        <v>318</v>
      </c>
      <c r="F1794" s="14" t="s">
        <v>6497</v>
      </c>
      <c r="G1794" s="14" t="s">
        <v>6498</v>
      </c>
      <c r="H1794" s="13"/>
      <c r="I1794" s="13"/>
      <c r="J1794" s="13"/>
      <c r="K1794" s="13"/>
      <c r="L1794" s="13"/>
      <c r="M1794" s="13"/>
      <c r="N1794" s="13"/>
      <c r="O1794" s="13"/>
      <c r="P1794" s="13"/>
      <c r="Q1794" s="13"/>
      <c r="R1794" s="13"/>
      <c r="S1794" s="13"/>
    </row>
    <row r="1795" ht="15.75" customHeight="1">
      <c r="A1795" s="14" t="s">
        <v>6499</v>
      </c>
      <c r="B1795" s="14" t="s">
        <v>316</v>
      </c>
      <c r="C1795" s="14" t="s">
        <v>6500</v>
      </c>
      <c r="D1795" s="14">
        <v>100.0</v>
      </c>
      <c r="E1795" s="14" t="s">
        <v>318</v>
      </c>
      <c r="F1795" s="14" t="s">
        <v>6501</v>
      </c>
      <c r="G1795" s="14" t="s">
        <v>6502</v>
      </c>
      <c r="H1795" s="13"/>
      <c r="I1795" s="13"/>
      <c r="J1795" s="13"/>
      <c r="K1795" s="13"/>
      <c r="L1795" s="13"/>
      <c r="M1795" s="13"/>
      <c r="N1795" s="13"/>
      <c r="O1795" s="13"/>
      <c r="P1795" s="13"/>
      <c r="Q1795" s="13"/>
      <c r="R1795" s="13"/>
      <c r="S1795" s="13"/>
    </row>
    <row r="1796" ht="15.75" customHeight="1">
      <c r="A1796" s="14" t="s">
        <v>6503</v>
      </c>
      <c r="B1796" s="14" t="s">
        <v>316</v>
      </c>
      <c r="C1796" s="14" t="s">
        <v>6504</v>
      </c>
      <c r="D1796" s="14">
        <v>100.0</v>
      </c>
      <c r="E1796" s="14" t="s">
        <v>318</v>
      </c>
      <c r="F1796" s="14" t="s">
        <v>1762</v>
      </c>
      <c r="G1796" s="14" t="s">
        <v>6505</v>
      </c>
      <c r="H1796" s="13"/>
      <c r="I1796" s="13"/>
      <c r="J1796" s="13"/>
      <c r="K1796" s="13"/>
      <c r="L1796" s="13"/>
      <c r="M1796" s="13"/>
      <c r="N1796" s="13"/>
      <c r="O1796" s="13"/>
      <c r="P1796" s="13"/>
      <c r="Q1796" s="13"/>
      <c r="R1796" s="13"/>
      <c r="S1796" s="13"/>
    </row>
    <row r="1797" ht="15.75" customHeight="1">
      <c r="A1797" s="14" t="s">
        <v>6506</v>
      </c>
      <c r="B1797" s="14" t="s">
        <v>316</v>
      </c>
      <c r="C1797" s="14" t="s">
        <v>6507</v>
      </c>
      <c r="D1797" s="14">
        <v>100.0</v>
      </c>
      <c r="E1797" s="14" t="s">
        <v>318</v>
      </c>
      <c r="F1797" s="14" t="s">
        <v>3323</v>
      </c>
      <c r="G1797" s="14" t="s">
        <v>6508</v>
      </c>
      <c r="H1797" s="13"/>
      <c r="I1797" s="13"/>
      <c r="J1797" s="13"/>
      <c r="K1797" s="13"/>
      <c r="L1797" s="13"/>
      <c r="M1797" s="13"/>
      <c r="N1797" s="13"/>
      <c r="O1797" s="13"/>
      <c r="P1797" s="13"/>
      <c r="Q1797" s="13"/>
      <c r="R1797" s="13"/>
      <c r="S1797" s="13"/>
    </row>
    <row r="1798" ht="15.75" customHeight="1">
      <c r="A1798" s="14" t="s">
        <v>6509</v>
      </c>
      <c r="B1798" s="14" t="s">
        <v>316</v>
      </c>
      <c r="C1798" s="14" t="s">
        <v>6510</v>
      </c>
      <c r="D1798" s="14">
        <v>100.0</v>
      </c>
      <c r="E1798" s="14" t="s">
        <v>318</v>
      </c>
      <c r="F1798" s="14" t="s">
        <v>6511</v>
      </c>
      <c r="G1798" s="14" t="s">
        <v>6512</v>
      </c>
      <c r="H1798" s="13"/>
      <c r="I1798" s="13"/>
      <c r="J1798" s="13"/>
      <c r="K1798" s="13"/>
      <c r="L1798" s="13"/>
      <c r="M1798" s="13"/>
      <c r="N1798" s="13"/>
      <c r="O1798" s="13"/>
      <c r="P1798" s="13"/>
      <c r="Q1798" s="13"/>
      <c r="R1798" s="13"/>
      <c r="S1798" s="13"/>
    </row>
    <row r="1799" ht="15.75" customHeight="1">
      <c r="A1799" s="14" t="s">
        <v>6513</v>
      </c>
      <c r="B1799" s="14" t="s">
        <v>316</v>
      </c>
      <c r="C1799" s="14" t="s">
        <v>4188</v>
      </c>
      <c r="D1799" s="14">
        <v>100.0</v>
      </c>
      <c r="E1799" s="14" t="s">
        <v>318</v>
      </c>
      <c r="F1799" s="14" t="s">
        <v>3977</v>
      </c>
      <c r="G1799" s="14" t="s">
        <v>6514</v>
      </c>
      <c r="H1799" s="13"/>
      <c r="I1799" s="13"/>
      <c r="J1799" s="13"/>
      <c r="K1799" s="13"/>
      <c r="L1799" s="13"/>
      <c r="M1799" s="13"/>
      <c r="N1799" s="13"/>
      <c r="O1799" s="13"/>
      <c r="P1799" s="13"/>
      <c r="Q1799" s="13"/>
      <c r="R1799" s="13"/>
      <c r="S1799" s="13"/>
    </row>
    <row r="1800" ht="15.75" customHeight="1">
      <c r="A1800" s="14" t="s">
        <v>6515</v>
      </c>
      <c r="B1800" s="14" t="s">
        <v>316</v>
      </c>
      <c r="C1800" s="14" t="s">
        <v>4188</v>
      </c>
      <c r="D1800" s="14">
        <v>100.0</v>
      </c>
      <c r="E1800" s="14" t="s">
        <v>318</v>
      </c>
      <c r="F1800" s="14" t="s">
        <v>3977</v>
      </c>
      <c r="G1800" s="14" t="s">
        <v>6514</v>
      </c>
      <c r="H1800" s="13"/>
      <c r="I1800" s="13"/>
      <c r="J1800" s="13"/>
      <c r="K1800" s="13"/>
      <c r="L1800" s="13"/>
      <c r="M1800" s="13"/>
      <c r="N1800" s="13"/>
      <c r="O1800" s="13"/>
      <c r="P1800" s="13"/>
      <c r="Q1800" s="13"/>
      <c r="R1800" s="13"/>
      <c r="S1800" s="13"/>
    </row>
    <row r="1801" ht="15.75" customHeight="1">
      <c r="A1801" s="14" t="s">
        <v>6516</v>
      </c>
      <c r="B1801" s="14" t="s">
        <v>316</v>
      </c>
      <c r="C1801" s="14" t="s">
        <v>6517</v>
      </c>
      <c r="D1801" s="14">
        <v>100.0</v>
      </c>
      <c r="E1801" s="14" t="s">
        <v>318</v>
      </c>
      <c r="F1801" s="14" t="s">
        <v>6518</v>
      </c>
      <c r="G1801" s="14" t="s">
        <v>6519</v>
      </c>
      <c r="H1801" s="13"/>
      <c r="I1801" s="13"/>
      <c r="J1801" s="13"/>
      <c r="K1801" s="13"/>
      <c r="L1801" s="13"/>
      <c r="M1801" s="13"/>
      <c r="N1801" s="13"/>
      <c r="O1801" s="13"/>
      <c r="P1801" s="13"/>
      <c r="Q1801" s="13"/>
      <c r="R1801" s="13"/>
      <c r="S1801" s="13"/>
    </row>
    <row r="1802" ht="15.75" customHeight="1">
      <c r="A1802" s="14" t="s">
        <v>6520</v>
      </c>
      <c r="B1802" s="14" t="s">
        <v>316</v>
      </c>
      <c r="C1802" s="14" t="s">
        <v>6521</v>
      </c>
      <c r="D1802" s="14">
        <v>100.0</v>
      </c>
      <c r="E1802" s="14" t="s">
        <v>318</v>
      </c>
      <c r="F1802" s="14" t="s">
        <v>1622</v>
      </c>
      <c r="G1802" s="14" t="s">
        <v>6522</v>
      </c>
      <c r="H1802" s="13"/>
      <c r="I1802" s="13"/>
      <c r="J1802" s="13"/>
      <c r="K1802" s="13"/>
      <c r="L1802" s="13"/>
      <c r="M1802" s="13"/>
      <c r="N1802" s="13"/>
      <c r="O1802" s="13"/>
      <c r="P1802" s="13"/>
      <c r="Q1802" s="13"/>
      <c r="R1802" s="13"/>
      <c r="S1802" s="13"/>
    </row>
    <row r="1803" ht="15.75" customHeight="1">
      <c r="A1803" s="14" t="s">
        <v>6523</v>
      </c>
      <c r="B1803" s="14" t="s">
        <v>316</v>
      </c>
      <c r="C1803" s="14" t="s">
        <v>6524</v>
      </c>
      <c r="D1803" s="14">
        <v>100.0</v>
      </c>
      <c r="E1803" s="14" t="s">
        <v>318</v>
      </c>
      <c r="F1803" s="14" t="s">
        <v>6525</v>
      </c>
      <c r="G1803" s="14"/>
      <c r="H1803" s="13"/>
      <c r="I1803" s="13"/>
      <c r="J1803" s="13"/>
      <c r="K1803" s="13"/>
      <c r="L1803" s="13"/>
      <c r="M1803" s="13"/>
      <c r="N1803" s="13"/>
      <c r="O1803" s="13"/>
      <c r="P1803" s="13"/>
      <c r="Q1803" s="13"/>
      <c r="R1803" s="13"/>
      <c r="S1803" s="13"/>
    </row>
    <row r="1804" ht="15.75" customHeight="1">
      <c r="A1804" s="14" t="s">
        <v>6526</v>
      </c>
      <c r="B1804" s="14" t="s">
        <v>6527</v>
      </c>
      <c r="C1804" s="14"/>
      <c r="D1804" s="14"/>
      <c r="E1804" s="14"/>
      <c r="F1804" s="14"/>
      <c r="G1804" s="14"/>
      <c r="H1804" s="13"/>
      <c r="I1804" s="13"/>
      <c r="J1804" s="13"/>
      <c r="K1804" s="13"/>
      <c r="L1804" s="13"/>
      <c r="M1804" s="13"/>
      <c r="N1804" s="13"/>
      <c r="O1804" s="13"/>
      <c r="P1804" s="13"/>
      <c r="Q1804" s="13"/>
      <c r="R1804" s="13"/>
      <c r="S1804" s="13"/>
    </row>
    <row r="1805" ht="15.75" customHeight="1">
      <c r="A1805" s="14" t="s">
        <v>6528</v>
      </c>
      <c r="B1805" s="14" t="s">
        <v>316</v>
      </c>
      <c r="C1805" s="14" t="s">
        <v>6529</v>
      </c>
      <c r="D1805" s="14">
        <v>100.0</v>
      </c>
      <c r="E1805" s="14" t="s">
        <v>318</v>
      </c>
      <c r="F1805" s="14" t="s">
        <v>6530</v>
      </c>
      <c r="G1805" s="14" t="s">
        <v>6531</v>
      </c>
      <c r="H1805" s="13"/>
      <c r="I1805" s="13"/>
      <c r="J1805" s="13"/>
      <c r="K1805" s="13"/>
      <c r="L1805" s="13"/>
      <c r="M1805" s="13"/>
      <c r="N1805" s="13"/>
      <c r="O1805" s="13"/>
      <c r="P1805" s="13"/>
      <c r="Q1805" s="13"/>
      <c r="R1805" s="13"/>
      <c r="S1805" s="13"/>
    </row>
    <row r="1806" ht="15.75" customHeight="1">
      <c r="A1806" s="14" t="s">
        <v>6532</v>
      </c>
      <c r="B1806" s="14" t="s">
        <v>316</v>
      </c>
      <c r="C1806" s="14" t="s">
        <v>6533</v>
      </c>
      <c r="D1806" s="14">
        <v>100.0</v>
      </c>
      <c r="E1806" s="14" t="s">
        <v>318</v>
      </c>
      <c r="F1806" s="14" t="s">
        <v>6534</v>
      </c>
      <c r="G1806" s="14" t="s">
        <v>6535</v>
      </c>
      <c r="H1806" s="13"/>
      <c r="I1806" s="13"/>
      <c r="J1806" s="13"/>
      <c r="K1806" s="13"/>
      <c r="L1806" s="13"/>
      <c r="M1806" s="13"/>
      <c r="N1806" s="13"/>
      <c r="O1806" s="13"/>
      <c r="P1806" s="13"/>
      <c r="Q1806" s="13"/>
      <c r="R1806" s="13"/>
      <c r="S1806" s="13"/>
    </row>
    <row r="1807" ht="15.75" customHeight="1">
      <c r="A1807" s="14" t="s">
        <v>6536</v>
      </c>
      <c r="B1807" s="14" t="s">
        <v>316</v>
      </c>
      <c r="C1807" s="14" t="s">
        <v>6537</v>
      </c>
      <c r="D1807" s="14">
        <v>100.0</v>
      </c>
      <c r="E1807" s="14" t="s">
        <v>318</v>
      </c>
      <c r="F1807" s="14" t="s">
        <v>6538</v>
      </c>
      <c r="G1807" s="14" t="s">
        <v>6539</v>
      </c>
      <c r="H1807" s="13"/>
      <c r="I1807" s="13"/>
      <c r="J1807" s="13"/>
      <c r="K1807" s="13"/>
      <c r="L1807" s="13"/>
      <c r="M1807" s="13"/>
      <c r="N1807" s="13"/>
      <c r="O1807" s="13"/>
      <c r="P1807" s="13"/>
      <c r="Q1807" s="13"/>
      <c r="R1807" s="13"/>
      <c r="S1807" s="13"/>
    </row>
    <row r="1808" ht="15.75" customHeight="1">
      <c r="A1808" s="14" t="s">
        <v>6540</v>
      </c>
      <c r="B1808" s="14" t="s">
        <v>316</v>
      </c>
      <c r="C1808" s="14" t="s">
        <v>6541</v>
      </c>
      <c r="D1808" s="14">
        <v>100.0</v>
      </c>
      <c r="E1808" s="14" t="s">
        <v>318</v>
      </c>
      <c r="F1808" s="14" t="s">
        <v>2170</v>
      </c>
      <c r="G1808" s="14" t="s">
        <v>6542</v>
      </c>
      <c r="H1808" s="13"/>
      <c r="I1808" s="13"/>
      <c r="J1808" s="13"/>
      <c r="K1808" s="13"/>
      <c r="L1808" s="13"/>
      <c r="M1808" s="13"/>
      <c r="N1808" s="13"/>
      <c r="O1808" s="13"/>
      <c r="P1808" s="13"/>
      <c r="Q1808" s="13"/>
      <c r="R1808" s="13"/>
      <c r="S1808" s="13"/>
    </row>
    <row r="1809" ht="15.75" customHeight="1">
      <c r="A1809" s="14" t="s">
        <v>6543</v>
      </c>
      <c r="B1809" s="14" t="s">
        <v>316</v>
      </c>
      <c r="C1809" s="14" t="s">
        <v>6544</v>
      </c>
      <c r="D1809" s="14">
        <v>100.0</v>
      </c>
      <c r="E1809" s="14" t="s">
        <v>318</v>
      </c>
      <c r="F1809" s="14" t="s">
        <v>6545</v>
      </c>
      <c r="G1809" s="14" t="s">
        <v>6546</v>
      </c>
      <c r="H1809" s="13"/>
      <c r="I1809" s="13"/>
      <c r="J1809" s="13"/>
      <c r="K1809" s="13"/>
      <c r="L1809" s="13"/>
      <c r="M1809" s="13"/>
      <c r="N1809" s="13"/>
      <c r="O1809" s="13"/>
      <c r="P1809" s="13"/>
      <c r="Q1809" s="13"/>
      <c r="R1809" s="13"/>
      <c r="S1809" s="13"/>
    </row>
    <row r="1810" ht="15.75" customHeight="1">
      <c r="A1810" s="14" t="s">
        <v>6547</v>
      </c>
      <c r="B1810" s="14" t="s">
        <v>316</v>
      </c>
      <c r="C1810" s="14" t="s">
        <v>6548</v>
      </c>
      <c r="D1810" s="14">
        <v>100.0</v>
      </c>
      <c r="E1810" s="14" t="s">
        <v>318</v>
      </c>
      <c r="F1810" s="14" t="s">
        <v>6549</v>
      </c>
      <c r="G1810" s="14" t="s">
        <v>6550</v>
      </c>
      <c r="H1810" s="13"/>
      <c r="I1810" s="13"/>
      <c r="J1810" s="13"/>
      <c r="K1810" s="13"/>
      <c r="L1810" s="13"/>
      <c r="M1810" s="13"/>
      <c r="N1810" s="13"/>
      <c r="O1810" s="13"/>
      <c r="P1810" s="13"/>
      <c r="Q1810" s="13"/>
      <c r="R1810" s="13"/>
      <c r="S1810" s="13"/>
    </row>
    <row r="1811" ht="15.75" customHeight="1">
      <c r="A1811" s="14" t="s">
        <v>6551</v>
      </c>
      <c r="B1811" s="14" t="s">
        <v>316</v>
      </c>
      <c r="C1811" s="14" t="s">
        <v>6552</v>
      </c>
      <c r="D1811" s="14">
        <v>100.0</v>
      </c>
      <c r="E1811" s="14" t="s">
        <v>318</v>
      </c>
      <c r="F1811" s="14" t="s">
        <v>6553</v>
      </c>
      <c r="G1811" s="14" t="s">
        <v>6554</v>
      </c>
      <c r="H1811" s="13"/>
      <c r="I1811" s="13"/>
      <c r="J1811" s="13"/>
      <c r="K1811" s="13"/>
      <c r="L1811" s="13"/>
      <c r="M1811" s="13"/>
      <c r="N1811" s="13"/>
      <c r="O1811" s="13"/>
      <c r="P1811" s="13"/>
      <c r="Q1811" s="13"/>
      <c r="R1811" s="13"/>
      <c r="S1811" s="13"/>
    </row>
    <row r="1812" ht="15.75" customHeight="1">
      <c r="A1812" s="14" t="s">
        <v>6555</v>
      </c>
      <c r="B1812" s="14" t="s">
        <v>316</v>
      </c>
      <c r="C1812" s="14" t="s">
        <v>6556</v>
      </c>
      <c r="D1812" s="14">
        <v>100.0</v>
      </c>
      <c r="E1812" s="14" t="s">
        <v>318</v>
      </c>
      <c r="F1812" s="14" t="s">
        <v>6557</v>
      </c>
      <c r="G1812" s="14" t="s">
        <v>6558</v>
      </c>
      <c r="H1812" s="13"/>
      <c r="I1812" s="13"/>
      <c r="J1812" s="13"/>
      <c r="K1812" s="13"/>
      <c r="L1812" s="13"/>
      <c r="M1812" s="13"/>
      <c r="N1812" s="13"/>
      <c r="O1812" s="13"/>
      <c r="P1812" s="13"/>
      <c r="Q1812" s="13"/>
      <c r="R1812" s="13"/>
      <c r="S1812" s="13"/>
    </row>
    <row r="1813" ht="15.75" customHeight="1">
      <c r="A1813" s="14" t="s">
        <v>6559</v>
      </c>
      <c r="B1813" s="14" t="s">
        <v>316</v>
      </c>
      <c r="C1813" s="14" t="s">
        <v>6560</v>
      </c>
      <c r="D1813" s="14">
        <v>100.0</v>
      </c>
      <c r="E1813" s="14" t="s">
        <v>318</v>
      </c>
      <c r="F1813" s="14" t="s">
        <v>6561</v>
      </c>
      <c r="G1813" s="14" t="s">
        <v>6562</v>
      </c>
      <c r="H1813" s="13"/>
      <c r="I1813" s="13"/>
      <c r="J1813" s="13"/>
      <c r="K1813" s="13"/>
      <c r="L1813" s="13"/>
      <c r="M1813" s="13"/>
      <c r="N1813" s="13"/>
      <c r="O1813" s="13"/>
      <c r="P1813" s="13"/>
      <c r="Q1813" s="13"/>
      <c r="R1813" s="13"/>
      <c r="S1813" s="13"/>
    </row>
    <row r="1814" ht="15.75" customHeight="1">
      <c r="A1814" s="14" t="s">
        <v>6563</v>
      </c>
      <c r="B1814" s="14" t="s">
        <v>316</v>
      </c>
      <c r="C1814" s="14" t="s">
        <v>6564</v>
      </c>
      <c r="D1814" s="14">
        <v>100.0</v>
      </c>
      <c r="E1814" s="14" t="s">
        <v>318</v>
      </c>
      <c r="F1814" s="14" t="s">
        <v>6565</v>
      </c>
      <c r="G1814" s="14" t="s">
        <v>6566</v>
      </c>
      <c r="H1814" s="13"/>
      <c r="I1814" s="13"/>
      <c r="J1814" s="13"/>
      <c r="K1814" s="13"/>
      <c r="L1814" s="13"/>
      <c r="M1814" s="13"/>
      <c r="N1814" s="13"/>
      <c r="O1814" s="13"/>
      <c r="P1814" s="13"/>
      <c r="Q1814" s="13"/>
      <c r="R1814" s="13"/>
      <c r="S1814" s="13"/>
    </row>
    <row r="1815" ht="15.75" customHeight="1">
      <c r="A1815" s="14" t="s">
        <v>6567</v>
      </c>
      <c r="B1815" s="14" t="s">
        <v>316</v>
      </c>
      <c r="C1815" s="14" t="s">
        <v>6568</v>
      </c>
      <c r="D1815" s="14">
        <v>100.0</v>
      </c>
      <c r="E1815" s="14" t="s">
        <v>318</v>
      </c>
      <c r="F1815" s="14" t="s">
        <v>6569</v>
      </c>
      <c r="G1815" s="14" t="s">
        <v>6570</v>
      </c>
      <c r="H1815" s="13"/>
      <c r="I1815" s="13"/>
      <c r="J1815" s="13"/>
      <c r="K1815" s="13"/>
      <c r="L1815" s="13"/>
      <c r="M1815" s="13"/>
      <c r="N1815" s="13"/>
      <c r="O1815" s="13"/>
      <c r="P1815" s="13"/>
      <c r="Q1815" s="13"/>
      <c r="R1815" s="13"/>
      <c r="S1815" s="13"/>
    </row>
    <row r="1816" ht="15.75" customHeight="1">
      <c r="A1816" s="14" t="s">
        <v>6571</v>
      </c>
      <c r="B1816" s="14" t="s">
        <v>316</v>
      </c>
      <c r="C1816" s="14" t="s">
        <v>6572</v>
      </c>
      <c r="D1816" s="14">
        <v>100.0</v>
      </c>
      <c r="E1816" s="14" t="s">
        <v>318</v>
      </c>
      <c r="F1816" s="14" t="s">
        <v>6573</v>
      </c>
      <c r="G1816" s="14" t="s">
        <v>6574</v>
      </c>
      <c r="H1816" s="13"/>
      <c r="I1816" s="13"/>
      <c r="J1816" s="13"/>
      <c r="K1816" s="13"/>
      <c r="L1816" s="13"/>
      <c r="M1816" s="13"/>
      <c r="N1816" s="13"/>
      <c r="O1816" s="13"/>
      <c r="P1816" s="13"/>
      <c r="Q1816" s="13"/>
      <c r="R1816" s="13"/>
      <c r="S1816" s="13"/>
    </row>
    <row r="1817" ht="15.75" customHeight="1">
      <c r="A1817" s="14" t="s">
        <v>6575</v>
      </c>
      <c r="B1817" s="14" t="s">
        <v>316</v>
      </c>
      <c r="C1817" s="14" t="s">
        <v>6576</v>
      </c>
      <c r="D1817" s="14">
        <v>100.0</v>
      </c>
      <c r="E1817" s="14" t="s">
        <v>318</v>
      </c>
      <c r="F1817" s="14" t="s">
        <v>6577</v>
      </c>
      <c r="G1817" s="14" t="s">
        <v>6578</v>
      </c>
      <c r="H1817" s="13"/>
      <c r="I1817" s="13"/>
      <c r="J1817" s="13"/>
      <c r="K1817" s="13"/>
      <c r="L1817" s="13"/>
      <c r="M1817" s="13"/>
      <c r="N1817" s="13"/>
      <c r="O1817" s="13"/>
      <c r="P1817" s="13"/>
      <c r="Q1817" s="13"/>
      <c r="R1817" s="13"/>
      <c r="S1817" s="13"/>
    </row>
    <row r="1818" ht="15.75" customHeight="1">
      <c r="A1818" s="14" t="s">
        <v>6579</v>
      </c>
      <c r="B1818" s="14" t="s">
        <v>316</v>
      </c>
      <c r="C1818" s="14" t="s">
        <v>6580</v>
      </c>
      <c r="D1818" s="14">
        <v>100.0</v>
      </c>
      <c r="E1818" s="14" t="s">
        <v>318</v>
      </c>
      <c r="F1818" s="14" t="s">
        <v>6581</v>
      </c>
      <c r="G1818" s="14" t="s">
        <v>6582</v>
      </c>
      <c r="H1818" s="13"/>
      <c r="I1818" s="13"/>
      <c r="J1818" s="13"/>
      <c r="K1818" s="13"/>
      <c r="L1818" s="13"/>
      <c r="M1818" s="13"/>
      <c r="N1818" s="13"/>
      <c r="O1818" s="13"/>
      <c r="P1818" s="13"/>
      <c r="Q1818" s="13"/>
      <c r="R1818" s="13"/>
      <c r="S1818" s="13"/>
    </row>
    <row r="1819" ht="15.75" customHeight="1">
      <c r="A1819" s="14" t="s">
        <v>6583</v>
      </c>
      <c r="B1819" s="14" t="s">
        <v>316</v>
      </c>
      <c r="C1819" s="14" t="s">
        <v>6584</v>
      </c>
      <c r="D1819" s="14">
        <v>100.0</v>
      </c>
      <c r="E1819" s="14" t="s">
        <v>318</v>
      </c>
      <c r="F1819" s="14" t="s">
        <v>6585</v>
      </c>
      <c r="G1819" s="14" t="s">
        <v>6586</v>
      </c>
      <c r="H1819" s="13"/>
      <c r="I1819" s="13"/>
      <c r="J1819" s="13"/>
      <c r="K1819" s="13"/>
      <c r="L1819" s="13"/>
      <c r="M1819" s="13"/>
      <c r="N1819" s="13"/>
      <c r="O1819" s="13"/>
      <c r="P1819" s="13"/>
      <c r="Q1819" s="13"/>
      <c r="R1819" s="13"/>
      <c r="S1819" s="13"/>
    </row>
    <row r="1820" ht="15.75" customHeight="1">
      <c r="A1820" s="15">
        <v>45693.82770833333</v>
      </c>
      <c r="B1820" s="16" t="s">
        <v>6587</v>
      </c>
      <c r="C1820" s="17" t="s">
        <v>6588</v>
      </c>
      <c r="D1820" s="16" t="s">
        <v>6589</v>
      </c>
      <c r="E1820" s="16" t="s">
        <v>6590</v>
      </c>
      <c r="F1820" s="16"/>
      <c r="G1820" s="16"/>
      <c r="H1820" s="18"/>
      <c r="I1820" s="18"/>
      <c r="J1820" s="18"/>
      <c r="K1820" s="18"/>
      <c r="L1820" s="18"/>
      <c r="M1820" s="18"/>
      <c r="N1820" s="18"/>
      <c r="O1820" s="18"/>
      <c r="P1820" s="18"/>
      <c r="Q1820" s="19"/>
      <c r="R1820" s="19"/>
      <c r="S1820" s="19"/>
    </row>
    <row r="1821" ht="15.75" customHeight="1">
      <c r="A1821" s="15">
        <v>45927.25</v>
      </c>
      <c r="B1821" s="16" t="s">
        <v>6591</v>
      </c>
      <c r="C1821" s="16" t="s">
        <v>6592</v>
      </c>
      <c r="D1821" s="16" t="s">
        <v>6593</v>
      </c>
      <c r="E1821" s="16" t="s">
        <v>6594</v>
      </c>
      <c r="F1821" s="16"/>
      <c r="G1821" s="16"/>
      <c r="H1821" s="18"/>
      <c r="I1821" s="18"/>
      <c r="J1821" s="18"/>
      <c r="K1821" s="18"/>
      <c r="L1821" s="18"/>
      <c r="M1821" s="18"/>
      <c r="N1821" s="18"/>
      <c r="O1821" s="18"/>
      <c r="P1821" s="18"/>
      <c r="Q1821" s="19"/>
      <c r="R1821" s="19"/>
      <c r="S1821" s="19"/>
    </row>
    <row r="1822" ht="15.75" customHeight="1">
      <c r="A1822" s="15">
        <v>45688.85118055555</v>
      </c>
      <c r="B1822" s="16" t="s">
        <v>6595</v>
      </c>
      <c r="C1822" s="16" t="s">
        <v>6596</v>
      </c>
      <c r="D1822" s="16" t="s">
        <v>6597</v>
      </c>
      <c r="E1822" s="16" t="s">
        <v>6598</v>
      </c>
      <c r="F1822" s="16"/>
      <c r="G1822" s="16"/>
      <c r="H1822" s="18"/>
      <c r="I1822" s="18"/>
      <c r="J1822" s="18"/>
      <c r="K1822" s="18"/>
      <c r="L1822" s="18"/>
      <c r="M1822" s="18"/>
      <c r="N1822" s="18"/>
      <c r="O1822" s="18"/>
      <c r="P1822" s="18"/>
      <c r="Q1822" s="19"/>
      <c r="R1822" s="19"/>
      <c r="S1822" s="19"/>
    </row>
    <row r="1823" ht="15.75" customHeight="1">
      <c r="A1823" s="15">
        <v>45706.69763888889</v>
      </c>
      <c r="B1823" s="16" t="s">
        <v>6599</v>
      </c>
      <c r="C1823" s="16" t="s">
        <v>6600</v>
      </c>
      <c r="D1823" s="16" t="s">
        <v>6601</v>
      </c>
      <c r="E1823" s="16" t="s">
        <v>6602</v>
      </c>
      <c r="F1823" s="16"/>
      <c r="G1823" s="16"/>
      <c r="H1823" s="18"/>
      <c r="I1823" s="18"/>
      <c r="J1823" s="18"/>
      <c r="K1823" s="18"/>
      <c r="L1823" s="18"/>
      <c r="M1823" s="18"/>
      <c r="N1823" s="18"/>
      <c r="O1823" s="18"/>
      <c r="P1823" s="18"/>
      <c r="Q1823" s="19"/>
      <c r="R1823" s="19"/>
      <c r="S1823" s="19"/>
    </row>
    <row r="1824" ht="15.75" customHeight="1">
      <c r="A1824" s="15">
        <v>45734.68623842593</v>
      </c>
      <c r="B1824" s="16" t="s">
        <v>6599</v>
      </c>
      <c r="C1824" s="16" t="s">
        <v>6600</v>
      </c>
      <c r="D1824" s="16" t="s">
        <v>6603</v>
      </c>
      <c r="E1824" s="16" t="s">
        <v>6604</v>
      </c>
      <c r="F1824" s="16"/>
      <c r="G1824" s="16"/>
      <c r="H1824" s="18"/>
      <c r="I1824" s="18"/>
      <c r="J1824" s="18"/>
      <c r="K1824" s="18"/>
      <c r="L1824" s="18"/>
      <c r="M1824" s="18"/>
      <c r="N1824" s="18"/>
      <c r="O1824" s="18"/>
      <c r="P1824" s="18"/>
      <c r="Q1824" s="19"/>
      <c r="R1824" s="19"/>
      <c r="S1824" s="19"/>
    </row>
    <row r="1825" ht="15.75" customHeight="1">
      <c r="A1825" s="15">
        <v>45741.68578703704</v>
      </c>
      <c r="B1825" s="16" t="s">
        <v>6599</v>
      </c>
      <c r="C1825" s="16" t="s">
        <v>6600</v>
      </c>
      <c r="D1825" s="16" t="s">
        <v>6605</v>
      </c>
      <c r="E1825" s="16" t="s">
        <v>6606</v>
      </c>
      <c r="F1825" s="16"/>
      <c r="G1825" s="16"/>
      <c r="H1825" s="18"/>
      <c r="I1825" s="18"/>
      <c r="J1825" s="18"/>
      <c r="K1825" s="18"/>
      <c r="L1825" s="18"/>
      <c r="M1825" s="18"/>
      <c r="N1825" s="18"/>
      <c r="O1825" s="18"/>
      <c r="P1825" s="18"/>
      <c r="Q1825" s="19"/>
      <c r="R1825" s="19"/>
      <c r="S1825" s="19"/>
    </row>
    <row r="1826" ht="15.75" customHeight="1">
      <c r="A1826" s="15">
        <v>45742.05056712963</v>
      </c>
      <c r="B1826" s="16" t="s">
        <v>6607</v>
      </c>
      <c r="C1826" s="16" t="s">
        <v>6600</v>
      </c>
      <c r="D1826" s="20" t="str">
        <f>?utf-8?B?QmFieSB0b3lzIHRoYXQgYnVpbGQgYnJhaW5zIPCfp6A=?=</f>
        <v>#ERROR!</v>
      </c>
      <c r="E1826" s="16" t="s">
        <v>6608</v>
      </c>
      <c r="F1826" s="16"/>
      <c r="G1826" s="16"/>
      <c r="H1826" s="18"/>
      <c r="I1826" s="18"/>
      <c r="J1826" s="18"/>
      <c r="K1826" s="18"/>
      <c r="L1826" s="18"/>
      <c r="M1826" s="18"/>
      <c r="N1826" s="18"/>
      <c r="O1826" s="18"/>
      <c r="P1826" s="18"/>
      <c r="Q1826" s="19"/>
      <c r="R1826" s="19"/>
      <c r="S1826" s="19"/>
    </row>
    <row r="1827" ht="15.75" customHeight="1">
      <c r="A1827" s="15">
        <v>45900.50803240741</v>
      </c>
      <c r="B1827" s="16" t="s">
        <v>6591</v>
      </c>
      <c r="C1827" s="16" t="s">
        <v>6609</v>
      </c>
      <c r="D1827" s="16" t="s">
        <v>6610</v>
      </c>
      <c r="E1827" s="16" t="s">
        <v>6611</v>
      </c>
      <c r="F1827" s="16"/>
      <c r="G1827" s="16"/>
      <c r="H1827" s="18"/>
      <c r="I1827" s="18"/>
      <c r="J1827" s="18"/>
      <c r="K1827" s="18"/>
      <c r="L1827" s="18"/>
      <c r="M1827" s="18"/>
      <c r="N1827" s="18"/>
      <c r="O1827" s="18"/>
      <c r="P1827" s="18"/>
      <c r="Q1827" s="19"/>
      <c r="R1827" s="19"/>
      <c r="S1827" s="19"/>
    </row>
    <row r="1828" ht="15.75" customHeight="1">
      <c r="A1828" s="15">
        <v>45900.830358796295</v>
      </c>
      <c r="B1828" s="16" t="s">
        <v>6591</v>
      </c>
      <c r="C1828" s="16" t="s">
        <v>6609</v>
      </c>
      <c r="D1828" s="16" t="s">
        <v>6612</v>
      </c>
      <c r="E1828" s="16" t="s">
        <v>6613</v>
      </c>
      <c r="F1828" s="16"/>
      <c r="G1828" s="16"/>
      <c r="H1828" s="18"/>
      <c r="I1828" s="18"/>
      <c r="J1828" s="18"/>
      <c r="K1828" s="18"/>
      <c r="L1828" s="18"/>
      <c r="M1828" s="18"/>
      <c r="N1828" s="18"/>
      <c r="O1828" s="18"/>
      <c r="P1828" s="18"/>
      <c r="Q1828" s="19"/>
      <c r="R1828" s="19"/>
      <c r="S1828" s="19"/>
    </row>
    <row r="1829" ht="15.75" customHeight="1">
      <c r="A1829" s="15">
        <v>45852.801041666666</v>
      </c>
      <c r="B1829" s="16" t="s">
        <v>6591</v>
      </c>
      <c r="C1829" s="16" t="s">
        <v>6614</v>
      </c>
      <c r="D1829" s="16" t="s">
        <v>6615</v>
      </c>
      <c r="E1829" s="16" t="s">
        <v>6616</v>
      </c>
      <c r="F1829" s="16"/>
      <c r="G1829" s="16"/>
      <c r="H1829" s="18"/>
      <c r="I1829" s="18"/>
      <c r="J1829" s="18"/>
      <c r="K1829" s="18"/>
      <c r="L1829" s="18"/>
      <c r="M1829" s="18"/>
      <c r="N1829" s="18"/>
      <c r="O1829" s="18"/>
      <c r="P1829" s="18"/>
      <c r="Q1829" s="19"/>
      <c r="R1829" s="19"/>
      <c r="S1829" s="19"/>
    </row>
    <row r="1830" ht="15.75" customHeight="1">
      <c r="A1830" s="15">
        <v>45826.41925925926</v>
      </c>
      <c r="B1830" s="16" t="s">
        <v>6591</v>
      </c>
      <c r="C1830" s="16" t="s">
        <v>6595</v>
      </c>
      <c r="D1830" s="16" t="s">
        <v>6617</v>
      </c>
      <c r="E1830" s="16" t="s">
        <v>6618</v>
      </c>
      <c r="F1830" s="16"/>
      <c r="G1830" s="16"/>
      <c r="H1830" s="18"/>
      <c r="I1830" s="18"/>
      <c r="J1830" s="18"/>
      <c r="K1830" s="18"/>
      <c r="L1830" s="18"/>
      <c r="M1830" s="18"/>
      <c r="N1830" s="18"/>
      <c r="O1830" s="18"/>
      <c r="P1830" s="18"/>
      <c r="Q1830" s="19"/>
      <c r="R1830" s="19"/>
      <c r="S1830" s="19"/>
    </row>
    <row r="1831" ht="15.75" customHeight="1">
      <c r="A1831" s="15">
        <v>45828.53210648148</v>
      </c>
      <c r="B1831" s="16" t="s">
        <v>6591</v>
      </c>
      <c r="C1831" s="16" t="s">
        <v>6595</v>
      </c>
      <c r="D1831" s="16" t="s">
        <v>6617</v>
      </c>
      <c r="E1831" s="16" t="s">
        <v>6619</v>
      </c>
      <c r="F1831" s="16"/>
      <c r="G1831" s="16"/>
      <c r="H1831" s="18"/>
      <c r="I1831" s="18"/>
      <c r="J1831" s="18"/>
      <c r="K1831" s="18"/>
      <c r="L1831" s="18"/>
      <c r="M1831" s="18"/>
      <c r="N1831" s="18"/>
      <c r="O1831" s="18"/>
      <c r="P1831" s="18"/>
      <c r="Q1831" s="19"/>
      <c r="R1831" s="19"/>
      <c r="S1831" s="19"/>
    </row>
    <row r="1832" ht="15.75" customHeight="1">
      <c r="A1832" s="15">
        <v>45826.397210648145</v>
      </c>
      <c r="B1832" s="16" t="s">
        <v>6591</v>
      </c>
      <c r="C1832" s="16" t="s">
        <v>6620</v>
      </c>
      <c r="D1832" s="16" t="s">
        <v>6621</v>
      </c>
      <c r="E1832" s="16" t="s">
        <v>6622</v>
      </c>
      <c r="F1832" s="16"/>
      <c r="G1832" s="16"/>
      <c r="H1832" s="18"/>
      <c r="I1832" s="18"/>
      <c r="J1832" s="18"/>
      <c r="K1832" s="18"/>
      <c r="L1832" s="18"/>
      <c r="M1832" s="18"/>
      <c r="N1832" s="18"/>
      <c r="O1832" s="18"/>
      <c r="P1832" s="18"/>
      <c r="Q1832" s="19"/>
      <c r="R1832" s="19"/>
      <c r="S1832" s="19"/>
    </row>
    <row r="1833" ht="15.75" customHeight="1">
      <c r="A1833" s="15">
        <v>45835.54760416667</v>
      </c>
      <c r="B1833" s="16" t="s">
        <v>6591</v>
      </c>
      <c r="C1833" s="16" t="s">
        <v>6620</v>
      </c>
      <c r="D1833" s="16" t="s">
        <v>6623</v>
      </c>
      <c r="E1833" s="16" t="s">
        <v>6624</v>
      </c>
      <c r="F1833" s="16"/>
      <c r="G1833" s="16"/>
      <c r="H1833" s="18"/>
      <c r="I1833" s="18"/>
      <c r="J1833" s="18"/>
      <c r="K1833" s="18"/>
      <c r="L1833" s="18"/>
      <c r="M1833" s="18"/>
      <c r="N1833" s="18"/>
      <c r="O1833" s="18"/>
      <c r="P1833" s="18"/>
      <c r="Q1833" s="19"/>
      <c r="R1833" s="19"/>
      <c r="S1833" s="19"/>
    </row>
    <row r="1834" ht="15.75" customHeight="1">
      <c r="A1834" s="15">
        <v>45891.26361111111</v>
      </c>
      <c r="B1834" s="16" t="s">
        <v>6591</v>
      </c>
      <c r="C1834" s="16" t="s">
        <v>6620</v>
      </c>
      <c r="D1834" s="20" t="str">
        <f>?UTF-8?Q?Urgent_Request_for_Assistance_with_Family_Law_Case_?=
	=?UTF-8?Q?=E2=80=93_Harper_Ryan=E2=80=99s_Safety?=</f>
        <v>#ERROR!</v>
      </c>
      <c r="E1834" s="16" t="s">
        <v>6625</v>
      </c>
      <c r="F1834" s="16"/>
      <c r="G1834" s="16"/>
      <c r="H1834" s="18"/>
      <c r="I1834" s="18"/>
      <c r="J1834" s="18"/>
      <c r="K1834" s="18"/>
      <c r="L1834" s="18"/>
      <c r="M1834" s="18"/>
      <c r="N1834" s="18"/>
      <c r="O1834" s="18"/>
      <c r="P1834" s="18"/>
      <c r="Q1834" s="19"/>
      <c r="R1834" s="19"/>
      <c r="S1834" s="19"/>
    </row>
    <row r="1835" ht="15.75" customHeight="1">
      <c r="A1835" s="15">
        <v>45933.43230324074</v>
      </c>
      <c r="B1835" s="16" t="s">
        <v>6591</v>
      </c>
      <c r="C1835" s="16" t="s">
        <v>6620</v>
      </c>
      <c r="D1835" s="16" t="s">
        <v>6626</v>
      </c>
      <c r="E1835" s="16" t="s">
        <v>6627</v>
      </c>
      <c r="F1835" s="16"/>
      <c r="G1835" s="16"/>
      <c r="H1835" s="18"/>
      <c r="I1835" s="18"/>
      <c r="J1835" s="18"/>
      <c r="K1835" s="18"/>
      <c r="L1835" s="18"/>
      <c r="M1835" s="18"/>
      <c r="N1835" s="18"/>
      <c r="O1835" s="18"/>
      <c r="P1835" s="18"/>
      <c r="Q1835" s="19"/>
      <c r="R1835" s="19"/>
      <c r="S1835" s="19"/>
    </row>
    <row r="1836" ht="15.75" customHeight="1">
      <c r="A1836" s="15">
        <v>45828.552465277775</v>
      </c>
      <c r="B1836" s="16" t="s">
        <v>6591</v>
      </c>
      <c r="C1836" s="16" t="s">
        <v>6628</v>
      </c>
      <c r="D1836" s="16" t="s">
        <v>6617</v>
      </c>
      <c r="E1836" s="16" t="s">
        <v>6629</v>
      </c>
      <c r="F1836" s="16"/>
      <c r="G1836" s="16"/>
      <c r="H1836" s="18"/>
      <c r="I1836" s="18"/>
      <c r="J1836" s="18"/>
      <c r="K1836" s="18"/>
      <c r="L1836" s="18"/>
      <c r="M1836" s="18"/>
      <c r="N1836" s="18"/>
      <c r="O1836" s="18"/>
      <c r="P1836" s="18"/>
      <c r="Q1836" s="19"/>
      <c r="R1836" s="19"/>
      <c r="S1836" s="19"/>
    </row>
    <row r="1837" ht="15.75" customHeight="1">
      <c r="A1837" s="15">
        <v>45936.57616898148</v>
      </c>
      <c r="B1837" s="16" t="s">
        <v>6630</v>
      </c>
      <c r="C1837" s="16" t="s">
        <v>6631</v>
      </c>
      <c r="D1837" s="16" t="s">
        <v>6632</v>
      </c>
      <c r="E1837" s="16" t="s">
        <v>6633</v>
      </c>
      <c r="F1837" s="16"/>
      <c r="G1837" s="16"/>
      <c r="H1837" s="18"/>
      <c r="I1837" s="18"/>
      <c r="J1837" s="18"/>
      <c r="K1837" s="18"/>
      <c r="L1837" s="18"/>
      <c r="M1837" s="18"/>
      <c r="N1837" s="18"/>
      <c r="O1837" s="18"/>
      <c r="P1837" s="18"/>
      <c r="Q1837" s="19"/>
      <c r="R1837" s="19"/>
      <c r="S1837" s="19"/>
    </row>
    <row r="1838" ht="15.75" customHeight="1">
      <c r="A1838" s="15">
        <v>45889.8205787037</v>
      </c>
      <c r="B1838" s="16" t="s">
        <v>6591</v>
      </c>
      <c r="C1838" s="16" t="s">
        <v>6634</v>
      </c>
      <c r="D1838" s="16" t="s">
        <v>6635</v>
      </c>
      <c r="E1838" s="16" t="s">
        <v>6636</v>
      </c>
      <c r="F1838" s="16"/>
      <c r="G1838" s="16"/>
      <c r="H1838" s="18"/>
      <c r="I1838" s="18"/>
      <c r="J1838" s="18"/>
      <c r="K1838" s="18"/>
      <c r="L1838" s="18"/>
      <c r="M1838" s="18"/>
      <c r="N1838" s="18"/>
      <c r="O1838" s="18"/>
      <c r="P1838" s="18"/>
      <c r="Q1838" s="19"/>
      <c r="R1838" s="19"/>
      <c r="S1838" s="19"/>
    </row>
    <row r="1839" ht="15.75" customHeight="1">
      <c r="A1839" s="15">
        <v>45890.79671296296</v>
      </c>
      <c r="B1839" s="16" t="s">
        <v>6591</v>
      </c>
      <c r="C1839" s="16" t="s">
        <v>6634</v>
      </c>
      <c r="D1839" s="16" t="s">
        <v>6637</v>
      </c>
      <c r="E1839" s="16" t="s">
        <v>6638</v>
      </c>
      <c r="F1839" s="16"/>
      <c r="G1839" s="16"/>
      <c r="H1839" s="18"/>
      <c r="I1839" s="18"/>
      <c r="J1839" s="18"/>
      <c r="K1839" s="18"/>
      <c r="L1839" s="18"/>
      <c r="M1839" s="18"/>
      <c r="N1839" s="18"/>
      <c r="O1839" s="18"/>
      <c r="P1839" s="18"/>
      <c r="Q1839" s="19"/>
      <c r="R1839" s="19"/>
      <c r="S1839" s="19"/>
    </row>
    <row r="1840" ht="15.75" customHeight="1">
      <c r="A1840" s="15">
        <v>45891.26378472222</v>
      </c>
      <c r="B1840" s="16" t="s">
        <v>6591</v>
      </c>
      <c r="C1840" s="16" t="s">
        <v>6634</v>
      </c>
      <c r="D1840" s="16" t="s">
        <v>6639</v>
      </c>
      <c r="E1840" s="16" t="s">
        <v>6640</v>
      </c>
      <c r="F1840" s="16"/>
      <c r="G1840" s="16"/>
      <c r="H1840" s="18"/>
      <c r="I1840" s="18"/>
      <c r="J1840" s="18"/>
      <c r="K1840" s="18"/>
      <c r="L1840" s="18"/>
      <c r="M1840" s="18"/>
      <c r="N1840" s="18"/>
      <c r="O1840" s="18"/>
      <c r="P1840" s="18"/>
      <c r="Q1840" s="19"/>
      <c r="R1840" s="19"/>
      <c r="S1840" s="19"/>
    </row>
    <row r="1841" ht="15.75" customHeight="1">
      <c r="A1841" s="15">
        <v>45891.45068287037</v>
      </c>
      <c r="B1841" s="16" t="s">
        <v>6591</v>
      </c>
      <c r="C1841" s="16" t="s">
        <v>6634</v>
      </c>
      <c r="D1841" s="16" t="s">
        <v>6641</v>
      </c>
      <c r="E1841" s="16" t="s">
        <v>6642</v>
      </c>
      <c r="F1841" s="16"/>
      <c r="G1841" s="16"/>
      <c r="H1841" s="18"/>
      <c r="I1841" s="18"/>
      <c r="J1841" s="18"/>
      <c r="K1841" s="18"/>
      <c r="L1841" s="18"/>
      <c r="M1841" s="18"/>
      <c r="N1841" s="18"/>
      <c r="O1841" s="18"/>
      <c r="P1841" s="18"/>
      <c r="Q1841" s="19"/>
      <c r="R1841" s="19"/>
      <c r="S1841" s="19"/>
    </row>
    <row r="1842" ht="15.75" customHeight="1">
      <c r="A1842" s="15">
        <v>45927.903287037036</v>
      </c>
      <c r="B1842" s="16" t="s">
        <v>6591</v>
      </c>
      <c r="C1842" s="16" t="s">
        <v>6634</v>
      </c>
      <c r="D1842" s="16" t="s">
        <v>6643</v>
      </c>
      <c r="E1842" s="16" t="s">
        <v>6644</v>
      </c>
      <c r="F1842" s="16"/>
      <c r="G1842" s="16"/>
      <c r="H1842" s="18"/>
      <c r="I1842" s="18"/>
      <c r="J1842" s="18"/>
      <c r="K1842" s="18"/>
      <c r="L1842" s="18"/>
      <c r="M1842" s="18"/>
      <c r="N1842" s="18"/>
      <c r="O1842" s="18"/>
      <c r="P1842" s="18"/>
      <c r="Q1842" s="19"/>
      <c r="R1842" s="19"/>
      <c r="S1842" s="19"/>
    </row>
    <row r="1843" ht="15.75" customHeight="1">
      <c r="A1843" s="15">
        <v>45933.4687962963</v>
      </c>
      <c r="B1843" s="16" t="s">
        <v>6591</v>
      </c>
      <c r="C1843" s="16" t="s">
        <v>6634</v>
      </c>
      <c r="D1843" s="16" t="s">
        <v>6641</v>
      </c>
      <c r="E1843" s="16" t="s">
        <v>6645</v>
      </c>
      <c r="F1843" s="16"/>
      <c r="G1843" s="16"/>
      <c r="H1843" s="18"/>
      <c r="I1843" s="18"/>
      <c r="J1843" s="18"/>
      <c r="K1843" s="18"/>
      <c r="L1843" s="18"/>
      <c r="M1843" s="18"/>
      <c r="N1843" s="18"/>
      <c r="O1843" s="18"/>
      <c r="P1843" s="18"/>
      <c r="Q1843" s="19"/>
      <c r="R1843" s="19"/>
      <c r="S1843" s="19"/>
    </row>
    <row r="1844" ht="15.75" customHeight="1">
      <c r="A1844" s="15">
        <v>45901.625625</v>
      </c>
      <c r="B1844" s="16" t="s">
        <v>6591</v>
      </c>
      <c r="C1844" s="16" t="s">
        <v>6646</v>
      </c>
      <c r="D1844" s="16" t="s">
        <v>6647</v>
      </c>
      <c r="E1844" s="16" t="s">
        <v>6648</v>
      </c>
      <c r="F1844" s="16"/>
      <c r="G1844" s="16"/>
      <c r="H1844" s="18"/>
      <c r="I1844" s="18"/>
      <c r="J1844" s="18"/>
      <c r="K1844" s="18"/>
      <c r="L1844" s="18"/>
      <c r="M1844" s="18"/>
      <c r="N1844" s="18"/>
      <c r="O1844" s="18"/>
      <c r="P1844" s="18"/>
      <c r="Q1844" s="19"/>
      <c r="R1844" s="19"/>
      <c r="S1844" s="19"/>
    </row>
    <row r="1845" ht="15.75" customHeight="1">
      <c r="A1845" s="15">
        <v>45923.419490740744</v>
      </c>
      <c r="B1845" s="16" t="s">
        <v>6591</v>
      </c>
      <c r="C1845" s="16" t="s">
        <v>6649</v>
      </c>
      <c r="D1845" s="16" t="s">
        <v>6650</v>
      </c>
      <c r="E1845" s="16" t="s">
        <v>6651</v>
      </c>
      <c r="F1845" s="16"/>
      <c r="G1845" s="16"/>
      <c r="H1845" s="18"/>
      <c r="I1845" s="18"/>
      <c r="J1845" s="18"/>
      <c r="K1845" s="18"/>
      <c r="L1845" s="18"/>
      <c r="M1845" s="18"/>
      <c r="N1845" s="18"/>
      <c r="O1845" s="18"/>
      <c r="P1845" s="18"/>
      <c r="Q1845" s="19"/>
      <c r="R1845" s="19"/>
      <c r="S1845" s="19"/>
    </row>
    <row r="1846" ht="15.75" customHeight="1">
      <c r="A1846" s="15">
        <v>45924.76378472222</v>
      </c>
      <c r="B1846" s="16" t="s">
        <v>6591</v>
      </c>
      <c r="C1846" s="16" t="s">
        <v>6649</v>
      </c>
      <c r="D1846" s="16" t="s">
        <v>6650</v>
      </c>
      <c r="E1846" s="16" t="s">
        <v>6652</v>
      </c>
      <c r="F1846" s="16"/>
      <c r="G1846" s="16"/>
      <c r="H1846" s="18"/>
      <c r="I1846" s="18"/>
      <c r="J1846" s="18"/>
      <c r="K1846" s="18"/>
      <c r="L1846" s="18"/>
      <c r="M1846" s="18"/>
      <c r="N1846" s="18"/>
      <c r="O1846" s="18"/>
      <c r="P1846" s="18"/>
      <c r="Q1846" s="19"/>
      <c r="R1846" s="19"/>
      <c r="S1846" s="19"/>
    </row>
    <row r="1847" ht="15.75" customHeight="1">
      <c r="A1847" s="15">
        <v>45926.338009259256</v>
      </c>
      <c r="B1847" s="16" t="s">
        <v>6591</v>
      </c>
      <c r="C1847" s="16" t="s">
        <v>6649</v>
      </c>
      <c r="D1847" s="16" t="s">
        <v>6650</v>
      </c>
      <c r="E1847" s="16" t="s">
        <v>6653</v>
      </c>
      <c r="F1847" s="16"/>
      <c r="G1847" s="16"/>
      <c r="H1847" s="18"/>
      <c r="I1847" s="18"/>
      <c r="J1847" s="18"/>
      <c r="K1847" s="18"/>
      <c r="L1847" s="18"/>
      <c r="M1847" s="18"/>
      <c r="N1847" s="18"/>
      <c r="O1847" s="18"/>
      <c r="P1847" s="18"/>
      <c r="Q1847" s="19"/>
      <c r="R1847" s="19"/>
      <c r="S1847" s="19"/>
    </row>
    <row r="1848" ht="15.75" customHeight="1">
      <c r="A1848" s="15">
        <v>45701.606087962966</v>
      </c>
      <c r="B1848" s="16" t="s">
        <v>6654</v>
      </c>
      <c r="C1848" s="16" t="s">
        <v>6655</v>
      </c>
      <c r="D1848" s="16" t="s">
        <v>6656</v>
      </c>
      <c r="E1848" s="16" t="s">
        <v>6657</v>
      </c>
      <c r="F1848" s="16"/>
      <c r="G1848" s="16"/>
      <c r="H1848" s="18"/>
      <c r="I1848" s="18"/>
      <c r="J1848" s="18"/>
      <c r="K1848" s="18"/>
      <c r="L1848" s="18"/>
      <c r="M1848" s="18"/>
      <c r="N1848" s="18"/>
      <c r="O1848" s="18"/>
      <c r="P1848" s="18"/>
      <c r="Q1848" s="19"/>
      <c r="R1848" s="19"/>
      <c r="S1848" s="19"/>
    </row>
    <row r="1849" ht="15.75" customHeight="1">
      <c r="A1849" s="15">
        <v>45939.61162037037</v>
      </c>
      <c r="B1849" s="16" t="s">
        <v>6591</v>
      </c>
      <c r="C1849" s="16" t="s">
        <v>6658</v>
      </c>
      <c r="D1849" s="16" t="s">
        <v>6659</v>
      </c>
      <c r="E1849" s="16" t="s">
        <v>6660</v>
      </c>
      <c r="F1849" s="16"/>
      <c r="G1849" s="16"/>
      <c r="H1849" s="18"/>
      <c r="I1849" s="18"/>
      <c r="J1849" s="18"/>
      <c r="K1849" s="18"/>
      <c r="L1849" s="18"/>
      <c r="M1849" s="18"/>
      <c r="N1849" s="18"/>
      <c r="O1849" s="18"/>
      <c r="P1849" s="18"/>
      <c r="Q1849" s="19"/>
      <c r="R1849" s="19"/>
      <c r="S1849" s="19"/>
    </row>
    <row r="1850" ht="15.75" customHeight="1">
      <c r="A1850" s="15">
        <v>45901.694710648146</v>
      </c>
      <c r="B1850" s="16" t="s">
        <v>6591</v>
      </c>
      <c r="C1850" s="16" t="s">
        <v>6661</v>
      </c>
      <c r="D1850" s="16" t="s">
        <v>6662</v>
      </c>
      <c r="E1850" s="16" t="s">
        <v>6663</v>
      </c>
      <c r="F1850" s="16"/>
      <c r="G1850" s="16"/>
      <c r="H1850" s="18"/>
      <c r="I1850" s="18"/>
      <c r="J1850" s="18"/>
      <c r="K1850" s="18"/>
      <c r="L1850" s="18"/>
      <c r="M1850" s="18"/>
      <c r="N1850" s="18"/>
      <c r="O1850" s="18"/>
      <c r="P1850" s="18"/>
      <c r="Q1850" s="19"/>
      <c r="R1850" s="19"/>
      <c r="S1850" s="19"/>
    </row>
    <row r="1851" ht="15.75" customHeight="1">
      <c r="A1851" s="15">
        <v>45933.333333333336</v>
      </c>
      <c r="B1851" s="16" t="s">
        <v>6591</v>
      </c>
      <c r="C1851" s="16" t="s">
        <v>6664</v>
      </c>
      <c r="D1851" s="16" t="s">
        <v>6665</v>
      </c>
      <c r="E1851" s="16" t="s">
        <v>6666</v>
      </c>
      <c r="F1851" s="16"/>
      <c r="G1851" s="16"/>
      <c r="H1851" s="18"/>
      <c r="I1851" s="18"/>
      <c r="J1851" s="18"/>
      <c r="K1851" s="18"/>
      <c r="L1851" s="18"/>
      <c r="M1851" s="18"/>
      <c r="N1851" s="18"/>
      <c r="O1851" s="18"/>
      <c r="P1851" s="18"/>
      <c r="Q1851" s="19"/>
      <c r="R1851" s="19"/>
      <c r="S1851" s="19"/>
    </row>
    <row r="1852" ht="15.75" customHeight="1">
      <c r="A1852" s="15">
        <v>45671.020590277774</v>
      </c>
      <c r="B1852" s="16" t="s">
        <v>6667</v>
      </c>
      <c r="C1852" s="16" t="s">
        <v>6668</v>
      </c>
      <c r="D1852" s="16" t="s">
        <v>6669</v>
      </c>
      <c r="E1852" s="16" t="s">
        <v>6670</v>
      </c>
      <c r="F1852" s="16"/>
      <c r="G1852" s="16"/>
      <c r="H1852" s="18"/>
      <c r="I1852" s="18"/>
      <c r="J1852" s="18"/>
      <c r="K1852" s="18"/>
      <c r="L1852" s="18"/>
      <c r="M1852" s="18"/>
      <c r="N1852" s="18"/>
      <c r="O1852" s="18"/>
      <c r="P1852" s="18"/>
      <c r="Q1852" s="19"/>
      <c r="R1852" s="19"/>
      <c r="S1852" s="19"/>
    </row>
    <row r="1853" ht="15.75" customHeight="1">
      <c r="A1853" s="15">
        <v>45706.00034722222</v>
      </c>
      <c r="B1853" s="16" t="s">
        <v>6671</v>
      </c>
      <c r="C1853" s="16" t="s">
        <v>6668</v>
      </c>
      <c r="D1853" s="16" t="s">
        <v>6672</v>
      </c>
      <c r="E1853" s="16" t="s">
        <v>6673</v>
      </c>
      <c r="F1853" s="16"/>
      <c r="G1853" s="16"/>
      <c r="H1853" s="18"/>
      <c r="I1853" s="18"/>
      <c r="J1853" s="18"/>
      <c r="K1853" s="18"/>
      <c r="L1853" s="18"/>
      <c r="M1853" s="18"/>
      <c r="N1853" s="18"/>
      <c r="O1853" s="18"/>
      <c r="P1853" s="18"/>
      <c r="Q1853" s="19"/>
      <c r="R1853" s="19"/>
      <c r="S1853" s="19"/>
    </row>
    <row r="1854" ht="15.75" customHeight="1">
      <c r="A1854" s="15">
        <v>45794.06655092593</v>
      </c>
      <c r="B1854" s="16" t="s">
        <v>6674</v>
      </c>
      <c r="C1854" s="16" t="s">
        <v>6668</v>
      </c>
      <c r="D1854" s="16" t="s">
        <v>6675</v>
      </c>
      <c r="E1854" s="16" t="s">
        <v>6676</v>
      </c>
      <c r="F1854" s="16"/>
      <c r="G1854" s="16"/>
      <c r="H1854" s="18"/>
      <c r="I1854" s="18"/>
      <c r="J1854" s="18"/>
      <c r="K1854" s="18"/>
      <c r="L1854" s="18"/>
      <c r="M1854" s="18"/>
      <c r="N1854" s="18"/>
      <c r="O1854" s="18"/>
      <c r="P1854" s="18"/>
      <c r="Q1854" s="19"/>
      <c r="R1854" s="19"/>
      <c r="S1854" s="19"/>
    </row>
    <row r="1855" ht="15.75" customHeight="1">
      <c r="A1855" s="15">
        <v>45797.337222222224</v>
      </c>
      <c r="B1855" s="16" t="s">
        <v>6677</v>
      </c>
      <c r="C1855" s="16" t="s">
        <v>6668</v>
      </c>
      <c r="D1855" s="20" t="str">
        <f>?UTF-8?B?8J+RpQ==?= Stop building alone</f>
        <v>#ERROR!</v>
      </c>
      <c r="E1855" s="16" t="s">
        <v>6678</v>
      </c>
      <c r="F1855" s="16"/>
      <c r="G1855" s="16"/>
      <c r="H1855" s="18"/>
      <c r="I1855" s="18"/>
      <c r="J1855" s="18"/>
      <c r="K1855" s="18"/>
      <c r="L1855" s="18"/>
      <c r="M1855" s="18"/>
      <c r="N1855" s="18"/>
      <c r="O1855" s="18"/>
      <c r="P1855" s="18"/>
      <c r="Q1855" s="19"/>
      <c r="R1855" s="19"/>
      <c r="S1855" s="19"/>
    </row>
    <row r="1856" ht="15.75" customHeight="1">
      <c r="A1856" s="15">
        <v>45814.77836805556</v>
      </c>
      <c r="B1856" s="16" t="s">
        <v>6677</v>
      </c>
      <c r="C1856" s="16" t="s">
        <v>6668</v>
      </c>
      <c r="D1856" s="20" t="str">
        <f>?UTF-8?B?8J+TjQ==?= You are here</f>
        <v>#ERROR!</v>
      </c>
      <c r="E1856" s="16" t="s">
        <v>6678</v>
      </c>
      <c r="F1856" s="16"/>
      <c r="G1856" s="16"/>
      <c r="H1856" s="18"/>
      <c r="I1856" s="18"/>
      <c r="J1856" s="18"/>
      <c r="K1856" s="18"/>
      <c r="L1856" s="18"/>
      <c r="M1856" s="18"/>
      <c r="N1856" s="18"/>
      <c r="O1856" s="18"/>
      <c r="P1856" s="18"/>
      <c r="Q1856" s="19"/>
      <c r="R1856" s="19"/>
      <c r="S1856" s="19"/>
    </row>
    <row r="1857" ht="15.75" customHeight="1">
      <c r="A1857" s="15">
        <v>45852.78057870371</v>
      </c>
      <c r="B1857" s="16" t="s">
        <v>6679</v>
      </c>
      <c r="C1857" s="16" t="s">
        <v>6668</v>
      </c>
      <c r="D1857" s="16" t="s">
        <v>6680</v>
      </c>
      <c r="E1857" s="16" t="s">
        <v>6681</v>
      </c>
      <c r="F1857" s="16"/>
      <c r="G1857" s="16"/>
      <c r="H1857" s="18"/>
      <c r="I1857" s="18"/>
      <c r="J1857" s="18"/>
      <c r="K1857" s="18"/>
      <c r="L1857" s="18"/>
      <c r="M1857" s="18"/>
      <c r="N1857" s="18"/>
      <c r="O1857" s="18"/>
      <c r="P1857" s="18"/>
      <c r="Q1857" s="19"/>
      <c r="R1857" s="19"/>
      <c r="S1857" s="19"/>
    </row>
    <row r="1858" ht="15.75" customHeight="1">
      <c r="A1858" s="15">
        <v>45856.33755787037</v>
      </c>
      <c r="B1858" s="16" t="s">
        <v>6677</v>
      </c>
      <c r="C1858" s="16" t="s">
        <v>6668</v>
      </c>
      <c r="D1858" s="20" t="str">
        <f>?UTF-8?B?8J+Plu+4jw==?= Stop selling your time</f>
        <v>#ERROR!</v>
      </c>
      <c r="E1858" s="16" t="s">
        <v>6678</v>
      </c>
      <c r="F1858" s="16"/>
      <c r="G1858" s="16"/>
      <c r="H1858" s="18"/>
      <c r="I1858" s="18"/>
      <c r="J1858" s="18"/>
      <c r="K1858" s="18"/>
      <c r="L1858" s="18"/>
      <c r="M1858" s="18"/>
      <c r="N1858" s="18"/>
      <c r="O1858" s="18"/>
      <c r="P1858" s="18"/>
      <c r="Q1858" s="19"/>
      <c r="R1858" s="19"/>
      <c r="S1858" s="19"/>
    </row>
    <row r="1859" ht="15.75" customHeight="1">
      <c r="A1859" s="15">
        <v>45867.337233796294</v>
      </c>
      <c r="B1859" s="16" t="s">
        <v>6677</v>
      </c>
      <c r="C1859" s="16" t="s">
        <v>6668</v>
      </c>
      <c r="D1859" s="20" t="str">
        <f>?UTF-8?B?8J+YjA==?= Calm your founder mind</f>
        <v>#ERROR!</v>
      </c>
      <c r="E1859" s="16" t="s">
        <v>6678</v>
      </c>
      <c r="F1859" s="16"/>
      <c r="G1859" s="16"/>
      <c r="H1859" s="18"/>
      <c r="I1859" s="18"/>
      <c r="J1859" s="18"/>
      <c r="K1859" s="18"/>
      <c r="L1859" s="18"/>
      <c r="M1859" s="18"/>
      <c r="N1859" s="18"/>
      <c r="O1859" s="18"/>
      <c r="P1859" s="18"/>
      <c r="Q1859" s="19"/>
      <c r="R1859" s="19"/>
      <c r="S1859" s="19"/>
    </row>
    <row r="1860" ht="15.75" customHeight="1">
      <c r="A1860" s="15">
        <v>45903.57508101852</v>
      </c>
      <c r="B1860" s="16" t="s">
        <v>6682</v>
      </c>
      <c r="C1860" s="16" t="s">
        <v>6668</v>
      </c>
      <c r="D1860" s="16" t="s">
        <v>6683</v>
      </c>
      <c r="E1860" s="16" t="s">
        <v>6684</v>
      </c>
      <c r="F1860" s="16"/>
      <c r="G1860" s="16"/>
      <c r="H1860" s="18"/>
      <c r="I1860" s="18"/>
      <c r="J1860" s="18"/>
      <c r="K1860" s="18"/>
      <c r="L1860" s="18"/>
      <c r="M1860" s="18"/>
      <c r="N1860" s="18"/>
      <c r="O1860" s="18"/>
      <c r="P1860" s="18"/>
      <c r="Q1860" s="19"/>
      <c r="R1860" s="19"/>
      <c r="S1860" s="19"/>
    </row>
    <row r="1861" ht="15.75" customHeight="1">
      <c r="A1861" s="15">
        <v>45903.57609953704</v>
      </c>
      <c r="B1861" s="16" t="s">
        <v>6682</v>
      </c>
      <c r="C1861" s="16" t="s">
        <v>6668</v>
      </c>
      <c r="D1861" s="16" t="s">
        <v>6685</v>
      </c>
      <c r="E1861" s="16" t="s">
        <v>6684</v>
      </c>
      <c r="F1861" s="16"/>
      <c r="G1861" s="16"/>
      <c r="H1861" s="18"/>
      <c r="I1861" s="18"/>
      <c r="J1861" s="18"/>
      <c r="K1861" s="18"/>
      <c r="L1861" s="18"/>
      <c r="M1861" s="18"/>
      <c r="N1861" s="18"/>
      <c r="O1861" s="18"/>
      <c r="P1861" s="18"/>
      <c r="Q1861" s="19"/>
      <c r="R1861" s="19"/>
      <c r="S1861" s="19"/>
    </row>
    <row r="1862" ht="15.75" customHeight="1">
      <c r="A1862" s="15">
        <v>45905.47730324074</v>
      </c>
      <c r="B1862" s="16" t="s">
        <v>6682</v>
      </c>
      <c r="C1862" s="16" t="s">
        <v>6668</v>
      </c>
      <c r="D1862" s="16" t="s">
        <v>6686</v>
      </c>
      <c r="E1862" s="16" t="s">
        <v>6687</v>
      </c>
      <c r="F1862" s="16"/>
      <c r="G1862" s="16"/>
      <c r="H1862" s="18"/>
      <c r="I1862" s="18"/>
      <c r="J1862" s="18"/>
      <c r="K1862" s="18"/>
      <c r="L1862" s="18"/>
      <c r="M1862" s="18"/>
      <c r="N1862" s="18"/>
      <c r="O1862" s="18"/>
      <c r="P1862" s="18"/>
      <c r="Q1862" s="19"/>
      <c r="R1862" s="19"/>
      <c r="S1862" s="19"/>
    </row>
    <row r="1863" ht="15.75" customHeight="1">
      <c r="A1863" s="15">
        <v>45909.78607638889</v>
      </c>
      <c r="B1863" s="16" t="s">
        <v>6671</v>
      </c>
      <c r="C1863" s="16" t="s">
        <v>6668</v>
      </c>
      <c r="D1863" s="16" t="s">
        <v>6688</v>
      </c>
      <c r="E1863" s="16" t="s">
        <v>6689</v>
      </c>
      <c r="F1863" s="16"/>
      <c r="G1863" s="16"/>
      <c r="H1863" s="18"/>
      <c r="I1863" s="18"/>
      <c r="J1863" s="18"/>
      <c r="K1863" s="18"/>
      <c r="L1863" s="18"/>
      <c r="M1863" s="18"/>
      <c r="N1863" s="18"/>
      <c r="O1863" s="18"/>
      <c r="P1863" s="18"/>
      <c r="Q1863" s="19"/>
      <c r="R1863" s="19"/>
      <c r="S1863" s="19"/>
    </row>
    <row r="1864" ht="15.75" customHeight="1">
      <c r="A1864" s="15">
        <v>45939.69565972222</v>
      </c>
      <c r="B1864" s="16" t="s">
        <v>6658</v>
      </c>
      <c r="C1864" s="16" t="s">
        <v>6668</v>
      </c>
      <c r="D1864" s="16" t="s">
        <v>6690</v>
      </c>
      <c r="E1864" s="16" t="s">
        <v>6691</v>
      </c>
      <c r="F1864" s="16"/>
      <c r="G1864" s="16"/>
      <c r="H1864" s="18"/>
      <c r="I1864" s="18"/>
      <c r="J1864" s="18"/>
      <c r="K1864" s="18"/>
      <c r="L1864" s="18"/>
      <c r="M1864" s="18"/>
      <c r="N1864" s="18"/>
      <c r="O1864" s="18"/>
      <c r="P1864" s="18"/>
      <c r="Q1864" s="19"/>
      <c r="R1864" s="19"/>
      <c r="S1864" s="19"/>
    </row>
    <row r="1865" ht="15.75" customHeight="1">
      <c r="A1865" s="15">
        <v>45903.59071759259</v>
      </c>
      <c r="B1865" s="16" t="s">
        <v>6591</v>
      </c>
      <c r="C1865" s="16" t="s">
        <v>6692</v>
      </c>
      <c r="D1865" s="16" t="s">
        <v>6693</v>
      </c>
      <c r="E1865" s="16" t="s">
        <v>6694</v>
      </c>
      <c r="F1865" s="16"/>
      <c r="G1865" s="16"/>
      <c r="H1865" s="18"/>
      <c r="I1865" s="18"/>
      <c r="J1865" s="18"/>
      <c r="K1865" s="18"/>
      <c r="L1865" s="18"/>
      <c r="M1865" s="18"/>
      <c r="N1865" s="18"/>
      <c r="O1865" s="18"/>
      <c r="P1865" s="18"/>
      <c r="Q1865" s="19"/>
      <c r="R1865" s="19"/>
      <c r="S1865" s="19"/>
    </row>
    <row r="1866" ht="15.75" customHeight="1">
      <c r="A1866" s="15">
        <v>45903.596400462964</v>
      </c>
      <c r="B1866" s="16" t="s">
        <v>6591</v>
      </c>
      <c r="C1866" s="16" t="s">
        <v>6692</v>
      </c>
      <c r="D1866" s="16" t="s">
        <v>6695</v>
      </c>
      <c r="E1866" s="16" t="s">
        <v>6696</v>
      </c>
      <c r="F1866" s="16"/>
      <c r="G1866" s="16"/>
      <c r="H1866" s="18"/>
      <c r="I1866" s="18"/>
      <c r="J1866" s="18"/>
      <c r="K1866" s="18"/>
      <c r="L1866" s="18"/>
      <c r="M1866" s="18"/>
      <c r="N1866" s="18"/>
      <c r="O1866" s="18"/>
      <c r="P1866" s="18"/>
      <c r="Q1866" s="19"/>
      <c r="R1866" s="19"/>
      <c r="S1866" s="19"/>
    </row>
    <row r="1867" ht="15.75" customHeight="1">
      <c r="A1867" s="15">
        <v>45905.35973379629</v>
      </c>
      <c r="B1867" s="16" t="s">
        <v>6591</v>
      </c>
      <c r="C1867" s="16" t="s">
        <v>6692</v>
      </c>
      <c r="D1867" s="16" t="s">
        <v>6697</v>
      </c>
      <c r="E1867" s="16" t="s">
        <v>6698</v>
      </c>
      <c r="F1867" s="16"/>
      <c r="G1867" s="16"/>
      <c r="H1867" s="18"/>
      <c r="I1867" s="18"/>
      <c r="J1867" s="18"/>
      <c r="K1867" s="18"/>
      <c r="L1867" s="18"/>
      <c r="M1867" s="18"/>
      <c r="N1867" s="18"/>
      <c r="O1867" s="18"/>
      <c r="P1867" s="18"/>
      <c r="Q1867" s="19"/>
      <c r="R1867" s="19"/>
      <c r="S1867" s="19"/>
    </row>
    <row r="1868" ht="15.75" customHeight="1">
      <c r="A1868" s="15">
        <v>45905.49475694444</v>
      </c>
      <c r="B1868" s="16" t="s">
        <v>6591</v>
      </c>
      <c r="C1868" s="16" t="s">
        <v>6692</v>
      </c>
      <c r="D1868" s="16" t="s">
        <v>6693</v>
      </c>
      <c r="E1868" s="16" t="s">
        <v>6699</v>
      </c>
      <c r="F1868" s="16"/>
      <c r="G1868" s="16"/>
      <c r="H1868" s="18"/>
      <c r="I1868" s="18"/>
      <c r="J1868" s="18"/>
      <c r="K1868" s="18"/>
      <c r="L1868" s="18"/>
      <c r="M1868" s="18"/>
      <c r="N1868" s="18"/>
      <c r="O1868" s="18"/>
      <c r="P1868" s="18"/>
      <c r="Q1868" s="19"/>
      <c r="R1868" s="19"/>
      <c r="S1868" s="19"/>
    </row>
    <row r="1869" ht="15.75" customHeight="1">
      <c r="A1869" s="15">
        <v>45909.32511574074</v>
      </c>
      <c r="B1869" s="16" t="s">
        <v>6591</v>
      </c>
      <c r="C1869" s="16" t="s">
        <v>6692</v>
      </c>
      <c r="D1869" s="16" t="s">
        <v>6693</v>
      </c>
      <c r="E1869" s="16" t="s">
        <v>6700</v>
      </c>
      <c r="F1869" s="16"/>
      <c r="G1869" s="16"/>
      <c r="H1869" s="18"/>
      <c r="I1869" s="18"/>
      <c r="J1869" s="18"/>
      <c r="K1869" s="18"/>
      <c r="L1869" s="18"/>
      <c r="M1869" s="18"/>
      <c r="N1869" s="18"/>
      <c r="O1869" s="18"/>
      <c r="P1869" s="18"/>
      <c r="Q1869" s="19"/>
      <c r="R1869" s="19"/>
      <c r="S1869" s="19"/>
    </row>
    <row r="1870" ht="15.75" customHeight="1">
      <c r="A1870" s="15">
        <v>45912.57989583333</v>
      </c>
      <c r="B1870" s="16" t="s">
        <v>6591</v>
      </c>
      <c r="C1870" s="16" t="s">
        <v>6692</v>
      </c>
      <c r="D1870" s="16" t="s">
        <v>6701</v>
      </c>
      <c r="E1870" s="16" t="s">
        <v>6702</v>
      </c>
      <c r="F1870" s="16"/>
      <c r="G1870" s="16"/>
      <c r="H1870" s="18"/>
      <c r="I1870" s="18"/>
      <c r="J1870" s="18"/>
      <c r="K1870" s="18"/>
      <c r="L1870" s="18"/>
      <c r="M1870" s="18"/>
      <c r="N1870" s="18"/>
      <c r="O1870" s="18"/>
      <c r="P1870" s="18"/>
      <c r="Q1870" s="19"/>
      <c r="R1870" s="19"/>
      <c r="S1870" s="19"/>
    </row>
    <row r="1871" ht="15.75" customHeight="1">
      <c r="A1871" s="15">
        <v>45912.626759259256</v>
      </c>
      <c r="B1871" s="16" t="s">
        <v>6591</v>
      </c>
      <c r="C1871" s="16" t="s">
        <v>6692</v>
      </c>
      <c r="D1871" s="16" t="s">
        <v>6693</v>
      </c>
      <c r="E1871" s="16" t="s">
        <v>6702</v>
      </c>
      <c r="F1871" s="16"/>
      <c r="G1871" s="16"/>
      <c r="H1871" s="18"/>
      <c r="I1871" s="18"/>
      <c r="J1871" s="18"/>
      <c r="K1871" s="18"/>
      <c r="L1871" s="18"/>
      <c r="M1871" s="18"/>
      <c r="N1871" s="18"/>
      <c r="O1871" s="18"/>
      <c r="P1871" s="18"/>
      <c r="Q1871" s="19"/>
      <c r="R1871" s="19"/>
      <c r="S1871" s="19"/>
    </row>
    <row r="1872" ht="15.75" customHeight="1">
      <c r="A1872" s="15">
        <v>45926.36530092593</v>
      </c>
      <c r="B1872" s="16" t="s">
        <v>6591</v>
      </c>
      <c r="C1872" s="16" t="s">
        <v>6692</v>
      </c>
      <c r="D1872" s="16" t="s">
        <v>6693</v>
      </c>
      <c r="E1872" s="16" t="s">
        <v>6703</v>
      </c>
      <c r="F1872" s="16"/>
      <c r="G1872" s="16"/>
      <c r="H1872" s="18"/>
      <c r="I1872" s="18"/>
      <c r="J1872" s="18"/>
      <c r="K1872" s="18"/>
      <c r="L1872" s="18"/>
      <c r="M1872" s="18"/>
      <c r="N1872" s="18"/>
      <c r="O1872" s="18"/>
      <c r="P1872" s="18"/>
      <c r="Q1872" s="19"/>
      <c r="R1872" s="19"/>
      <c r="S1872" s="19"/>
    </row>
    <row r="1873" ht="15.75" customHeight="1">
      <c r="A1873" s="15">
        <v>45929.95496527778</v>
      </c>
      <c r="B1873" s="16" t="s">
        <v>6591</v>
      </c>
      <c r="C1873" s="16" t="s">
        <v>6692</v>
      </c>
      <c r="D1873" s="16" t="s">
        <v>6693</v>
      </c>
      <c r="E1873" s="16" t="s">
        <v>6704</v>
      </c>
      <c r="F1873" s="16"/>
      <c r="G1873" s="16"/>
      <c r="H1873" s="18"/>
      <c r="I1873" s="18"/>
      <c r="J1873" s="18"/>
      <c r="K1873" s="18"/>
      <c r="L1873" s="18"/>
      <c r="M1873" s="18"/>
      <c r="N1873" s="18"/>
      <c r="O1873" s="18"/>
      <c r="P1873" s="18"/>
      <c r="Q1873" s="19"/>
      <c r="R1873" s="19"/>
      <c r="S1873" s="19"/>
    </row>
    <row r="1874" ht="15.75" customHeight="1">
      <c r="A1874" s="15">
        <v>45929.95621527778</v>
      </c>
      <c r="B1874" s="16" t="s">
        <v>6591</v>
      </c>
      <c r="C1874" s="16" t="s">
        <v>6692</v>
      </c>
      <c r="D1874" s="16" t="s">
        <v>6693</v>
      </c>
      <c r="E1874" s="16" t="s">
        <v>6705</v>
      </c>
      <c r="F1874" s="16"/>
      <c r="G1874" s="16"/>
      <c r="H1874" s="18"/>
      <c r="I1874" s="18"/>
      <c r="J1874" s="18"/>
      <c r="K1874" s="18"/>
      <c r="L1874" s="18"/>
      <c r="M1874" s="18"/>
      <c r="N1874" s="18"/>
      <c r="O1874" s="18"/>
      <c r="P1874" s="18"/>
      <c r="Q1874" s="19"/>
      <c r="R1874" s="19"/>
      <c r="S1874" s="19"/>
    </row>
    <row r="1875" ht="15.75" customHeight="1">
      <c r="A1875" s="15">
        <v>45659.50292824074</v>
      </c>
      <c r="B1875" s="16" t="s">
        <v>6706</v>
      </c>
      <c r="C1875" s="16" t="s">
        <v>6707</v>
      </c>
      <c r="D1875" s="20" t="str">
        <f>?windows-1252?Q?Subway=AE_any_way_-_Triple_the_pickles=2C_easy_on?=
 =?windows-1252?Q?_the_onions.?=</f>
        <v>#ERROR!</v>
      </c>
      <c r="E1875" s="16" t="s">
        <v>6708</v>
      </c>
      <c r="F1875" s="16"/>
      <c r="G1875" s="16"/>
      <c r="H1875" s="18"/>
      <c r="I1875" s="18"/>
      <c r="J1875" s="18"/>
      <c r="K1875" s="18"/>
      <c r="L1875" s="18"/>
      <c r="M1875" s="18"/>
      <c r="N1875" s="18"/>
      <c r="O1875" s="18"/>
      <c r="P1875" s="18"/>
      <c r="Q1875" s="19"/>
      <c r="R1875" s="19"/>
      <c r="S1875" s="19"/>
    </row>
    <row r="1876" ht="15.75" customHeight="1">
      <c r="A1876" s="15">
        <v>45664.501180555555</v>
      </c>
      <c r="B1876" s="16" t="s">
        <v>6706</v>
      </c>
      <c r="C1876" s="16" t="s">
        <v>6707</v>
      </c>
      <c r="D1876" s="16" t="s">
        <v>6709</v>
      </c>
      <c r="E1876" s="16" t="s">
        <v>6708</v>
      </c>
      <c r="F1876" s="16"/>
      <c r="G1876" s="16"/>
      <c r="H1876" s="18"/>
      <c r="I1876" s="18"/>
      <c r="J1876" s="18"/>
      <c r="K1876" s="18"/>
      <c r="L1876" s="18"/>
      <c r="M1876" s="18"/>
      <c r="N1876" s="18"/>
      <c r="O1876" s="18"/>
      <c r="P1876" s="18"/>
      <c r="Q1876" s="19"/>
      <c r="R1876" s="19"/>
      <c r="S1876" s="19"/>
    </row>
    <row r="1877" ht="15.75" customHeight="1">
      <c r="A1877" s="15">
        <v>45665.68303240741</v>
      </c>
      <c r="B1877" s="16" t="s">
        <v>6710</v>
      </c>
      <c r="C1877" s="16" t="s">
        <v>6707</v>
      </c>
      <c r="D1877" s="16" t="s">
        <v>6711</v>
      </c>
      <c r="E1877" s="16" t="s">
        <v>6712</v>
      </c>
      <c r="F1877" s="16"/>
      <c r="G1877" s="16"/>
      <c r="H1877" s="18"/>
      <c r="I1877" s="18"/>
      <c r="J1877" s="18"/>
      <c r="K1877" s="18"/>
      <c r="L1877" s="18"/>
      <c r="M1877" s="18"/>
      <c r="N1877" s="18"/>
      <c r="O1877" s="18"/>
      <c r="P1877" s="18"/>
      <c r="Q1877" s="19"/>
      <c r="R1877" s="19"/>
      <c r="S1877" s="19"/>
    </row>
    <row r="1878" ht="15.75" customHeight="1">
      <c r="A1878" s="15">
        <v>45666.503333333334</v>
      </c>
      <c r="B1878" s="16" t="s">
        <v>6706</v>
      </c>
      <c r="C1878" s="16" t="s">
        <v>6707</v>
      </c>
      <c r="D1878" s="16" t="s">
        <v>6713</v>
      </c>
      <c r="E1878" s="16" t="s">
        <v>6708</v>
      </c>
      <c r="F1878" s="16"/>
      <c r="G1878" s="16"/>
      <c r="H1878" s="18"/>
      <c r="I1878" s="18"/>
      <c r="J1878" s="18"/>
      <c r="K1878" s="18"/>
      <c r="L1878" s="18"/>
      <c r="M1878" s="18"/>
      <c r="N1878" s="18"/>
      <c r="O1878" s="18"/>
      <c r="P1878" s="18"/>
      <c r="Q1878" s="19"/>
      <c r="R1878" s="19"/>
      <c r="S1878" s="19"/>
    </row>
    <row r="1879" ht="15.75" customHeight="1">
      <c r="A1879" s="15">
        <v>45669.60805555555</v>
      </c>
      <c r="B1879" s="16" t="s">
        <v>6710</v>
      </c>
      <c r="C1879" s="16" t="s">
        <v>6714</v>
      </c>
      <c r="D1879" s="16" t="s">
        <v>6715</v>
      </c>
      <c r="E1879" s="16" t="s">
        <v>6716</v>
      </c>
      <c r="F1879" s="16"/>
      <c r="G1879" s="16"/>
      <c r="H1879" s="18"/>
      <c r="I1879" s="18"/>
      <c r="J1879" s="18"/>
      <c r="K1879" s="18"/>
      <c r="L1879" s="18"/>
      <c r="M1879" s="18"/>
      <c r="N1879" s="18"/>
      <c r="O1879" s="18"/>
      <c r="P1879" s="18"/>
      <c r="Q1879" s="19"/>
      <c r="R1879" s="19"/>
      <c r="S1879" s="19"/>
    </row>
    <row r="1880" ht="15.75" customHeight="1">
      <c r="A1880" s="15">
        <v>45670.50042824074</v>
      </c>
      <c r="B1880" s="16" t="s">
        <v>6706</v>
      </c>
      <c r="C1880" s="16" t="s">
        <v>6707</v>
      </c>
      <c r="D1880" s="16" t="s">
        <v>6717</v>
      </c>
      <c r="E1880" s="16" t="s">
        <v>6708</v>
      </c>
      <c r="F1880" s="16"/>
      <c r="G1880" s="16"/>
      <c r="H1880" s="18"/>
      <c r="I1880" s="18"/>
      <c r="J1880" s="18"/>
      <c r="K1880" s="18"/>
      <c r="L1880" s="18"/>
      <c r="M1880" s="18"/>
      <c r="N1880" s="18"/>
      <c r="O1880" s="18"/>
      <c r="P1880" s="18"/>
      <c r="Q1880" s="19"/>
      <c r="R1880" s="19"/>
      <c r="S1880" s="19"/>
    </row>
    <row r="1881" ht="15.75" customHeight="1">
      <c r="A1881" s="15">
        <v>45672.60868055555</v>
      </c>
      <c r="B1881" s="16" t="s">
        <v>6710</v>
      </c>
      <c r="C1881" s="16" t="s">
        <v>6714</v>
      </c>
      <c r="D1881" s="20" t="str">
        <f>?UTF-8?B?RG9u4oCZdCBtaXNzIG91dCAtIGZpbmlzaCBzZXR0aW5nIHVwIHlv?=
 =?UTF-8?B?dXIgYWNjb3VudCB0b2RheSE=?=</f>
        <v>#ERROR!</v>
      </c>
      <c r="E1881" s="16" t="s">
        <v>6718</v>
      </c>
      <c r="F1881" s="16"/>
      <c r="G1881" s="16"/>
      <c r="H1881" s="18"/>
      <c r="I1881" s="18"/>
      <c r="J1881" s="18"/>
      <c r="K1881" s="18"/>
      <c r="L1881" s="18"/>
      <c r="M1881" s="18"/>
      <c r="N1881" s="18"/>
      <c r="O1881" s="18"/>
      <c r="P1881" s="18"/>
      <c r="Q1881" s="19"/>
      <c r="R1881" s="19"/>
      <c r="S1881" s="19"/>
    </row>
    <row r="1882" ht="15.75" customHeight="1">
      <c r="A1882" s="15">
        <v>45673.501655092594</v>
      </c>
      <c r="B1882" s="16" t="s">
        <v>6706</v>
      </c>
      <c r="C1882" s="16" t="s">
        <v>6707</v>
      </c>
      <c r="D1882" s="16" t="s">
        <v>6719</v>
      </c>
      <c r="E1882" s="16" t="s">
        <v>6708</v>
      </c>
      <c r="F1882" s="16"/>
      <c r="G1882" s="16"/>
      <c r="H1882" s="18"/>
      <c r="I1882" s="18"/>
      <c r="J1882" s="18"/>
      <c r="K1882" s="18"/>
      <c r="L1882" s="18"/>
      <c r="M1882" s="18"/>
      <c r="N1882" s="18"/>
      <c r="O1882" s="18"/>
      <c r="P1882" s="18"/>
      <c r="Q1882" s="19"/>
      <c r="R1882" s="19"/>
      <c r="S1882" s="19"/>
    </row>
    <row r="1883" ht="15.75" customHeight="1">
      <c r="A1883" s="15">
        <v>45678.500706018516</v>
      </c>
      <c r="B1883" s="16" t="s">
        <v>6706</v>
      </c>
      <c r="C1883" s="16" t="s">
        <v>6707</v>
      </c>
      <c r="D1883" s="16" t="s">
        <v>6720</v>
      </c>
      <c r="E1883" s="16" t="s">
        <v>6708</v>
      </c>
      <c r="F1883" s="16"/>
      <c r="G1883" s="16"/>
      <c r="H1883" s="18"/>
      <c r="I1883" s="18"/>
      <c r="J1883" s="18"/>
      <c r="K1883" s="18"/>
      <c r="L1883" s="18"/>
      <c r="M1883" s="18"/>
      <c r="N1883" s="18"/>
      <c r="O1883" s="18"/>
      <c r="P1883" s="18"/>
      <c r="Q1883" s="19"/>
      <c r="R1883" s="19"/>
      <c r="S1883" s="19"/>
    </row>
    <row r="1884" ht="15.75" customHeight="1">
      <c r="A1884" s="15">
        <v>45679.126539351855</v>
      </c>
      <c r="B1884" s="16" t="s">
        <v>6710</v>
      </c>
      <c r="C1884" s="16" t="s">
        <v>6714</v>
      </c>
      <c r="D1884" s="16" t="s">
        <v>6721</v>
      </c>
      <c r="E1884" s="16" t="s">
        <v>6722</v>
      </c>
      <c r="F1884" s="16"/>
      <c r="G1884" s="16"/>
      <c r="H1884" s="18"/>
      <c r="I1884" s="18"/>
      <c r="J1884" s="18"/>
      <c r="K1884" s="18"/>
      <c r="L1884" s="18"/>
      <c r="M1884" s="18"/>
      <c r="N1884" s="18"/>
      <c r="O1884" s="18"/>
      <c r="P1884" s="18"/>
      <c r="Q1884" s="19"/>
      <c r="R1884" s="19"/>
      <c r="S1884" s="19"/>
    </row>
    <row r="1885" ht="15.75" customHeight="1">
      <c r="A1885" s="15">
        <v>45679.6093287037</v>
      </c>
      <c r="B1885" s="16" t="s">
        <v>6710</v>
      </c>
      <c r="C1885" s="16" t="s">
        <v>6714</v>
      </c>
      <c r="D1885" s="20" t="str">
        <f>?UTF-8?B?RG9u4oCZdCBmb3JnZXQgdG8gZmluaXNoIHNldHRpbmcgdXAgeW91?=
 =?UTF-8?B?ciBhY2NvdW50IQ==?=</f>
        <v>#ERROR!</v>
      </c>
      <c r="E1885" s="16" t="s">
        <v>6723</v>
      </c>
      <c r="F1885" s="16"/>
      <c r="G1885" s="16"/>
      <c r="H1885" s="18"/>
      <c r="I1885" s="18"/>
      <c r="J1885" s="18"/>
      <c r="K1885" s="18"/>
      <c r="L1885" s="18"/>
      <c r="M1885" s="18"/>
      <c r="N1885" s="18"/>
      <c r="O1885" s="18"/>
      <c r="P1885" s="18"/>
      <c r="Q1885" s="19"/>
      <c r="R1885" s="19"/>
      <c r="S1885" s="19"/>
    </row>
    <row r="1886" ht="15.75" customHeight="1">
      <c r="A1886" s="15">
        <v>45680.501388888886</v>
      </c>
      <c r="B1886" s="16" t="s">
        <v>6706</v>
      </c>
      <c r="C1886" s="16" t="s">
        <v>6707</v>
      </c>
      <c r="D1886" s="16" t="s">
        <v>6724</v>
      </c>
      <c r="E1886" s="16" t="s">
        <v>6708</v>
      </c>
      <c r="F1886" s="16"/>
      <c r="G1886" s="16"/>
      <c r="H1886" s="18"/>
      <c r="I1886" s="18"/>
      <c r="J1886" s="18"/>
      <c r="K1886" s="18"/>
      <c r="L1886" s="18"/>
      <c r="M1886" s="18"/>
      <c r="N1886" s="18"/>
      <c r="O1886" s="18"/>
      <c r="P1886" s="18"/>
      <c r="Q1886" s="19"/>
      <c r="R1886" s="19"/>
      <c r="S1886" s="19"/>
    </row>
    <row r="1887" ht="15.75" customHeight="1">
      <c r="A1887" s="15">
        <v>45681.25708333333</v>
      </c>
      <c r="B1887" s="16" t="s">
        <v>6725</v>
      </c>
      <c r="C1887" s="16" t="s">
        <v>6707</v>
      </c>
      <c r="D1887" s="16" t="s">
        <v>6726</v>
      </c>
      <c r="E1887" s="16" t="s">
        <v>6727</v>
      </c>
      <c r="F1887" s="16"/>
      <c r="G1887" s="16"/>
      <c r="H1887" s="18"/>
      <c r="I1887" s="18"/>
      <c r="J1887" s="18"/>
      <c r="K1887" s="18"/>
      <c r="L1887" s="18"/>
      <c r="M1887" s="18"/>
      <c r="N1887" s="18"/>
      <c r="O1887" s="18"/>
      <c r="P1887" s="18"/>
      <c r="Q1887" s="19"/>
      <c r="R1887" s="19"/>
      <c r="S1887" s="19"/>
    </row>
    <row r="1888" ht="15.75" customHeight="1">
      <c r="A1888" s="15">
        <v>45687.50331018519</v>
      </c>
      <c r="B1888" s="16" t="s">
        <v>6706</v>
      </c>
      <c r="C1888" s="16" t="s">
        <v>6707</v>
      </c>
      <c r="D1888" s="16" t="s">
        <v>6728</v>
      </c>
      <c r="E1888" s="16" t="s">
        <v>6708</v>
      </c>
      <c r="F1888" s="16"/>
      <c r="G1888" s="16"/>
      <c r="H1888" s="18"/>
      <c r="I1888" s="18"/>
      <c r="J1888" s="18"/>
      <c r="K1888" s="18"/>
      <c r="L1888" s="18"/>
      <c r="M1888" s="18"/>
      <c r="N1888" s="18"/>
      <c r="O1888" s="18"/>
      <c r="P1888" s="18"/>
      <c r="Q1888" s="19"/>
      <c r="R1888" s="19"/>
      <c r="S1888" s="19"/>
    </row>
    <row r="1889" ht="15.75" customHeight="1">
      <c r="A1889" s="15">
        <v>45688.50251157407</v>
      </c>
      <c r="B1889" s="16" t="s">
        <v>6706</v>
      </c>
      <c r="C1889" s="16" t="s">
        <v>6707</v>
      </c>
      <c r="D1889" s="20" t="str">
        <f>?windows-1252?Q?Get_a_6=94_Cold_Cut_Combo_or_Ham_sub_for_only_$?=
 =?windows-1252?Q?4.99.?=</f>
        <v>#ERROR!</v>
      </c>
      <c r="E1889" s="16" t="s">
        <v>6708</v>
      </c>
      <c r="F1889" s="16"/>
      <c r="G1889" s="16"/>
      <c r="H1889" s="18"/>
      <c r="I1889" s="18"/>
      <c r="J1889" s="18"/>
      <c r="K1889" s="18"/>
      <c r="L1889" s="18"/>
      <c r="M1889" s="18"/>
      <c r="N1889" s="18"/>
      <c r="O1889" s="18"/>
      <c r="P1889" s="18"/>
      <c r="Q1889" s="19"/>
      <c r="R1889" s="19"/>
      <c r="S1889" s="19"/>
    </row>
    <row r="1890" ht="15.75" customHeight="1">
      <c r="A1890" s="15">
        <v>45692.50388888889</v>
      </c>
      <c r="B1890" s="16" t="s">
        <v>6706</v>
      </c>
      <c r="C1890" s="16" t="s">
        <v>6707</v>
      </c>
      <c r="D1890" s="16" t="s">
        <v>6729</v>
      </c>
      <c r="E1890" s="16" t="s">
        <v>6708</v>
      </c>
      <c r="F1890" s="16"/>
      <c r="G1890" s="16"/>
      <c r="H1890" s="18"/>
      <c r="I1890" s="18"/>
      <c r="J1890" s="18"/>
      <c r="K1890" s="18"/>
      <c r="L1890" s="18"/>
      <c r="M1890" s="18"/>
      <c r="N1890" s="18"/>
      <c r="O1890" s="18"/>
      <c r="P1890" s="18"/>
      <c r="Q1890" s="19"/>
      <c r="R1890" s="19"/>
      <c r="S1890" s="19"/>
    </row>
    <row r="1891" ht="15.75" customHeight="1">
      <c r="A1891" s="15">
        <v>45693.25226851852</v>
      </c>
      <c r="B1891" s="16" t="s">
        <v>6710</v>
      </c>
      <c r="C1891" s="16" t="s">
        <v>6714</v>
      </c>
      <c r="D1891" s="20" t="str">
        <f>?UTF-8?B?Q3JhaWcsIG91ciBWYWxlbnRpbmXigJlzIGdpZnQgdG8geW91OiBj?=
 =?UTF-8?B?YXNoIGJhY2s=?=</f>
        <v>#ERROR!</v>
      </c>
      <c r="E1891" s="16" t="s">
        <v>6730</v>
      </c>
      <c r="F1891" s="16"/>
      <c r="G1891" s="16"/>
      <c r="H1891" s="18"/>
      <c r="I1891" s="18"/>
      <c r="J1891" s="18"/>
      <c r="K1891" s="18"/>
      <c r="L1891" s="18"/>
      <c r="M1891" s="18"/>
      <c r="N1891" s="18"/>
      <c r="O1891" s="18"/>
      <c r="P1891" s="18"/>
      <c r="Q1891" s="19"/>
      <c r="R1891" s="19"/>
      <c r="S1891" s="19"/>
    </row>
    <row r="1892" ht="15.75" customHeight="1">
      <c r="A1892" s="15">
        <v>45694.460324074076</v>
      </c>
      <c r="B1892" s="16" t="s">
        <v>6706</v>
      </c>
      <c r="C1892" s="16" t="s">
        <v>6707</v>
      </c>
      <c r="D1892" s="20" t="str">
        <f>?windows-1252?Q?We_know_you=92re_a_big_Footlong_sub_fan=85?=</f>
        <v>#ERROR!</v>
      </c>
      <c r="E1892" s="16" t="s">
        <v>6708</v>
      </c>
      <c r="F1892" s="16"/>
      <c r="G1892" s="16"/>
      <c r="H1892" s="18"/>
      <c r="I1892" s="18"/>
      <c r="J1892" s="18"/>
      <c r="K1892" s="18"/>
      <c r="L1892" s="18"/>
      <c r="M1892" s="18"/>
      <c r="N1892" s="18"/>
      <c r="O1892" s="18"/>
      <c r="P1892" s="18"/>
      <c r="Q1892" s="19"/>
      <c r="R1892" s="19"/>
      <c r="S1892" s="19"/>
    </row>
    <row r="1893" ht="15.75" customHeight="1">
      <c r="A1893" s="15">
        <v>45699.42144675926</v>
      </c>
      <c r="B1893" s="16" t="s">
        <v>6706</v>
      </c>
      <c r="C1893" s="16" t="s">
        <v>6707</v>
      </c>
      <c r="D1893" s="20" t="str">
        <f>?windows-1252?Q?Your_Subway=AE_MVP_Rewards_points_are_expiring_?=
 =?windows-1252?Q?soon?=</f>
        <v>#ERROR!</v>
      </c>
      <c r="E1893" s="16" t="s">
        <v>6708</v>
      </c>
      <c r="F1893" s="16"/>
      <c r="G1893" s="16"/>
      <c r="H1893" s="18"/>
      <c r="I1893" s="18"/>
      <c r="J1893" s="18"/>
      <c r="K1893" s="18"/>
      <c r="L1893" s="18"/>
      <c r="M1893" s="18"/>
      <c r="N1893" s="18"/>
      <c r="O1893" s="18"/>
      <c r="P1893" s="18"/>
      <c r="Q1893" s="19"/>
      <c r="R1893" s="19"/>
      <c r="S1893" s="19"/>
    </row>
    <row r="1894" ht="15.75" customHeight="1">
      <c r="A1894" s="15">
        <v>45699.502233796295</v>
      </c>
      <c r="B1894" s="16" t="s">
        <v>6706</v>
      </c>
      <c r="C1894" s="16" t="s">
        <v>6707</v>
      </c>
      <c r="D1894" s="20" t="str">
        <f>?utf-8?B?8J+aqEZvb3Rsb25nIHRpbWUgaXMgYWxtb3N0IG92ZXIg8J+aqA==?=</f>
        <v>#ERROR!</v>
      </c>
      <c r="E1894" s="16" t="s">
        <v>6708</v>
      </c>
      <c r="F1894" s="16"/>
      <c r="G1894" s="16"/>
      <c r="H1894" s="18"/>
      <c r="I1894" s="18"/>
      <c r="J1894" s="18"/>
      <c r="K1894" s="18"/>
      <c r="L1894" s="18"/>
      <c r="M1894" s="18"/>
      <c r="N1894" s="18"/>
      <c r="O1894" s="18"/>
      <c r="P1894" s="18"/>
      <c r="Q1894" s="19"/>
      <c r="R1894" s="19"/>
      <c r="S1894" s="19"/>
    </row>
    <row r="1895" ht="15.75" customHeight="1">
      <c r="A1895" s="15">
        <v>45699.41884259259</v>
      </c>
      <c r="B1895" s="16" t="s">
        <v>6710</v>
      </c>
      <c r="C1895" s="16" t="s">
        <v>6714</v>
      </c>
      <c r="D1895" s="16" t="s">
        <v>6731</v>
      </c>
      <c r="E1895" s="16" t="s">
        <v>6732</v>
      </c>
      <c r="F1895" s="16"/>
      <c r="G1895" s="16"/>
      <c r="H1895" s="18"/>
      <c r="I1895" s="18"/>
      <c r="J1895" s="18"/>
      <c r="K1895" s="18"/>
      <c r="L1895" s="18"/>
      <c r="M1895" s="18"/>
      <c r="N1895" s="18"/>
      <c r="O1895" s="18"/>
      <c r="P1895" s="18"/>
      <c r="Q1895" s="19"/>
      <c r="R1895" s="19"/>
      <c r="S1895" s="19"/>
    </row>
    <row r="1896" ht="15.75" customHeight="1">
      <c r="A1896" s="15">
        <v>45701.501539351855</v>
      </c>
      <c r="B1896" s="16" t="s">
        <v>6706</v>
      </c>
      <c r="C1896" s="16" t="s">
        <v>6707</v>
      </c>
      <c r="D1896" s="20" t="str">
        <f>?utf-8?B?R2V0IGEgJDUgU25hY2t3aWNoIEJ1bmRsZSBiZWZvcmUgaXQgaQ==?=
 =?utf-8?B?cyBnb25l4oC877iP?=</f>
        <v>#ERROR!</v>
      </c>
      <c r="E1896" s="16" t="s">
        <v>6708</v>
      </c>
      <c r="F1896" s="16"/>
      <c r="G1896" s="16"/>
      <c r="H1896" s="18"/>
      <c r="I1896" s="18"/>
      <c r="J1896" s="18"/>
      <c r="K1896" s="18"/>
      <c r="L1896" s="18"/>
      <c r="M1896" s="18"/>
      <c r="N1896" s="18"/>
      <c r="O1896" s="18"/>
      <c r="P1896" s="18"/>
      <c r="Q1896" s="19"/>
      <c r="R1896" s="19"/>
      <c r="S1896" s="19"/>
    </row>
    <row r="1897" ht="15.75" customHeight="1">
      <c r="A1897" s="15">
        <v>45705.501759259256</v>
      </c>
      <c r="B1897" s="16" t="s">
        <v>6706</v>
      </c>
      <c r="C1897" s="16" t="s">
        <v>6707</v>
      </c>
      <c r="D1897" s="20" t="str">
        <f>?windows-1252?Q?Footlong_BOGO_for_$1=3F_Yesway=AE!?=</f>
        <v>#ERROR!</v>
      </c>
      <c r="E1897" s="16" t="s">
        <v>6708</v>
      </c>
      <c r="F1897" s="16"/>
      <c r="G1897" s="16"/>
      <c r="H1897" s="18"/>
      <c r="I1897" s="18"/>
      <c r="J1897" s="18"/>
      <c r="K1897" s="18"/>
      <c r="L1897" s="18"/>
      <c r="M1897" s="18"/>
      <c r="N1897" s="18"/>
      <c r="O1897" s="18"/>
      <c r="P1897" s="18"/>
      <c r="Q1897" s="19"/>
      <c r="R1897" s="19"/>
      <c r="S1897" s="19"/>
    </row>
    <row r="1898" ht="15.75" customHeight="1">
      <c r="A1898" s="15">
        <v>45708.50162037037</v>
      </c>
      <c r="B1898" s="16" t="s">
        <v>6706</v>
      </c>
      <c r="C1898" s="16" t="s">
        <v>6707</v>
      </c>
      <c r="D1898" s="16" t="s">
        <v>6733</v>
      </c>
      <c r="E1898" s="16" t="s">
        <v>6708</v>
      </c>
      <c r="F1898" s="16"/>
      <c r="G1898" s="16"/>
      <c r="H1898" s="18"/>
      <c r="I1898" s="18"/>
      <c r="J1898" s="18"/>
      <c r="K1898" s="18"/>
      <c r="L1898" s="18"/>
      <c r="M1898" s="18"/>
      <c r="N1898" s="18"/>
      <c r="O1898" s="18"/>
      <c r="P1898" s="18"/>
      <c r="Q1898" s="19"/>
      <c r="R1898" s="19"/>
      <c r="S1898" s="19"/>
    </row>
    <row r="1899" ht="15.75" customHeight="1">
      <c r="A1899" s="15">
        <v>45715.50225694444</v>
      </c>
      <c r="B1899" s="16" t="s">
        <v>6706</v>
      </c>
      <c r="C1899" s="16" t="s">
        <v>6707</v>
      </c>
      <c r="D1899" s="20" t="str">
        <f>?utf-8?B?Rm9vdGxvbmcgQk9HTyBmb3IgJDE/IE9mZmVyIHdvbnQgbGFzdA==?=
 =?utf-8?B?IGZvcmV2ZXIhISDwn6SR?=</f>
        <v>#ERROR!</v>
      </c>
      <c r="E1899" s="16" t="s">
        <v>6708</v>
      </c>
      <c r="F1899" s="16"/>
      <c r="G1899" s="16"/>
      <c r="H1899" s="18"/>
      <c r="I1899" s="18"/>
      <c r="J1899" s="18"/>
      <c r="K1899" s="18"/>
      <c r="L1899" s="18"/>
      <c r="M1899" s="18"/>
      <c r="N1899" s="18"/>
      <c r="O1899" s="18"/>
      <c r="P1899" s="18"/>
      <c r="Q1899" s="19"/>
      <c r="R1899" s="19"/>
      <c r="S1899" s="19"/>
    </row>
    <row r="1900" ht="15.75" customHeight="1">
      <c r="A1900" s="15">
        <v>45719.503275462965</v>
      </c>
      <c r="B1900" s="16" t="s">
        <v>6706</v>
      </c>
      <c r="C1900" s="16" t="s">
        <v>6707</v>
      </c>
      <c r="D1900" s="16" t="s">
        <v>6734</v>
      </c>
      <c r="E1900" s="16" t="s">
        <v>6708</v>
      </c>
      <c r="F1900" s="16"/>
      <c r="G1900" s="16"/>
      <c r="H1900" s="18"/>
      <c r="I1900" s="18"/>
      <c r="J1900" s="18"/>
      <c r="K1900" s="18"/>
      <c r="L1900" s="18"/>
      <c r="M1900" s="18"/>
      <c r="N1900" s="18"/>
      <c r="O1900" s="18"/>
      <c r="P1900" s="18"/>
      <c r="Q1900" s="19"/>
      <c r="R1900" s="19"/>
      <c r="S1900" s="19"/>
    </row>
    <row r="1901" ht="15.75" customHeight="1">
      <c r="A1901" s="15">
        <v>45721.293171296296</v>
      </c>
      <c r="B1901" s="16" t="s">
        <v>6710</v>
      </c>
      <c r="C1901" s="16" t="s">
        <v>6714</v>
      </c>
      <c r="D1901" s="16" t="s">
        <v>6735</v>
      </c>
      <c r="E1901" s="16" t="s">
        <v>6736</v>
      </c>
      <c r="F1901" s="16"/>
      <c r="G1901" s="16"/>
      <c r="H1901" s="18"/>
      <c r="I1901" s="18"/>
      <c r="J1901" s="18"/>
      <c r="K1901" s="18"/>
      <c r="L1901" s="18"/>
      <c r="M1901" s="18"/>
      <c r="N1901" s="18"/>
      <c r="O1901" s="18"/>
      <c r="P1901" s="18"/>
      <c r="Q1901" s="19"/>
      <c r="R1901" s="19"/>
      <c r="S1901" s="19"/>
    </row>
    <row r="1902" ht="15.75" customHeight="1">
      <c r="A1902" s="15">
        <v>45722.42159722222</v>
      </c>
      <c r="B1902" s="16" t="s">
        <v>6706</v>
      </c>
      <c r="C1902" s="16" t="s">
        <v>6707</v>
      </c>
      <c r="D1902" s="20" t="str">
        <f>?windows-1252?Q?Your_Subway=AE_MVP_points_will_expire_in_7_days?=</f>
        <v>#ERROR!</v>
      </c>
      <c r="E1902" s="16" t="s">
        <v>6708</v>
      </c>
      <c r="F1902" s="16"/>
      <c r="G1902" s="16"/>
      <c r="H1902" s="18"/>
      <c r="I1902" s="18"/>
      <c r="J1902" s="18"/>
      <c r="K1902" s="18"/>
      <c r="L1902" s="18"/>
      <c r="M1902" s="18"/>
      <c r="N1902" s="18"/>
      <c r="O1902" s="18"/>
      <c r="P1902" s="18"/>
      <c r="Q1902" s="19"/>
      <c r="R1902" s="19"/>
      <c r="S1902" s="19"/>
    </row>
    <row r="1903" ht="15.75" customHeight="1">
      <c r="A1903" s="15">
        <v>45722.574849537035</v>
      </c>
      <c r="B1903" s="16" t="s">
        <v>6706</v>
      </c>
      <c r="C1903" s="16" t="s">
        <v>6707</v>
      </c>
      <c r="D1903" s="20" t="str">
        <f>?windows-1252?Q?6_cookies_for_$3.49=3F_Yesway=AE!?=</f>
        <v>#ERROR!</v>
      </c>
      <c r="E1903" s="16" t="s">
        <v>6708</v>
      </c>
      <c r="F1903" s="16"/>
      <c r="G1903" s="16"/>
      <c r="H1903" s="18"/>
      <c r="I1903" s="18"/>
      <c r="J1903" s="18"/>
      <c r="K1903" s="18"/>
      <c r="L1903" s="18"/>
      <c r="M1903" s="18"/>
      <c r="N1903" s="18"/>
      <c r="O1903" s="18"/>
      <c r="P1903" s="18"/>
      <c r="Q1903" s="19"/>
      <c r="R1903" s="19"/>
      <c r="S1903" s="19"/>
    </row>
    <row r="1904" ht="15.75" customHeight="1">
      <c r="A1904" s="15">
        <v>45727.50052083333</v>
      </c>
      <c r="B1904" s="16" t="s">
        <v>6706</v>
      </c>
      <c r="C1904" s="16" t="s">
        <v>6707</v>
      </c>
      <c r="D1904" s="16" t="s">
        <v>6737</v>
      </c>
      <c r="E1904" s="16" t="s">
        <v>6708</v>
      </c>
      <c r="F1904" s="16"/>
      <c r="G1904" s="16"/>
      <c r="H1904" s="18"/>
      <c r="I1904" s="18"/>
      <c r="J1904" s="18"/>
      <c r="K1904" s="18"/>
      <c r="L1904" s="18"/>
      <c r="M1904" s="18"/>
      <c r="N1904" s="18"/>
      <c r="O1904" s="18"/>
      <c r="P1904" s="18"/>
      <c r="Q1904" s="19"/>
      <c r="R1904" s="19"/>
      <c r="S1904" s="19"/>
    </row>
    <row r="1905" ht="15.75" customHeight="1">
      <c r="A1905" s="15">
        <v>45730.55055555556</v>
      </c>
      <c r="B1905" s="16" t="s">
        <v>6706</v>
      </c>
      <c r="C1905" s="16" t="s">
        <v>6707</v>
      </c>
      <c r="D1905" s="16" t="s">
        <v>6738</v>
      </c>
      <c r="E1905" s="16" t="s">
        <v>6708</v>
      </c>
      <c r="F1905" s="16"/>
      <c r="G1905" s="16"/>
      <c r="H1905" s="18"/>
      <c r="I1905" s="18"/>
      <c r="J1905" s="18"/>
      <c r="K1905" s="18"/>
      <c r="L1905" s="18"/>
      <c r="M1905" s="18"/>
      <c r="N1905" s="18"/>
      <c r="O1905" s="18"/>
      <c r="P1905" s="18"/>
      <c r="Q1905" s="19"/>
      <c r="R1905" s="19"/>
      <c r="S1905" s="19"/>
    </row>
    <row r="1906" ht="15.75" customHeight="1">
      <c r="A1906" s="15">
        <v>45734.50304398148</v>
      </c>
      <c r="B1906" s="16" t="s">
        <v>6706</v>
      </c>
      <c r="C1906" s="16" t="s">
        <v>6707</v>
      </c>
      <c r="D1906" s="16" t="s">
        <v>6739</v>
      </c>
      <c r="E1906" s="16" t="s">
        <v>6708</v>
      </c>
      <c r="F1906" s="16"/>
      <c r="G1906" s="16"/>
      <c r="H1906" s="18"/>
      <c r="I1906" s="18"/>
      <c r="J1906" s="18"/>
      <c r="K1906" s="18"/>
      <c r="L1906" s="18"/>
      <c r="M1906" s="18"/>
      <c r="N1906" s="18"/>
      <c r="O1906" s="18"/>
      <c r="P1906" s="18"/>
      <c r="Q1906" s="19"/>
      <c r="R1906" s="19"/>
      <c r="S1906" s="19"/>
    </row>
    <row r="1907" ht="15.75" customHeight="1">
      <c r="A1907" s="15">
        <v>45735.23068287037</v>
      </c>
      <c r="B1907" s="16" t="s">
        <v>6710</v>
      </c>
      <c r="C1907" s="16" t="s">
        <v>6714</v>
      </c>
      <c r="D1907" s="16" t="s">
        <v>6740</v>
      </c>
      <c r="E1907" s="16" t="s">
        <v>6741</v>
      </c>
      <c r="F1907" s="16"/>
      <c r="G1907" s="16"/>
      <c r="H1907" s="18"/>
      <c r="I1907" s="18"/>
      <c r="J1907" s="18"/>
      <c r="K1907" s="18"/>
      <c r="L1907" s="18"/>
      <c r="M1907" s="18"/>
      <c r="N1907" s="18"/>
      <c r="O1907" s="18"/>
      <c r="P1907" s="18"/>
      <c r="Q1907" s="19"/>
      <c r="R1907" s="19"/>
      <c r="S1907" s="19"/>
    </row>
    <row r="1908" ht="15.75" customHeight="1">
      <c r="A1908" s="15">
        <v>45736.50125</v>
      </c>
      <c r="B1908" s="16" t="s">
        <v>6706</v>
      </c>
      <c r="C1908" s="16" t="s">
        <v>6707</v>
      </c>
      <c r="D1908" s="16" t="s">
        <v>6742</v>
      </c>
      <c r="E1908" s="16" t="s">
        <v>6708</v>
      </c>
      <c r="F1908" s="16"/>
      <c r="G1908" s="16"/>
      <c r="H1908" s="18"/>
      <c r="I1908" s="18"/>
      <c r="J1908" s="18"/>
      <c r="K1908" s="18"/>
      <c r="L1908" s="18"/>
      <c r="M1908" s="18"/>
      <c r="N1908" s="18"/>
      <c r="O1908" s="18"/>
      <c r="P1908" s="18"/>
      <c r="Q1908" s="19"/>
      <c r="R1908" s="19"/>
      <c r="S1908" s="19"/>
    </row>
    <row r="1909" ht="15.75" customHeight="1">
      <c r="A1909" s="15">
        <v>45743.55134259259</v>
      </c>
      <c r="B1909" s="16" t="s">
        <v>6706</v>
      </c>
      <c r="C1909" s="16" t="s">
        <v>6707</v>
      </c>
      <c r="D1909" s="16" t="s">
        <v>6743</v>
      </c>
      <c r="E1909" s="16" t="s">
        <v>6708</v>
      </c>
      <c r="F1909" s="16"/>
      <c r="G1909" s="16"/>
      <c r="H1909" s="18"/>
      <c r="I1909" s="18"/>
      <c r="J1909" s="18"/>
      <c r="K1909" s="18"/>
      <c r="L1909" s="18"/>
      <c r="M1909" s="18"/>
      <c r="N1909" s="18"/>
      <c r="O1909" s="18"/>
      <c r="P1909" s="18"/>
      <c r="Q1909" s="19"/>
      <c r="R1909" s="19"/>
      <c r="S1909" s="19"/>
    </row>
    <row r="1910" ht="15.75" customHeight="1">
      <c r="A1910" s="15">
        <v>45749.23050925926</v>
      </c>
      <c r="B1910" s="16" t="s">
        <v>6710</v>
      </c>
      <c r="C1910" s="16" t="s">
        <v>6714</v>
      </c>
      <c r="D1910" s="16" t="s">
        <v>6744</v>
      </c>
      <c r="E1910" s="16" t="s">
        <v>6745</v>
      </c>
      <c r="F1910" s="16"/>
      <c r="G1910" s="16"/>
      <c r="H1910" s="18"/>
      <c r="I1910" s="18"/>
      <c r="J1910" s="18"/>
      <c r="K1910" s="18"/>
      <c r="L1910" s="18"/>
      <c r="M1910" s="18"/>
      <c r="N1910" s="18"/>
      <c r="O1910" s="18"/>
      <c r="P1910" s="18"/>
      <c r="Q1910" s="19"/>
      <c r="R1910" s="19"/>
      <c r="S1910" s="19"/>
    </row>
    <row r="1911" ht="15.75" customHeight="1">
      <c r="A1911" s="15">
        <v>45750.50304398148</v>
      </c>
      <c r="B1911" s="16" t="s">
        <v>6706</v>
      </c>
      <c r="C1911" s="16" t="s">
        <v>6707</v>
      </c>
      <c r="D1911" s="20" t="str">
        <f>?windows-1252?Q?It=92s_Tuna_time!?=</f>
        <v>#ERROR!</v>
      </c>
      <c r="E1911" s="16" t="s">
        <v>6708</v>
      </c>
      <c r="F1911" s="16"/>
      <c r="G1911" s="16"/>
      <c r="H1911" s="18"/>
      <c r="I1911" s="18"/>
      <c r="J1911" s="18"/>
      <c r="K1911" s="18"/>
      <c r="L1911" s="18"/>
      <c r="M1911" s="18"/>
      <c r="N1911" s="18"/>
      <c r="O1911" s="18"/>
      <c r="P1911" s="18"/>
      <c r="Q1911" s="19"/>
      <c r="R1911" s="19"/>
      <c r="S1911" s="19"/>
    </row>
    <row r="1912" ht="15.75" customHeight="1">
      <c r="A1912" s="15">
        <v>45874.70898148148</v>
      </c>
      <c r="B1912" s="16" t="s">
        <v>6746</v>
      </c>
      <c r="C1912" s="16" t="s">
        <v>6747</v>
      </c>
      <c r="D1912" s="16" t="s">
        <v>6748</v>
      </c>
      <c r="E1912" s="16" t="s">
        <v>6749</v>
      </c>
      <c r="F1912" s="16"/>
      <c r="G1912" s="16"/>
      <c r="H1912" s="18"/>
      <c r="I1912" s="18"/>
      <c r="J1912" s="18"/>
      <c r="K1912" s="18"/>
      <c r="L1912" s="18"/>
      <c r="M1912" s="18"/>
      <c r="N1912" s="18"/>
      <c r="O1912" s="18"/>
      <c r="P1912" s="18"/>
      <c r="Q1912" s="19"/>
      <c r="R1912" s="19"/>
      <c r="S1912" s="19"/>
    </row>
    <row r="1913" ht="15.75" customHeight="1">
      <c r="A1913" s="15">
        <v>45874.92103009259</v>
      </c>
      <c r="B1913" s="16" t="s">
        <v>6750</v>
      </c>
      <c r="C1913" s="16" t="s">
        <v>6747</v>
      </c>
      <c r="D1913" s="20" t="str">
        <f>?utf-8?B?T04gTk9XOiBVcCB0byAkMjUgaW4gdmFsdWUgYmFjay10by1zYw==?=
 =?utf-8?B?aG9vbCBzaG9wcGluZyDwn46S?=</f>
        <v>#ERROR!</v>
      </c>
      <c r="E1913" s="16" t="s">
        <v>6751</v>
      </c>
      <c r="F1913" s="16"/>
      <c r="G1913" s="16"/>
      <c r="H1913" s="18"/>
      <c r="I1913" s="18"/>
      <c r="J1913" s="18"/>
      <c r="K1913" s="18"/>
      <c r="L1913" s="18"/>
      <c r="M1913" s="18"/>
      <c r="N1913" s="18"/>
      <c r="O1913" s="18"/>
      <c r="P1913" s="18"/>
      <c r="Q1913" s="19"/>
      <c r="R1913" s="19"/>
      <c r="S1913" s="19"/>
    </row>
    <row r="1914" ht="15.75" customHeight="1">
      <c r="A1914" s="15">
        <v>45875.44871527778</v>
      </c>
      <c r="B1914" s="16" t="s">
        <v>6750</v>
      </c>
      <c r="C1914" s="16" t="s">
        <v>6747</v>
      </c>
      <c r="D1914" s="20" t="str">
        <f>?utf-8?B?WW91IGRvbuKAmXQgd2FubmEgbWlzcyBvdXQgb24gJDU1IGluIA==?=
 =?utf-8?B?dmFsdWUgd2l0aCBBSVIgTUlMRVMgQ2FzaCwgZG8geW91P/CfkYA=?=</f>
        <v>#ERROR!</v>
      </c>
      <c r="E1914" s="16" t="s">
        <v>6751</v>
      </c>
      <c r="F1914" s="16"/>
      <c r="G1914" s="16"/>
      <c r="H1914" s="18"/>
      <c r="I1914" s="18"/>
      <c r="J1914" s="18"/>
      <c r="K1914" s="18"/>
      <c r="L1914" s="18"/>
      <c r="M1914" s="18"/>
      <c r="N1914" s="18"/>
      <c r="O1914" s="18"/>
      <c r="P1914" s="18"/>
      <c r="Q1914" s="19"/>
      <c r="R1914" s="19"/>
      <c r="S1914" s="19"/>
    </row>
    <row r="1915" ht="15.75" customHeight="1">
      <c r="A1915" s="15">
        <v>45875.89971064815</v>
      </c>
      <c r="B1915" s="16" t="s">
        <v>6750</v>
      </c>
      <c r="C1915" s="16" t="s">
        <v>6747</v>
      </c>
      <c r="D1915" s="20" t="str">
        <f>?windows-1252?Q?Meet_this_month=92s_new-to-the-crew_brands!__?=</f>
        <v>#ERROR!</v>
      </c>
      <c r="E1915" s="16" t="s">
        <v>6751</v>
      </c>
      <c r="F1915" s="16"/>
      <c r="G1915" s="16"/>
      <c r="H1915" s="18"/>
      <c r="I1915" s="18"/>
      <c r="J1915" s="18"/>
      <c r="K1915" s="18"/>
      <c r="L1915" s="18"/>
      <c r="M1915" s="18"/>
      <c r="N1915" s="18"/>
      <c r="O1915" s="18"/>
      <c r="P1915" s="18"/>
      <c r="Q1915" s="19"/>
      <c r="R1915" s="19"/>
      <c r="S1915" s="19"/>
    </row>
    <row r="1916" ht="15.75" customHeight="1">
      <c r="A1916" s="15">
        <v>45876.74755787037</v>
      </c>
      <c r="B1916" s="16" t="s">
        <v>6750</v>
      </c>
      <c r="C1916" s="16" t="s">
        <v>6747</v>
      </c>
      <c r="D1916" s="20" t="str">
        <f>?utf-8?B?R2V0IGEganVtcCBvbiBiYWNrLXRvLXNjaG9vbCB3aXRoIHVwIA==?=
 =?utf-8?B?dG8gMjUwIEJvbnVzIE1pbGVzIHRocm91Z2ggYWlybWlsZXNzaG9wcy5jYQ==?=
 =?utf-8?B?IPCfk5rinKggICA=?=</f>
        <v>#ERROR!</v>
      </c>
      <c r="E1916" s="16" t="s">
        <v>6752</v>
      </c>
      <c r="F1916" s="16"/>
      <c r="G1916" s="16"/>
      <c r="H1916" s="18"/>
      <c r="I1916" s="18"/>
      <c r="J1916" s="18"/>
      <c r="K1916" s="18"/>
      <c r="L1916" s="18"/>
      <c r="M1916" s="18"/>
      <c r="N1916" s="18"/>
      <c r="O1916" s="18"/>
      <c r="P1916" s="18"/>
      <c r="Q1916" s="19"/>
      <c r="R1916" s="19"/>
      <c r="S1916" s="19"/>
    </row>
    <row r="1917" ht="15.75" customHeight="1">
      <c r="A1917" s="15">
        <v>45881.678564814814</v>
      </c>
      <c r="B1917" s="16" t="s">
        <v>6753</v>
      </c>
      <c r="C1917" s="16" t="s">
        <v>6747</v>
      </c>
      <c r="D1917" s="16" t="s">
        <v>6754</v>
      </c>
      <c r="E1917" s="16" t="s">
        <v>6751</v>
      </c>
      <c r="F1917" s="16"/>
      <c r="G1917" s="16"/>
      <c r="H1917" s="18"/>
      <c r="I1917" s="18"/>
      <c r="J1917" s="18"/>
      <c r="K1917" s="18"/>
      <c r="L1917" s="18"/>
      <c r="M1917" s="18"/>
      <c r="N1917" s="18"/>
      <c r="O1917" s="18"/>
      <c r="P1917" s="18"/>
      <c r="Q1917" s="19"/>
      <c r="R1917" s="19"/>
      <c r="S1917" s="19"/>
    </row>
    <row r="1918" ht="15.75" customHeight="1">
      <c r="A1918" s="15">
        <v>45883.49717592593</v>
      </c>
      <c r="B1918" s="16" t="s">
        <v>6753</v>
      </c>
      <c r="C1918" s="16" t="s">
        <v>6747</v>
      </c>
      <c r="D1918" s="16" t="s">
        <v>6755</v>
      </c>
      <c r="E1918" s="16" t="s">
        <v>6756</v>
      </c>
      <c r="F1918" s="16"/>
      <c r="G1918" s="16"/>
      <c r="H1918" s="18"/>
      <c r="I1918" s="18"/>
      <c r="J1918" s="18"/>
      <c r="K1918" s="18"/>
      <c r="L1918" s="18"/>
      <c r="M1918" s="18"/>
      <c r="N1918" s="18"/>
      <c r="O1918" s="18"/>
      <c r="P1918" s="18"/>
      <c r="Q1918" s="19"/>
      <c r="R1918" s="19"/>
      <c r="S1918" s="19"/>
    </row>
    <row r="1919" ht="15.75" customHeight="1">
      <c r="A1919" s="15">
        <v>45888.70885416667</v>
      </c>
      <c r="B1919" s="16" t="s">
        <v>6746</v>
      </c>
      <c r="C1919" s="16" t="s">
        <v>6747</v>
      </c>
      <c r="D1919" s="20" t="str">
        <f>?UTF-8?B?Q3JhaWcsIHlvdXIgZnVubmllc3Qg4oCcbWVtZeKAnW9yaWVzIGNv?=
 =?UTF-8?B?dWxkIHdpbiogYSAkMTAwIGdpZnQgY2FyZCE=?=</f>
        <v>#ERROR!</v>
      </c>
      <c r="E1919" s="16" t="s">
        <v>6757</v>
      </c>
      <c r="F1919" s="16"/>
      <c r="G1919" s="16"/>
      <c r="H1919" s="18"/>
      <c r="I1919" s="18"/>
      <c r="J1919" s="18"/>
      <c r="K1919" s="18"/>
      <c r="L1919" s="18"/>
      <c r="M1919" s="18"/>
      <c r="N1919" s="18"/>
      <c r="O1919" s="18"/>
      <c r="P1919" s="18"/>
      <c r="Q1919" s="19"/>
      <c r="R1919" s="19"/>
      <c r="S1919" s="19"/>
    </row>
    <row r="1920" ht="15.75" customHeight="1">
      <c r="A1920" s="15">
        <v>45888.9003125</v>
      </c>
      <c r="B1920" s="16" t="s">
        <v>6750</v>
      </c>
      <c r="C1920" s="16" t="s">
        <v>6747</v>
      </c>
      <c r="D1920" s="20" t="str">
        <f>?utf-8?B?TGFzdCBjaGFuY2UgZm9yIHVwIHRvICQyNSBpbiB2YWx1ZSBvbg==?=
 =?utf-8?B?IGJhY2stdG8tc2Nob29sIPCfk5o=?=</f>
        <v>#ERROR!</v>
      </c>
      <c r="E1920" s="16" t="s">
        <v>6751</v>
      </c>
      <c r="F1920" s="16"/>
      <c r="G1920" s="16"/>
      <c r="H1920" s="18"/>
      <c r="I1920" s="18"/>
      <c r="J1920" s="18"/>
      <c r="K1920" s="18"/>
      <c r="L1920" s="18"/>
      <c r="M1920" s="18"/>
      <c r="N1920" s="18"/>
      <c r="O1920" s="18"/>
      <c r="P1920" s="18"/>
      <c r="Q1920" s="19"/>
      <c r="R1920" s="19"/>
      <c r="S1920" s="19"/>
    </row>
    <row r="1921" ht="15.75" customHeight="1">
      <c r="A1921" s="15">
        <v>45889.55275462963</v>
      </c>
      <c r="B1921" s="16" t="s">
        <v>6750</v>
      </c>
      <c r="C1921" s="16" t="s">
        <v>6747</v>
      </c>
      <c r="D1921" s="16" t="s">
        <v>6758</v>
      </c>
      <c r="E1921" s="16" t="s">
        <v>6751</v>
      </c>
      <c r="F1921" s="16"/>
      <c r="G1921" s="16"/>
      <c r="H1921" s="18"/>
      <c r="I1921" s="18"/>
      <c r="J1921" s="18"/>
      <c r="K1921" s="18"/>
      <c r="L1921" s="18"/>
      <c r="M1921" s="18"/>
      <c r="N1921" s="18"/>
      <c r="O1921" s="18"/>
      <c r="P1921" s="18"/>
      <c r="Q1921" s="19"/>
      <c r="R1921" s="19"/>
      <c r="S1921" s="19"/>
    </row>
    <row r="1922" ht="15.75" customHeight="1">
      <c r="A1922" s="15">
        <v>45889.871099537035</v>
      </c>
      <c r="B1922" s="16" t="s">
        <v>6750</v>
      </c>
      <c r="C1922" s="16" t="s">
        <v>6747</v>
      </c>
      <c r="D1922" s="20" t="str">
        <f>?utf-8?B?8J+NjiBHZXQgdXAgdG8gMjUwIEJvbnVzIE1pbGVzICsgYSBiYQ==?=
 =?utf-8?B?Y2twYWNrIGZ1bGwgb2YgZGVhbHMh?=</f>
        <v>#ERROR!</v>
      </c>
      <c r="E1922" s="16" t="s">
        <v>6751</v>
      </c>
      <c r="F1922" s="16"/>
      <c r="G1922" s="16"/>
      <c r="H1922" s="18"/>
      <c r="I1922" s="18"/>
      <c r="J1922" s="18"/>
      <c r="K1922" s="18"/>
      <c r="L1922" s="18"/>
      <c r="M1922" s="18"/>
      <c r="N1922" s="18"/>
      <c r="O1922" s="18"/>
      <c r="P1922" s="18"/>
      <c r="Q1922" s="19"/>
      <c r="R1922" s="19"/>
      <c r="S1922" s="19"/>
    </row>
    <row r="1923" ht="15.75" customHeight="1">
      <c r="A1923" s="15">
        <v>45890.51142361111</v>
      </c>
      <c r="B1923" s="16" t="s">
        <v>6753</v>
      </c>
      <c r="C1923" s="16" t="s">
        <v>6747</v>
      </c>
      <c r="D1923" s="16" t="s">
        <v>6759</v>
      </c>
      <c r="E1923" s="16" t="s">
        <v>6756</v>
      </c>
      <c r="F1923" s="16"/>
      <c r="G1923" s="16"/>
      <c r="H1923" s="18"/>
      <c r="I1923" s="18"/>
      <c r="J1923" s="18"/>
      <c r="K1923" s="18"/>
      <c r="L1923" s="18"/>
      <c r="M1923" s="18"/>
      <c r="N1923" s="18"/>
      <c r="O1923" s="18"/>
      <c r="P1923" s="18"/>
      <c r="Q1923" s="19"/>
      <c r="R1923" s="19"/>
      <c r="S1923" s="19"/>
    </row>
    <row r="1924" ht="15.75" customHeight="1">
      <c r="A1924" s="15">
        <v>45890.657997685186</v>
      </c>
      <c r="B1924" s="16" t="s">
        <v>6753</v>
      </c>
      <c r="C1924" s="16" t="s">
        <v>6747</v>
      </c>
      <c r="D1924" s="20" t="str">
        <f>?utf-8?B?R2V0IDEwMCBCb251cyBNaWxlcyBhdCBHbG9iYWwgUGV0IEZvbw==?=
 =?utf-8?B?ZHMg8J+Qvg==?=</f>
        <v>#ERROR!</v>
      </c>
      <c r="E1924" s="16" t="s">
        <v>6751</v>
      </c>
      <c r="F1924" s="16"/>
      <c r="G1924" s="16"/>
      <c r="H1924" s="18"/>
      <c r="I1924" s="18"/>
      <c r="J1924" s="18"/>
      <c r="K1924" s="18"/>
      <c r="L1924" s="18"/>
      <c r="M1924" s="18"/>
      <c r="N1924" s="18"/>
      <c r="O1924" s="18"/>
      <c r="P1924" s="18"/>
      <c r="Q1924" s="19"/>
      <c r="R1924" s="19"/>
      <c r="S1924" s="19"/>
    </row>
    <row r="1925" ht="15.75" customHeight="1">
      <c r="A1925" s="15">
        <v>45891.67667824074</v>
      </c>
      <c r="B1925" s="16" t="s">
        <v>6750</v>
      </c>
      <c r="C1925" s="16" t="s">
        <v>6747</v>
      </c>
      <c r="D1925" s="20" t="str">
        <f>?utf-8?B?U2hhd24sIHlvdXIgYmVzdCBvZmZlcnMgdGhpcyB3ZWVrIGFyZQ==?=
 =?utf-8?B?IGhlcmUhIPCfjok=?=</f>
        <v>#ERROR!</v>
      </c>
      <c r="E1925" s="16" t="s">
        <v>6752</v>
      </c>
      <c r="F1925" s="16"/>
      <c r="G1925" s="16"/>
      <c r="H1925" s="18"/>
      <c r="I1925" s="18"/>
      <c r="J1925" s="18"/>
      <c r="K1925" s="18"/>
      <c r="L1925" s="18"/>
      <c r="M1925" s="18"/>
      <c r="N1925" s="18"/>
      <c r="O1925" s="18"/>
      <c r="P1925" s="18"/>
      <c r="Q1925" s="19"/>
      <c r="R1925" s="19"/>
      <c r="S1925" s="19"/>
    </row>
    <row r="1926" ht="15.75" customHeight="1">
      <c r="A1926" s="15">
        <v>45894.714212962965</v>
      </c>
      <c r="B1926" s="16" t="s">
        <v>6753</v>
      </c>
      <c r="C1926" s="16" t="s">
        <v>6747</v>
      </c>
      <c r="D1926" s="20" t="str">
        <f>?utf-8?B?4pu98J+NqiBGdWVsIHVwISBTbmFjayB1cCEgR2V0IHVwIHRvIA==?=
 =?utf-8?B?MTI1IEJvbnVzIE1pbGVzIQ==?=</f>
        <v>#ERROR!</v>
      </c>
      <c r="E1926" s="16" t="s">
        <v>6751</v>
      </c>
      <c r="F1926" s="16"/>
      <c r="G1926" s="16"/>
      <c r="H1926" s="18"/>
      <c r="I1926" s="18"/>
      <c r="J1926" s="18"/>
      <c r="K1926" s="18"/>
      <c r="L1926" s="18"/>
      <c r="M1926" s="18"/>
      <c r="N1926" s="18"/>
      <c r="O1926" s="18"/>
      <c r="P1926" s="18"/>
      <c r="Q1926" s="19"/>
      <c r="R1926" s="19"/>
      <c r="S1926" s="19"/>
    </row>
    <row r="1927" ht="15.75" customHeight="1">
      <c r="A1927" s="15">
        <v>45894.853125</v>
      </c>
      <c r="B1927" s="16" t="s">
        <v>6753</v>
      </c>
      <c r="C1927" s="16" t="s">
        <v>6747</v>
      </c>
      <c r="D1927" s="20" t="str">
        <f>?utf-8?B?R2V0IDUgQm9udXMgTWlsZXMgZm9yIHRlbGxpbmcgdXMgYWJvdQ==?=
 =?utf-8?B?dCB5b3VyIHBldCEg8J+QiCDwn5CV?=</f>
        <v>#ERROR!</v>
      </c>
      <c r="E1927" s="16" t="s">
        <v>6751</v>
      </c>
      <c r="F1927" s="16"/>
      <c r="G1927" s="16"/>
      <c r="H1927" s="18"/>
      <c r="I1927" s="18"/>
      <c r="J1927" s="18"/>
      <c r="K1927" s="18"/>
      <c r="L1927" s="18"/>
      <c r="M1927" s="18"/>
      <c r="N1927" s="18"/>
      <c r="O1927" s="18"/>
      <c r="P1927" s="18"/>
      <c r="Q1927" s="19"/>
      <c r="R1927" s="19"/>
      <c r="S1927" s="19"/>
    </row>
    <row r="1928" ht="15.75" customHeight="1">
      <c r="A1928" s="15">
        <v>45895.66533564815</v>
      </c>
      <c r="B1928" s="16" t="s">
        <v>6750</v>
      </c>
      <c r="C1928" s="16" t="s">
        <v>6747</v>
      </c>
      <c r="D1928" s="20" t="str">
        <f>?utf-8?B?8J+ToyBFYXJuIEJJRyB3aXRoIDEweCBNaWxlcyBhdCBIUCA=?=</f>
        <v>#ERROR!</v>
      </c>
      <c r="E1928" s="16" t="s">
        <v>6751</v>
      </c>
      <c r="F1928" s="16"/>
      <c r="G1928" s="16"/>
      <c r="H1928" s="18"/>
      <c r="I1928" s="18"/>
      <c r="J1928" s="18"/>
      <c r="K1928" s="18"/>
      <c r="L1928" s="18"/>
      <c r="M1928" s="18"/>
      <c r="N1928" s="18"/>
      <c r="O1928" s="18"/>
      <c r="P1928" s="18"/>
      <c r="Q1928" s="19"/>
      <c r="R1928" s="19"/>
      <c r="S1928" s="19"/>
    </row>
    <row r="1929" ht="15.75" customHeight="1">
      <c r="A1929" s="15">
        <v>45895.671585648146</v>
      </c>
      <c r="B1929" s="16" t="s">
        <v>6753</v>
      </c>
      <c r="C1929" s="16" t="s">
        <v>6747</v>
      </c>
      <c r="D1929" s="20" t="str">
        <f>?windows-1252?Q?LAST_DAYS!_Get_BMO=92s_all-new_Welcome_Bonus?=</f>
        <v>#ERROR!</v>
      </c>
      <c r="E1929" s="16" t="s">
        <v>6751</v>
      </c>
      <c r="F1929" s="16"/>
      <c r="G1929" s="16"/>
      <c r="H1929" s="18"/>
      <c r="I1929" s="18"/>
      <c r="J1929" s="18"/>
      <c r="K1929" s="18"/>
      <c r="L1929" s="18"/>
      <c r="M1929" s="18"/>
      <c r="N1929" s="18"/>
      <c r="O1929" s="18"/>
      <c r="P1929" s="18"/>
      <c r="Q1929" s="19"/>
      <c r="R1929" s="19"/>
      <c r="S1929" s="19"/>
    </row>
    <row r="1930" ht="15.75" customHeight="1">
      <c r="A1930" s="15">
        <v>45897.513020833336</v>
      </c>
      <c r="B1930" s="16" t="s">
        <v>6753</v>
      </c>
      <c r="C1930" s="16" t="s">
        <v>6747</v>
      </c>
      <c r="D1930" s="20" t="str">
        <f>?utf-8?B?RG9u4oCZdCBtaXNzIDEwMCBCb251cyBNaWxlcyBhdCBHbG9iYQ==?=
 =?utf-8?B?bCBQZXQgRm9vZHMg8J+Qvg==?=</f>
        <v>#ERROR!</v>
      </c>
      <c r="E1930" s="16" t="s">
        <v>6751</v>
      </c>
      <c r="F1930" s="16"/>
      <c r="G1930" s="16"/>
      <c r="H1930" s="18"/>
      <c r="I1930" s="18"/>
      <c r="J1930" s="18"/>
      <c r="K1930" s="18"/>
      <c r="L1930" s="18"/>
      <c r="M1930" s="18"/>
      <c r="N1930" s="18"/>
      <c r="O1930" s="18"/>
      <c r="P1930" s="18"/>
      <c r="Q1930" s="19"/>
      <c r="R1930" s="19"/>
      <c r="S1930" s="19"/>
    </row>
    <row r="1931" ht="15.75" customHeight="1">
      <c r="A1931" s="15">
        <v>45897.70261574074</v>
      </c>
      <c r="B1931" s="16" t="s">
        <v>6750</v>
      </c>
      <c r="C1931" s="16" t="s">
        <v>6747</v>
      </c>
      <c r="D1931" s="20" t="str">
        <f>?utf-8?B?U2hhd24sIHlvdXIgYmVzdCBvZmZlcnMgdGhpcyB3ZWVrIGFyZQ==?=
 =?utf-8?B?IGhlcmUhIPCfjok=?=</f>
        <v>#ERROR!</v>
      </c>
      <c r="E1931" s="16" t="s">
        <v>6752</v>
      </c>
      <c r="F1931" s="16"/>
      <c r="G1931" s="16"/>
      <c r="H1931" s="18"/>
      <c r="I1931" s="18"/>
      <c r="J1931" s="18"/>
      <c r="K1931" s="18"/>
      <c r="L1931" s="18"/>
      <c r="M1931" s="18"/>
      <c r="N1931" s="18"/>
      <c r="O1931" s="18"/>
      <c r="P1931" s="18"/>
      <c r="Q1931" s="19"/>
      <c r="R1931" s="19"/>
      <c r="S1931" s="19"/>
    </row>
    <row r="1932" ht="15.75" customHeight="1">
      <c r="A1932" s="15">
        <v>45899.71013888889</v>
      </c>
      <c r="B1932" s="16" t="s">
        <v>6746</v>
      </c>
      <c r="C1932" s="16" t="s">
        <v>6747</v>
      </c>
      <c r="D1932" s="20" t="str">
        <f>?UTF-8?B?V2FudCBhIHRvb2wgdG8gaGVscCBzdXBwb3J0IGRldmVsb3BtZW50?=
 =?UTF-8?B?PyBFbmZhbWlsIEErIE5ldXJvUHJvIPCfmYw=?=</f>
        <v>#ERROR!</v>
      </c>
      <c r="E1932" s="16" t="s">
        <v>6760</v>
      </c>
      <c r="F1932" s="16"/>
      <c r="G1932" s="16"/>
      <c r="H1932" s="18"/>
      <c r="I1932" s="18"/>
      <c r="J1932" s="18"/>
      <c r="K1932" s="18"/>
      <c r="L1932" s="18"/>
      <c r="M1932" s="18"/>
      <c r="N1932" s="18"/>
      <c r="O1932" s="18"/>
      <c r="P1932" s="18"/>
      <c r="Q1932" s="19"/>
      <c r="R1932" s="19"/>
      <c r="S1932" s="19"/>
    </row>
    <row r="1933" ht="15.75" customHeight="1">
      <c r="A1933" s="15">
        <v>45902.7509375</v>
      </c>
      <c r="B1933" s="16" t="s">
        <v>6746</v>
      </c>
      <c r="C1933" s="16" t="s">
        <v>6747</v>
      </c>
      <c r="D1933" s="16" t="s">
        <v>6748</v>
      </c>
      <c r="E1933" s="16" t="s">
        <v>6761</v>
      </c>
      <c r="F1933" s="16"/>
      <c r="G1933" s="16"/>
      <c r="H1933" s="18"/>
      <c r="I1933" s="18"/>
      <c r="J1933" s="18"/>
      <c r="K1933" s="18"/>
      <c r="L1933" s="18"/>
      <c r="M1933" s="18"/>
      <c r="N1933" s="18"/>
      <c r="O1933" s="18"/>
      <c r="P1933" s="18"/>
      <c r="Q1933" s="19"/>
      <c r="R1933" s="19"/>
      <c r="S1933" s="19"/>
    </row>
    <row r="1934" ht="15.75" customHeight="1">
      <c r="A1934" s="15">
        <v>45903.67940972222</v>
      </c>
      <c r="B1934" s="16" t="s">
        <v>6753</v>
      </c>
      <c r="C1934" s="16" t="s">
        <v>6747</v>
      </c>
      <c r="D1934" s="20" t="str">
        <f>?utf-8?B?8J+SpSBTYXZlIGEgJDMwIHZhbHVlIG9uIGEgZnV0dXJlIGZpbA==?=
 =?utf-8?B?bC11cCB3aXRoIFNoZWxsIEdvKw==?=</f>
        <v>#ERROR!</v>
      </c>
      <c r="E1934" s="16" t="s">
        <v>6751</v>
      </c>
      <c r="F1934" s="16"/>
      <c r="G1934" s="16"/>
      <c r="H1934" s="18"/>
      <c r="I1934" s="18"/>
      <c r="J1934" s="18"/>
      <c r="K1934" s="18"/>
      <c r="L1934" s="18"/>
      <c r="M1934" s="18"/>
      <c r="N1934" s="18"/>
      <c r="O1934" s="18"/>
      <c r="P1934" s="18"/>
      <c r="Q1934" s="19"/>
      <c r="R1934" s="19"/>
      <c r="S1934" s="19"/>
    </row>
    <row r="1935" ht="15.75" customHeight="1">
      <c r="A1935" s="15">
        <v>45904.79701388889</v>
      </c>
      <c r="B1935" s="16" t="s">
        <v>6750</v>
      </c>
      <c r="C1935" s="16" t="s">
        <v>6747</v>
      </c>
      <c r="D1935" s="20" t="str">
        <f>?utf-8?B?U2hhd24sIHlvdXIgYmVzdCBvZmZlcnMgdGhpcyB3ZWVrIGFyZQ==?=
 =?utf-8?B?IGhlcmUhIPCfjok=?=</f>
        <v>#ERROR!</v>
      </c>
      <c r="E1935" s="16" t="s">
        <v>6752</v>
      </c>
      <c r="F1935" s="16"/>
      <c r="G1935" s="16"/>
      <c r="H1935" s="18"/>
      <c r="I1935" s="18"/>
      <c r="J1935" s="18"/>
      <c r="K1935" s="18"/>
      <c r="L1935" s="18"/>
      <c r="M1935" s="18"/>
      <c r="N1935" s="18"/>
      <c r="O1935" s="18"/>
      <c r="P1935" s="18"/>
      <c r="Q1935" s="19"/>
      <c r="R1935" s="19"/>
      <c r="S1935" s="19"/>
    </row>
    <row r="1936" ht="15.75" customHeight="1">
      <c r="A1936" s="15">
        <v>45905.78224537037</v>
      </c>
      <c r="B1936" s="16" t="s">
        <v>6750</v>
      </c>
      <c r="C1936" s="16" t="s">
        <v>6747</v>
      </c>
      <c r="D1936" s="20" t="str">
        <f>?windows-1252?Q?Meet_this_month=92s_new-to-the-crew_brands!__?=</f>
        <v>#ERROR!</v>
      </c>
      <c r="E1936" s="16" t="s">
        <v>6751</v>
      </c>
      <c r="F1936" s="16"/>
      <c r="G1936" s="16"/>
      <c r="H1936" s="18"/>
      <c r="I1936" s="18"/>
      <c r="J1936" s="18"/>
      <c r="K1936" s="18"/>
      <c r="L1936" s="18"/>
      <c r="M1936" s="18"/>
      <c r="N1936" s="18"/>
      <c r="O1936" s="18"/>
      <c r="P1936" s="18"/>
      <c r="Q1936" s="19"/>
      <c r="R1936" s="19"/>
      <c r="S1936" s="19"/>
    </row>
    <row r="1937" ht="15.75" customHeight="1">
      <c r="A1937" s="15">
        <v>45905.690104166664</v>
      </c>
      <c r="B1937" s="16" t="s">
        <v>6762</v>
      </c>
      <c r="C1937" s="16" t="s">
        <v>6747</v>
      </c>
      <c r="D1937" s="16" t="s">
        <v>6763</v>
      </c>
      <c r="E1937" s="16" t="s">
        <v>6764</v>
      </c>
      <c r="F1937" s="16"/>
      <c r="G1937" s="16"/>
      <c r="H1937" s="18"/>
      <c r="I1937" s="18"/>
      <c r="J1937" s="18"/>
      <c r="K1937" s="18"/>
      <c r="L1937" s="18"/>
      <c r="M1937" s="18"/>
      <c r="N1937" s="18"/>
      <c r="O1937" s="18"/>
      <c r="P1937" s="18"/>
      <c r="Q1937" s="19"/>
      <c r="R1937" s="19"/>
      <c r="S1937" s="19"/>
    </row>
    <row r="1938" ht="15.75" customHeight="1">
      <c r="A1938" s="15">
        <v>45911.89519675926</v>
      </c>
      <c r="B1938" s="16" t="s">
        <v>6762</v>
      </c>
      <c r="C1938" s="16" t="s">
        <v>6747</v>
      </c>
      <c r="D1938" s="16" t="s">
        <v>6765</v>
      </c>
      <c r="E1938" s="16" t="s">
        <v>6766</v>
      </c>
      <c r="F1938" s="16"/>
      <c r="G1938" s="16"/>
      <c r="H1938" s="18"/>
      <c r="I1938" s="18"/>
      <c r="J1938" s="18"/>
      <c r="K1938" s="18"/>
      <c r="L1938" s="18"/>
      <c r="M1938" s="18"/>
      <c r="N1938" s="18"/>
      <c r="O1938" s="18"/>
      <c r="P1938" s="18"/>
      <c r="Q1938" s="19"/>
      <c r="R1938" s="19"/>
      <c r="S1938" s="19"/>
    </row>
    <row r="1939" ht="15.75" customHeight="1">
      <c r="A1939" s="15">
        <v>45912.51693287037</v>
      </c>
      <c r="B1939" s="16" t="s">
        <v>6753</v>
      </c>
      <c r="C1939" s="16" t="s">
        <v>6747</v>
      </c>
      <c r="D1939" s="16" t="s">
        <v>6767</v>
      </c>
      <c r="E1939" s="16" t="s">
        <v>6751</v>
      </c>
      <c r="F1939" s="16"/>
      <c r="G1939" s="16"/>
      <c r="H1939" s="18"/>
      <c r="I1939" s="18"/>
      <c r="J1939" s="18"/>
      <c r="K1939" s="18"/>
      <c r="L1939" s="18"/>
      <c r="M1939" s="18"/>
      <c r="N1939" s="18"/>
      <c r="O1939" s="18"/>
      <c r="P1939" s="18"/>
      <c r="Q1939" s="19"/>
      <c r="R1939" s="19"/>
      <c r="S1939" s="19"/>
    </row>
    <row r="1940" ht="15.75" customHeight="1">
      <c r="A1940" s="15">
        <v>45912.64965277778</v>
      </c>
      <c r="B1940" s="16" t="s">
        <v>6750</v>
      </c>
      <c r="C1940" s="16" t="s">
        <v>6747</v>
      </c>
      <c r="D1940" s="20" t="str">
        <f>?utf-8?B?U2hhd24sIHlvdXIgYmVzdCBvZmZlcnMgdGhpcyB3ZWVrIGFyZQ==?=
 =?utf-8?B?IGhlcmUhIPCfjok=?=</f>
        <v>#ERROR!</v>
      </c>
      <c r="E1940" s="16" t="s">
        <v>6752</v>
      </c>
      <c r="F1940" s="16"/>
      <c r="G1940" s="16"/>
      <c r="H1940" s="18"/>
      <c r="I1940" s="18"/>
      <c r="J1940" s="18"/>
      <c r="K1940" s="18"/>
      <c r="L1940" s="18"/>
      <c r="M1940" s="18"/>
      <c r="N1940" s="18"/>
      <c r="O1940" s="18"/>
      <c r="P1940" s="18"/>
      <c r="Q1940" s="19"/>
      <c r="R1940" s="19"/>
      <c r="S1940" s="19"/>
    </row>
    <row r="1941" ht="15.75" customHeight="1">
      <c r="A1941" s="15">
        <v>45912.749502314815</v>
      </c>
      <c r="B1941" s="16" t="s">
        <v>6762</v>
      </c>
      <c r="C1941" s="16" t="s">
        <v>6747</v>
      </c>
      <c r="D1941" s="16" t="s">
        <v>6768</v>
      </c>
      <c r="E1941" s="16" t="s">
        <v>6769</v>
      </c>
      <c r="F1941" s="16"/>
      <c r="G1941" s="16"/>
      <c r="H1941" s="18"/>
      <c r="I1941" s="18"/>
      <c r="J1941" s="18"/>
      <c r="K1941" s="18"/>
      <c r="L1941" s="18"/>
      <c r="M1941" s="18"/>
      <c r="N1941" s="18"/>
      <c r="O1941" s="18"/>
      <c r="P1941" s="18"/>
      <c r="Q1941" s="19"/>
      <c r="R1941" s="19"/>
      <c r="S1941" s="19"/>
    </row>
    <row r="1942" ht="15.75" customHeight="1">
      <c r="A1942" s="15">
        <v>45915.79224537037</v>
      </c>
      <c r="B1942" s="16" t="s">
        <v>6746</v>
      </c>
      <c r="C1942" s="16" t="s">
        <v>6747</v>
      </c>
      <c r="D1942" s="20" t="str">
        <f>?UTF-8?B?Q3JhaWcsIHlvdXIgZnVubmllc3Qg4oCcbWVtZeKAnW9yaWVzIGNv?=
 =?UTF-8?B?dWxkIHdpbiogYSAkMTAwIGdpZnQgY2FyZCE=?=</f>
        <v>#ERROR!</v>
      </c>
      <c r="E1942" s="16" t="s">
        <v>6770</v>
      </c>
      <c r="F1942" s="16"/>
      <c r="G1942" s="16"/>
      <c r="H1942" s="18"/>
      <c r="I1942" s="18"/>
      <c r="J1942" s="18"/>
      <c r="K1942" s="18"/>
      <c r="L1942" s="18"/>
      <c r="M1942" s="18"/>
      <c r="N1942" s="18"/>
      <c r="O1942" s="18"/>
      <c r="P1942" s="18"/>
      <c r="Q1942" s="19"/>
      <c r="R1942" s="19"/>
      <c r="S1942" s="19"/>
    </row>
    <row r="1943" ht="15.75" customHeight="1">
      <c r="A1943" s="15">
        <v>45917.64696759259</v>
      </c>
      <c r="B1943" s="16" t="s">
        <v>6753</v>
      </c>
      <c r="C1943" s="16" t="s">
        <v>6747</v>
      </c>
      <c r="D1943" s="16" t="s">
        <v>6771</v>
      </c>
      <c r="E1943" s="16" t="s">
        <v>6751</v>
      </c>
      <c r="F1943" s="16"/>
      <c r="G1943" s="16"/>
      <c r="H1943" s="18"/>
      <c r="I1943" s="18"/>
      <c r="J1943" s="18"/>
      <c r="K1943" s="18"/>
      <c r="L1943" s="18"/>
      <c r="M1943" s="18"/>
      <c r="N1943" s="18"/>
      <c r="O1943" s="18"/>
      <c r="P1943" s="18"/>
      <c r="Q1943" s="19"/>
      <c r="R1943" s="19"/>
      <c r="S1943" s="19"/>
    </row>
    <row r="1944" ht="15.75" customHeight="1">
      <c r="A1944" s="15">
        <v>45917.76880787037</v>
      </c>
      <c r="B1944" s="16" t="s">
        <v>6750</v>
      </c>
      <c r="C1944" s="16" t="s">
        <v>6747</v>
      </c>
      <c r="D1944" s="20" t="str">
        <f>?utf-8?B?U29hayB1cCB0aGUgc3VuICsgMjAwIEJvbnVzIE1pbGVzIGluIA==?=
 =?utf-8?B?QXJpem9uYSDwn5iO?=</f>
        <v>#ERROR!</v>
      </c>
      <c r="E1944" s="16" t="s">
        <v>6751</v>
      </c>
      <c r="F1944" s="16"/>
      <c r="G1944" s="16"/>
      <c r="H1944" s="18"/>
      <c r="I1944" s="18"/>
      <c r="J1944" s="18"/>
      <c r="K1944" s="18"/>
      <c r="L1944" s="18"/>
      <c r="M1944" s="18"/>
      <c r="N1944" s="18"/>
      <c r="O1944" s="18"/>
      <c r="P1944" s="18"/>
      <c r="Q1944" s="19"/>
      <c r="R1944" s="19"/>
      <c r="S1944" s="19"/>
    </row>
    <row r="1945" ht="15.75" customHeight="1">
      <c r="A1945" s="15">
        <v>45918.76081018519</v>
      </c>
      <c r="B1945" s="16" t="s">
        <v>6750</v>
      </c>
      <c r="C1945" s="16" t="s">
        <v>6747</v>
      </c>
      <c r="D1945" s="20" t="str">
        <f>?utf-8?B?U2hhd24sIHlvdXIgYmVzdCBvZmZlcnMgdGhpcyB3ZWVrIGFyZQ==?=
 =?utf-8?B?IGhlcmUhIPCfjok=?=</f>
        <v>#ERROR!</v>
      </c>
      <c r="E1945" s="16" t="s">
        <v>6752</v>
      </c>
      <c r="F1945" s="16"/>
      <c r="G1945" s="16"/>
      <c r="H1945" s="18"/>
      <c r="I1945" s="18"/>
      <c r="J1945" s="18"/>
      <c r="K1945" s="18"/>
      <c r="L1945" s="18"/>
      <c r="M1945" s="18"/>
      <c r="N1945" s="18"/>
      <c r="O1945" s="18"/>
      <c r="P1945" s="18"/>
      <c r="Q1945" s="19"/>
      <c r="R1945" s="19"/>
      <c r="S1945" s="19"/>
    </row>
    <row r="1946" ht="15.75" customHeight="1">
      <c r="A1946" s="15">
        <v>45919.495300925926</v>
      </c>
      <c r="B1946" s="16" t="s">
        <v>6753</v>
      </c>
      <c r="C1946" s="16" t="s">
        <v>6747</v>
      </c>
      <c r="D1946" s="16" t="s">
        <v>6772</v>
      </c>
      <c r="E1946" s="16" t="s">
        <v>6751</v>
      </c>
      <c r="F1946" s="16"/>
      <c r="G1946" s="16"/>
      <c r="H1946" s="18"/>
      <c r="I1946" s="18"/>
      <c r="J1946" s="18"/>
      <c r="K1946" s="18"/>
      <c r="L1946" s="18"/>
      <c r="M1946" s="18"/>
      <c r="N1946" s="18"/>
      <c r="O1946" s="18"/>
      <c r="P1946" s="18"/>
      <c r="Q1946" s="19"/>
      <c r="R1946" s="19"/>
      <c r="S1946" s="19"/>
    </row>
    <row r="1947" ht="15.75" customHeight="1">
      <c r="A1947" s="15">
        <v>45919.781747685185</v>
      </c>
      <c r="B1947" s="16" t="s">
        <v>6753</v>
      </c>
      <c r="C1947" s="16" t="s">
        <v>6747</v>
      </c>
      <c r="D1947" s="16" t="s">
        <v>6773</v>
      </c>
      <c r="E1947" s="16" t="s">
        <v>6751</v>
      </c>
      <c r="F1947" s="16"/>
      <c r="G1947" s="16"/>
      <c r="H1947" s="18"/>
      <c r="I1947" s="18"/>
      <c r="J1947" s="18"/>
      <c r="K1947" s="18"/>
      <c r="L1947" s="18"/>
      <c r="M1947" s="18"/>
      <c r="N1947" s="18"/>
      <c r="O1947" s="18"/>
      <c r="P1947" s="18"/>
      <c r="Q1947" s="19"/>
      <c r="R1947" s="19"/>
      <c r="S1947" s="19"/>
    </row>
    <row r="1948" ht="15.75" customHeight="1">
      <c r="A1948" s="15">
        <v>45923.70358796296</v>
      </c>
      <c r="B1948" s="16" t="s">
        <v>6762</v>
      </c>
      <c r="C1948" s="16" t="s">
        <v>6747</v>
      </c>
      <c r="D1948" s="16" t="s">
        <v>6774</v>
      </c>
      <c r="E1948" s="16" t="s">
        <v>6769</v>
      </c>
      <c r="F1948" s="16"/>
      <c r="G1948" s="16"/>
      <c r="H1948" s="18"/>
      <c r="I1948" s="18"/>
      <c r="J1948" s="18"/>
      <c r="K1948" s="18"/>
      <c r="L1948" s="18"/>
      <c r="M1948" s="18"/>
      <c r="N1948" s="18"/>
      <c r="O1948" s="18"/>
      <c r="P1948" s="18"/>
      <c r="Q1948" s="19"/>
      <c r="R1948" s="19"/>
      <c r="S1948" s="19"/>
    </row>
    <row r="1949" ht="15.75" customHeight="1">
      <c r="A1949" s="15">
        <v>45924.68508101852</v>
      </c>
      <c r="B1949" s="16" t="s">
        <v>6750</v>
      </c>
      <c r="C1949" s="16" t="s">
        <v>6747</v>
      </c>
      <c r="D1949" s="20" t="str">
        <f>?utf-8?B?RmFsbCBmb3IgY3Jpc3BlciBhaXIgYW5kIHVwIHRvIDEweCBtbw==?=
 =?utf-8?B?cmUgTWlsZXMg8J+Ngg==?=</f>
        <v>#ERROR!</v>
      </c>
      <c r="E1949" s="16" t="s">
        <v>6751</v>
      </c>
      <c r="F1949" s="16"/>
      <c r="G1949" s="16"/>
      <c r="H1949" s="18"/>
      <c r="I1949" s="18"/>
      <c r="J1949" s="18"/>
      <c r="K1949" s="18"/>
      <c r="L1949" s="18"/>
      <c r="M1949" s="18"/>
      <c r="N1949" s="18"/>
      <c r="O1949" s="18"/>
      <c r="P1949" s="18"/>
      <c r="Q1949" s="19"/>
      <c r="R1949" s="19"/>
      <c r="S1949" s="19"/>
    </row>
    <row r="1950" ht="15.75" customHeight="1">
      <c r="A1950" s="15">
        <v>45924.69493055555</v>
      </c>
      <c r="B1950" s="16" t="s">
        <v>6750</v>
      </c>
      <c r="C1950" s="16" t="s">
        <v>6747</v>
      </c>
      <c r="D1950" s="16" t="s">
        <v>6775</v>
      </c>
      <c r="E1950" s="16" t="s">
        <v>6751</v>
      </c>
      <c r="F1950" s="16"/>
      <c r="G1950" s="16"/>
      <c r="H1950" s="18"/>
      <c r="I1950" s="18"/>
      <c r="J1950" s="18"/>
      <c r="K1950" s="18"/>
      <c r="L1950" s="18"/>
      <c r="M1950" s="18"/>
      <c r="N1950" s="18"/>
      <c r="O1950" s="18"/>
      <c r="P1950" s="18"/>
      <c r="Q1950" s="19"/>
      <c r="R1950" s="19"/>
      <c r="S1950" s="19"/>
    </row>
    <row r="1951" ht="15.75" customHeight="1">
      <c r="A1951" s="15">
        <v>45926.697060185186</v>
      </c>
      <c r="B1951" s="16" t="s">
        <v>6762</v>
      </c>
      <c r="C1951" s="16" t="s">
        <v>6747</v>
      </c>
      <c r="D1951" s="16" t="s">
        <v>6776</v>
      </c>
      <c r="E1951" s="16" t="s">
        <v>6769</v>
      </c>
      <c r="F1951" s="16"/>
      <c r="G1951" s="16"/>
      <c r="H1951" s="18"/>
      <c r="I1951" s="18"/>
      <c r="J1951" s="18"/>
      <c r="K1951" s="18"/>
      <c r="L1951" s="18"/>
      <c r="M1951" s="18"/>
      <c r="N1951" s="18"/>
      <c r="O1951" s="18"/>
      <c r="P1951" s="18"/>
      <c r="Q1951" s="19"/>
      <c r="R1951" s="19"/>
      <c r="S1951" s="19"/>
    </row>
    <row r="1952" ht="15.75" customHeight="1">
      <c r="A1952" s="15">
        <v>45928.79221064815</v>
      </c>
      <c r="B1952" s="16" t="s">
        <v>6746</v>
      </c>
      <c r="C1952" s="16" t="s">
        <v>6747</v>
      </c>
      <c r="D1952" s="20" t="str">
        <f>?UTF-8?B?RG9uJ3QgbWlzcyBvdXQgb24gYSAkMTAwIFdhbG1hcnQgZ2lmdCBj?=
 =?UTF-8?B?YXJkIGNvbnRlc3QqIPCfmIU=?=</f>
        <v>#ERROR!</v>
      </c>
      <c r="E1952" s="16" t="s">
        <v>6777</v>
      </c>
      <c r="F1952" s="16"/>
      <c r="G1952" s="16"/>
      <c r="H1952" s="18"/>
      <c r="I1952" s="18"/>
      <c r="J1952" s="18"/>
      <c r="K1952" s="18"/>
      <c r="L1952" s="18"/>
      <c r="M1952" s="18"/>
      <c r="N1952" s="18"/>
      <c r="O1952" s="18"/>
      <c r="P1952" s="18"/>
      <c r="Q1952" s="19"/>
      <c r="R1952" s="19"/>
      <c r="S1952" s="19"/>
    </row>
    <row r="1953" ht="15.75" customHeight="1">
      <c r="A1953" s="15">
        <v>45931.750613425924</v>
      </c>
      <c r="B1953" s="16" t="s">
        <v>6746</v>
      </c>
      <c r="C1953" s="16" t="s">
        <v>6747</v>
      </c>
      <c r="D1953" s="16" t="s">
        <v>6748</v>
      </c>
      <c r="E1953" s="16" t="s">
        <v>6778</v>
      </c>
      <c r="F1953" s="16"/>
      <c r="G1953" s="16"/>
      <c r="H1953" s="18"/>
      <c r="I1953" s="18"/>
      <c r="J1953" s="18"/>
      <c r="K1953" s="18"/>
      <c r="L1953" s="18"/>
      <c r="M1953" s="18"/>
      <c r="N1953" s="18"/>
      <c r="O1953" s="18"/>
      <c r="P1953" s="18"/>
      <c r="Q1953" s="19"/>
      <c r="R1953" s="19"/>
      <c r="S1953" s="19"/>
    </row>
    <row r="1954" ht="15.75" customHeight="1">
      <c r="A1954" s="15">
        <v>45945.79232638889</v>
      </c>
      <c r="B1954" s="16" t="s">
        <v>6746</v>
      </c>
      <c r="C1954" s="16" t="s">
        <v>6747</v>
      </c>
      <c r="D1954" s="20" t="str">
        <f>?UTF-8?B?Q3JhaWcsIHlvdXIgZnVubmllc3Qg4oCcbWVtZeKAnW9yaWVzIGNv?=
 =?UTF-8?B?dWxkIHdpbiogYSAkMTAwIGdpZnQgY2FyZCE=?=</f>
        <v>#ERROR!</v>
      </c>
      <c r="E1954" s="16" t="s">
        <v>6779</v>
      </c>
      <c r="F1954" s="16"/>
      <c r="G1954" s="16"/>
      <c r="H1954" s="18"/>
      <c r="I1954" s="18"/>
      <c r="J1954" s="18"/>
      <c r="K1954" s="18"/>
      <c r="L1954" s="18"/>
      <c r="M1954" s="18"/>
      <c r="N1954" s="18"/>
      <c r="O1954" s="18"/>
      <c r="P1954" s="18"/>
      <c r="Q1954" s="19"/>
      <c r="R1954" s="19"/>
      <c r="S1954" s="19"/>
    </row>
    <row r="1955" ht="15.75" customHeight="1">
      <c r="A1955" s="15">
        <v>45797.90665509259</v>
      </c>
      <c r="B1955" s="16" t="s">
        <v>6780</v>
      </c>
      <c r="C1955" s="16" t="s">
        <v>6781</v>
      </c>
      <c r="D1955" s="16" t="s">
        <v>6782</v>
      </c>
      <c r="E1955" s="16" t="s">
        <v>6783</v>
      </c>
      <c r="F1955" s="16"/>
      <c r="G1955" s="16"/>
      <c r="H1955" s="18"/>
      <c r="I1955" s="18"/>
      <c r="J1955" s="18"/>
      <c r="K1955" s="18"/>
      <c r="L1955" s="18"/>
      <c r="M1955" s="18"/>
      <c r="N1955" s="18"/>
      <c r="O1955" s="18"/>
      <c r="P1955" s="18"/>
      <c r="Q1955" s="19"/>
      <c r="R1955" s="19"/>
      <c r="S1955" s="19"/>
    </row>
    <row r="1956" ht="15.75" customHeight="1">
      <c r="A1956" s="15">
        <v>45800.443819444445</v>
      </c>
      <c r="B1956" s="16" t="s">
        <v>6784</v>
      </c>
      <c r="C1956" s="16" t="s">
        <v>6781</v>
      </c>
      <c r="D1956" s="20" t="str">
        <f>?utf-8?q?Paul,_50%_off_of_groceries_and_essentials=E2=80=94just_for_you!?=</f>
        <v>#ERROR!</v>
      </c>
      <c r="E1956" s="16" t="s">
        <v>6783</v>
      </c>
      <c r="F1956" s="16"/>
      <c r="G1956" s="16"/>
      <c r="H1956" s="18"/>
      <c r="I1956" s="18"/>
      <c r="J1956" s="18"/>
      <c r="K1956" s="18"/>
      <c r="L1956" s="18"/>
      <c r="M1956" s="18"/>
      <c r="N1956" s="18"/>
      <c r="O1956" s="18"/>
      <c r="P1956" s="18"/>
      <c r="Q1956" s="19"/>
      <c r="R1956" s="19"/>
      <c r="S1956" s="19"/>
    </row>
    <row r="1957" ht="15.75" customHeight="1">
      <c r="A1957" s="15">
        <v>45802.44611111111</v>
      </c>
      <c r="B1957" s="16" t="s">
        <v>6785</v>
      </c>
      <c r="C1957" s="16" t="s">
        <v>6781</v>
      </c>
      <c r="D1957" s="16" t="s">
        <v>6786</v>
      </c>
      <c r="E1957" s="16" t="s">
        <v>6783</v>
      </c>
      <c r="F1957" s="16"/>
      <c r="G1957" s="16"/>
      <c r="H1957" s="18"/>
      <c r="I1957" s="18"/>
      <c r="J1957" s="18"/>
      <c r="K1957" s="18"/>
      <c r="L1957" s="18"/>
      <c r="M1957" s="18"/>
      <c r="N1957" s="18"/>
      <c r="O1957" s="18"/>
      <c r="P1957" s="18"/>
      <c r="Q1957" s="19"/>
      <c r="R1957" s="19"/>
      <c r="S1957" s="19"/>
    </row>
    <row r="1958" ht="15.75" customHeight="1">
      <c r="A1958" s="15">
        <v>45815.46659722222</v>
      </c>
      <c r="B1958" s="16" t="s">
        <v>6785</v>
      </c>
      <c r="C1958" s="16" t="s">
        <v>6781</v>
      </c>
      <c r="D1958" s="16" t="s">
        <v>6787</v>
      </c>
      <c r="E1958" s="16" t="s">
        <v>6783</v>
      </c>
      <c r="F1958" s="16"/>
      <c r="G1958" s="16"/>
      <c r="H1958" s="18"/>
      <c r="I1958" s="18"/>
      <c r="J1958" s="18"/>
      <c r="K1958" s="18"/>
      <c r="L1958" s="18"/>
      <c r="M1958" s="18"/>
      <c r="N1958" s="18"/>
      <c r="O1958" s="18"/>
      <c r="P1958" s="18"/>
      <c r="Q1958" s="19"/>
      <c r="R1958" s="19"/>
      <c r="S1958" s="19"/>
    </row>
    <row r="1959" ht="15.75" customHeight="1">
      <c r="A1959" s="15">
        <v>45835.751122685186</v>
      </c>
      <c r="B1959" s="16" t="s">
        <v>6785</v>
      </c>
      <c r="C1959" s="16" t="s">
        <v>6781</v>
      </c>
      <c r="D1959" s="20" t="str">
        <f>?utf-8?q?Get_up_to_50%_off_the_essentials_you_need_=F0=9F=9B=92?=</f>
        <v>#ERROR!</v>
      </c>
      <c r="E1959" s="16" t="s">
        <v>6783</v>
      </c>
      <c r="F1959" s="16"/>
      <c r="G1959" s="16"/>
      <c r="H1959" s="18"/>
      <c r="I1959" s="18"/>
      <c r="J1959" s="18"/>
      <c r="K1959" s="18"/>
      <c r="L1959" s="18"/>
      <c r="M1959" s="18"/>
      <c r="N1959" s="18"/>
      <c r="O1959" s="18"/>
      <c r="P1959" s="18"/>
      <c r="Q1959" s="19"/>
      <c r="R1959" s="19"/>
      <c r="S1959" s="19"/>
    </row>
    <row r="1960" ht="15.75" customHeight="1">
      <c r="A1960" s="15">
        <v>45913.4216087963</v>
      </c>
      <c r="B1960" s="16" t="s">
        <v>6785</v>
      </c>
      <c r="C1960" s="16" t="s">
        <v>6781</v>
      </c>
      <c r="D1960" s="20" t="str">
        <f>?utf-8?q?Use_your_50%_off_promo_before_it=E2=80=99s_gone!?=</f>
        <v>#ERROR!</v>
      </c>
      <c r="E1960" s="16" t="s">
        <v>6783</v>
      </c>
      <c r="F1960" s="16"/>
      <c r="G1960" s="16"/>
      <c r="H1960" s="18"/>
      <c r="I1960" s="18"/>
      <c r="J1960" s="18"/>
      <c r="K1960" s="18"/>
      <c r="L1960" s="18"/>
      <c r="M1960" s="18"/>
      <c r="N1960" s="18"/>
      <c r="O1960" s="18"/>
      <c r="P1960" s="18"/>
      <c r="Q1960" s="19"/>
      <c r="R1960" s="19"/>
      <c r="S1960" s="19"/>
    </row>
    <row r="1961" ht="15.75" customHeight="1">
      <c r="A1961" s="15">
        <v>45922.982766203706</v>
      </c>
      <c r="B1961" s="16" t="s">
        <v>6780</v>
      </c>
      <c r="C1961" s="16" t="s">
        <v>6781</v>
      </c>
      <c r="D1961" s="20" t="str">
        <f>?utf-8?q?50%_off_your_next_3_orders_-_just_for_you_=F0=9F=91=80?=</f>
        <v>#ERROR!</v>
      </c>
      <c r="E1961" s="16" t="s">
        <v>6783</v>
      </c>
      <c r="F1961" s="16"/>
      <c r="G1961" s="16"/>
      <c r="H1961" s="18"/>
      <c r="I1961" s="18"/>
      <c r="J1961" s="18"/>
      <c r="K1961" s="18"/>
      <c r="L1961" s="18"/>
      <c r="M1961" s="18"/>
      <c r="N1961" s="18"/>
      <c r="O1961" s="18"/>
      <c r="P1961" s="18"/>
      <c r="Q1961" s="19"/>
      <c r="R1961" s="19"/>
      <c r="S1961" s="19"/>
    </row>
    <row r="1962" ht="15.75" customHeight="1">
      <c r="A1962" s="15">
        <v>45932.49395833333</v>
      </c>
      <c r="B1962" s="16" t="s">
        <v>6785</v>
      </c>
      <c r="C1962" s="16" t="s">
        <v>6781</v>
      </c>
      <c r="D1962" s="16" t="s">
        <v>6788</v>
      </c>
      <c r="E1962" s="16" t="s">
        <v>6783</v>
      </c>
      <c r="F1962" s="16"/>
      <c r="G1962" s="16"/>
      <c r="H1962" s="18"/>
      <c r="I1962" s="18"/>
      <c r="J1962" s="18"/>
      <c r="K1962" s="18"/>
      <c r="L1962" s="18"/>
      <c r="M1962" s="18"/>
      <c r="N1962" s="18"/>
      <c r="O1962" s="18"/>
      <c r="P1962" s="18"/>
      <c r="Q1962" s="19"/>
      <c r="R1962" s="19"/>
      <c r="S1962" s="19"/>
    </row>
    <row r="1963" ht="15.75" customHeight="1">
      <c r="A1963" s="15">
        <v>45936.46462962963</v>
      </c>
      <c r="B1963" s="16" t="s">
        <v>6785</v>
      </c>
      <c r="C1963" s="16" t="s">
        <v>6781</v>
      </c>
      <c r="D1963" s="16" t="s">
        <v>6789</v>
      </c>
      <c r="E1963" s="16" t="s">
        <v>6783</v>
      </c>
      <c r="F1963" s="16"/>
      <c r="G1963" s="16"/>
      <c r="H1963" s="18"/>
      <c r="I1963" s="18"/>
      <c r="J1963" s="18"/>
      <c r="K1963" s="18"/>
      <c r="L1963" s="18"/>
      <c r="M1963" s="18"/>
      <c r="N1963" s="18"/>
      <c r="O1963" s="18"/>
      <c r="P1963" s="18"/>
      <c r="Q1963" s="19"/>
      <c r="R1963" s="19"/>
      <c r="S1963" s="19"/>
    </row>
    <row r="1964" ht="15.75" customHeight="1">
      <c r="A1964" s="15">
        <v>45938.467002314814</v>
      </c>
      <c r="B1964" s="16" t="s">
        <v>6785</v>
      </c>
      <c r="C1964" s="16" t="s">
        <v>6781</v>
      </c>
      <c r="D1964" s="16" t="s">
        <v>6790</v>
      </c>
      <c r="E1964" s="16" t="s">
        <v>6783</v>
      </c>
      <c r="F1964" s="16"/>
      <c r="G1964" s="16"/>
      <c r="H1964" s="18"/>
      <c r="I1964" s="18"/>
      <c r="J1964" s="18"/>
      <c r="K1964" s="18"/>
      <c r="L1964" s="18"/>
      <c r="M1964" s="18"/>
      <c r="N1964" s="18"/>
      <c r="O1964" s="18"/>
      <c r="P1964" s="18"/>
      <c r="Q1964" s="19"/>
      <c r="R1964" s="19"/>
      <c r="S1964" s="19"/>
    </row>
    <row r="1965" ht="15.75" customHeight="1">
      <c r="A1965" s="15">
        <v>45666.49207175926</v>
      </c>
      <c r="B1965" s="16" t="s">
        <v>6791</v>
      </c>
      <c r="C1965" s="16" t="s">
        <v>6792</v>
      </c>
      <c r="D1965" s="16" t="s">
        <v>6793</v>
      </c>
      <c r="E1965" s="16" t="s">
        <v>6794</v>
      </c>
      <c r="F1965" s="16"/>
      <c r="G1965" s="16"/>
      <c r="H1965" s="18"/>
      <c r="I1965" s="18"/>
      <c r="J1965" s="18"/>
      <c r="K1965" s="18"/>
      <c r="L1965" s="18"/>
      <c r="M1965" s="18"/>
      <c r="N1965" s="18"/>
      <c r="O1965" s="18"/>
      <c r="P1965" s="18"/>
      <c r="Q1965" s="19"/>
      <c r="R1965" s="19"/>
      <c r="S1965" s="19"/>
    </row>
    <row r="1966" ht="15.75" customHeight="1">
      <c r="A1966" s="15">
        <v>45667.45075231481</v>
      </c>
      <c r="B1966" s="16" t="s">
        <v>6791</v>
      </c>
      <c r="C1966" s="16" t="s">
        <v>6792</v>
      </c>
      <c r="D1966" s="16" t="s">
        <v>6793</v>
      </c>
      <c r="E1966" s="16" t="s">
        <v>6794</v>
      </c>
      <c r="F1966" s="16"/>
      <c r="G1966" s="16"/>
      <c r="H1966" s="18"/>
      <c r="I1966" s="18"/>
      <c r="J1966" s="18"/>
      <c r="K1966" s="18"/>
      <c r="L1966" s="18"/>
      <c r="M1966" s="18"/>
      <c r="N1966" s="18"/>
      <c r="O1966" s="18"/>
      <c r="P1966" s="18"/>
      <c r="Q1966" s="19"/>
      <c r="R1966" s="19"/>
      <c r="S1966" s="19"/>
    </row>
    <row r="1967" ht="15.75" customHeight="1">
      <c r="A1967" s="15">
        <v>45670.856828703705</v>
      </c>
      <c r="B1967" s="16" t="s">
        <v>6762</v>
      </c>
      <c r="C1967" s="16" t="s">
        <v>6792</v>
      </c>
      <c r="D1967" s="16" t="s">
        <v>6795</v>
      </c>
      <c r="E1967" s="16" t="s">
        <v>6796</v>
      </c>
      <c r="F1967" s="16"/>
      <c r="G1967" s="16"/>
      <c r="H1967" s="18"/>
      <c r="I1967" s="18"/>
      <c r="J1967" s="18"/>
      <c r="K1967" s="18"/>
      <c r="L1967" s="18"/>
      <c r="M1967" s="18"/>
      <c r="N1967" s="18"/>
      <c r="O1967" s="18"/>
      <c r="P1967" s="18"/>
      <c r="Q1967" s="19"/>
      <c r="R1967" s="19"/>
      <c r="S1967" s="19"/>
    </row>
    <row r="1968" ht="15.75" customHeight="1">
      <c r="A1968" s="15">
        <v>45673.707291666666</v>
      </c>
      <c r="B1968" s="16" t="s">
        <v>6762</v>
      </c>
      <c r="C1968" s="16" t="s">
        <v>6792</v>
      </c>
      <c r="D1968" s="16" t="s">
        <v>6797</v>
      </c>
      <c r="E1968" s="16" t="s">
        <v>6796</v>
      </c>
      <c r="F1968" s="16"/>
      <c r="G1968" s="16"/>
      <c r="H1968" s="18"/>
      <c r="I1968" s="18"/>
      <c r="J1968" s="18"/>
      <c r="K1968" s="18"/>
      <c r="L1968" s="18"/>
      <c r="M1968" s="18"/>
      <c r="N1968" s="18"/>
      <c r="O1968" s="18"/>
      <c r="P1968" s="18"/>
      <c r="Q1968" s="19"/>
      <c r="R1968" s="19"/>
      <c r="S1968" s="19"/>
    </row>
    <row r="1969" ht="15.75" customHeight="1">
      <c r="A1969" s="15">
        <v>45674.82232638889</v>
      </c>
      <c r="B1969" s="16" t="s">
        <v>6762</v>
      </c>
      <c r="C1969" s="16" t="s">
        <v>6792</v>
      </c>
      <c r="D1969" s="16" t="s">
        <v>6797</v>
      </c>
      <c r="E1969" s="16" t="s">
        <v>6796</v>
      </c>
      <c r="F1969" s="16"/>
      <c r="G1969" s="16"/>
      <c r="H1969" s="18"/>
      <c r="I1969" s="18"/>
      <c r="J1969" s="18"/>
      <c r="K1969" s="18"/>
      <c r="L1969" s="18"/>
      <c r="M1969" s="18"/>
      <c r="N1969" s="18"/>
      <c r="O1969" s="18"/>
      <c r="P1969" s="18"/>
      <c r="Q1969" s="19"/>
      <c r="R1969" s="19"/>
      <c r="S1969" s="19"/>
    </row>
    <row r="1970" ht="15.75" customHeight="1">
      <c r="A1970" s="15">
        <v>45675.83658564815</v>
      </c>
      <c r="B1970" s="16" t="s">
        <v>6785</v>
      </c>
      <c r="C1970" s="16" t="s">
        <v>6792</v>
      </c>
      <c r="D1970" s="16" t="s">
        <v>6798</v>
      </c>
      <c r="E1970" s="16" t="s">
        <v>6783</v>
      </c>
      <c r="F1970" s="16"/>
      <c r="G1970" s="16"/>
      <c r="H1970" s="18"/>
      <c r="I1970" s="18"/>
      <c r="J1970" s="18"/>
      <c r="K1970" s="18"/>
      <c r="L1970" s="18"/>
      <c r="M1970" s="18"/>
      <c r="N1970" s="18"/>
      <c r="O1970" s="18"/>
      <c r="P1970" s="18"/>
      <c r="Q1970" s="19"/>
      <c r="R1970" s="19"/>
      <c r="S1970" s="19"/>
    </row>
    <row r="1971" ht="15.75" customHeight="1">
      <c r="A1971" s="15">
        <v>45677.89293981482</v>
      </c>
      <c r="B1971" s="16" t="s">
        <v>6762</v>
      </c>
      <c r="C1971" s="16" t="s">
        <v>6792</v>
      </c>
      <c r="D1971" s="20" t="str">
        <f>?windows-1252?Q?Don=92t_miss_your_$100_e-voucher?=</f>
        <v>#ERROR!</v>
      </c>
      <c r="E1971" s="16" t="s">
        <v>6796</v>
      </c>
      <c r="F1971" s="16"/>
      <c r="G1971" s="16"/>
      <c r="H1971" s="18"/>
      <c r="I1971" s="18"/>
      <c r="J1971" s="18"/>
      <c r="K1971" s="18"/>
      <c r="L1971" s="18"/>
      <c r="M1971" s="18"/>
      <c r="N1971" s="18"/>
      <c r="O1971" s="18"/>
      <c r="P1971" s="18"/>
      <c r="Q1971" s="19"/>
      <c r="R1971" s="19"/>
      <c r="S1971" s="19"/>
    </row>
    <row r="1972" ht="15.75" customHeight="1">
      <c r="A1972" s="15">
        <v>45683.83460648148</v>
      </c>
      <c r="B1972" s="16" t="s">
        <v>6785</v>
      </c>
      <c r="C1972" s="16" t="s">
        <v>6792</v>
      </c>
      <c r="D1972" s="16" t="s">
        <v>6799</v>
      </c>
      <c r="E1972" s="16" t="s">
        <v>6783</v>
      </c>
      <c r="F1972" s="16"/>
      <c r="G1972" s="16"/>
      <c r="H1972" s="18"/>
      <c r="I1972" s="18"/>
      <c r="J1972" s="18"/>
      <c r="K1972" s="18"/>
      <c r="L1972" s="18"/>
      <c r="M1972" s="18"/>
      <c r="N1972" s="18"/>
      <c r="O1972" s="18"/>
      <c r="P1972" s="18"/>
      <c r="Q1972" s="19"/>
      <c r="R1972" s="19"/>
      <c r="S1972" s="19"/>
    </row>
    <row r="1973" ht="15.75" customHeight="1">
      <c r="A1973" s="15">
        <v>45686.07258101852</v>
      </c>
      <c r="B1973" s="16" t="s">
        <v>6780</v>
      </c>
      <c r="C1973" s="16" t="s">
        <v>6792</v>
      </c>
      <c r="D1973" s="20" t="str">
        <f>?utf-8?q?50%_off_your_next_3_orders_-_just_for_you_=F0=9F=91=80?=</f>
        <v>#ERROR!</v>
      </c>
      <c r="E1973" s="16" t="s">
        <v>6783</v>
      </c>
      <c r="F1973" s="16"/>
      <c r="G1973" s="16"/>
      <c r="H1973" s="18"/>
      <c r="I1973" s="18"/>
      <c r="J1973" s="18"/>
      <c r="K1973" s="18"/>
      <c r="L1973" s="18"/>
      <c r="M1973" s="18"/>
      <c r="N1973" s="18"/>
      <c r="O1973" s="18"/>
      <c r="P1973" s="18"/>
      <c r="Q1973" s="19"/>
      <c r="R1973" s="19"/>
      <c r="S1973" s="19"/>
    </row>
    <row r="1974" ht="15.75" customHeight="1">
      <c r="A1974" s="15">
        <v>45687.58461805555</v>
      </c>
      <c r="B1974" s="16" t="s">
        <v>6800</v>
      </c>
      <c r="C1974" s="16" t="s">
        <v>6792</v>
      </c>
      <c r="D1974" s="20" t="str">
        <f>?utf-8?q?We=E2=80=99ve_updated_our_Privacy_Notices?=</f>
        <v>#ERROR!</v>
      </c>
      <c r="E1974" s="16" t="s">
        <v>6783</v>
      </c>
      <c r="F1974" s="16"/>
      <c r="G1974" s="16"/>
      <c r="H1974" s="18"/>
      <c r="I1974" s="18"/>
      <c r="J1974" s="18"/>
      <c r="K1974" s="18"/>
      <c r="L1974" s="18"/>
      <c r="M1974" s="18"/>
      <c r="N1974" s="18"/>
      <c r="O1974" s="18"/>
      <c r="P1974" s="18"/>
      <c r="Q1974" s="19"/>
      <c r="R1974" s="19"/>
      <c r="S1974" s="19"/>
    </row>
    <row r="1975" ht="15.75" customHeight="1">
      <c r="A1975" s="15">
        <v>45693.83868055556</v>
      </c>
      <c r="B1975" s="16" t="s">
        <v>6785</v>
      </c>
      <c r="C1975" s="16" t="s">
        <v>6792</v>
      </c>
      <c r="D1975" s="16" t="s">
        <v>6801</v>
      </c>
      <c r="E1975" s="16" t="s">
        <v>6783</v>
      </c>
      <c r="F1975" s="16"/>
      <c r="G1975" s="16"/>
      <c r="H1975" s="18"/>
      <c r="I1975" s="18"/>
      <c r="J1975" s="18"/>
      <c r="K1975" s="18"/>
      <c r="L1975" s="18"/>
      <c r="M1975" s="18"/>
      <c r="N1975" s="18"/>
      <c r="O1975" s="18"/>
      <c r="P1975" s="18"/>
      <c r="Q1975" s="19"/>
      <c r="R1975" s="19"/>
      <c r="S1975" s="19"/>
    </row>
    <row r="1976" ht="15.75" customHeight="1">
      <c r="A1976" s="15">
        <v>45708.29431712963</v>
      </c>
      <c r="B1976" s="16" t="s">
        <v>6802</v>
      </c>
      <c r="C1976" s="16" t="s">
        <v>6792</v>
      </c>
      <c r="D1976" s="16" t="s">
        <v>6803</v>
      </c>
      <c r="E1976" s="16" t="s">
        <v>6804</v>
      </c>
      <c r="F1976" s="16"/>
      <c r="G1976" s="16"/>
      <c r="H1976" s="18"/>
      <c r="I1976" s="18"/>
      <c r="J1976" s="18"/>
      <c r="K1976" s="18"/>
      <c r="L1976" s="18"/>
      <c r="M1976" s="18"/>
      <c r="N1976" s="18"/>
      <c r="O1976" s="18"/>
      <c r="P1976" s="18"/>
      <c r="Q1976" s="19"/>
      <c r="R1976" s="19"/>
      <c r="S1976" s="19"/>
    </row>
    <row r="1977" ht="15.75" customHeight="1">
      <c r="A1977" s="15">
        <v>45709.29275462963</v>
      </c>
      <c r="B1977" s="16" t="s">
        <v>6805</v>
      </c>
      <c r="C1977" s="16" t="s">
        <v>6792</v>
      </c>
      <c r="D1977" s="16" t="s">
        <v>6806</v>
      </c>
      <c r="E1977" s="16" t="s">
        <v>6807</v>
      </c>
      <c r="F1977" s="16"/>
      <c r="G1977" s="16"/>
      <c r="H1977" s="18"/>
      <c r="I1977" s="18"/>
      <c r="J1977" s="18"/>
      <c r="K1977" s="18"/>
      <c r="L1977" s="18"/>
      <c r="M1977" s="18"/>
      <c r="N1977" s="18"/>
      <c r="O1977" s="18"/>
      <c r="P1977" s="18"/>
      <c r="Q1977" s="19"/>
      <c r="R1977" s="19"/>
      <c r="S1977" s="19"/>
    </row>
    <row r="1978" ht="15.75" customHeight="1">
      <c r="A1978" s="15">
        <v>45709.29361111111</v>
      </c>
      <c r="B1978" s="16" t="s">
        <v>6802</v>
      </c>
      <c r="C1978" s="16" t="s">
        <v>6792</v>
      </c>
      <c r="D1978" s="16" t="s">
        <v>6808</v>
      </c>
      <c r="E1978" s="16" t="s">
        <v>6809</v>
      </c>
      <c r="F1978" s="16"/>
      <c r="G1978" s="16"/>
      <c r="H1978" s="18"/>
      <c r="I1978" s="18"/>
      <c r="J1978" s="18"/>
      <c r="K1978" s="18"/>
      <c r="L1978" s="18"/>
      <c r="M1978" s="18"/>
      <c r="N1978" s="18"/>
      <c r="O1978" s="18"/>
      <c r="P1978" s="18"/>
      <c r="Q1978" s="19"/>
      <c r="R1978" s="19"/>
      <c r="S1978" s="19"/>
    </row>
    <row r="1979" ht="15.75" customHeight="1">
      <c r="A1979" s="15">
        <v>45712.293344907404</v>
      </c>
      <c r="B1979" s="16" t="s">
        <v>6802</v>
      </c>
      <c r="C1979" s="16" t="s">
        <v>6792</v>
      </c>
      <c r="D1979" s="16" t="s">
        <v>6810</v>
      </c>
      <c r="E1979" s="16" t="s">
        <v>6811</v>
      </c>
      <c r="F1979" s="16"/>
      <c r="G1979" s="16"/>
      <c r="H1979" s="18"/>
      <c r="I1979" s="18"/>
      <c r="J1979" s="18"/>
      <c r="K1979" s="18"/>
      <c r="L1979" s="18"/>
      <c r="M1979" s="18"/>
      <c r="N1979" s="18"/>
      <c r="O1979" s="18"/>
      <c r="P1979" s="18"/>
      <c r="Q1979" s="19"/>
      <c r="R1979" s="19"/>
      <c r="S1979" s="19"/>
    </row>
    <row r="1980" ht="15.75" customHeight="1">
      <c r="A1980" s="15">
        <v>45713.292650462965</v>
      </c>
      <c r="B1980" s="16" t="s">
        <v>6805</v>
      </c>
      <c r="C1980" s="16" t="s">
        <v>6792</v>
      </c>
      <c r="D1980" s="16" t="s">
        <v>6812</v>
      </c>
      <c r="E1980" s="16" t="s">
        <v>6813</v>
      </c>
      <c r="F1980" s="16"/>
      <c r="G1980" s="16"/>
      <c r="H1980" s="18"/>
      <c r="I1980" s="18"/>
      <c r="J1980" s="18"/>
      <c r="K1980" s="18"/>
      <c r="L1980" s="18"/>
      <c r="M1980" s="18"/>
      <c r="N1980" s="18"/>
      <c r="O1980" s="18"/>
      <c r="P1980" s="18"/>
      <c r="Q1980" s="19"/>
      <c r="R1980" s="19"/>
      <c r="S1980" s="19"/>
    </row>
    <row r="1981" ht="15.75" customHeight="1">
      <c r="A1981" s="15">
        <v>45713.293391203704</v>
      </c>
      <c r="B1981" s="16" t="s">
        <v>6802</v>
      </c>
      <c r="C1981" s="16" t="s">
        <v>6792</v>
      </c>
      <c r="D1981" s="16" t="s">
        <v>6814</v>
      </c>
      <c r="E1981" s="16" t="s">
        <v>6815</v>
      </c>
      <c r="F1981" s="16"/>
      <c r="G1981" s="16"/>
      <c r="H1981" s="18"/>
      <c r="I1981" s="18"/>
      <c r="J1981" s="18"/>
      <c r="K1981" s="18"/>
      <c r="L1981" s="18"/>
      <c r="M1981" s="18"/>
      <c r="N1981" s="18"/>
      <c r="O1981" s="18"/>
      <c r="P1981" s="18"/>
      <c r="Q1981" s="19"/>
      <c r="R1981" s="19"/>
      <c r="S1981" s="19"/>
    </row>
    <row r="1982" ht="15.75" customHeight="1">
      <c r="A1982" s="15">
        <v>45714.29375</v>
      </c>
      <c r="B1982" s="16" t="s">
        <v>6802</v>
      </c>
      <c r="C1982" s="16" t="s">
        <v>6792</v>
      </c>
      <c r="D1982" s="16" t="s">
        <v>6816</v>
      </c>
      <c r="E1982" s="16" t="s">
        <v>6817</v>
      </c>
      <c r="F1982" s="16"/>
      <c r="G1982" s="16"/>
      <c r="H1982" s="18"/>
      <c r="I1982" s="18"/>
      <c r="J1982" s="18"/>
      <c r="K1982" s="18"/>
      <c r="L1982" s="18"/>
      <c r="M1982" s="18"/>
      <c r="N1982" s="18"/>
      <c r="O1982" s="18"/>
      <c r="P1982" s="18"/>
      <c r="Q1982" s="19"/>
      <c r="R1982" s="19"/>
      <c r="S1982" s="19"/>
    </row>
    <row r="1983" ht="15.75" customHeight="1">
      <c r="A1983" s="15">
        <v>45714.44106481481</v>
      </c>
      <c r="B1983" s="16" t="s">
        <v>6818</v>
      </c>
      <c r="C1983" s="16" t="s">
        <v>6792</v>
      </c>
      <c r="D1983" s="16" t="s">
        <v>6819</v>
      </c>
      <c r="E1983" s="16" t="s">
        <v>6820</v>
      </c>
      <c r="F1983" s="16"/>
      <c r="G1983" s="16"/>
      <c r="H1983" s="18"/>
      <c r="I1983" s="18"/>
      <c r="J1983" s="18"/>
      <c r="K1983" s="18"/>
      <c r="L1983" s="18"/>
      <c r="M1983" s="18"/>
      <c r="N1983" s="18"/>
      <c r="O1983" s="18"/>
      <c r="P1983" s="18"/>
      <c r="Q1983" s="19"/>
      <c r="R1983" s="19"/>
      <c r="S1983" s="19"/>
    </row>
    <row r="1984" ht="15.75" customHeight="1">
      <c r="A1984" s="15">
        <v>45715.29288194444</v>
      </c>
      <c r="B1984" s="16" t="s">
        <v>6802</v>
      </c>
      <c r="C1984" s="16" t="s">
        <v>6792</v>
      </c>
      <c r="D1984" s="16" t="s">
        <v>6821</v>
      </c>
      <c r="E1984" s="16" t="s">
        <v>6822</v>
      </c>
      <c r="F1984" s="16"/>
      <c r="G1984" s="16"/>
      <c r="H1984" s="18"/>
      <c r="I1984" s="18"/>
      <c r="J1984" s="18"/>
      <c r="K1984" s="18"/>
      <c r="L1984" s="18"/>
      <c r="M1984" s="18"/>
      <c r="N1984" s="18"/>
      <c r="O1984" s="18"/>
      <c r="P1984" s="18"/>
      <c r="Q1984" s="19"/>
      <c r="R1984" s="19"/>
      <c r="S1984" s="19"/>
    </row>
    <row r="1985" ht="15.75" customHeight="1">
      <c r="A1985" s="15">
        <v>45716.292708333334</v>
      </c>
      <c r="B1985" s="16" t="s">
        <v>6805</v>
      </c>
      <c r="C1985" s="16" t="s">
        <v>6792</v>
      </c>
      <c r="D1985" s="16" t="s">
        <v>6823</v>
      </c>
      <c r="E1985" s="16" t="s">
        <v>6824</v>
      </c>
      <c r="F1985" s="16"/>
      <c r="G1985" s="16"/>
      <c r="H1985" s="18"/>
      <c r="I1985" s="18"/>
      <c r="J1985" s="18"/>
      <c r="K1985" s="18"/>
      <c r="L1985" s="18"/>
      <c r="M1985" s="18"/>
      <c r="N1985" s="18"/>
      <c r="O1985" s="18"/>
      <c r="P1985" s="18"/>
      <c r="Q1985" s="19"/>
      <c r="R1985" s="19"/>
      <c r="S1985" s="19"/>
    </row>
    <row r="1986" ht="15.75" customHeight="1">
      <c r="A1986" s="15">
        <v>45716.2934375</v>
      </c>
      <c r="B1986" s="16" t="s">
        <v>6802</v>
      </c>
      <c r="C1986" s="16" t="s">
        <v>6792</v>
      </c>
      <c r="D1986" s="16" t="s">
        <v>6825</v>
      </c>
      <c r="E1986" s="16" t="s">
        <v>6826</v>
      </c>
      <c r="F1986" s="16"/>
      <c r="G1986" s="16"/>
      <c r="H1986" s="18"/>
      <c r="I1986" s="18"/>
      <c r="J1986" s="18"/>
      <c r="K1986" s="18"/>
      <c r="L1986" s="18"/>
      <c r="M1986" s="18"/>
      <c r="N1986" s="18"/>
      <c r="O1986" s="18"/>
      <c r="P1986" s="18"/>
      <c r="Q1986" s="19"/>
      <c r="R1986" s="19"/>
      <c r="S1986" s="19"/>
    </row>
    <row r="1987" ht="15.75" customHeight="1">
      <c r="A1987" s="15">
        <v>45717.292662037034</v>
      </c>
      <c r="B1987" s="16" t="s">
        <v>6802</v>
      </c>
      <c r="C1987" s="16" t="s">
        <v>6792</v>
      </c>
      <c r="D1987" s="20" t="str">
        <f>?UTF-8?B?SGFwcHkgQmlydGhkYXkhIFlvdeKAmXZlIGdvdCBhIGdpZnQgd2Fp?=
 =?UTF-8?B?dGluZywgVG9ueSDwn46B?=</f>
        <v>#ERROR!</v>
      </c>
      <c r="E1987" s="16" t="s">
        <v>6827</v>
      </c>
      <c r="F1987" s="16"/>
      <c r="G1987" s="16"/>
      <c r="H1987" s="18"/>
      <c r="I1987" s="18"/>
      <c r="J1987" s="18"/>
      <c r="K1987" s="18"/>
      <c r="L1987" s="18"/>
      <c r="M1987" s="18"/>
      <c r="N1987" s="18"/>
      <c r="O1987" s="18"/>
      <c r="P1987" s="18"/>
      <c r="Q1987" s="19"/>
      <c r="R1987" s="19"/>
      <c r="S1987" s="19"/>
    </row>
    <row r="1988" ht="15.75" customHeight="1">
      <c r="A1988" s="15">
        <v>45717.29283564815</v>
      </c>
      <c r="B1988" s="16" t="s">
        <v>6805</v>
      </c>
      <c r="C1988" s="16" t="s">
        <v>6792</v>
      </c>
      <c r="D1988" s="16" t="s">
        <v>6828</v>
      </c>
      <c r="E1988" s="16" t="s">
        <v>6829</v>
      </c>
      <c r="F1988" s="16"/>
      <c r="G1988" s="16"/>
      <c r="H1988" s="18"/>
      <c r="I1988" s="18"/>
      <c r="J1988" s="18"/>
      <c r="K1988" s="18"/>
      <c r="L1988" s="18"/>
      <c r="M1988" s="18"/>
      <c r="N1988" s="18"/>
      <c r="O1988" s="18"/>
      <c r="P1988" s="18"/>
      <c r="Q1988" s="19"/>
      <c r="R1988" s="19"/>
      <c r="S1988" s="19"/>
    </row>
    <row r="1989" ht="15.75" customHeight="1">
      <c r="A1989" s="15">
        <v>45718.29314814815</v>
      </c>
      <c r="B1989" s="16" t="s">
        <v>6805</v>
      </c>
      <c r="C1989" s="16" t="s">
        <v>6792</v>
      </c>
      <c r="D1989" s="20" t="str">
        <f>?UTF-8?B?Qm9udXMgKyBHYW1lICsgWW91ISDwn6Sp?=</f>
        <v>#ERROR!</v>
      </c>
      <c r="E1989" s="16" t="s">
        <v>6830</v>
      </c>
      <c r="F1989" s="16"/>
      <c r="G1989" s="16"/>
      <c r="H1989" s="18"/>
      <c r="I1989" s="18"/>
      <c r="J1989" s="18"/>
      <c r="K1989" s="18"/>
      <c r="L1989" s="18"/>
      <c r="M1989" s="18"/>
      <c r="N1989" s="18"/>
      <c r="O1989" s="18"/>
      <c r="P1989" s="18"/>
      <c r="Q1989" s="19"/>
      <c r="R1989" s="19"/>
      <c r="S1989" s="19"/>
    </row>
    <row r="1990" ht="15.75" customHeight="1">
      <c r="A1990" s="15">
        <v>45718.294027777774</v>
      </c>
      <c r="B1990" s="16" t="s">
        <v>6802</v>
      </c>
      <c r="C1990" s="16" t="s">
        <v>6792</v>
      </c>
      <c r="D1990" s="16" t="s">
        <v>6831</v>
      </c>
      <c r="E1990" s="16" t="s">
        <v>6832</v>
      </c>
      <c r="F1990" s="16"/>
      <c r="G1990" s="16"/>
      <c r="H1990" s="18"/>
      <c r="I1990" s="18"/>
      <c r="J1990" s="18"/>
      <c r="K1990" s="18"/>
      <c r="L1990" s="18"/>
      <c r="M1990" s="18"/>
      <c r="N1990" s="18"/>
      <c r="O1990" s="18"/>
      <c r="P1990" s="18"/>
      <c r="Q1990" s="19"/>
      <c r="R1990" s="19"/>
      <c r="S1990" s="19"/>
    </row>
    <row r="1991" ht="15.75" customHeight="1">
      <c r="A1991" s="15">
        <v>45719.29315972222</v>
      </c>
      <c r="B1991" s="16" t="s">
        <v>6802</v>
      </c>
      <c r="C1991" s="16" t="s">
        <v>6792</v>
      </c>
      <c r="D1991" s="16" t="s">
        <v>6833</v>
      </c>
      <c r="E1991" s="16" t="s">
        <v>6834</v>
      </c>
      <c r="F1991" s="16"/>
      <c r="G1991" s="16"/>
      <c r="H1991" s="18"/>
      <c r="I1991" s="18"/>
      <c r="J1991" s="18"/>
      <c r="K1991" s="18"/>
      <c r="L1991" s="18"/>
      <c r="M1991" s="18"/>
      <c r="N1991" s="18"/>
      <c r="O1991" s="18"/>
      <c r="P1991" s="18"/>
      <c r="Q1991" s="19"/>
      <c r="R1991" s="19"/>
      <c r="S1991" s="19"/>
    </row>
    <row r="1992" ht="15.75" customHeight="1">
      <c r="A1992" s="15">
        <v>45720.29268518519</v>
      </c>
      <c r="B1992" s="16" t="s">
        <v>6805</v>
      </c>
      <c r="C1992" s="16" t="s">
        <v>6792</v>
      </c>
      <c r="D1992" s="16" t="s">
        <v>6835</v>
      </c>
      <c r="E1992" s="16" t="s">
        <v>6836</v>
      </c>
      <c r="F1992" s="16"/>
      <c r="G1992" s="16"/>
      <c r="H1992" s="18"/>
      <c r="I1992" s="18"/>
      <c r="J1992" s="18"/>
      <c r="K1992" s="18"/>
      <c r="L1992" s="18"/>
      <c r="M1992" s="18"/>
      <c r="N1992" s="18"/>
      <c r="O1992" s="18"/>
      <c r="P1992" s="18"/>
      <c r="Q1992" s="19"/>
      <c r="R1992" s="19"/>
      <c r="S1992" s="19"/>
    </row>
    <row r="1993" ht="15.75" customHeight="1">
      <c r="A1993" s="15">
        <v>45720.87540509259</v>
      </c>
      <c r="B1993" s="16" t="s">
        <v>6802</v>
      </c>
      <c r="C1993" s="16" t="s">
        <v>6792</v>
      </c>
      <c r="D1993" s="16" t="s">
        <v>6835</v>
      </c>
      <c r="E1993" s="16" t="s">
        <v>6837</v>
      </c>
      <c r="F1993" s="16"/>
      <c r="G1993" s="16"/>
      <c r="H1993" s="18"/>
      <c r="I1993" s="18"/>
      <c r="J1993" s="18"/>
      <c r="K1993" s="18"/>
      <c r="L1993" s="18"/>
      <c r="M1993" s="18"/>
      <c r="N1993" s="18"/>
      <c r="O1993" s="18"/>
      <c r="P1993" s="18"/>
      <c r="Q1993" s="19"/>
      <c r="R1993" s="19"/>
      <c r="S1993" s="19"/>
    </row>
    <row r="1994" ht="15.75" customHeight="1">
      <c r="A1994" s="15">
        <v>45721.29269675926</v>
      </c>
      <c r="B1994" s="16" t="s">
        <v>6805</v>
      </c>
      <c r="C1994" s="16" t="s">
        <v>6792</v>
      </c>
      <c r="D1994" s="20" t="str">
        <f>?UTF-8?B?SXMgdGhhdCBhIGJpZ2dlciBib251cyB3ZSBzZWU/IPCfkYA=?=</f>
        <v>#ERROR!</v>
      </c>
      <c r="E1994" s="16" t="s">
        <v>6838</v>
      </c>
      <c r="F1994" s="16"/>
      <c r="G1994" s="16"/>
      <c r="H1994" s="18"/>
      <c r="I1994" s="18"/>
      <c r="J1994" s="18"/>
      <c r="K1994" s="18"/>
      <c r="L1994" s="18"/>
      <c r="M1994" s="18"/>
      <c r="N1994" s="18"/>
      <c r="O1994" s="18"/>
      <c r="P1994" s="18"/>
      <c r="Q1994" s="19"/>
      <c r="R1994" s="19"/>
      <c r="S1994" s="19"/>
    </row>
    <row r="1995" ht="15.75" customHeight="1">
      <c r="A1995" s="15">
        <v>45721.87538194445</v>
      </c>
      <c r="B1995" s="16" t="s">
        <v>6802</v>
      </c>
      <c r="C1995" s="16" t="s">
        <v>6792</v>
      </c>
      <c r="D1995" s="16" t="s">
        <v>6839</v>
      </c>
      <c r="E1995" s="16" t="s">
        <v>6840</v>
      </c>
      <c r="F1995" s="16"/>
      <c r="G1995" s="16"/>
      <c r="H1995" s="18"/>
      <c r="I1995" s="18"/>
      <c r="J1995" s="18"/>
      <c r="K1995" s="18"/>
      <c r="L1995" s="18"/>
      <c r="M1995" s="18"/>
      <c r="N1995" s="18"/>
      <c r="O1995" s="18"/>
      <c r="P1995" s="18"/>
      <c r="Q1995" s="19"/>
      <c r="R1995" s="19"/>
      <c r="S1995" s="19"/>
    </row>
    <row r="1996" ht="15.75" customHeight="1">
      <c r="A1996" s="15">
        <v>45722.292662037034</v>
      </c>
      <c r="B1996" s="16" t="s">
        <v>6805</v>
      </c>
      <c r="C1996" s="16" t="s">
        <v>6792</v>
      </c>
      <c r="D1996" s="20" t="str">
        <f>?UTF-8?B?V29haCEgWW91IGhhdmUgYSBiaWcgZGVhbOKApg==?=</f>
        <v>#ERROR!</v>
      </c>
      <c r="E1996" s="16" t="s">
        <v>6841</v>
      </c>
      <c r="F1996" s="16"/>
      <c r="G1996" s="16"/>
      <c r="H1996" s="18"/>
      <c r="I1996" s="18"/>
      <c r="J1996" s="18"/>
      <c r="K1996" s="18"/>
      <c r="L1996" s="18"/>
      <c r="M1996" s="18"/>
      <c r="N1996" s="18"/>
      <c r="O1996" s="18"/>
      <c r="P1996" s="18"/>
      <c r="Q1996" s="19"/>
      <c r="R1996" s="19"/>
      <c r="S1996" s="19"/>
    </row>
    <row r="1997" ht="15.75" customHeight="1">
      <c r="A1997" s="15">
        <v>45722.58369212963</v>
      </c>
      <c r="B1997" s="16" t="s">
        <v>6802</v>
      </c>
      <c r="C1997" s="16" t="s">
        <v>6792</v>
      </c>
      <c r="D1997" s="20" t="str">
        <f>?UTF-8?B?U29tZXRoaW5nIHRvIGJyaWdodGVuIHlvdXIgZGF5IfCfkqE=?=</f>
        <v>#ERROR!</v>
      </c>
      <c r="E1997" s="16" t="s">
        <v>6842</v>
      </c>
      <c r="F1997" s="16"/>
      <c r="G1997" s="16"/>
      <c r="H1997" s="18"/>
      <c r="I1997" s="18"/>
      <c r="J1997" s="18"/>
      <c r="K1997" s="18"/>
      <c r="L1997" s="18"/>
      <c r="M1997" s="18"/>
      <c r="N1997" s="18"/>
      <c r="O1997" s="18"/>
      <c r="P1997" s="18"/>
      <c r="Q1997" s="19"/>
      <c r="R1997" s="19"/>
      <c r="S1997" s="19"/>
    </row>
    <row r="1998" ht="15.75" customHeight="1">
      <c r="A1998" s="15">
        <v>45722.75467592593</v>
      </c>
      <c r="B1998" s="16" t="s">
        <v>6762</v>
      </c>
      <c r="C1998" s="16" t="s">
        <v>6792</v>
      </c>
      <c r="D1998" s="20" t="str">
        <f>?utf-8?B?Q2xpbWIgdXAgdGhlIHJhbmtzIHdpdGggU2Ftc3VuZyBPZHlzcw==?=
 =?utf-8?B?ZXkgR2FtaW5nIE1vbml0b3JzIPCfjq4=?=</f>
        <v>#ERROR!</v>
      </c>
      <c r="E1998" s="16" t="s">
        <v>6843</v>
      </c>
      <c r="F1998" s="16"/>
      <c r="G1998" s="16"/>
      <c r="H1998" s="18"/>
      <c r="I1998" s="18"/>
      <c r="J1998" s="18"/>
      <c r="K1998" s="18"/>
      <c r="L1998" s="18"/>
      <c r="M1998" s="18"/>
      <c r="N1998" s="18"/>
      <c r="O1998" s="18"/>
      <c r="P1998" s="18"/>
      <c r="Q1998" s="19"/>
      <c r="R1998" s="19"/>
      <c r="S1998" s="19"/>
    </row>
    <row r="1999" ht="15.75" customHeight="1">
      <c r="A1999" s="15">
        <v>45723.29273148148</v>
      </c>
      <c r="B1999" s="16" t="s">
        <v>6805</v>
      </c>
      <c r="C1999" s="16" t="s">
        <v>6792</v>
      </c>
      <c r="D1999" s="20" t="str">
        <f>?UTF-8?B?RnVuIHVwIHdpdGggeW91ciBNZWdhIERlYWwg8J+YiQ==?=</f>
        <v>#ERROR!</v>
      </c>
      <c r="E1999" s="16" t="s">
        <v>6844</v>
      </c>
      <c r="F1999" s="16"/>
      <c r="G1999" s="16"/>
      <c r="H1999" s="18"/>
      <c r="I1999" s="18"/>
      <c r="J1999" s="18"/>
      <c r="K1999" s="18"/>
      <c r="L1999" s="18"/>
      <c r="M1999" s="18"/>
      <c r="N1999" s="18"/>
      <c r="O1999" s="18"/>
      <c r="P1999" s="18"/>
      <c r="Q1999" s="19"/>
      <c r="R1999" s="19"/>
      <c r="S1999" s="19"/>
    </row>
    <row r="2000" ht="15.75" customHeight="1">
      <c r="A2000" s="15">
        <v>45723.500451388885</v>
      </c>
      <c r="B2000" s="16" t="s">
        <v>6802</v>
      </c>
      <c r="C2000" s="16" t="s">
        <v>6792</v>
      </c>
      <c r="D2000" s="20" t="str">
        <f>?UTF-8?B?WW91ciBzbWlsZSBvZiBhIGJvbnVzISDwn5iK?=</f>
        <v>#ERROR!</v>
      </c>
      <c r="E2000" s="16" t="s">
        <v>6845</v>
      </c>
      <c r="F2000" s="16"/>
      <c r="G2000" s="16"/>
      <c r="H2000" s="18"/>
      <c r="I2000" s="18"/>
      <c r="J2000" s="18"/>
      <c r="K2000" s="18"/>
      <c r="L2000" s="18"/>
      <c r="M2000" s="18"/>
      <c r="N2000" s="18"/>
      <c r="O2000" s="18"/>
      <c r="P2000" s="18"/>
      <c r="Q2000" s="19"/>
      <c r="R2000" s="19"/>
      <c r="S2000" s="19"/>
    </row>
    <row r="2001" ht="15.75" customHeight="1">
      <c r="A2001" s="15">
        <v>45724.292592592596</v>
      </c>
      <c r="B2001" s="16" t="s">
        <v>6805</v>
      </c>
      <c r="C2001" s="16" t="s">
        <v>6792</v>
      </c>
      <c r="D2001" s="20" t="str">
        <f>?UTF-8?B?QWxsIPCfkYAgb24geW91ciBiaWcgYm9udXMh?=</f>
        <v>#ERROR!</v>
      </c>
      <c r="E2001" s="16" t="s">
        <v>6846</v>
      </c>
      <c r="F2001" s="16"/>
      <c r="G2001" s="16"/>
      <c r="H2001" s="18"/>
      <c r="I2001" s="18"/>
      <c r="J2001" s="18"/>
      <c r="K2001" s="18"/>
      <c r="L2001" s="18"/>
      <c r="M2001" s="18"/>
      <c r="N2001" s="18"/>
      <c r="O2001" s="18"/>
      <c r="P2001" s="18"/>
      <c r="Q2001" s="19"/>
      <c r="R2001" s="19"/>
      <c r="S2001" s="19"/>
    </row>
    <row r="2002" ht="15.75" customHeight="1">
      <c r="A2002" s="15">
        <v>45724.29267361111</v>
      </c>
      <c r="B2002" s="16" t="s">
        <v>6802</v>
      </c>
      <c r="C2002" s="16" t="s">
        <v>6792</v>
      </c>
      <c r="D2002" s="16" t="s">
        <v>6847</v>
      </c>
      <c r="E2002" s="16" t="s">
        <v>6848</v>
      </c>
      <c r="F2002" s="16"/>
      <c r="G2002" s="16"/>
      <c r="H2002" s="18"/>
      <c r="I2002" s="18"/>
      <c r="J2002" s="18"/>
      <c r="K2002" s="18"/>
      <c r="L2002" s="18"/>
      <c r="M2002" s="18"/>
      <c r="N2002" s="18"/>
      <c r="O2002" s="18"/>
      <c r="P2002" s="18"/>
      <c r="Q2002" s="19"/>
      <c r="R2002" s="19"/>
      <c r="S2002" s="19"/>
    </row>
    <row r="2003" ht="15.75" customHeight="1">
      <c r="A2003" s="15">
        <v>45725.292766203704</v>
      </c>
      <c r="B2003" s="16" t="s">
        <v>6805</v>
      </c>
      <c r="C2003" s="16" t="s">
        <v>6792</v>
      </c>
      <c r="D2003" s="20" t="str">
        <f>?UTF-8?B?WW91ciBkZWFsJ3MgZ29uZSBtZWdhISDwn6Sp?=</f>
        <v>#ERROR!</v>
      </c>
      <c r="E2003" s="16" t="s">
        <v>6849</v>
      </c>
      <c r="F2003" s="16"/>
      <c r="G2003" s="16"/>
      <c r="H2003" s="18"/>
      <c r="I2003" s="18"/>
      <c r="J2003" s="18"/>
      <c r="K2003" s="18"/>
      <c r="L2003" s="18"/>
      <c r="M2003" s="18"/>
      <c r="N2003" s="18"/>
      <c r="O2003" s="18"/>
      <c r="P2003" s="18"/>
      <c r="Q2003" s="19"/>
      <c r="R2003" s="19"/>
      <c r="S2003" s="19"/>
    </row>
    <row r="2004" ht="15.75" customHeight="1">
      <c r="A2004" s="15">
        <v>45725.375289351854</v>
      </c>
      <c r="B2004" s="16" t="s">
        <v>6802</v>
      </c>
      <c r="C2004" s="16" t="s">
        <v>6792</v>
      </c>
      <c r="D2004" s="20" t="str">
        <f>?UTF-8?B?T3BlbiB1cCBmb3IgdG9kYXkncyBzdXJwcmlzZSHwn46B?=</f>
        <v>#ERROR!</v>
      </c>
      <c r="E2004" s="16" t="s">
        <v>6850</v>
      </c>
      <c r="F2004" s="16"/>
      <c r="G2004" s="16"/>
      <c r="H2004" s="18"/>
      <c r="I2004" s="18"/>
      <c r="J2004" s="18"/>
      <c r="K2004" s="18"/>
      <c r="L2004" s="18"/>
      <c r="M2004" s="18"/>
      <c r="N2004" s="18"/>
      <c r="O2004" s="18"/>
      <c r="P2004" s="18"/>
      <c r="Q2004" s="19"/>
      <c r="R2004" s="19"/>
      <c r="S2004" s="19"/>
    </row>
    <row r="2005" ht="15.75" customHeight="1">
      <c r="A2005" s="15">
        <v>45726.29230324074</v>
      </c>
      <c r="B2005" s="16" t="s">
        <v>6802</v>
      </c>
      <c r="C2005" s="16" t="s">
        <v>6792</v>
      </c>
      <c r="D2005" s="16" t="s">
        <v>6851</v>
      </c>
      <c r="E2005" s="16" t="s">
        <v>6852</v>
      </c>
      <c r="F2005" s="16"/>
      <c r="G2005" s="16"/>
      <c r="H2005" s="18"/>
      <c r="I2005" s="18"/>
      <c r="J2005" s="18"/>
      <c r="K2005" s="18"/>
      <c r="L2005" s="18"/>
      <c r="M2005" s="18"/>
      <c r="N2005" s="18"/>
      <c r="O2005" s="18"/>
      <c r="P2005" s="18"/>
      <c r="Q2005" s="19"/>
      <c r="R2005" s="19"/>
      <c r="S2005" s="19"/>
    </row>
    <row r="2006" ht="15.75" customHeight="1">
      <c r="A2006" s="15">
        <v>45726.292708333334</v>
      </c>
      <c r="B2006" s="16" t="s">
        <v>6805</v>
      </c>
      <c r="C2006" s="16" t="s">
        <v>6792</v>
      </c>
      <c r="D2006" s="20" t="str">
        <f>?UTF-8?B?V2hlbiBpdOKAmXMgYmlnZ2VyLCBpdOKAmXMgYmV0dGVyIQ==?=</f>
        <v>#ERROR!</v>
      </c>
      <c r="E2006" s="16" t="s">
        <v>6853</v>
      </c>
      <c r="F2006" s="16"/>
      <c r="G2006" s="16"/>
      <c r="H2006" s="18"/>
      <c r="I2006" s="18"/>
      <c r="J2006" s="18"/>
      <c r="K2006" s="18"/>
      <c r="L2006" s="18"/>
      <c r="M2006" s="18"/>
      <c r="N2006" s="18"/>
      <c r="O2006" s="18"/>
      <c r="P2006" s="18"/>
      <c r="Q2006" s="19"/>
      <c r="R2006" s="19"/>
      <c r="S2006" s="19"/>
    </row>
    <row r="2007" ht="15.75" customHeight="1">
      <c r="A2007" s="15">
        <v>45727.29273148148</v>
      </c>
      <c r="B2007" s="16" t="s">
        <v>6802</v>
      </c>
      <c r="C2007" s="16" t="s">
        <v>6792</v>
      </c>
      <c r="D2007" s="16" t="s">
        <v>6854</v>
      </c>
      <c r="E2007" s="16" t="s">
        <v>6855</v>
      </c>
      <c r="F2007" s="16"/>
      <c r="G2007" s="16"/>
      <c r="H2007" s="18"/>
      <c r="I2007" s="18"/>
      <c r="J2007" s="18"/>
      <c r="K2007" s="18"/>
      <c r="L2007" s="18"/>
      <c r="M2007" s="18"/>
      <c r="N2007" s="18"/>
      <c r="O2007" s="18"/>
      <c r="P2007" s="18"/>
      <c r="Q2007" s="19"/>
      <c r="R2007" s="19"/>
      <c r="S2007" s="19"/>
    </row>
    <row r="2008" ht="15.75" customHeight="1">
      <c r="A2008" s="15">
        <v>45727.29282407407</v>
      </c>
      <c r="B2008" s="16" t="s">
        <v>6805</v>
      </c>
      <c r="C2008" s="16" t="s">
        <v>6792</v>
      </c>
      <c r="D2008" s="20" t="str">
        <f>?UTF-8?B?WW91ciBkZWFs4oCZcyBsYXJnZSwgaW4gY2hhcmdlIQ==?=</f>
        <v>#ERROR!</v>
      </c>
      <c r="E2008" s="16" t="s">
        <v>6856</v>
      </c>
      <c r="F2008" s="16"/>
      <c r="G2008" s="16"/>
      <c r="H2008" s="18"/>
      <c r="I2008" s="18"/>
      <c r="J2008" s="18"/>
      <c r="K2008" s="18"/>
      <c r="L2008" s="18"/>
      <c r="M2008" s="18"/>
      <c r="N2008" s="18"/>
      <c r="O2008" s="18"/>
      <c r="P2008" s="18"/>
      <c r="Q2008" s="19"/>
      <c r="R2008" s="19"/>
      <c r="S2008" s="19"/>
    </row>
    <row r="2009" ht="15.75" customHeight="1">
      <c r="A2009" s="15">
        <v>45729.29219907407</v>
      </c>
      <c r="B2009" s="16" t="s">
        <v>6802</v>
      </c>
      <c r="C2009" s="16" t="s">
        <v>6792</v>
      </c>
      <c r="D2009" s="16" t="s">
        <v>6857</v>
      </c>
      <c r="E2009" s="16" t="s">
        <v>6858</v>
      </c>
      <c r="F2009" s="16"/>
      <c r="G2009" s="16"/>
      <c r="H2009" s="18"/>
      <c r="I2009" s="18"/>
      <c r="J2009" s="18"/>
      <c r="K2009" s="18"/>
      <c r="L2009" s="18"/>
      <c r="M2009" s="18"/>
      <c r="N2009" s="18"/>
      <c r="O2009" s="18"/>
      <c r="P2009" s="18"/>
      <c r="Q2009" s="19"/>
      <c r="R2009" s="19"/>
      <c r="S2009" s="19"/>
    </row>
    <row r="2010" ht="15.75" customHeight="1">
      <c r="A2010" s="15">
        <v>45729.29269675926</v>
      </c>
      <c r="B2010" s="16" t="s">
        <v>6805</v>
      </c>
      <c r="C2010" s="16" t="s">
        <v>6792</v>
      </c>
      <c r="D2010" s="20" t="str">
        <f>?UTF-8?B?SGVsbG8sIGl04oCZcyB5b3VyIE1lZ2EgRGVhbA==?=</f>
        <v>#ERROR!</v>
      </c>
      <c r="E2010" s="16" t="s">
        <v>6859</v>
      </c>
      <c r="F2010" s="16"/>
      <c r="G2010" s="16"/>
      <c r="H2010" s="18"/>
      <c r="I2010" s="18"/>
      <c r="J2010" s="18"/>
      <c r="K2010" s="18"/>
      <c r="L2010" s="18"/>
      <c r="M2010" s="18"/>
      <c r="N2010" s="18"/>
      <c r="O2010" s="18"/>
      <c r="P2010" s="18"/>
      <c r="Q2010" s="19"/>
      <c r="R2010" s="19"/>
      <c r="S2010" s="19"/>
    </row>
    <row r="2011" ht="15.75" customHeight="1">
      <c r="A2011" s="15">
        <v>45730.29263888889</v>
      </c>
      <c r="B2011" s="16" t="s">
        <v>6805</v>
      </c>
      <c r="C2011" s="16" t="s">
        <v>6792</v>
      </c>
      <c r="D2011" s="20" t="str">
        <f>?UTF-8?B?SXQncyB5b3VyIE1lZ2EgRGVhbCBsaWZ0LW9mZiDwn5qA?=</f>
        <v>#ERROR!</v>
      </c>
      <c r="E2011" s="16" t="s">
        <v>6860</v>
      </c>
      <c r="F2011" s="16"/>
      <c r="G2011" s="16"/>
      <c r="H2011" s="18"/>
      <c r="I2011" s="18"/>
      <c r="J2011" s="18"/>
      <c r="K2011" s="18"/>
      <c r="L2011" s="18"/>
      <c r="M2011" s="18"/>
      <c r="N2011" s="18"/>
      <c r="O2011" s="18"/>
      <c r="P2011" s="18"/>
      <c r="Q2011" s="19"/>
      <c r="R2011" s="19"/>
      <c r="S2011" s="19"/>
    </row>
    <row r="2012" ht="15.75" customHeight="1">
      <c r="A2012" s="15">
        <v>45730.7924537037</v>
      </c>
      <c r="B2012" s="16" t="s">
        <v>6802</v>
      </c>
      <c r="C2012" s="16" t="s">
        <v>6792</v>
      </c>
      <c r="D2012" s="16" t="s">
        <v>6861</v>
      </c>
      <c r="E2012" s="16" t="s">
        <v>6862</v>
      </c>
      <c r="F2012" s="16"/>
      <c r="G2012" s="16"/>
      <c r="H2012" s="18"/>
      <c r="I2012" s="18"/>
      <c r="J2012" s="18"/>
      <c r="K2012" s="18"/>
      <c r="L2012" s="18"/>
      <c r="M2012" s="18"/>
      <c r="N2012" s="18"/>
      <c r="O2012" s="18"/>
      <c r="P2012" s="18"/>
      <c r="Q2012" s="19"/>
      <c r="R2012" s="19"/>
      <c r="S2012" s="19"/>
    </row>
    <row r="2013" ht="15.75" customHeight="1">
      <c r="A2013" s="15">
        <v>45731.29267361111</v>
      </c>
      <c r="B2013" s="16" t="s">
        <v>6805</v>
      </c>
      <c r="C2013" s="16" t="s">
        <v>6792</v>
      </c>
      <c r="D2013" s="16" t="s">
        <v>6863</v>
      </c>
      <c r="E2013" s="16" t="s">
        <v>6864</v>
      </c>
      <c r="F2013" s="16"/>
      <c r="G2013" s="16"/>
      <c r="H2013" s="18"/>
      <c r="I2013" s="18"/>
      <c r="J2013" s="18"/>
      <c r="K2013" s="18"/>
      <c r="L2013" s="18"/>
      <c r="M2013" s="18"/>
      <c r="N2013" s="18"/>
      <c r="O2013" s="18"/>
      <c r="P2013" s="18"/>
      <c r="Q2013" s="19"/>
      <c r="R2013" s="19"/>
      <c r="S2013" s="19"/>
    </row>
    <row r="2014" ht="15.75" customHeight="1">
      <c r="A2014" s="15">
        <v>45731.750439814816</v>
      </c>
      <c r="B2014" s="16" t="s">
        <v>6802</v>
      </c>
      <c r="C2014" s="16" t="s">
        <v>6792</v>
      </c>
      <c r="D2014" s="16" t="s">
        <v>6865</v>
      </c>
      <c r="E2014" s="16" t="s">
        <v>6866</v>
      </c>
      <c r="F2014" s="16"/>
      <c r="G2014" s="16"/>
      <c r="H2014" s="18"/>
      <c r="I2014" s="18"/>
      <c r="J2014" s="18"/>
      <c r="K2014" s="18"/>
      <c r="L2014" s="18"/>
      <c r="M2014" s="18"/>
      <c r="N2014" s="18"/>
      <c r="O2014" s="18"/>
      <c r="P2014" s="18"/>
      <c r="Q2014" s="19"/>
      <c r="R2014" s="19"/>
      <c r="S2014" s="19"/>
    </row>
    <row r="2015" ht="15.75" customHeight="1">
      <c r="A2015" s="15">
        <v>45732.29277777778</v>
      </c>
      <c r="B2015" s="16" t="s">
        <v>6805</v>
      </c>
      <c r="C2015" s="16" t="s">
        <v>6792</v>
      </c>
      <c r="D2015" s="20" t="str">
        <f>?UTF-8?B?Rmx5bm7igJlzIGhpZGluZyBzcGlucyDigJMgbGV04oCZcyBmaW5k?=
 =?UTF-8?B?IGhpbSEg8J+NgA==?=</f>
        <v>#ERROR!</v>
      </c>
      <c r="E2015" s="16" t="s">
        <v>6867</v>
      </c>
      <c r="F2015" s="16"/>
      <c r="G2015" s="16"/>
      <c r="H2015" s="18"/>
      <c r="I2015" s="18"/>
      <c r="J2015" s="18"/>
      <c r="K2015" s="18"/>
      <c r="L2015" s="18"/>
      <c r="M2015" s="18"/>
      <c r="N2015" s="18"/>
      <c r="O2015" s="18"/>
      <c r="P2015" s="18"/>
      <c r="Q2015" s="19"/>
      <c r="R2015" s="19"/>
      <c r="S2015" s="19"/>
    </row>
    <row r="2016" ht="15.75" customHeight="1">
      <c r="A2016" s="15">
        <v>45732.29346064815</v>
      </c>
      <c r="B2016" s="16" t="s">
        <v>6802</v>
      </c>
      <c r="C2016" s="16" t="s">
        <v>6792</v>
      </c>
      <c r="D2016" s="20" t="str">
        <f>?UTF-8?B?Rmx5bm7igJlzIGhpZGluZyBzcGlucyDigJMgbGV04oCZcyBmaW5k?=
 =?UTF-8?B?IGhpbSEg8J+NgA==?=</f>
        <v>#ERROR!</v>
      </c>
      <c r="E2016" s="16" t="s">
        <v>6868</v>
      </c>
      <c r="F2016" s="16"/>
      <c r="G2016" s="16"/>
      <c r="H2016" s="18"/>
      <c r="I2016" s="18"/>
      <c r="J2016" s="18"/>
      <c r="K2016" s="18"/>
      <c r="L2016" s="18"/>
      <c r="M2016" s="18"/>
      <c r="N2016" s="18"/>
      <c r="O2016" s="18"/>
      <c r="P2016" s="18"/>
      <c r="Q2016" s="19"/>
      <c r="R2016" s="19"/>
      <c r="S2016" s="19"/>
    </row>
    <row r="2017" ht="15.75" customHeight="1">
      <c r="A2017" s="15">
        <v>45733.292766203704</v>
      </c>
      <c r="B2017" s="16" t="s">
        <v>6805</v>
      </c>
      <c r="C2017" s="16" t="s">
        <v>6792</v>
      </c>
      <c r="D2017" s="16" t="s">
        <v>6869</v>
      </c>
      <c r="E2017" s="16" t="s">
        <v>6870</v>
      </c>
      <c r="F2017" s="16"/>
      <c r="G2017" s="16"/>
      <c r="H2017" s="18"/>
      <c r="I2017" s="18"/>
      <c r="J2017" s="18"/>
      <c r="K2017" s="18"/>
      <c r="L2017" s="18"/>
      <c r="M2017" s="18"/>
      <c r="N2017" s="18"/>
      <c r="O2017" s="18"/>
      <c r="P2017" s="18"/>
      <c r="Q2017" s="19"/>
      <c r="R2017" s="19"/>
      <c r="S2017" s="19"/>
    </row>
    <row r="2018" ht="15.75" customHeight="1">
      <c r="A2018" s="15">
        <v>45733.334444444445</v>
      </c>
      <c r="B2018" s="16" t="s">
        <v>6802</v>
      </c>
      <c r="C2018" s="16" t="s">
        <v>6792</v>
      </c>
      <c r="D2018" s="16" t="s">
        <v>6828</v>
      </c>
      <c r="E2018" s="16" t="s">
        <v>6871</v>
      </c>
      <c r="F2018" s="16"/>
      <c r="G2018" s="16"/>
      <c r="H2018" s="18"/>
      <c r="I2018" s="18"/>
      <c r="J2018" s="18"/>
      <c r="K2018" s="18"/>
      <c r="L2018" s="18"/>
      <c r="M2018" s="18"/>
      <c r="N2018" s="18"/>
      <c r="O2018" s="18"/>
      <c r="P2018" s="18"/>
      <c r="Q2018" s="19"/>
      <c r="R2018" s="19"/>
      <c r="S2018" s="19"/>
    </row>
    <row r="2019" ht="15.75" customHeight="1">
      <c r="A2019" s="15">
        <v>45733.784479166665</v>
      </c>
      <c r="B2019" s="16" t="s">
        <v>6762</v>
      </c>
      <c r="C2019" s="16" t="s">
        <v>6792</v>
      </c>
      <c r="D2019" s="16" t="s">
        <v>6872</v>
      </c>
      <c r="E2019" s="16" t="s">
        <v>6843</v>
      </c>
      <c r="F2019" s="16"/>
      <c r="G2019" s="16"/>
      <c r="H2019" s="18"/>
      <c r="I2019" s="18"/>
      <c r="J2019" s="18"/>
      <c r="K2019" s="18"/>
      <c r="L2019" s="18"/>
      <c r="M2019" s="18"/>
      <c r="N2019" s="18"/>
      <c r="O2019" s="18"/>
      <c r="P2019" s="18"/>
      <c r="Q2019" s="19"/>
      <c r="R2019" s="19"/>
      <c r="S2019" s="19"/>
    </row>
    <row r="2020" ht="15.75" customHeight="1">
      <c r="A2020" s="15">
        <v>45734.29269675926</v>
      </c>
      <c r="B2020" s="16" t="s">
        <v>6802</v>
      </c>
      <c r="C2020" s="16" t="s">
        <v>6792</v>
      </c>
      <c r="D2020" s="20" t="str">
        <f>?UTF-8?B?RG9u4oCZdCBqdXN0IGRyZWFtIGl0LiBEZWFsIGl0IQ==?=</f>
        <v>#ERROR!</v>
      </c>
      <c r="E2020" s="16" t="s">
        <v>6873</v>
      </c>
      <c r="F2020" s="16"/>
      <c r="G2020" s="16"/>
      <c r="H2020" s="18"/>
      <c r="I2020" s="18"/>
      <c r="J2020" s="18"/>
      <c r="K2020" s="18"/>
      <c r="L2020" s="18"/>
      <c r="M2020" s="18"/>
      <c r="N2020" s="18"/>
      <c r="O2020" s="18"/>
      <c r="P2020" s="18"/>
      <c r="Q2020" s="19"/>
      <c r="R2020" s="19"/>
      <c r="S2020" s="19"/>
    </row>
    <row r="2021" ht="15.75" customHeight="1">
      <c r="A2021" s="15">
        <v>45734.915625</v>
      </c>
      <c r="B2021" s="16" t="s">
        <v>6780</v>
      </c>
      <c r="C2021" s="16" t="s">
        <v>6792</v>
      </c>
      <c r="D2021" s="20" t="str">
        <f>?utf-8?q?50%_off_your_next_3_orders_-_just_for_you_=F0=9F=91=80?=</f>
        <v>#ERROR!</v>
      </c>
      <c r="E2021" s="16" t="s">
        <v>6783</v>
      </c>
      <c r="F2021" s="16"/>
      <c r="G2021" s="16"/>
      <c r="H2021" s="18"/>
      <c r="I2021" s="18"/>
      <c r="J2021" s="18"/>
      <c r="K2021" s="18"/>
      <c r="L2021" s="18"/>
      <c r="M2021" s="18"/>
      <c r="N2021" s="18"/>
      <c r="O2021" s="18"/>
      <c r="P2021" s="18"/>
      <c r="Q2021" s="19"/>
      <c r="R2021" s="19"/>
      <c r="S2021" s="19"/>
    </row>
    <row r="2022" ht="15.75" customHeight="1">
      <c r="A2022" s="15">
        <v>45735.46587962963</v>
      </c>
      <c r="B2022" s="16" t="s">
        <v>6780</v>
      </c>
      <c r="C2022" s="16" t="s">
        <v>6792</v>
      </c>
      <c r="D2022" s="16" t="s">
        <v>6874</v>
      </c>
      <c r="E2022" s="16" t="s">
        <v>6783</v>
      </c>
      <c r="F2022" s="16"/>
      <c r="G2022" s="16"/>
      <c r="H2022" s="18"/>
      <c r="I2022" s="18"/>
      <c r="J2022" s="18"/>
      <c r="K2022" s="18"/>
      <c r="L2022" s="18"/>
      <c r="M2022" s="18"/>
      <c r="N2022" s="18"/>
      <c r="O2022" s="18"/>
      <c r="P2022" s="18"/>
      <c r="Q2022" s="19"/>
      <c r="R2022" s="19"/>
      <c r="S2022" s="19"/>
    </row>
    <row r="2023" ht="15.75" customHeight="1">
      <c r="A2023" s="15">
        <v>45735.29269675926</v>
      </c>
      <c r="B2023" s="16" t="s">
        <v>6802</v>
      </c>
      <c r="C2023" s="16" t="s">
        <v>6792</v>
      </c>
      <c r="D2023" s="20" t="str">
        <f>?UTF-8?B?WW914oCZcmUgYWJvdXQgdG8gYmUgYm9udXMtc3RydWNrIQ==?=</f>
        <v>#ERROR!</v>
      </c>
      <c r="E2023" s="16" t="s">
        <v>6875</v>
      </c>
      <c r="F2023" s="16"/>
      <c r="G2023" s="16"/>
      <c r="H2023" s="18"/>
      <c r="I2023" s="18"/>
      <c r="J2023" s="18"/>
      <c r="K2023" s="18"/>
      <c r="L2023" s="18"/>
      <c r="M2023" s="18"/>
      <c r="N2023" s="18"/>
      <c r="O2023" s="18"/>
      <c r="P2023" s="18"/>
      <c r="Q2023" s="19"/>
      <c r="R2023" s="19"/>
      <c r="S2023" s="19"/>
    </row>
    <row r="2024" ht="15.75" customHeight="1">
      <c r="A2024" s="15">
        <v>45736.29369212963</v>
      </c>
      <c r="B2024" s="16" t="s">
        <v>6802</v>
      </c>
      <c r="C2024" s="16" t="s">
        <v>6792</v>
      </c>
      <c r="D2024" s="16" t="s">
        <v>6876</v>
      </c>
      <c r="E2024" s="16" t="s">
        <v>6877</v>
      </c>
      <c r="F2024" s="16"/>
      <c r="G2024" s="16"/>
      <c r="H2024" s="18"/>
      <c r="I2024" s="18"/>
      <c r="J2024" s="18"/>
      <c r="K2024" s="18"/>
      <c r="L2024" s="18"/>
      <c r="M2024" s="18"/>
      <c r="N2024" s="18"/>
      <c r="O2024" s="18"/>
      <c r="P2024" s="18"/>
      <c r="Q2024" s="19"/>
      <c r="R2024" s="19"/>
      <c r="S2024" s="19"/>
    </row>
    <row r="2025" ht="15.75" customHeight="1">
      <c r="A2025" s="15">
        <v>45736.777708333335</v>
      </c>
      <c r="B2025" s="16" t="s">
        <v>6785</v>
      </c>
      <c r="C2025" s="16" t="s">
        <v>6792</v>
      </c>
      <c r="D2025" s="20" t="str">
        <f>?utf-8?q?Your_deals_are_just_a_few_taps_away_=F0=9F=93=B1?=</f>
        <v>#ERROR!</v>
      </c>
      <c r="E2025" s="16" t="s">
        <v>6783</v>
      </c>
      <c r="F2025" s="16"/>
      <c r="G2025" s="16"/>
      <c r="H2025" s="18"/>
      <c r="I2025" s="18"/>
      <c r="J2025" s="18"/>
      <c r="K2025" s="18"/>
      <c r="L2025" s="18"/>
      <c r="M2025" s="18"/>
      <c r="N2025" s="18"/>
      <c r="O2025" s="18"/>
      <c r="P2025" s="18"/>
      <c r="Q2025" s="19"/>
      <c r="R2025" s="19"/>
      <c r="S2025" s="19"/>
    </row>
    <row r="2026" ht="15.75" customHeight="1">
      <c r="A2026" s="15">
        <v>45736.72277777778</v>
      </c>
      <c r="B2026" s="16" t="s">
        <v>6762</v>
      </c>
      <c r="C2026" s="16" t="s">
        <v>6792</v>
      </c>
      <c r="D2026" s="16" t="s">
        <v>6878</v>
      </c>
      <c r="E2026" s="16" t="s">
        <v>6843</v>
      </c>
      <c r="F2026" s="16"/>
      <c r="G2026" s="16"/>
      <c r="H2026" s="18"/>
      <c r="I2026" s="18"/>
      <c r="J2026" s="18"/>
      <c r="K2026" s="18"/>
      <c r="L2026" s="18"/>
      <c r="M2026" s="18"/>
      <c r="N2026" s="18"/>
      <c r="O2026" s="18"/>
      <c r="P2026" s="18"/>
      <c r="Q2026" s="19"/>
      <c r="R2026" s="19"/>
      <c r="S2026" s="19"/>
    </row>
    <row r="2027" ht="15.75" customHeight="1">
      <c r="A2027" s="15">
        <v>45737.294016203705</v>
      </c>
      <c r="B2027" s="16" t="s">
        <v>6802</v>
      </c>
      <c r="C2027" s="16" t="s">
        <v>6792</v>
      </c>
      <c r="D2027" s="20" t="str">
        <f>?UTF-8?B?U3VuLCBzYW5kLCBhbmQgdGhlIHBlcmZlY3QgY29tZWJhY2sgZGVh?=
 =?UTF-8?B?bCwgVG9ueSEg8J+Yiw==?=</f>
        <v>#ERROR!</v>
      </c>
      <c r="E2027" s="16" t="s">
        <v>6879</v>
      </c>
      <c r="F2027" s="16"/>
      <c r="G2027" s="16"/>
      <c r="H2027" s="18"/>
      <c r="I2027" s="18"/>
      <c r="J2027" s="18"/>
      <c r="K2027" s="18"/>
      <c r="L2027" s="18"/>
      <c r="M2027" s="18"/>
      <c r="N2027" s="18"/>
      <c r="O2027" s="18"/>
      <c r="P2027" s="18"/>
      <c r="Q2027" s="19"/>
      <c r="R2027" s="19"/>
      <c r="S2027" s="19"/>
    </row>
    <row r="2028" ht="15.75" customHeight="1">
      <c r="A2028" s="15">
        <v>45737.69712962963</v>
      </c>
      <c r="B2028" s="16" t="s">
        <v>6762</v>
      </c>
      <c r="C2028" s="16" t="s">
        <v>6792</v>
      </c>
      <c r="D2028" s="20" t="str">
        <f>?windows-1252?Q?Discover_Samsung=92s_latest_devices_and_more?=</f>
        <v>#ERROR!</v>
      </c>
      <c r="E2028" s="16" t="s">
        <v>6880</v>
      </c>
      <c r="F2028" s="16"/>
      <c r="G2028" s="16"/>
      <c r="H2028" s="18"/>
      <c r="I2028" s="18"/>
      <c r="J2028" s="18"/>
      <c r="K2028" s="18"/>
      <c r="L2028" s="18"/>
      <c r="M2028" s="18"/>
      <c r="N2028" s="18"/>
      <c r="O2028" s="18"/>
      <c r="P2028" s="18"/>
      <c r="Q2028" s="19"/>
      <c r="R2028" s="19"/>
      <c r="S2028" s="19"/>
    </row>
    <row r="2029" ht="15.75" customHeight="1">
      <c r="A2029" s="15">
        <v>45738.293333333335</v>
      </c>
      <c r="B2029" s="16" t="s">
        <v>6802</v>
      </c>
      <c r="C2029" s="16" t="s">
        <v>6792</v>
      </c>
      <c r="D2029" s="20" t="str">
        <f>?UTF-8?B?V2hldCB5b3VyIGVudGVydGFpbm1lbnQgYXBwZXRpdGUsIFRvbnkg?=
 =?UTF-8?B?8J+Spg==?=</f>
        <v>#ERROR!</v>
      </c>
      <c r="E2029" s="16" t="s">
        <v>6881</v>
      </c>
      <c r="F2029" s="16"/>
      <c r="G2029" s="16"/>
      <c r="H2029" s="18"/>
      <c r="I2029" s="18"/>
      <c r="J2029" s="18"/>
      <c r="K2029" s="18"/>
      <c r="L2029" s="18"/>
      <c r="M2029" s="18"/>
      <c r="N2029" s="18"/>
      <c r="O2029" s="18"/>
      <c r="P2029" s="18"/>
      <c r="Q2029" s="19"/>
      <c r="R2029" s="19"/>
      <c r="S2029" s="19"/>
    </row>
    <row r="2030" ht="15.75" customHeight="1">
      <c r="A2030" s="15">
        <v>45739.40398148148</v>
      </c>
      <c r="B2030" s="16" t="s">
        <v>6882</v>
      </c>
      <c r="C2030" s="16" t="s">
        <v>6792</v>
      </c>
      <c r="D2030" s="16" t="s">
        <v>6883</v>
      </c>
      <c r="E2030" s="16" t="s">
        <v>6884</v>
      </c>
      <c r="F2030" s="16"/>
      <c r="G2030" s="16"/>
      <c r="H2030" s="18"/>
      <c r="I2030" s="18"/>
      <c r="J2030" s="18"/>
      <c r="K2030" s="18"/>
      <c r="L2030" s="18"/>
      <c r="M2030" s="18"/>
      <c r="N2030" s="18"/>
      <c r="O2030" s="18"/>
      <c r="P2030" s="18"/>
      <c r="Q2030" s="19"/>
      <c r="R2030" s="19"/>
      <c r="S2030" s="19"/>
    </row>
    <row r="2031" ht="15.75" customHeight="1">
      <c r="A2031" s="15">
        <v>45739.293171296296</v>
      </c>
      <c r="B2031" s="16" t="s">
        <v>6802</v>
      </c>
      <c r="C2031" s="16" t="s">
        <v>6792</v>
      </c>
      <c r="D2031" s="20" t="str">
        <f>?UTF-8?B?VHVybiB1cCB0aGUgZnVuIGZhY3RvciwgVG9ueSDwn46w?=</f>
        <v>#ERROR!</v>
      </c>
      <c r="E2031" s="16" t="s">
        <v>6885</v>
      </c>
      <c r="F2031" s="16"/>
      <c r="G2031" s="16"/>
      <c r="H2031" s="18"/>
      <c r="I2031" s="18"/>
      <c r="J2031" s="18"/>
      <c r="K2031" s="18"/>
      <c r="L2031" s="18"/>
      <c r="M2031" s="18"/>
      <c r="N2031" s="18"/>
      <c r="O2031" s="18"/>
      <c r="P2031" s="18"/>
      <c r="Q2031" s="19"/>
      <c r="R2031" s="19"/>
      <c r="S2031" s="19"/>
    </row>
    <row r="2032" ht="15.75" customHeight="1">
      <c r="A2032" s="15">
        <v>45740.293587962966</v>
      </c>
      <c r="B2032" s="16" t="s">
        <v>6802</v>
      </c>
      <c r="C2032" s="16" t="s">
        <v>6792</v>
      </c>
      <c r="D2032" s="20" t="str">
        <f>?UTF-8?B?TWFrZSB5b3VyIGNvbWViYWNrIHN3ZWV0ZXIsIFRvbnkhIPCfmIs=?=</f>
        <v>#ERROR!</v>
      </c>
      <c r="E2032" s="16" t="s">
        <v>6886</v>
      </c>
      <c r="F2032" s="16"/>
      <c r="G2032" s="16"/>
      <c r="H2032" s="18"/>
      <c r="I2032" s="18"/>
      <c r="J2032" s="18"/>
      <c r="K2032" s="18"/>
      <c r="L2032" s="18"/>
      <c r="M2032" s="18"/>
      <c r="N2032" s="18"/>
      <c r="O2032" s="18"/>
      <c r="P2032" s="18"/>
      <c r="Q2032" s="19"/>
      <c r="R2032" s="19"/>
      <c r="S2032" s="19"/>
    </row>
    <row r="2033" ht="15.75" customHeight="1">
      <c r="A2033" s="15">
        <v>45741.29355324074</v>
      </c>
      <c r="B2033" s="16" t="s">
        <v>6802</v>
      </c>
      <c r="C2033" s="16" t="s">
        <v>6792</v>
      </c>
      <c r="D2033" s="16" t="s">
        <v>6887</v>
      </c>
      <c r="E2033" s="16" t="s">
        <v>6888</v>
      </c>
      <c r="F2033" s="16"/>
      <c r="G2033" s="16"/>
      <c r="H2033" s="18"/>
      <c r="I2033" s="18"/>
      <c r="J2033" s="18"/>
      <c r="K2033" s="18"/>
      <c r="L2033" s="18"/>
      <c r="M2033" s="18"/>
      <c r="N2033" s="18"/>
      <c r="O2033" s="18"/>
      <c r="P2033" s="18"/>
      <c r="Q2033" s="19"/>
      <c r="R2033" s="19"/>
      <c r="S2033" s="19"/>
    </row>
    <row r="2034" ht="15.75" customHeight="1">
      <c r="A2034" s="15">
        <v>45741.69337962963</v>
      </c>
      <c r="B2034" s="16" t="s">
        <v>6762</v>
      </c>
      <c r="C2034" s="16" t="s">
        <v>6792</v>
      </c>
      <c r="D2034" s="20" t="str">
        <f>?windows-1252?Q?K=2C_it=92s_your_last_chance_to_sign_up_for_a_$10?=
 =?windows-1252?Q?0_e-voucher.?=</f>
        <v>#ERROR!</v>
      </c>
      <c r="E2034" s="16" t="s">
        <v>6843</v>
      </c>
      <c r="F2034" s="16"/>
      <c r="G2034" s="16"/>
      <c r="H2034" s="18"/>
      <c r="I2034" s="18"/>
      <c r="J2034" s="18"/>
      <c r="K2034" s="18"/>
      <c r="L2034" s="18"/>
      <c r="M2034" s="18"/>
      <c r="N2034" s="18"/>
      <c r="O2034" s="18"/>
      <c r="P2034" s="18"/>
      <c r="Q2034" s="19"/>
      <c r="R2034" s="19"/>
      <c r="S2034" s="19"/>
    </row>
    <row r="2035" ht="15.75" customHeight="1">
      <c r="A2035" s="15">
        <v>45742.29387731481</v>
      </c>
      <c r="B2035" s="16" t="s">
        <v>6802</v>
      </c>
      <c r="C2035" s="16" t="s">
        <v>6792</v>
      </c>
      <c r="D2035" s="20" t="str">
        <f>?UTF-8?B?TGlnaHRzIHNoaW5lIGJyaWdodCBmb3IgeW91ciByZXR1cm4sIFRv?=
 =?UTF-8?B?bnkg8J+MoA==?=</f>
        <v>#ERROR!</v>
      </c>
      <c r="E2035" s="16" t="s">
        <v>6889</v>
      </c>
      <c r="F2035" s="16"/>
      <c r="G2035" s="16"/>
      <c r="H2035" s="18"/>
      <c r="I2035" s="18"/>
      <c r="J2035" s="18"/>
      <c r="K2035" s="18"/>
      <c r="L2035" s="18"/>
      <c r="M2035" s="18"/>
      <c r="N2035" s="18"/>
      <c r="O2035" s="18"/>
      <c r="P2035" s="18"/>
      <c r="Q2035" s="19"/>
      <c r="R2035" s="19"/>
      <c r="S2035" s="19"/>
    </row>
    <row r="2036" ht="15.75" customHeight="1">
      <c r="A2036" s="15">
        <v>45743.293645833335</v>
      </c>
      <c r="B2036" s="16" t="s">
        <v>6802</v>
      </c>
      <c r="C2036" s="16" t="s">
        <v>6792</v>
      </c>
      <c r="D2036" s="20" t="str">
        <f>?UTF-8?B?TGV0J3MgdGFrZSB0aGluZ3MgdXAgYSBub3RjaCwgVG9ueSEg?=
 =?UTF-8?B?8J+Sgw==?=</f>
        <v>#ERROR!</v>
      </c>
      <c r="E2036" s="16" t="s">
        <v>6890</v>
      </c>
      <c r="F2036" s="16"/>
      <c r="G2036" s="16"/>
      <c r="H2036" s="18"/>
      <c r="I2036" s="18"/>
      <c r="J2036" s="18"/>
      <c r="K2036" s="18"/>
      <c r="L2036" s="18"/>
      <c r="M2036" s="18"/>
      <c r="N2036" s="18"/>
      <c r="O2036" s="18"/>
      <c r="P2036" s="18"/>
      <c r="Q2036" s="19"/>
      <c r="R2036" s="19"/>
      <c r="S2036" s="19"/>
    </row>
    <row r="2037" ht="15.75" customHeight="1">
      <c r="A2037" s="15">
        <v>45744.29282407407</v>
      </c>
      <c r="B2037" s="16" t="s">
        <v>6802</v>
      </c>
      <c r="C2037" s="16" t="s">
        <v>6792</v>
      </c>
      <c r="D2037" s="16" t="s">
        <v>6891</v>
      </c>
      <c r="E2037" s="16" t="s">
        <v>6892</v>
      </c>
      <c r="F2037" s="16"/>
      <c r="G2037" s="16"/>
      <c r="H2037" s="18"/>
      <c r="I2037" s="18"/>
      <c r="J2037" s="18"/>
      <c r="K2037" s="18"/>
      <c r="L2037" s="18"/>
      <c r="M2037" s="18"/>
      <c r="N2037" s="18"/>
      <c r="O2037" s="18"/>
      <c r="P2037" s="18"/>
      <c r="Q2037" s="19"/>
      <c r="R2037" s="19"/>
      <c r="S2037" s="19"/>
    </row>
    <row r="2038" ht="15.75" customHeight="1">
      <c r="A2038" s="15">
        <v>45745.293391203704</v>
      </c>
      <c r="B2038" s="16" t="s">
        <v>6802</v>
      </c>
      <c r="C2038" s="16" t="s">
        <v>6792</v>
      </c>
      <c r="D2038" s="16" t="s">
        <v>6893</v>
      </c>
      <c r="E2038" s="16" t="s">
        <v>6894</v>
      </c>
      <c r="F2038" s="16"/>
      <c r="G2038" s="16"/>
      <c r="H2038" s="18"/>
      <c r="I2038" s="18"/>
      <c r="J2038" s="18"/>
      <c r="K2038" s="18"/>
      <c r="L2038" s="18"/>
      <c r="M2038" s="18"/>
      <c r="N2038" s="18"/>
      <c r="O2038" s="18"/>
      <c r="P2038" s="18"/>
      <c r="Q2038" s="19"/>
      <c r="R2038" s="19"/>
      <c r="S2038" s="19"/>
    </row>
    <row r="2039" ht="15.75" customHeight="1">
      <c r="A2039" s="15">
        <v>45746.29299768519</v>
      </c>
      <c r="B2039" s="16" t="s">
        <v>6802</v>
      </c>
      <c r="C2039" s="16" t="s">
        <v>6792</v>
      </c>
      <c r="D2039" s="20" t="str">
        <f>?UTF-8?B?SXQncyBub3QgdGhlIHNhbWUgd2l0aG91dCB5b3UsIFRvbnkhIA==?=
 =?UTF-8?B?4pi5?=</f>
        <v>#ERROR!</v>
      </c>
      <c r="E2039" s="16" t="s">
        <v>6895</v>
      </c>
      <c r="F2039" s="16"/>
      <c r="G2039" s="16"/>
      <c r="H2039" s="18"/>
      <c r="I2039" s="18"/>
      <c r="J2039" s="18"/>
      <c r="K2039" s="18"/>
      <c r="L2039" s="18"/>
      <c r="M2039" s="18"/>
      <c r="N2039" s="18"/>
      <c r="O2039" s="18"/>
      <c r="P2039" s="18"/>
      <c r="Q2039" s="19"/>
      <c r="R2039" s="19"/>
      <c r="S2039" s="19"/>
    </row>
    <row r="2040" ht="15.75" customHeight="1">
      <c r="A2040" s="15">
        <v>45747.29324074074</v>
      </c>
      <c r="B2040" s="16" t="s">
        <v>6802</v>
      </c>
      <c r="C2040" s="16" t="s">
        <v>6792</v>
      </c>
      <c r="D2040" s="16" t="s">
        <v>6896</v>
      </c>
      <c r="E2040" s="16" t="s">
        <v>6897</v>
      </c>
      <c r="F2040" s="16"/>
      <c r="G2040" s="16"/>
      <c r="H2040" s="18"/>
      <c r="I2040" s="18"/>
      <c r="J2040" s="18"/>
      <c r="K2040" s="18"/>
      <c r="L2040" s="18"/>
      <c r="M2040" s="18"/>
      <c r="N2040" s="18"/>
      <c r="O2040" s="18"/>
      <c r="P2040" s="18"/>
      <c r="Q2040" s="19"/>
      <c r="R2040" s="19"/>
      <c r="S2040" s="19"/>
    </row>
    <row r="2041" ht="15.75" customHeight="1">
      <c r="A2041" s="15">
        <v>45748.29353009259</v>
      </c>
      <c r="B2041" s="16" t="s">
        <v>6802</v>
      </c>
      <c r="C2041" s="16" t="s">
        <v>6792</v>
      </c>
      <c r="D2041" s="20" t="str">
        <f>?UTF-8?B?VHdvIGRlcG9zaXRzLCB0d28gbXlzdGVyaWVz4oCm?=</f>
        <v>#ERROR!</v>
      </c>
      <c r="E2041" s="16" t="s">
        <v>6898</v>
      </c>
      <c r="F2041" s="16"/>
      <c r="G2041" s="16"/>
      <c r="H2041" s="18"/>
      <c r="I2041" s="18"/>
      <c r="J2041" s="18"/>
      <c r="K2041" s="18"/>
      <c r="L2041" s="18"/>
      <c r="M2041" s="18"/>
      <c r="N2041" s="18"/>
      <c r="O2041" s="18"/>
      <c r="P2041" s="18"/>
      <c r="Q2041" s="19"/>
      <c r="R2041" s="19"/>
      <c r="S2041" s="19"/>
    </row>
    <row r="2042" ht="15.75" customHeight="1">
      <c r="A2042" s="15">
        <v>45748.65136574074</v>
      </c>
      <c r="B2042" s="16" t="s">
        <v>6780</v>
      </c>
      <c r="C2042" s="16" t="s">
        <v>6792</v>
      </c>
      <c r="D2042" s="16" t="s">
        <v>6874</v>
      </c>
      <c r="E2042" s="16" t="s">
        <v>6783</v>
      </c>
      <c r="F2042" s="16"/>
      <c r="G2042" s="16"/>
      <c r="H2042" s="18"/>
      <c r="I2042" s="18"/>
      <c r="J2042" s="18"/>
      <c r="K2042" s="18"/>
      <c r="L2042" s="18"/>
      <c r="M2042" s="18"/>
      <c r="N2042" s="18"/>
      <c r="O2042" s="18"/>
      <c r="P2042" s="18"/>
      <c r="Q2042" s="19"/>
      <c r="R2042" s="19"/>
      <c r="S2042" s="19"/>
    </row>
    <row r="2043" ht="15.75" customHeight="1">
      <c r="A2043" s="15">
        <v>45749.293217592596</v>
      </c>
      <c r="B2043" s="16" t="s">
        <v>6802</v>
      </c>
      <c r="C2043" s="16" t="s">
        <v>6792</v>
      </c>
      <c r="D2043" s="20" t="str">
        <f>?UTF-8?B?U2F5IGhlbGxvIHRvIHlvdXIgc3BlY2lhbCBkZWFsLCBUb255IA==?=
 =?UTF-8?B?8J+Riw==?=</f>
        <v>#ERROR!</v>
      </c>
      <c r="E2043" s="16" t="s">
        <v>6899</v>
      </c>
      <c r="F2043" s="16"/>
      <c r="G2043" s="16"/>
      <c r="H2043" s="18"/>
      <c r="I2043" s="18"/>
      <c r="J2043" s="18"/>
      <c r="K2043" s="18"/>
      <c r="L2043" s="18"/>
      <c r="M2043" s="18"/>
      <c r="N2043" s="18"/>
      <c r="O2043" s="18"/>
      <c r="P2043" s="18"/>
      <c r="Q2043" s="19"/>
      <c r="R2043" s="19"/>
      <c r="S2043" s="19"/>
    </row>
    <row r="2044" ht="15.75" customHeight="1">
      <c r="A2044" s="15">
        <v>45750.294074074074</v>
      </c>
      <c r="B2044" s="16" t="s">
        <v>6802</v>
      </c>
      <c r="C2044" s="16" t="s">
        <v>6792</v>
      </c>
      <c r="D2044" s="16" t="s">
        <v>6900</v>
      </c>
      <c r="E2044" s="16" t="s">
        <v>6901</v>
      </c>
      <c r="F2044" s="16"/>
      <c r="G2044" s="16"/>
      <c r="H2044" s="18"/>
      <c r="I2044" s="18"/>
      <c r="J2044" s="18"/>
      <c r="K2044" s="18"/>
      <c r="L2044" s="18"/>
      <c r="M2044" s="18"/>
      <c r="N2044" s="18"/>
      <c r="O2044" s="18"/>
      <c r="P2044" s="18"/>
      <c r="Q2044" s="19"/>
      <c r="R2044" s="19"/>
      <c r="S2044" s="19"/>
    </row>
    <row r="2045" ht="15.75" customHeight="1">
      <c r="A2045" s="15">
        <v>45751.29336805556</v>
      </c>
      <c r="B2045" s="16" t="s">
        <v>6802</v>
      </c>
      <c r="C2045" s="16" t="s">
        <v>6792</v>
      </c>
      <c r="D2045" s="20" t="str">
        <f>?UTF-8?B?RXZlcnlvbmUncyB3YWl0aW5nIGZvciB5b3UsIFRvbnkg8J+YgA==?=</f>
        <v>#ERROR!</v>
      </c>
      <c r="E2045" s="16" t="s">
        <v>6902</v>
      </c>
      <c r="F2045" s="16"/>
      <c r="G2045" s="16"/>
      <c r="H2045" s="18"/>
      <c r="I2045" s="18"/>
      <c r="J2045" s="18"/>
      <c r="K2045" s="18"/>
      <c r="L2045" s="18"/>
      <c r="M2045" s="18"/>
      <c r="N2045" s="18"/>
      <c r="O2045" s="18"/>
      <c r="P2045" s="18"/>
      <c r="Q2045" s="19"/>
      <c r="R2045" s="19"/>
      <c r="S2045" s="19"/>
    </row>
    <row r="2046" ht="15.75" customHeight="1">
      <c r="A2046" s="15">
        <v>45752.29273148148</v>
      </c>
      <c r="B2046" s="16" t="s">
        <v>6802</v>
      </c>
      <c r="C2046" s="16" t="s">
        <v>6792</v>
      </c>
      <c r="D2046" s="20" t="str">
        <f>?UTF-8?B?RXhwZXJpZW5jZSBhIGhpZ2hlciBsZXZlbCBvZiBlbnRlcnRhaW5t?=
 =?UTF-8?B?ZW50IPCfjrA=?=</f>
        <v>#ERROR!</v>
      </c>
      <c r="E2046" s="16" t="s">
        <v>6903</v>
      </c>
      <c r="F2046" s="16"/>
      <c r="G2046" s="16"/>
      <c r="H2046" s="18"/>
      <c r="I2046" s="18"/>
      <c r="J2046" s="18"/>
      <c r="K2046" s="18"/>
      <c r="L2046" s="18"/>
      <c r="M2046" s="18"/>
      <c r="N2046" s="18"/>
      <c r="O2046" s="18"/>
      <c r="P2046" s="18"/>
      <c r="Q2046" s="19"/>
      <c r="R2046" s="19"/>
      <c r="S2046" s="19"/>
    </row>
    <row r="2047" ht="15.75" customHeight="1">
      <c r="A2047" s="15">
        <v>45753.293344907404</v>
      </c>
      <c r="B2047" s="16" t="s">
        <v>6802</v>
      </c>
      <c r="C2047" s="16" t="s">
        <v>6792</v>
      </c>
      <c r="D2047" s="20" t="str">
        <f>?UTF-8?B?QSByZWFsIHN0YW5kLW91dCBib251cywgVG9ueSDwn5iy?=</f>
        <v>#ERROR!</v>
      </c>
      <c r="E2047" s="16" t="s">
        <v>6904</v>
      </c>
      <c r="F2047" s="16"/>
      <c r="G2047" s="16"/>
      <c r="H2047" s="18"/>
      <c r="I2047" s="18"/>
      <c r="J2047" s="18"/>
      <c r="K2047" s="18"/>
      <c r="L2047" s="18"/>
      <c r="M2047" s="18"/>
      <c r="N2047" s="18"/>
      <c r="O2047" s="18"/>
      <c r="P2047" s="18"/>
      <c r="Q2047" s="19"/>
      <c r="R2047" s="19"/>
      <c r="S2047" s="19"/>
    </row>
    <row r="2048" ht="15.75" customHeight="1">
      <c r="A2048" s="15">
        <v>45754.293344907404</v>
      </c>
      <c r="B2048" s="16" t="s">
        <v>6802</v>
      </c>
      <c r="C2048" s="16" t="s">
        <v>6792</v>
      </c>
      <c r="D2048" s="20" t="str">
        <f>?UTF-8?B?VGhpcyBvbmUgaXMgc28gY29vbOKApiDwn5iO?=</f>
        <v>#ERROR!</v>
      </c>
      <c r="E2048" s="16" t="s">
        <v>6905</v>
      </c>
      <c r="F2048" s="16"/>
      <c r="G2048" s="16"/>
      <c r="H2048" s="18"/>
      <c r="I2048" s="18"/>
      <c r="J2048" s="18"/>
      <c r="K2048" s="18"/>
      <c r="L2048" s="18"/>
      <c r="M2048" s="18"/>
      <c r="N2048" s="18"/>
      <c r="O2048" s="18"/>
      <c r="P2048" s="18"/>
      <c r="Q2048" s="19"/>
      <c r="R2048" s="19"/>
      <c r="S2048" s="19"/>
    </row>
    <row r="2049" ht="15.75" customHeight="1">
      <c r="A2049" s="15">
        <v>45755.29409722222</v>
      </c>
      <c r="B2049" s="16" t="s">
        <v>6802</v>
      </c>
      <c r="C2049" s="16" t="s">
        <v>6792</v>
      </c>
      <c r="D2049" s="20" t="str">
        <f>?UTF-8?B?QnVtcCB1cCB5b3VyIHBsYXksIFRvbnkg8J+Rhw==?=</f>
        <v>#ERROR!</v>
      </c>
      <c r="E2049" s="16" t="s">
        <v>6906</v>
      </c>
      <c r="F2049" s="16"/>
      <c r="G2049" s="16"/>
      <c r="H2049" s="18"/>
      <c r="I2049" s="18"/>
      <c r="J2049" s="18"/>
      <c r="K2049" s="18"/>
      <c r="L2049" s="18"/>
      <c r="M2049" s="18"/>
      <c r="N2049" s="18"/>
      <c r="O2049" s="18"/>
      <c r="P2049" s="18"/>
      <c r="Q2049" s="19"/>
      <c r="R2049" s="19"/>
      <c r="S2049" s="19"/>
    </row>
    <row r="2050" ht="15.75" customHeight="1">
      <c r="A2050" s="15">
        <v>45755.66071759259</v>
      </c>
      <c r="B2050" s="16" t="s">
        <v>6785</v>
      </c>
      <c r="C2050" s="16" t="s">
        <v>6792</v>
      </c>
      <c r="D2050" s="16" t="s">
        <v>6907</v>
      </c>
      <c r="E2050" s="16" t="s">
        <v>6783</v>
      </c>
      <c r="F2050" s="16"/>
      <c r="G2050" s="16"/>
      <c r="H2050" s="18"/>
      <c r="I2050" s="18"/>
      <c r="J2050" s="18"/>
      <c r="K2050" s="18"/>
      <c r="L2050" s="18"/>
      <c r="M2050" s="18"/>
      <c r="N2050" s="18"/>
      <c r="O2050" s="18"/>
      <c r="P2050" s="18"/>
      <c r="Q2050" s="19"/>
      <c r="R2050" s="19"/>
      <c r="S2050" s="19"/>
    </row>
    <row r="2051" ht="15.75" customHeight="1">
      <c r="A2051" s="15">
        <v>45756.29319444444</v>
      </c>
      <c r="B2051" s="16" t="s">
        <v>6802</v>
      </c>
      <c r="C2051" s="16" t="s">
        <v>6792</v>
      </c>
      <c r="D2051" s="20" t="str">
        <f>?UTF-8?B?VHdvIGRlcG9zaXRzLCB0d28gbXlzdGVyaWVz4oCm?=</f>
        <v>#ERROR!</v>
      </c>
      <c r="E2051" s="16" t="s">
        <v>6908</v>
      </c>
      <c r="F2051" s="16"/>
      <c r="G2051" s="16"/>
      <c r="H2051" s="18"/>
      <c r="I2051" s="18"/>
      <c r="J2051" s="18"/>
      <c r="K2051" s="18"/>
      <c r="L2051" s="18"/>
      <c r="M2051" s="18"/>
      <c r="N2051" s="18"/>
      <c r="O2051" s="18"/>
      <c r="P2051" s="18"/>
      <c r="Q2051" s="19"/>
      <c r="R2051" s="19"/>
      <c r="S2051" s="19"/>
    </row>
    <row r="2052" ht="15.75" customHeight="1">
      <c r="A2052" s="15">
        <v>45756.29340277778</v>
      </c>
      <c r="B2052" s="16" t="s">
        <v>6802</v>
      </c>
      <c r="C2052" s="16" t="s">
        <v>6792</v>
      </c>
      <c r="D2052" s="20" t="str">
        <f>?UTF-8?B?VGhlIGtleSB0byBlbnRlcnRhaW5tZW50IGlzIHlvdXJzLCBUb255?=
 =?UTF-8?B?IPCflJE=?=</f>
        <v>#ERROR!</v>
      </c>
      <c r="E2052" s="16" t="s">
        <v>6909</v>
      </c>
      <c r="F2052" s="16"/>
      <c r="G2052" s="16"/>
      <c r="H2052" s="18"/>
      <c r="I2052" s="18"/>
      <c r="J2052" s="18"/>
      <c r="K2052" s="18"/>
      <c r="L2052" s="18"/>
      <c r="M2052" s="18"/>
      <c r="N2052" s="18"/>
      <c r="O2052" s="18"/>
      <c r="P2052" s="18"/>
      <c r="Q2052" s="19"/>
      <c r="R2052" s="19"/>
      <c r="S2052" s="19"/>
    </row>
    <row r="2053" ht="15.75" customHeight="1">
      <c r="A2053" s="15">
        <v>45756.787256944444</v>
      </c>
      <c r="B2053" s="16" t="s">
        <v>6785</v>
      </c>
      <c r="C2053" s="16" t="s">
        <v>6792</v>
      </c>
      <c r="D2053" s="20" t="str">
        <f>?utf-8?q?See_what=E2=80=99s_trending_today?=</f>
        <v>#ERROR!</v>
      </c>
      <c r="E2053" s="16" t="s">
        <v>6783</v>
      </c>
      <c r="F2053" s="16"/>
      <c r="G2053" s="16"/>
      <c r="H2053" s="18"/>
      <c r="I2053" s="18"/>
      <c r="J2053" s="18"/>
      <c r="K2053" s="18"/>
      <c r="L2053" s="18"/>
      <c r="M2053" s="18"/>
      <c r="N2053" s="18"/>
      <c r="O2053" s="18"/>
      <c r="P2053" s="18"/>
      <c r="Q2053" s="19"/>
      <c r="R2053" s="19"/>
      <c r="S2053" s="19"/>
    </row>
    <row r="2054" ht="15.75" customHeight="1">
      <c r="A2054" s="15">
        <v>45756.752291666664</v>
      </c>
      <c r="B2054" s="16" t="s">
        <v>6762</v>
      </c>
      <c r="C2054" s="16" t="s">
        <v>6792</v>
      </c>
      <c r="D2054" s="16" t="s">
        <v>6910</v>
      </c>
      <c r="E2054" s="16" t="s">
        <v>6843</v>
      </c>
      <c r="F2054" s="16"/>
      <c r="G2054" s="16"/>
      <c r="H2054" s="18"/>
      <c r="I2054" s="18"/>
      <c r="J2054" s="18"/>
      <c r="K2054" s="18"/>
      <c r="L2054" s="18"/>
      <c r="M2054" s="18"/>
      <c r="N2054" s="18"/>
      <c r="O2054" s="18"/>
      <c r="P2054" s="18"/>
      <c r="Q2054" s="19"/>
      <c r="R2054" s="19"/>
      <c r="S2054" s="19"/>
    </row>
    <row r="2055" ht="15.75" customHeight="1">
      <c r="A2055" s="15">
        <v>45757.29369212963</v>
      </c>
      <c r="B2055" s="16" t="s">
        <v>6802</v>
      </c>
      <c r="C2055" s="16" t="s">
        <v>6792</v>
      </c>
      <c r="D2055" s="20" t="str">
        <f>?UTF-8?B?UmV2ZWFsaW5nIHlvdXIgYnVtcGVkIHVwIGRlYWwgaW4gMywgMg==?=
 =?UTF-8?B?4oCmIPCflZA=?=</f>
        <v>#ERROR!</v>
      </c>
      <c r="E2055" s="16" t="s">
        <v>6911</v>
      </c>
      <c r="F2055" s="16"/>
      <c r="G2055" s="16"/>
      <c r="H2055" s="18"/>
      <c r="I2055" s="18"/>
      <c r="J2055" s="18"/>
      <c r="K2055" s="18"/>
      <c r="L2055" s="18"/>
      <c r="M2055" s="18"/>
      <c r="N2055" s="18"/>
      <c r="O2055" s="18"/>
      <c r="P2055" s="18"/>
      <c r="Q2055" s="19"/>
      <c r="R2055" s="19"/>
      <c r="S2055" s="19"/>
    </row>
    <row r="2056" ht="15.75" customHeight="1">
      <c r="A2056" s="15">
        <v>45758.29347222222</v>
      </c>
      <c r="B2056" s="16" t="s">
        <v>6802</v>
      </c>
      <c r="C2056" s="16" t="s">
        <v>6792</v>
      </c>
      <c r="D2056" s="20" t="str">
        <f>?UTF-8?B?SWxsdW1pbmF0ZSB5b3VyIHBsYXksIFRvbnkg8J+YiQ==?=</f>
        <v>#ERROR!</v>
      </c>
      <c r="E2056" s="16" t="s">
        <v>6912</v>
      </c>
      <c r="F2056" s="16"/>
      <c r="G2056" s="16"/>
      <c r="H2056" s="18"/>
      <c r="I2056" s="18"/>
      <c r="J2056" s="18"/>
      <c r="K2056" s="18"/>
      <c r="L2056" s="18"/>
      <c r="M2056" s="18"/>
      <c r="N2056" s="18"/>
      <c r="O2056" s="18"/>
      <c r="P2056" s="18"/>
      <c r="Q2056" s="19"/>
      <c r="R2056" s="19"/>
      <c r="S2056" s="19"/>
    </row>
    <row r="2057" ht="15.75" customHeight="1">
      <c r="A2057" s="15">
        <v>45759.29315972222</v>
      </c>
      <c r="B2057" s="16" t="s">
        <v>6802</v>
      </c>
      <c r="C2057" s="16" t="s">
        <v>6792</v>
      </c>
      <c r="D2057" s="20" t="str">
        <f>?UTF-8?B?VGhpcyBkZWFsIGlzIG1ha2luZyBhIHNwbGFzaCEg8J+Spg==?=</f>
        <v>#ERROR!</v>
      </c>
      <c r="E2057" s="16" t="s">
        <v>6913</v>
      </c>
      <c r="F2057" s="16"/>
      <c r="G2057" s="16"/>
      <c r="H2057" s="18"/>
      <c r="I2057" s="18"/>
      <c r="J2057" s="18"/>
      <c r="K2057" s="18"/>
      <c r="L2057" s="18"/>
      <c r="M2057" s="18"/>
      <c r="N2057" s="18"/>
      <c r="O2057" s="18"/>
      <c r="P2057" s="18"/>
      <c r="Q2057" s="19"/>
      <c r="R2057" s="19"/>
      <c r="S2057" s="19"/>
    </row>
    <row r="2058" ht="15.75" customHeight="1">
      <c r="A2058" s="15">
        <v>45760.292905092596</v>
      </c>
      <c r="B2058" s="16" t="s">
        <v>6802</v>
      </c>
      <c r="C2058" s="16" t="s">
        <v>6792</v>
      </c>
      <c r="D2058" s="20" t="str">
        <f>?UTF-8?B?QSBmcmVzaCBkaXNjb3ZlcnkgdG8gYm9vc3QgeW91ciBwbGF5IA==?=
 =?UTF-8?B?8J+nrQ==?=</f>
        <v>#ERROR!</v>
      </c>
      <c r="E2058" s="16" t="s">
        <v>6914</v>
      </c>
      <c r="F2058" s="16"/>
      <c r="G2058" s="16"/>
      <c r="H2058" s="18"/>
      <c r="I2058" s="18"/>
      <c r="J2058" s="18"/>
      <c r="K2058" s="18"/>
      <c r="L2058" s="18"/>
      <c r="M2058" s="18"/>
      <c r="N2058" s="18"/>
      <c r="O2058" s="18"/>
      <c r="P2058" s="18"/>
      <c r="Q2058" s="19"/>
      <c r="R2058" s="19"/>
      <c r="S2058" s="19"/>
    </row>
    <row r="2059" ht="15.75" customHeight="1">
      <c r="A2059" s="15">
        <v>45761.29372685185</v>
      </c>
      <c r="B2059" s="16" t="s">
        <v>6802</v>
      </c>
      <c r="C2059" s="16" t="s">
        <v>6792</v>
      </c>
      <c r="D2059" s="16" t="s">
        <v>6915</v>
      </c>
      <c r="E2059" s="16" t="s">
        <v>6916</v>
      </c>
      <c r="F2059" s="16"/>
      <c r="G2059" s="16"/>
      <c r="H2059" s="18"/>
      <c r="I2059" s="18"/>
      <c r="J2059" s="18"/>
      <c r="K2059" s="18"/>
      <c r="L2059" s="18"/>
      <c r="M2059" s="18"/>
      <c r="N2059" s="18"/>
      <c r="O2059" s="18"/>
      <c r="P2059" s="18"/>
      <c r="Q2059" s="19"/>
      <c r="R2059" s="19"/>
      <c r="S2059" s="19"/>
    </row>
    <row r="2060" ht="15.75" customHeight="1">
      <c r="A2060" s="15">
        <v>45762.29446759259</v>
      </c>
      <c r="B2060" s="16" t="s">
        <v>6802</v>
      </c>
      <c r="C2060" s="16" t="s">
        <v>6792</v>
      </c>
      <c r="D2060" s="16" t="s">
        <v>6917</v>
      </c>
      <c r="E2060" s="16" t="s">
        <v>6918</v>
      </c>
      <c r="F2060" s="16"/>
      <c r="G2060" s="16"/>
      <c r="H2060" s="18"/>
      <c r="I2060" s="18"/>
      <c r="J2060" s="18"/>
      <c r="K2060" s="18"/>
      <c r="L2060" s="18"/>
      <c r="M2060" s="18"/>
      <c r="N2060" s="18"/>
      <c r="O2060" s="18"/>
      <c r="P2060" s="18"/>
      <c r="Q2060" s="19"/>
      <c r="R2060" s="19"/>
      <c r="S2060" s="19"/>
    </row>
    <row r="2061" ht="15.75" customHeight="1">
      <c r="A2061" s="15">
        <v>45763.293541666666</v>
      </c>
      <c r="B2061" s="16" t="s">
        <v>6802</v>
      </c>
      <c r="C2061" s="16" t="s">
        <v>6792</v>
      </c>
      <c r="D2061" s="20" t="str">
        <f>?UTF-8?B?SXMgdGhpcyBhIGRyZWFtPyBObywgaXTigJlz4oCm?=</f>
        <v>#ERROR!</v>
      </c>
      <c r="E2061" s="16" t="s">
        <v>6919</v>
      </c>
      <c r="F2061" s="16"/>
      <c r="G2061" s="16"/>
      <c r="H2061" s="18"/>
      <c r="I2061" s="18"/>
      <c r="J2061" s="18"/>
      <c r="K2061" s="18"/>
      <c r="L2061" s="18"/>
      <c r="M2061" s="18"/>
      <c r="N2061" s="18"/>
      <c r="O2061" s="18"/>
      <c r="P2061" s="18"/>
      <c r="Q2061" s="19"/>
      <c r="R2061" s="19"/>
      <c r="S2061" s="19"/>
    </row>
    <row r="2062" ht="15.75" customHeight="1">
      <c r="A2062" s="15">
        <v>45764.294386574074</v>
      </c>
      <c r="B2062" s="16" t="s">
        <v>6802</v>
      </c>
      <c r="C2062" s="16" t="s">
        <v>6792</v>
      </c>
      <c r="D2062" s="16" t="s">
        <v>6920</v>
      </c>
      <c r="E2062" s="16" t="s">
        <v>6921</v>
      </c>
      <c r="F2062" s="16"/>
      <c r="G2062" s="16"/>
      <c r="H2062" s="18"/>
      <c r="I2062" s="18"/>
      <c r="J2062" s="18"/>
      <c r="K2062" s="18"/>
      <c r="L2062" s="18"/>
      <c r="M2062" s="18"/>
      <c r="N2062" s="18"/>
      <c r="O2062" s="18"/>
      <c r="P2062" s="18"/>
      <c r="Q2062" s="19"/>
      <c r="R2062" s="19"/>
      <c r="S2062" s="19"/>
    </row>
    <row r="2063" ht="15.75" customHeight="1">
      <c r="A2063" s="15">
        <v>45765.29353009259</v>
      </c>
      <c r="B2063" s="16" t="s">
        <v>6802</v>
      </c>
      <c r="C2063" s="16" t="s">
        <v>6792</v>
      </c>
      <c r="D2063" s="20" t="str">
        <f>?UTF-8?B?SXTigJlzIGNvbWluZyBhdCB5b3UsIFRvbnkg8J+RgA==?=</f>
        <v>#ERROR!</v>
      </c>
      <c r="E2063" s="16" t="s">
        <v>6922</v>
      </c>
      <c r="F2063" s="16"/>
      <c r="G2063" s="16"/>
      <c r="H2063" s="18"/>
      <c r="I2063" s="18"/>
      <c r="J2063" s="18"/>
      <c r="K2063" s="18"/>
      <c r="L2063" s="18"/>
      <c r="M2063" s="18"/>
      <c r="N2063" s="18"/>
      <c r="O2063" s="18"/>
      <c r="P2063" s="18"/>
      <c r="Q2063" s="19"/>
      <c r="R2063" s="19"/>
      <c r="S2063" s="19"/>
    </row>
    <row r="2064" ht="15.75" customHeight="1">
      <c r="A2064" s="15">
        <v>45766.29275462963</v>
      </c>
      <c r="B2064" s="16" t="s">
        <v>6802</v>
      </c>
      <c r="C2064" s="16" t="s">
        <v>6792</v>
      </c>
      <c r="D2064" s="20" t="str">
        <f>?UTF-8?B?U3ByZWFkaW5nIGxvdmUgYW5kIGEgYm9vc3RlZCBib251cyDimaU=?=
 =?UTF-8?B?8J+lsA==?=</f>
        <v>#ERROR!</v>
      </c>
      <c r="E2064" s="16" t="s">
        <v>6923</v>
      </c>
      <c r="F2064" s="16"/>
      <c r="G2064" s="16"/>
      <c r="H2064" s="18"/>
      <c r="I2064" s="18"/>
      <c r="J2064" s="18"/>
      <c r="K2064" s="18"/>
      <c r="L2064" s="18"/>
      <c r="M2064" s="18"/>
      <c r="N2064" s="18"/>
      <c r="O2064" s="18"/>
      <c r="P2064" s="18"/>
      <c r="Q2064" s="19"/>
      <c r="R2064" s="19"/>
      <c r="S2064" s="19"/>
    </row>
    <row r="2065" ht="15.75" customHeight="1">
      <c r="A2065" s="15">
        <v>45767.29413194444</v>
      </c>
      <c r="B2065" s="16" t="s">
        <v>6802</v>
      </c>
      <c r="C2065" s="16" t="s">
        <v>6792</v>
      </c>
      <c r="D2065" s="20" t="str">
        <f>?UTF-8?B?WW91ciBib251cyBhd2FpdHM6IEhvcCB0byBpdCEg8J+QsA==?=</f>
        <v>#ERROR!</v>
      </c>
      <c r="E2065" s="16" t="s">
        <v>6924</v>
      </c>
      <c r="F2065" s="16"/>
      <c r="G2065" s="16"/>
      <c r="H2065" s="18"/>
      <c r="I2065" s="18"/>
      <c r="J2065" s="18"/>
      <c r="K2065" s="18"/>
      <c r="L2065" s="18"/>
      <c r="M2065" s="18"/>
      <c r="N2065" s="18"/>
      <c r="O2065" s="18"/>
      <c r="P2065" s="18"/>
      <c r="Q2065" s="19"/>
      <c r="R2065" s="19"/>
      <c r="S2065" s="19"/>
    </row>
    <row r="2066" ht="15.75" customHeight="1">
      <c r="A2066" s="15">
        <v>45774.293333333335</v>
      </c>
      <c r="B2066" s="16" t="s">
        <v>6802</v>
      </c>
      <c r="C2066" s="16" t="s">
        <v>6792</v>
      </c>
      <c r="D2066" s="20" t="str">
        <f>?UTF-8?B?TGV04oCZcyBwaWNrIHVwIHdoZXJlIHdlIGxlZnQgb2Zm4oCm?=</f>
        <v>#ERROR!</v>
      </c>
      <c r="E2066" s="16" t="s">
        <v>6925</v>
      </c>
      <c r="F2066" s="16"/>
      <c r="G2066" s="16"/>
      <c r="H2066" s="18"/>
      <c r="I2066" s="18"/>
      <c r="J2066" s="18"/>
      <c r="K2066" s="18"/>
      <c r="L2066" s="18"/>
      <c r="M2066" s="18"/>
      <c r="N2066" s="18"/>
      <c r="O2066" s="18"/>
      <c r="P2066" s="18"/>
      <c r="Q2066" s="19"/>
      <c r="R2066" s="19"/>
      <c r="S2066" s="19"/>
    </row>
    <row r="2067" ht="15.75" customHeight="1">
      <c r="A2067" s="15">
        <v>45775.293032407404</v>
      </c>
      <c r="B2067" s="16" t="s">
        <v>6802</v>
      </c>
      <c r="C2067" s="16" t="s">
        <v>6792</v>
      </c>
      <c r="D2067" s="20" t="str">
        <f>?UTF-8?B?SXTigJlzIHRpbWUgdG8gaGl0IOKAmHBsYXnigJkgYWdhaW4h?=</f>
        <v>#ERROR!</v>
      </c>
      <c r="E2067" s="16" t="s">
        <v>6926</v>
      </c>
      <c r="F2067" s="16"/>
      <c r="G2067" s="16"/>
      <c r="H2067" s="18"/>
      <c r="I2067" s="18"/>
      <c r="J2067" s="18"/>
      <c r="K2067" s="18"/>
      <c r="L2067" s="18"/>
      <c r="M2067" s="18"/>
      <c r="N2067" s="18"/>
      <c r="O2067" s="18"/>
      <c r="P2067" s="18"/>
      <c r="Q2067" s="19"/>
      <c r="R2067" s="19"/>
      <c r="S2067" s="19"/>
    </row>
    <row r="2068" ht="15.75" customHeight="1">
      <c r="A2068" s="15">
        <v>45776.293599537035</v>
      </c>
      <c r="B2068" s="16" t="s">
        <v>6802</v>
      </c>
      <c r="C2068" s="16" t="s">
        <v>6792</v>
      </c>
      <c r="D2068" s="16" t="s">
        <v>6927</v>
      </c>
      <c r="E2068" s="16" t="s">
        <v>6928</v>
      </c>
      <c r="F2068" s="16"/>
      <c r="G2068" s="16"/>
      <c r="H2068" s="18"/>
      <c r="I2068" s="18"/>
      <c r="J2068" s="18"/>
      <c r="K2068" s="18"/>
      <c r="L2068" s="18"/>
      <c r="M2068" s="18"/>
      <c r="N2068" s="18"/>
      <c r="O2068" s="18"/>
      <c r="P2068" s="18"/>
      <c r="Q2068" s="19"/>
      <c r="R2068" s="19"/>
      <c r="S2068" s="19"/>
    </row>
    <row r="2069" ht="15.75" customHeight="1">
      <c r="A2069" s="15">
        <v>45777.50125</v>
      </c>
      <c r="B2069" s="16" t="s">
        <v>6785</v>
      </c>
      <c r="C2069" s="16" t="s">
        <v>6792</v>
      </c>
      <c r="D2069" s="16" t="s">
        <v>6929</v>
      </c>
      <c r="E2069" s="16" t="s">
        <v>6783</v>
      </c>
      <c r="F2069" s="16"/>
      <c r="G2069" s="16"/>
      <c r="H2069" s="18"/>
      <c r="I2069" s="18"/>
      <c r="J2069" s="18"/>
      <c r="K2069" s="18"/>
      <c r="L2069" s="18"/>
      <c r="M2069" s="18"/>
      <c r="N2069" s="18"/>
      <c r="O2069" s="18"/>
      <c r="P2069" s="18"/>
      <c r="Q2069" s="19"/>
      <c r="R2069" s="19"/>
      <c r="S2069" s="19"/>
    </row>
    <row r="2070" ht="15.75" customHeight="1">
      <c r="A2070" s="15">
        <v>45777.293020833335</v>
      </c>
      <c r="B2070" s="16" t="s">
        <v>6802</v>
      </c>
      <c r="C2070" s="16" t="s">
        <v>6792</v>
      </c>
      <c r="D2070" s="20" t="str">
        <f>?UTF-8?B?UmVhZHkgZm9yIGEgd2hvbGUgbG90IG9mIGZ1bj8gSXTigJlzIHdh?=
 =?UTF-8?B?aXRpbmcgaW5zaWRlIQ==?=</f>
        <v>#ERROR!</v>
      </c>
      <c r="E2070" s="16" t="s">
        <v>6930</v>
      </c>
      <c r="F2070" s="16"/>
      <c r="G2070" s="16"/>
      <c r="H2070" s="18"/>
      <c r="I2070" s="18"/>
      <c r="J2070" s="18"/>
      <c r="K2070" s="18"/>
      <c r="L2070" s="18"/>
      <c r="M2070" s="18"/>
      <c r="N2070" s="18"/>
      <c r="O2070" s="18"/>
      <c r="P2070" s="18"/>
      <c r="Q2070" s="19"/>
      <c r="R2070" s="19"/>
      <c r="S2070" s="19"/>
    </row>
    <row r="2071" ht="15.75" customHeight="1">
      <c r="A2071" s="15">
        <v>45777.79342592593</v>
      </c>
      <c r="B2071" s="16" t="s">
        <v>6780</v>
      </c>
      <c r="C2071" s="16" t="s">
        <v>6792</v>
      </c>
      <c r="D2071" s="20" t="str">
        <f>?utf-8?q?Score_savings_on_Oikos_products_=F0=9F=A5=85?=</f>
        <v>#ERROR!</v>
      </c>
      <c r="E2071" s="16" t="s">
        <v>6783</v>
      </c>
      <c r="F2071" s="16"/>
      <c r="G2071" s="16"/>
      <c r="H2071" s="18"/>
      <c r="I2071" s="18"/>
      <c r="J2071" s="18"/>
      <c r="K2071" s="18"/>
      <c r="L2071" s="18"/>
      <c r="M2071" s="18"/>
      <c r="N2071" s="18"/>
      <c r="O2071" s="18"/>
      <c r="P2071" s="18"/>
      <c r="Q2071" s="19"/>
      <c r="R2071" s="19"/>
      <c r="S2071" s="19"/>
    </row>
    <row r="2072" ht="15.75" customHeight="1">
      <c r="A2072" s="15">
        <v>45779.29293981481</v>
      </c>
      <c r="B2072" s="16" t="s">
        <v>6802</v>
      </c>
      <c r="C2072" s="16" t="s">
        <v>6792</v>
      </c>
      <c r="D2072" s="20" t="str">
        <f>?UTF-8?B?VGhlIHJlZWxzIGhhdmUgYmVlbiBidXN54oCmIHJlYWR5IHRvIGpv?=
 =?UTF-8?B?aW4gaW4/?=</f>
        <v>#ERROR!</v>
      </c>
      <c r="E2072" s="16" t="s">
        <v>6931</v>
      </c>
      <c r="F2072" s="16"/>
      <c r="G2072" s="16"/>
      <c r="H2072" s="18"/>
      <c r="I2072" s="18"/>
      <c r="J2072" s="18"/>
      <c r="K2072" s="18"/>
      <c r="L2072" s="18"/>
      <c r="M2072" s="18"/>
      <c r="N2072" s="18"/>
      <c r="O2072" s="18"/>
      <c r="P2072" s="18"/>
      <c r="Q2072" s="19"/>
      <c r="R2072" s="19"/>
      <c r="S2072" s="19"/>
    </row>
    <row r="2073" ht="15.75" customHeight="1">
      <c r="A2073" s="15">
        <v>45779.62541666667</v>
      </c>
      <c r="B2073" s="16" t="s">
        <v>6762</v>
      </c>
      <c r="C2073" s="16" t="s">
        <v>6792</v>
      </c>
      <c r="D2073" s="16" t="s">
        <v>6932</v>
      </c>
      <c r="E2073" s="16" t="s">
        <v>6766</v>
      </c>
      <c r="F2073" s="16"/>
      <c r="G2073" s="16"/>
      <c r="H2073" s="18"/>
      <c r="I2073" s="18"/>
      <c r="J2073" s="18"/>
      <c r="K2073" s="18"/>
      <c r="L2073" s="18"/>
      <c r="M2073" s="18"/>
      <c r="N2073" s="18"/>
      <c r="O2073" s="18"/>
      <c r="P2073" s="18"/>
      <c r="Q2073" s="19"/>
      <c r="R2073" s="19"/>
      <c r="S2073" s="19"/>
    </row>
    <row r="2074" ht="15.75" customHeight="1">
      <c r="A2074" s="15">
        <v>45780.29332175926</v>
      </c>
      <c r="B2074" s="16" t="s">
        <v>6802</v>
      </c>
      <c r="C2074" s="16" t="s">
        <v>6792</v>
      </c>
      <c r="D2074" s="20" t="str">
        <f>?UTF-8?B?QSBsb3QgaGFzIGJlZW4gaGFwcGVuaW5nIOKAkyBjb21lIGpvaW4g?=
 =?UTF-8?B?dXMh?=</f>
        <v>#ERROR!</v>
      </c>
      <c r="E2074" s="16" t="s">
        <v>6933</v>
      </c>
      <c r="F2074" s="16"/>
      <c r="G2074" s="16"/>
      <c r="H2074" s="18"/>
      <c r="I2074" s="18"/>
      <c r="J2074" s="18"/>
      <c r="K2074" s="18"/>
      <c r="L2074" s="18"/>
      <c r="M2074" s="18"/>
      <c r="N2074" s="18"/>
      <c r="O2074" s="18"/>
      <c r="P2074" s="18"/>
      <c r="Q2074" s="19"/>
      <c r="R2074" s="19"/>
      <c r="S2074" s="19"/>
    </row>
    <row r="2075" ht="15.75" customHeight="1">
      <c r="A2075" s="15">
        <v>45781.292662037034</v>
      </c>
      <c r="B2075" s="16" t="s">
        <v>6802</v>
      </c>
      <c r="C2075" s="16" t="s">
        <v>6792</v>
      </c>
      <c r="D2075" s="20" t="str">
        <f>?UTF-8?B?U29tZXRoaW5nIGV4Y2l0aW5nIGp1c3QgZHJvcHBlZOKApiBhcmUg?=
 =?UTF-8?B?eW91IGluPw==?=</f>
        <v>#ERROR!</v>
      </c>
      <c r="E2075" s="16" t="s">
        <v>6934</v>
      </c>
      <c r="F2075" s="16"/>
      <c r="G2075" s="16"/>
      <c r="H2075" s="18"/>
      <c r="I2075" s="18"/>
      <c r="J2075" s="18"/>
      <c r="K2075" s="18"/>
      <c r="L2075" s="18"/>
      <c r="M2075" s="18"/>
      <c r="N2075" s="18"/>
      <c r="O2075" s="18"/>
      <c r="P2075" s="18"/>
      <c r="Q2075" s="19"/>
      <c r="R2075" s="19"/>
      <c r="S2075" s="19"/>
    </row>
    <row r="2076" ht="15.75" customHeight="1">
      <c r="A2076" s="15">
        <v>45782.29298611111</v>
      </c>
      <c r="B2076" s="16" t="s">
        <v>6802</v>
      </c>
      <c r="C2076" s="16" t="s">
        <v>6792</v>
      </c>
      <c r="D2076" s="20" t="str">
        <f>?UTF-8?B?QmlnIHRoaW5ncyBhcmUgaGFwcGVuaW5nIOKAkyBjb21lIHRha2Ug?=
 =?UTF-8?B?YSBsb29rIQ==?=</f>
        <v>#ERROR!</v>
      </c>
      <c r="E2076" s="16" t="s">
        <v>6935</v>
      </c>
      <c r="F2076" s="16"/>
      <c r="G2076" s="16"/>
      <c r="H2076" s="18"/>
      <c r="I2076" s="18"/>
      <c r="J2076" s="18"/>
      <c r="K2076" s="18"/>
      <c r="L2076" s="18"/>
      <c r="M2076" s="18"/>
      <c r="N2076" s="18"/>
      <c r="O2076" s="18"/>
      <c r="P2076" s="18"/>
      <c r="Q2076" s="19"/>
      <c r="R2076" s="19"/>
      <c r="S2076" s="19"/>
    </row>
    <row r="2077" ht="15.75" customHeight="1">
      <c r="A2077" s="15">
        <v>45783.29314814815</v>
      </c>
      <c r="B2077" s="16" t="s">
        <v>6802</v>
      </c>
      <c r="C2077" s="16" t="s">
        <v>6792</v>
      </c>
      <c r="D2077" s="20" t="str">
        <f>?UTF-8?B?V2XigJl2ZSBnb3Qgc29tZXRoaW5nIGV4Y2l0aW5nIGluc2lkZSE=?=</f>
        <v>#ERROR!</v>
      </c>
      <c r="E2077" s="16" t="s">
        <v>6936</v>
      </c>
      <c r="F2077" s="16"/>
      <c r="G2077" s="16"/>
      <c r="H2077" s="18"/>
      <c r="I2077" s="18"/>
      <c r="J2077" s="18"/>
      <c r="K2077" s="18"/>
      <c r="L2077" s="18"/>
      <c r="M2077" s="18"/>
      <c r="N2077" s="18"/>
      <c r="O2077" s="18"/>
      <c r="P2077" s="18"/>
      <c r="Q2077" s="19"/>
      <c r="R2077" s="19"/>
      <c r="S2077" s="19"/>
    </row>
    <row r="2078" ht="15.75" customHeight="1">
      <c r="A2078" s="15">
        <v>45783.68164351852</v>
      </c>
      <c r="B2078" s="16" t="s">
        <v>6780</v>
      </c>
      <c r="C2078" s="16" t="s">
        <v>6792</v>
      </c>
      <c r="D2078" s="16" t="s">
        <v>6874</v>
      </c>
      <c r="E2078" s="16" t="s">
        <v>6783</v>
      </c>
      <c r="F2078" s="16"/>
      <c r="G2078" s="16"/>
      <c r="H2078" s="18"/>
      <c r="I2078" s="18"/>
      <c r="J2078" s="18"/>
      <c r="K2078" s="18"/>
      <c r="L2078" s="18"/>
      <c r="M2078" s="18"/>
      <c r="N2078" s="18"/>
      <c r="O2078" s="18"/>
      <c r="P2078" s="18"/>
      <c r="Q2078" s="19"/>
      <c r="R2078" s="19"/>
      <c r="S2078" s="19"/>
    </row>
    <row r="2079" ht="15.75" customHeight="1">
      <c r="A2079" s="15">
        <v>45783.882048611114</v>
      </c>
      <c r="B2079" s="16" t="s">
        <v>6785</v>
      </c>
      <c r="C2079" s="16" t="s">
        <v>6792</v>
      </c>
      <c r="D2079" s="20" t="str">
        <f>?utf-8?q?Treat_your_Mom_with_a_delivery_of_almost_anything_=F0=9F=92=96?=</f>
        <v>#ERROR!</v>
      </c>
      <c r="E2079" s="16" t="s">
        <v>6783</v>
      </c>
      <c r="F2079" s="16"/>
      <c r="G2079" s="16"/>
      <c r="H2079" s="18"/>
      <c r="I2079" s="18"/>
      <c r="J2079" s="18"/>
      <c r="K2079" s="18"/>
      <c r="L2079" s="18"/>
      <c r="M2079" s="18"/>
      <c r="N2079" s="18"/>
      <c r="O2079" s="18"/>
      <c r="P2079" s="18"/>
      <c r="Q2079" s="19"/>
      <c r="R2079" s="19"/>
      <c r="S2079" s="19"/>
    </row>
    <row r="2080" ht="15.75" customHeight="1">
      <c r="A2080" s="15">
        <v>45785.085497685184</v>
      </c>
      <c r="B2080" s="16" t="s">
        <v>6802</v>
      </c>
      <c r="C2080" s="16" t="s">
        <v>6792</v>
      </c>
      <c r="D2080" s="16" t="s">
        <v>6937</v>
      </c>
      <c r="E2080" s="16" t="s">
        <v>6938</v>
      </c>
      <c r="F2080" s="16"/>
      <c r="G2080" s="16"/>
      <c r="H2080" s="18"/>
      <c r="I2080" s="18"/>
      <c r="J2080" s="18"/>
      <c r="K2080" s="18"/>
      <c r="L2080" s="18"/>
      <c r="M2080" s="18"/>
      <c r="N2080" s="18"/>
      <c r="O2080" s="18"/>
      <c r="P2080" s="18"/>
      <c r="Q2080" s="19"/>
      <c r="R2080" s="19"/>
      <c r="S2080" s="19"/>
    </row>
    <row r="2081" ht="15.75" customHeight="1">
      <c r="A2081" s="15">
        <v>45785.29335648148</v>
      </c>
      <c r="B2081" s="16" t="s">
        <v>6802</v>
      </c>
      <c r="C2081" s="16" t="s">
        <v>6792</v>
      </c>
      <c r="D2081" s="16" t="s">
        <v>6939</v>
      </c>
      <c r="E2081" s="16" t="s">
        <v>6940</v>
      </c>
      <c r="F2081" s="16"/>
      <c r="G2081" s="16"/>
      <c r="H2081" s="18"/>
      <c r="I2081" s="18"/>
      <c r="J2081" s="18"/>
      <c r="K2081" s="18"/>
      <c r="L2081" s="18"/>
      <c r="M2081" s="18"/>
      <c r="N2081" s="18"/>
      <c r="O2081" s="18"/>
      <c r="P2081" s="18"/>
      <c r="Q2081" s="19"/>
      <c r="R2081" s="19"/>
      <c r="S2081" s="19"/>
    </row>
    <row r="2082" ht="15.75" customHeight="1">
      <c r="A2082" s="15">
        <v>45785.65380787037</v>
      </c>
      <c r="B2082" s="16" t="s">
        <v>6762</v>
      </c>
      <c r="C2082" s="16" t="s">
        <v>6792</v>
      </c>
      <c r="D2082" s="16" t="s">
        <v>6941</v>
      </c>
      <c r="E2082" s="16" t="s">
        <v>6942</v>
      </c>
      <c r="F2082" s="16"/>
      <c r="G2082" s="16"/>
      <c r="H2082" s="18"/>
      <c r="I2082" s="18"/>
      <c r="J2082" s="18"/>
      <c r="K2082" s="18"/>
      <c r="L2082" s="18"/>
      <c r="M2082" s="18"/>
      <c r="N2082" s="18"/>
      <c r="O2082" s="18"/>
      <c r="P2082" s="18"/>
      <c r="Q2082" s="19"/>
      <c r="R2082" s="19"/>
      <c r="S2082" s="19"/>
    </row>
    <row r="2083" ht="15.75" customHeight="1">
      <c r="A2083" s="15">
        <v>45786.293958333335</v>
      </c>
      <c r="B2083" s="16" t="s">
        <v>6802</v>
      </c>
      <c r="C2083" s="16" t="s">
        <v>6792</v>
      </c>
      <c r="D2083" s="20" t="str">
        <f>?UTF-8?B?U29tZXRoaW5nIGNvb2zigJlzIHNrYXRpbmcgeW91ciB3YXkh?=</f>
        <v>#ERROR!</v>
      </c>
      <c r="E2083" s="16" t="s">
        <v>6943</v>
      </c>
      <c r="F2083" s="16"/>
      <c r="G2083" s="16"/>
      <c r="H2083" s="18"/>
      <c r="I2083" s="18"/>
      <c r="J2083" s="18"/>
      <c r="K2083" s="18"/>
      <c r="L2083" s="18"/>
      <c r="M2083" s="18"/>
      <c r="N2083" s="18"/>
      <c r="O2083" s="18"/>
      <c r="P2083" s="18"/>
      <c r="Q2083" s="19"/>
      <c r="R2083" s="19"/>
      <c r="S2083" s="19"/>
    </row>
    <row r="2084" ht="15.75" customHeight="1">
      <c r="A2084" s="15">
        <v>45786.64611111111</v>
      </c>
      <c r="B2084" s="16" t="s">
        <v>6762</v>
      </c>
      <c r="C2084" s="16" t="s">
        <v>6792</v>
      </c>
      <c r="D2084" s="16" t="s">
        <v>6944</v>
      </c>
      <c r="E2084" s="16" t="s">
        <v>6766</v>
      </c>
      <c r="F2084" s="16"/>
      <c r="G2084" s="16"/>
      <c r="H2084" s="18"/>
      <c r="I2084" s="18"/>
      <c r="J2084" s="18"/>
      <c r="K2084" s="18"/>
      <c r="L2084" s="18"/>
      <c r="M2084" s="18"/>
      <c r="N2084" s="18"/>
      <c r="O2084" s="18"/>
      <c r="P2084" s="18"/>
      <c r="Q2084" s="19"/>
      <c r="R2084" s="19"/>
      <c r="S2084" s="19"/>
    </row>
    <row r="2085" ht="15.75" customHeight="1">
      <c r="A2085" s="15">
        <v>45787.29313657407</v>
      </c>
      <c r="B2085" s="16" t="s">
        <v>6802</v>
      </c>
      <c r="C2085" s="16" t="s">
        <v>6792</v>
      </c>
      <c r="D2085" s="16" t="s">
        <v>6945</v>
      </c>
      <c r="E2085" s="16" t="s">
        <v>6946</v>
      </c>
      <c r="F2085" s="16"/>
      <c r="G2085" s="16"/>
      <c r="H2085" s="18"/>
      <c r="I2085" s="18"/>
      <c r="J2085" s="18"/>
      <c r="K2085" s="18"/>
      <c r="L2085" s="18"/>
      <c r="M2085" s="18"/>
      <c r="N2085" s="18"/>
      <c r="O2085" s="18"/>
      <c r="P2085" s="18"/>
      <c r="Q2085" s="19"/>
      <c r="R2085" s="19"/>
      <c r="S2085" s="19"/>
    </row>
    <row r="2086" ht="15.75" customHeight="1">
      <c r="A2086" s="15">
        <v>45788.49125</v>
      </c>
      <c r="B2086" s="16" t="s">
        <v>6785</v>
      </c>
      <c r="C2086" s="16" t="s">
        <v>6792</v>
      </c>
      <c r="D2086" s="20" t="str">
        <f>?utf-8?q?Do_you_miss_tasty_takeout_deliveries=3F_=F0=9F=A4=94?=</f>
        <v>#ERROR!</v>
      </c>
      <c r="E2086" s="16" t="s">
        <v>6783</v>
      </c>
      <c r="F2086" s="16"/>
      <c r="G2086" s="16"/>
      <c r="H2086" s="18"/>
      <c r="I2086" s="18"/>
      <c r="J2086" s="18"/>
      <c r="K2086" s="18"/>
      <c r="L2086" s="18"/>
      <c r="M2086" s="18"/>
      <c r="N2086" s="18"/>
      <c r="O2086" s="18"/>
      <c r="P2086" s="18"/>
      <c r="Q2086" s="19"/>
      <c r="R2086" s="19"/>
      <c r="S2086" s="19"/>
    </row>
    <row r="2087" ht="15.75" customHeight="1">
      <c r="A2087" s="15">
        <v>45788.29356481481</v>
      </c>
      <c r="B2087" s="16" t="s">
        <v>6802</v>
      </c>
      <c r="C2087" s="16" t="s">
        <v>6792</v>
      </c>
      <c r="D2087" s="16" t="s">
        <v>6947</v>
      </c>
      <c r="E2087" s="16" t="s">
        <v>6948</v>
      </c>
      <c r="F2087" s="16"/>
      <c r="G2087" s="16"/>
      <c r="H2087" s="18"/>
      <c r="I2087" s="18"/>
      <c r="J2087" s="18"/>
      <c r="K2087" s="18"/>
      <c r="L2087" s="18"/>
      <c r="M2087" s="18"/>
      <c r="N2087" s="18"/>
      <c r="O2087" s="18"/>
      <c r="P2087" s="18"/>
      <c r="Q2087" s="19"/>
      <c r="R2087" s="19"/>
      <c r="S2087" s="19"/>
    </row>
    <row r="2088" ht="15.75" customHeight="1">
      <c r="A2088" s="15">
        <v>45789.29344907407</v>
      </c>
      <c r="B2088" s="16" t="s">
        <v>6802</v>
      </c>
      <c r="C2088" s="16" t="s">
        <v>6792</v>
      </c>
      <c r="D2088" s="16" t="s">
        <v>6949</v>
      </c>
      <c r="E2088" s="16" t="s">
        <v>6950</v>
      </c>
      <c r="F2088" s="16"/>
      <c r="G2088" s="16"/>
      <c r="H2088" s="18"/>
      <c r="I2088" s="18"/>
      <c r="J2088" s="18"/>
      <c r="K2088" s="18"/>
      <c r="L2088" s="18"/>
      <c r="M2088" s="18"/>
      <c r="N2088" s="18"/>
      <c r="O2088" s="18"/>
      <c r="P2088" s="18"/>
      <c r="Q2088" s="19"/>
      <c r="R2088" s="19"/>
      <c r="S2088" s="19"/>
    </row>
    <row r="2089" ht="15.75" customHeight="1">
      <c r="A2089" s="15">
        <v>45790.06351851852</v>
      </c>
      <c r="B2089" s="16" t="s">
        <v>6802</v>
      </c>
      <c r="C2089" s="16" t="s">
        <v>6792</v>
      </c>
      <c r="D2089" s="20" t="str">
        <f>?UTF-8?B?U3BpbnMuIExveWFsdHkuIExpZ2h0bmluZy4gSXTigJlzIFpldXNk?=
 =?UTF-8?B?YXkh?=</f>
        <v>#ERROR!</v>
      </c>
      <c r="E2089" s="16" t="s">
        <v>6951</v>
      </c>
      <c r="F2089" s="16"/>
      <c r="G2089" s="16"/>
      <c r="H2089" s="18"/>
      <c r="I2089" s="18"/>
      <c r="J2089" s="18"/>
      <c r="K2089" s="18"/>
      <c r="L2089" s="18"/>
      <c r="M2089" s="18"/>
      <c r="N2089" s="18"/>
      <c r="O2089" s="18"/>
      <c r="P2089" s="18"/>
      <c r="Q2089" s="19"/>
      <c r="R2089" s="19"/>
      <c r="S2089" s="19"/>
    </row>
    <row r="2090" ht="15.75" customHeight="1">
      <c r="A2090" s="15">
        <v>45790.45471064815</v>
      </c>
      <c r="B2090" s="16" t="s">
        <v>6780</v>
      </c>
      <c r="C2090" s="16" t="s">
        <v>6792</v>
      </c>
      <c r="D2090" s="16" t="s">
        <v>6952</v>
      </c>
      <c r="E2090" s="16" t="s">
        <v>6783</v>
      </c>
      <c r="F2090" s="16"/>
      <c r="G2090" s="16"/>
      <c r="H2090" s="18"/>
      <c r="I2090" s="18"/>
      <c r="J2090" s="18"/>
      <c r="K2090" s="18"/>
      <c r="L2090" s="18"/>
      <c r="M2090" s="18"/>
      <c r="N2090" s="18"/>
      <c r="O2090" s="18"/>
      <c r="P2090" s="18"/>
      <c r="Q2090" s="19"/>
      <c r="R2090" s="19"/>
      <c r="S2090" s="19"/>
    </row>
    <row r="2091" ht="15.75" customHeight="1">
      <c r="A2091" s="15">
        <v>45790.2934375</v>
      </c>
      <c r="B2091" s="16" t="s">
        <v>6802</v>
      </c>
      <c r="C2091" s="16" t="s">
        <v>6792</v>
      </c>
      <c r="D2091" s="16" t="s">
        <v>6953</v>
      </c>
      <c r="E2091" s="16" t="s">
        <v>6954</v>
      </c>
      <c r="F2091" s="16"/>
      <c r="G2091" s="16"/>
      <c r="H2091" s="18"/>
      <c r="I2091" s="18"/>
      <c r="J2091" s="18"/>
      <c r="K2091" s="18"/>
      <c r="L2091" s="18"/>
      <c r="M2091" s="18"/>
      <c r="N2091" s="18"/>
      <c r="O2091" s="18"/>
      <c r="P2091" s="18"/>
      <c r="Q2091" s="19"/>
      <c r="R2091" s="19"/>
      <c r="S2091" s="19"/>
    </row>
    <row r="2092" ht="15.75" customHeight="1">
      <c r="A2092" s="15">
        <v>45790.30553240741</v>
      </c>
      <c r="B2092" s="16" t="s">
        <v>6762</v>
      </c>
      <c r="C2092" s="16" t="s">
        <v>6792</v>
      </c>
      <c r="D2092" s="16" t="s">
        <v>6955</v>
      </c>
      <c r="E2092" s="16" t="s">
        <v>6766</v>
      </c>
      <c r="F2092" s="16"/>
      <c r="G2092" s="16"/>
      <c r="H2092" s="18"/>
      <c r="I2092" s="18"/>
      <c r="J2092" s="18"/>
      <c r="K2092" s="18"/>
      <c r="L2092" s="18"/>
      <c r="M2092" s="18"/>
      <c r="N2092" s="18"/>
      <c r="O2092" s="18"/>
      <c r="P2092" s="18"/>
      <c r="Q2092" s="19"/>
      <c r="R2092" s="19"/>
      <c r="S2092" s="19"/>
    </row>
    <row r="2093" ht="15.75" customHeight="1">
      <c r="A2093" s="15">
        <v>45791.293703703705</v>
      </c>
      <c r="B2093" s="16" t="s">
        <v>6802</v>
      </c>
      <c r="C2093" s="16" t="s">
        <v>6792</v>
      </c>
      <c r="D2093" s="16" t="s">
        <v>6956</v>
      </c>
      <c r="E2093" s="16" t="s">
        <v>6957</v>
      </c>
      <c r="F2093" s="16"/>
      <c r="G2093" s="16"/>
      <c r="H2093" s="18"/>
      <c r="I2093" s="18"/>
      <c r="J2093" s="18"/>
      <c r="K2093" s="18"/>
      <c r="L2093" s="18"/>
      <c r="M2093" s="18"/>
      <c r="N2093" s="18"/>
      <c r="O2093" s="18"/>
      <c r="P2093" s="18"/>
      <c r="Q2093" s="19"/>
      <c r="R2093" s="19"/>
      <c r="S2093" s="19"/>
    </row>
    <row r="2094" ht="15.75" customHeight="1">
      <c r="A2094" s="15">
        <v>45791.64111111111</v>
      </c>
      <c r="B2094" s="16" t="s">
        <v>6762</v>
      </c>
      <c r="C2094" s="16" t="s">
        <v>6792</v>
      </c>
      <c r="D2094" s="16" t="s">
        <v>6958</v>
      </c>
      <c r="E2094" s="16" t="s">
        <v>6766</v>
      </c>
      <c r="F2094" s="16"/>
      <c r="G2094" s="16"/>
      <c r="H2094" s="18"/>
      <c r="I2094" s="18"/>
      <c r="J2094" s="18"/>
      <c r="K2094" s="18"/>
      <c r="L2094" s="18"/>
      <c r="M2094" s="18"/>
      <c r="N2094" s="18"/>
      <c r="O2094" s="18"/>
      <c r="P2094" s="18"/>
      <c r="Q2094" s="19"/>
      <c r="R2094" s="19"/>
      <c r="S2094" s="19"/>
    </row>
    <row r="2095" ht="15.75" customHeight="1">
      <c r="A2095" s="15">
        <v>45792.29450231481</v>
      </c>
      <c r="B2095" s="16" t="s">
        <v>6802</v>
      </c>
      <c r="C2095" s="16" t="s">
        <v>6792</v>
      </c>
      <c r="D2095" s="20" t="str">
        <f>?UTF-8?B?WW91ciBCb251cyBhY3Rpb27igJlzIG9uIHRoZSBpY2Uh?=</f>
        <v>#ERROR!</v>
      </c>
      <c r="E2095" s="16" t="s">
        <v>6959</v>
      </c>
      <c r="F2095" s="16"/>
      <c r="G2095" s="16"/>
      <c r="H2095" s="18"/>
      <c r="I2095" s="18"/>
      <c r="J2095" s="18"/>
      <c r="K2095" s="18"/>
      <c r="L2095" s="18"/>
      <c r="M2095" s="18"/>
      <c r="N2095" s="18"/>
      <c r="O2095" s="18"/>
      <c r="P2095" s="18"/>
      <c r="Q2095" s="19"/>
      <c r="R2095" s="19"/>
      <c r="S2095" s="19"/>
    </row>
    <row r="2096" ht="15.75" customHeight="1">
      <c r="A2096" s="15">
        <v>45792.74130787037</v>
      </c>
      <c r="B2096" s="16" t="s">
        <v>6762</v>
      </c>
      <c r="C2096" s="16" t="s">
        <v>6792</v>
      </c>
      <c r="D2096" s="16" t="s">
        <v>6960</v>
      </c>
      <c r="E2096" s="16" t="s">
        <v>6766</v>
      </c>
      <c r="F2096" s="16"/>
      <c r="G2096" s="16"/>
      <c r="H2096" s="18"/>
      <c r="I2096" s="18"/>
      <c r="J2096" s="18"/>
      <c r="K2096" s="18"/>
      <c r="L2096" s="18"/>
      <c r="M2096" s="18"/>
      <c r="N2096" s="18"/>
      <c r="O2096" s="18"/>
      <c r="P2096" s="18"/>
      <c r="Q2096" s="19"/>
      <c r="R2096" s="19"/>
      <c r="S2096" s="19"/>
    </row>
    <row r="2097" ht="15.75" customHeight="1">
      <c r="A2097" s="15">
        <v>45794.29335648148</v>
      </c>
      <c r="B2097" s="16" t="s">
        <v>6802</v>
      </c>
      <c r="C2097" s="16" t="s">
        <v>6792</v>
      </c>
      <c r="D2097" s="20" t="str">
        <f>?UTF-8?B?V2XigJl2ZSBnb3QgYSBmcmVzaCBiYXRjaCBvZiBleGNpdGVtZW50?=
 =?UTF-8?B?IQ==?=</f>
        <v>#ERROR!</v>
      </c>
      <c r="E2097" s="16" t="s">
        <v>6961</v>
      </c>
      <c r="F2097" s="16"/>
      <c r="G2097" s="16"/>
      <c r="H2097" s="18"/>
      <c r="I2097" s="18"/>
      <c r="J2097" s="18"/>
      <c r="K2097" s="18"/>
      <c r="L2097" s="18"/>
      <c r="M2097" s="18"/>
      <c r="N2097" s="18"/>
      <c r="O2097" s="18"/>
      <c r="P2097" s="18"/>
      <c r="Q2097" s="19"/>
      <c r="R2097" s="19"/>
      <c r="S2097" s="19"/>
    </row>
    <row r="2098" ht="15.75" customHeight="1">
      <c r="A2098" s="15">
        <v>45795.294386574074</v>
      </c>
      <c r="B2098" s="16" t="s">
        <v>6802</v>
      </c>
      <c r="C2098" s="16" t="s">
        <v>6792</v>
      </c>
      <c r="D2098" s="20" t="str">
        <f>?UTF-8?B?WW91ciBCb251cyBhY3Rpb27igJlzIG9uIHRoZSBpY2Uh?=</f>
        <v>#ERROR!</v>
      </c>
      <c r="E2098" s="16" t="s">
        <v>6962</v>
      </c>
      <c r="F2098" s="16"/>
      <c r="G2098" s="16"/>
      <c r="H2098" s="18"/>
      <c r="I2098" s="18"/>
      <c r="J2098" s="18"/>
      <c r="K2098" s="18"/>
      <c r="L2098" s="18"/>
      <c r="M2098" s="18"/>
      <c r="N2098" s="18"/>
      <c r="O2098" s="18"/>
      <c r="P2098" s="18"/>
      <c r="Q2098" s="19"/>
      <c r="R2098" s="19"/>
      <c r="S2098" s="19"/>
    </row>
    <row r="2099" ht="15.75" customHeight="1">
      <c r="A2099" s="15">
        <v>45796.293391203704</v>
      </c>
      <c r="B2099" s="16" t="s">
        <v>6802</v>
      </c>
      <c r="C2099" s="16" t="s">
        <v>6792</v>
      </c>
      <c r="D2099" s="16" t="s">
        <v>6963</v>
      </c>
      <c r="E2099" s="16" t="s">
        <v>6964</v>
      </c>
      <c r="F2099" s="16"/>
      <c r="G2099" s="16"/>
      <c r="H2099" s="18"/>
      <c r="I2099" s="18"/>
      <c r="J2099" s="18"/>
      <c r="K2099" s="18"/>
      <c r="L2099" s="18"/>
      <c r="M2099" s="18"/>
      <c r="N2099" s="18"/>
      <c r="O2099" s="18"/>
      <c r="P2099" s="18"/>
      <c r="Q2099" s="19"/>
      <c r="R2099" s="19"/>
      <c r="S2099" s="19"/>
    </row>
    <row r="2100" ht="15.75" customHeight="1">
      <c r="A2100" s="15">
        <v>45797.29349537037</v>
      </c>
      <c r="B2100" s="16" t="s">
        <v>6802</v>
      </c>
      <c r="C2100" s="16" t="s">
        <v>6792</v>
      </c>
      <c r="D2100" s="20" t="str">
        <f>?UTF-8?B?U2VlIHdoYXQgZXZlcnlvbmXigJlzIHRhbGtpbmcgYWJvdXQ=?=</f>
        <v>#ERROR!</v>
      </c>
      <c r="E2100" s="16" t="s">
        <v>6965</v>
      </c>
      <c r="F2100" s="16"/>
      <c r="G2100" s="16"/>
      <c r="H2100" s="18"/>
      <c r="I2100" s="18"/>
      <c r="J2100" s="18"/>
      <c r="K2100" s="18"/>
      <c r="L2100" s="18"/>
      <c r="M2100" s="18"/>
      <c r="N2100" s="18"/>
      <c r="O2100" s="18"/>
      <c r="P2100" s="18"/>
      <c r="Q2100" s="19"/>
      <c r="R2100" s="19"/>
      <c r="S2100" s="19"/>
    </row>
    <row r="2101" ht="15.75" customHeight="1">
      <c r="A2101" s="15">
        <v>45797.7049537037</v>
      </c>
      <c r="B2101" s="16" t="s">
        <v>6780</v>
      </c>
      <c r="C2101" s="16" t="s">
        <v>6792</v>
      </c>
      <c r="D2101" s="20" t="str">
        <f>?utf-8?q?50%_off_your_next_3_orders_-_just_for_you_=F0=9F=91=80?=</f>
        <v>#ERROR!</v>
      </c>
      <c r="E2101" s="16" t="s">
        <v>6783</v>
      </c>
      <c r="F2101" s="16"/>
      <c r="G2101" s="16"/>
      <c r="H2101" s="18"/>
      <c r="I2101" s="18"/>
      <c r="J2101" s="18"/>
      <c r="K2101" s="18"/>
      <c r="L2101" s="18"/>
      <c r="M2101" s="18"/>
      <c r="N2101" s="18"/>
      <c r="O2101" s="18"/>
      <c r="P2101" s="18"/>
      <c r="Q2101" s="19"/>
      <c r="R2101" s="19"/>
      <c r="S2101" s="19"/>
    </row>
    <row r="2102" ht="15.75" customHeight="1">
      <c r="A2102" s="15">
        <v>45797.908587962964</v>
      </c>
      <c r="B2102" s="16" t="s">
        <v>6780</v>
      </c>
      <c r="C2102" s="16" t="s">
        <v>6792</v>
      </c>
      <c r="D2102" s="16" t="s">
        <v>6874</v>
      </c>
      <c r="E2102" s="16" t="s">
        <v>6783</v>
      </c>
      <c r="F2102" s="16"/>
      <c r="G2102" s="16"/>
      <c r="H2102" s="18"/>
      <c r="I2102" s="18"/>
      <c r="J2102" s="18"/>
      <c r="K2102" s="18"/>
      <c r="L2102" s="18"/>
      <c r="M2102" s="18"/>
      <c r="N2102" s="18"/>
      <c r="O2102" s="18"/>
      <c r="P2102" s="18"/>
      <c r="Q2102" s="19"/>
      <c r="R2102" s="19"/>
      <c r="S2102" s="19"/>
    </row>
    <row r="2103" ht="15.75" customHeight="1">
      <c r="A2103" s="15">
        <v>45798.29482638889</v>
      </c>
      <c r="B2103" s="16" t="s">
        <v>6802</v>
      </c>
      <c r="C2103" s="16" t="s">
        <v>6792</v>
      </c>
      <c r="D2103" s="20" t="str">
        <f>?UTF-8?B?WW91ciBCb251cyBhY3Rpb27igJlzIG9uIHRoZSBpY2Uh?=</f>
        <v>#ERROR!</v>
      </c>
      <c r="E2103" s="16" t="s">
        <v>6966</v>
      </c>
      <c r="F2103" s="16"/>
      <c r="G2103" s="16"/>
      <c r="H2103" s="18"/>
      <c r="I2103" s="18"/>
      <c r="J2103" s="18"/>
      <c r="K2103" s="18"/>
      <c r="L2103" s="18"/>
      <c r="M2103" s="18"/>
      <c r="N2103" s="18"/>
      <c r="O2103" s="18"/>
      <c r="P2103" s="18"/>
      <c r="Q2103" s="19"/>
      <c r="R2103" s="19"/>
      <c r="S2103" s="19"/>
    </row>
    <row r="2104" ht="15.75" customHeight="1">
      <c r="A2104" s="15">
        <v>45798.621828703705</v>
      </c>
      <c r="B2104" s="16" t="s">
        <v>6762</v>
      </c>
      <c r="C2104" s="16" t="s">
        <v>6792</v>
      </c>
      <c r="D2104" s="16" t="s">
        <v>6967</v>
      </c>
      <c r="E2104" s="16" t="s">
        <v>6766</v>
      </c>
      <c r="F2104" s="16"/>
      <c r="G2104" s="16"/>
      <c r="H2104" s="18"/>
      <c r="I2104" s="18"/>
      <c r="J2104" s="18"/>
      <c r="K2104" s="18"/>
      <c r="L2104" s="18"/>
      <c r="M2104" s="18"/>
      <c r="N2104" s="18"/>
      <c r="O2104" s="18"/>
      <c r="P2104" s="18"/>
      <c r="Q2104" s="19"/>
      <c r="R2104" s="19"/>
      <c r="S2104" s="19"/>
    </row>
    <row r="2105" ht="15.75" customHeight="1">
      <c r="A2105" s="15">
        <v>45799.29341435185</v>
      </c>
      <c r="B2105" s="16" t="s">
        <v>6802</v>
      </c>
      <c r="C2105" s="16" t="s">
        <v>6792</v>
      </c>
      <c r="D2105" s="16" t="s">
        <v>6968</v>
      </c>
      <c r="E2105" s="16" t="s">
        <v>6969</v>
      </c>
      <c r="F2105" s="16"/>
      <c r="G2105" s="16"/>
      <c r="H2105" s="18"/>
      <c r="I2105" s="18"/>
      <c r="J2105" s="18"/>
      <c r="K2105" s="18"/>
      <c r="L2105" s="18"/>
      <c r="M2105" s="18"/>
      <c r="N2105" s="18"/>
      <c r="O2105" s="18"/>
      <c r="P2105" s="18"/>
      <c r="Q2105" s="19"/>
      <c r="R2105" s="19"/>
      <c r="S2105" s="19"/>
    </row>
    <row r="2106" ht="15.75" customHeight="1">
      <c r="A2106" s="15">
        <v>45799.90862268519</v>
      </c>
      <c r="B2106" s="16" t="s">
        <v>6762</v>
      </c>
      <c r="C2106" s="16" t="s">
        <v>6792</v>
      </c>
      <c r="D2106" s="20" t="str">
        <f>?windows-1252?Q?Don=92t_miss_out!_Upgrade_and_save_up_to_$1=2C620?=
 =?windows-1252?Q?=2E__?=</f>
        <v>#ERROR!</v>
      </c>
      <c r="E2106" s="16" t="s">
        <v>6766</v>
      </c>
      <c r="F2106" s="16"/>
      <c r="G2106" s="16"/>
      <c r="H2106" s="18"/>
      <c r="I2106" s="18"/>
      <c r="J2106" s="18"/>
      <c r="K2106" s="18"/>
      <c r="L2106" s="18"/>
      <c r="M2106" s="18"/>
      <c r="N2106" s="18"/>
      <c r="O2106" s="18"/>
      <c r="P2106" s="18"/>
      <c r="Q2106" s="19"/>
      <c r="R2106" s="19"/>
      <c r="S2106" s="19"/>
    </row>
    <row r="2107" ht="15.75" customHeight="1">
      <c r="A2107" s="15">
        <v>45800.294027777774</v>
      </c>
      <c r="B2107" s="16" t="s">
        <v>6802</v>
      </c>
      <c r="C2107" s="16" t="s">
        <v>6792</v>
      </c>
      <c r="D2107" s="20" t="str">
        <f>?UTF-8?B?WW91ciBCb251cyBhY3Rpb27igJlzIG9uIHRoZSBpY2Uh?=</f>
        <v>#ERROR!</v>
      </c>
      <c r="E2107" s="16" t="s">
        <v>6970</v>
      </c>
      <c r="F2107" s="16"/>
      <c r="G2107" s="16"/>
      <c r="H2107" s="18"/>
      <c r="I2107" s="18"/>
      <c r="J2107" s="18"/>
      <c r="K2107" s="18"/>
      <c r="L2107" s="18"/>
      <c r="M2107" s="18"/>
      <c r="N2107" s="18"/>
      <c r="O2107" s="18"/>
      <c r="P2107" s="18"/>
      <c r="Q2107" s="19"/>
      <c r="R2107" s="19"/>
      <c r="S2107" s="19"/>
    </row>
    <row r="2108" ht="15.75" customHeight="1">
      <c r="A2108" s="15">
        <v>45801.33415509259</v>
      </c>
      <c r="B2108" s="16" t="s">
        <v>6802</v>
      </c>
      <c r="C2108" s="16" t="s">
        <v>6792</v>
      </c>
      <c r="D2108" s="16" t="s">
        <v>6971</v>
      </c>
      <c r="E2108" s="16" t="s">
        <v>6972</v>
      </c>
      <c r="F2108" s="16"/>
      <c r="G2108" s="16"/>
      <c r="H2108" s="18"/>
      <c r="I2108" s="18"/>
      <c r="J2108" s="18"/>
      <c r="K2108" s="18"/>
      <c r="L2108" s="18"/>
      <c r="M2108" s="18"/>
      <c r="N2108" s="18"/>
      <c r="O2108" s="18"/>
      <c r="P2108" s="18"/>
      <c r="Q2108" s="19"/>
      <c r="R2108" s="19"/>
      <c r="S2108" s="19"/>
    </row>
    <row r="2109" ht="15.75" customHeight="1">
      <c r="A2109" s="15">
        <v>45802.293333333335</v>
      </c>
      <c r="B2109" s="16" t="s">
        <v>6802</v>
      </c>
      <c r="C2109" s="16" t="s">
        <v>6792</v>
      </c>
      <c r="D2109" s="20" t="str">
        <f>?UTF-8?B?RG9u4oCZdCBvcGVuIHRoaXPigKYgdW5sZXNzIHlvdSBsb3ZlIHN1?=
 =?UTF-8?B?cnByaXNlcyE=?=</f>
        <v>#ERROR!</v>
      </c>
      <c r="E2109" s="16" t="s">
        <v>6973</v>
      </c>
      <c r="F2109" s="16"/>
      <c r="G2109" s="16"/>
      <c r="H2109" s="18"/>
      <c r="I2109" s="18"/>
      <c r="J2109" s="18"/>
      <c r="K2109" s="18"/>
      <c r="L2109" s="18"/>
      <c r="M2109" s="18"/>
      <c r="N2109" s="18"/>
      <c r="O2109" s="18"/>
      <c r="P2109" s="18"/>
      <c r="Q2109" s="19"/>
      <c r="R2109" s="19"/>
      <c r="S2109" s="19"/>
    </row>
    <row r="2110" ht="15.75" customHeight="1">
      <c r="A2110" s="15">
        <v>45803.293333333335</v>
      </c>
      <c r="B2110" s="16" t="s">
        <v>6802</v>
      </c>
      <c r="C2110" s="16" t="s">
        <v>6792</v>
      </c>
      <c r="D2110" s="20" t="str">
        <f>?UTF-8?B?V2UgaGF2ZSBhIHNlY3JldCB0byBzaGFyZSB3aXRoIHlvdeKApg==?=</f>
        <v>#ERROR!</v>
      </c>
      <c r="E2110" s="16" t="s">
        <v>6974</v>
      </c>
      <c r="F2110" s="16"/>
      <c r="G2110" s="16"/>
      <c r="H2110" s="18"/>
      <c r="I2110" s="18"/>
      <c r="J2110" s="18"/>
      <c r="K2110" s="18"/>
      <c r="L2110" s="18"/>
      <c r="M2110" s="18"/>
      <c r="N2110" s="18"/>
      <c r="O2110" s="18"/>
      <c r="P2110" s="18"/>
      <c r="Q2110" s="19"/>
      <c r="R2110" s="19"/>
      <c r="S2110" s="19"/>
    </row>
    <row r="2111" ht="15.75" customHeight="1">
      <c r="A2111" s="15">
        <v>45805.0834837963</v>
      </c>
      <c r="B2111" s="16" t="s">
        <v>6975</v>
      </c>
      <c r="C2111" s="16" t="s">
        <v>6792</v>
      </c>
      <c r="D2111" s="16" t="s">
        <v>6976</v>
      </c>
      <c r="E2111" s="16" t="s">
        <v>6977</v>
      </c>
      <c r="F2111" s="16"/>
      <c r="G2111" s="16"/>
      <c r="H2111" s="18"/>
      <c r="I2111" s="18"/>
      <c r="J2111" s="18"/>
      <c r="K2111" s="18"/>
      <c r="L2111" s="18"/>
      <c r="M2111" s="18"/>
      <c r="N2111" s="18"/>
      <c r="O2111" s="18"/>
      <c r="P2111" s="18"/>
      <c r="Q2111" s="19"/>
      <c r="R2111" s="19"/>
      <c r="S2111" s="19"/>
    </row>
    <row r="2112" ht="15.75" customHeight="1">
      <c r="A2112" s="15">
        <v>45805.29314814815</v>
      </c>
      <c r="B2112" s="16" t="s">
        <v>6802</v>
      </c>
      <c r="C2112" s="16" t="s">
        <v>6792</v>
      </c>
      <c r="D2112" s="20" t="str">
        <f>?UTF-8?B?SXTigJlzIHRpbWUgdG8gaGl0IOKAmHBsYXnigJkgYWdhaW4h?=</f>
        <v>#ERROR!</v>
      </c>
      <c r="E2112" s="16" t="s">
        <v>6978</v>
      </c>
      <c r="F2112" s="16"/>
      <c r="G2112" s="16"/>
      <c r="H2112" s="18"/>
      <c r="I2112" s="18"/>
      <c r="J2112" s="18"/>
      <c r="K2112" s="18"/>
      <c r="L2112" s="18"/>
      <c r="M2112" s="18"/>
      <c r="N2112" s="18"/>
      <c r="O2112" s="18"/>
      <c r="P2112" s="18"/>
      <c r="Q2112" s="19"/>
      <c r="R2112" s="19"/>
      <c r="S2112" s="19"/>
    </row>
    <row r="2113" ht="15.75" customHeight="1">
      <c r="A2113" s="15">
        <v>45806.29318287037</v>
      </c>
      <c r="B2113" s="16" t="s">
        <v>6802</v>
      </c>
      <c r="C2113" s="16" t="s">
        <v>6792</v>
      </c>
      <c r="D2113" s="16" t="s">
        <v>6979</v>
      </c>
      <c r="E2113" s="16" t="s">
        <v>6980</v>
      </c>
      <c r="F2113" s="16"/>
      <c r="G2113" s="16"/>
      <c r="H2113" s="18"/>
      <c r="I2113" s="18"/>
      <c r="J2113" s="18"/>
      <c r="K2113" s="18"/>
      <c r="L2113" s="18"/>
      <c r="M2113" s="18"/>
      <c r="N2113" s="18"/>
      <c r="O2113" s="18"/>
      <c r="P2113" s="18"/>
      <c r="Q2113" s="19"/>
      <c r="R2113" s="19"/>
      <c r="S2113" s="19"/>
    </row>
    <row r="2114" ht="15.75" customHeight="1">
      <c r="A2114" s="15">
        <v>45807.29332175926</v>
      </c>
      <c r="B2114" s="16" t="s">
        <v>6802</v>
      </c>
      <c r="C2114" s="16" t="s">
        <v>6792</v>
      </c>
      <c r="D2114" s="20" t="str">
        <f>?UTF-8?B?UmVhZHkgZm9yIGEgd2hvbGUgbG90IG9mIGZ1bj8gSXTigJlzIHdh?=
 =?UTF-8?B?aXRpbmcgaW5zaWRlIQ==?=</f>
        <v>#ERROR!</v>
      </c>
      <c r="E2114" s="16" t="s">
        <v>6981</v>
      </c>
      <c r="F2114" s="16"/>
      <c r="G2114" s="16"/>
      <c r="H2114" s="18"/>
      <c r="I2114" s="18"/>
      <c r="J2114" s="18"/>
      <c r="K2114" s="18"/>
      <c r="L2114" s="18"/>
      <c r="M2114" s="18"/>
      <c r="N2114" s="18"/>
      <c r="O2114" s="18"/>
      <c r="P2114" s="18"/>
      <c r="Q2114" s="19"/>
      <c r="R2114" s="19"/>
      <c r="S2114" s="19"/>
    </row>
    <row r="2115" ht="15.75" customHeight="1">
      <c r="A2115" s="15">
        <v>45807.74175925926</v>
      </c>
      <c r="B2115" s="16" t="s">
        <v>6762</v>
      </c>
      <c r="C2115" s="16" t="s">
        <v>6792</v>
      </c>
      <c r="D2115" s="16" t="s">
        <v>6982</v>
      </c>
      <c r="E2115" s="16" t="s">
        <v>6766</v>
      </c>
      <c r="F2115" s="16"/>
      <c r="G2115" s="16"/>
      <c r="H2115" s="18"/>
      <c r="I2115" s="18"/>
      <c r="J2115" s="18"/>
      <c r="K2115" s="18"/>
      <c r="L2115" s="18"/>
      <c r="M2115" s="18"/>
      <c r="N2115" s="18"/>
      <c r="O2115" s="18"/>
      <c r="P2115" s="18"/>
      <c r="Q2115" s="19"/>
      <c r="R2115" s="19"/>
      <c r="S2115" s="19"/>
    </row>
    <row r="2116" ht="15.75" customHeight="1">
      <c r="A2116" s="15">
        <v>45808.29326388889</v>
      </c>
      <c r="B2116" s="16" t="s">
        <v>6802</v>
      </c>
      <c r="C2116" s="16" t="s">
        <v>6792</v>
      </c>
      <c r="D2116" s="20" t="str">
        <f>?UTF-8?B?TmV3IGdhbWVzLCBiaWcgdGhyaWxscyDigJMgaGF2ZSB5b3Ugc2Vl?=
 =?UTF-8?B?biB0aGVtIHlldD8=?=</f>
        <v>#ERROR!</v>
      </c>
      <c r="E2116" s="16" t="s">
        <v>6983</v>
      </c>
      <c r="F2116" s="16"/>
      <c r="G2116" s="16"/>
      <c r="H2116" s="18"/>
      <c r="I2116" s="18"/>
      <c r="J2116" s="18"/>
      <c r="K2116" s="18"/>
      <c r="L2116" s="18"/>
      <c r="M2116" s="18"/>
      <c r="N2116" s="18"/>
      <c r="O2116" s="18"/>
      <c r="P2116" s="18"/>
      <c r="Q2116" s="19"/>
      <c r="R2116" s="19"/>
      <c r="S2116" s="19"/>
    </row>
    <row r="2117" ht="15.75" customHeight="1">
      <c r="A2117" s="15">
        <v>45809.29289351852</v>
      </c>
      <c r="B2117" s="16" t="s">
        <v>6802</v>
      </c>
      <c r="C2117" s="16" t="s">
        <v>6792</v>
      </c>
      <c r="D2117" s="16" t="s">
        <v>6984</v>
      </c>
      <c r="E2117" s="16" t="s">
        <v>6985</v>
      </c>
      <c r="F2117" s="16"/>
      <c r="G2117" s="16"/>
      <c r="H2117" s="18"/>
      <c r="I2117" s="18"/>
      <c r="J2117" s="18"/>
      <c r="K2117" s="18"/>
      <c r="L2117" s="18"/>
      <c r="M2117" s="18"/>
      <c r="N2117" s="18"/>
      <c r="O2117" s="18"/>
      <c r="P2117" s="18"/>
      <c r="Q2117" s="19"/>
      <c r="R2117" s="19"/>
      <c r="S2117" s="19"/>
    </row>
    <row r="2118" ht="15.75" customHeight="1">
      <c r="A2118" s="15">
        <v>45810.45980324074</v>
      </c>
      <c r="B2118" s="16" t="s">
        <v>6780</v>
      </c>
      <c r="C2118" s="16" t="s">
        <v>6792</v>
      </c>
      <c r="D2118" s="16" t="s">
        <v>6986</v>
      </c>
      <c r="E2118" s="16" t="s">
        <v>6783</v>
      </c>
      <c r="F2118" s="16"/>
      <c r="G2118" s="16"/>
      <c r="H2118" s="18"/>
      <c r="I2118" s="18"/>
      <c r="J2118" s="18"/>
      <c r="K2118" s="18"/>
      <c r="L2118" s="18"/>
      <c r="M2118" s="18"/>
      <c r="N2118" s="18"/>
      <c r="O2118" s="18"/>
      <c r="P2118" s="18"/>
      <c r="Q2118" s="19"/>
      <c r="R2118" s="19"/>
      <c r="S2118" s="19"/>
    </row>
    <row r="2119" ht="15.75" customHeight="1">
      <c r="A2119" s="15">
        <v>45810.29295138889</v>
      </c>
      <c r="B2119" s="16" t="s">
        <v>6802</v>
      </c>
      <c r="C2119" s="16" t="s">
        <v>6792</v>
      </c>
      <c r="D2119" s="20" t="str">
        <f>?UTF-8?B?VGhlIHJlZWxzIGhhdmUgYmVlbiBidXN54oCmIHJlYWR5IHRvIGpv?=
 =?UTF-8?B?aW4gaW4/?=</f>
        <v>#ERROR!</v>
      </c>
      <c r="E2119" s="16" t="s">
        <v>6987</v>
      </c>
      <c r="F2119" s="16"/>
      <c r="G2119" s="16"/>
      <c r="H2119" s="18"/>
      <c r="I2119" s="18"/>
      <c r="J2119" s="18"/>
      <c r="K2119" s="18"/>
      <c r="L2119" s="18"/>
      <c r="M2119" s="18"/>
      <c r="N2119" s="18"/>
      <c r="O2119" s="18"/>
      <c r="P2119" s="18"/>
      <c r="Q2119" s="19"/>
      <c r="R2119" s="19"/>
      <c r="S2119" s="19"/>
    </row>
    <row r="2120" ht="15.75" customHeight="1">
      <c r="A2120" s="15">
        <v>45811.29341435185</v>
      </c>
      <c r="B2120" s="16" t="s">
        <v>6802</v>
      </c>
      <c r="C2120" s="16" t="s">
        <v>6792</v>
      </c>
      <c r="D2120" s="20" t="str">
        <f>?UTF-8?B?QSBsb3QgaGFzIGJlZW4gaGFwcGVuaW5nIOKAkyBjb21lIGpvaW4g?=
 =?UTF-8?B?dXMh?=</f>
        <v>#ERROR!</v>
      </c>
      <c r="E2120" s="16" t="s">
        <v>6988</v>
      </c>
      <c r="F2120" s="16"/>
      <c r="G2120" s="16"/>
      <c r="H2120" s="18"/>
      <c r="I2120" s="18"/>
      <c r="J2120" s="18"/>
      <c r="K2120" s="18"/>
      <c r="L2120" s="18"/>
      <c r="M2120" s="18"/>
      <c r="N2120" s="18"/>
      <c r="O2120" s="18"/>
      <c r="P2120" s="18"/>
      <c r="Q2120" s="19"/>
      <c r="R2120" s="19"/>
      <c r="S2120" s="19"/>
    </row>
    <row r="2121" ht="15.75" customHeight="1">
      <c r="A2121" s="15">
        <v>45812.68991898148</v>
      </c>
      <c r="B2121" s="16" t="s">
        <v>6785</v>
      </c>
      <c r="C2121" s="16" t="s">
        <v>6792</v>
      </c>
      <c r="D2121" s="20" t="str">
        <f>?utf-8?q?Shop_the_new_items_that_are_on_everyone=E2=80=99s_list?=</f>
        <v>#ERROR!</v>
      </c>
      <c r="E2121" s="16" t="s">
        <v>6783</v>
      </c>
      <c r="F2121" s="16"/>
      <c r="G2121" s="16"/>
      <c r="H2121" s="18"/>
      <c r="I2121" s="18"/>
      <c r="J2121" s="18"/>
      <c r="K2121" s="18"/>
      <c r="L2121" s="18"/>
      <c r="M2121" s="18"/>
      <c r="N2121" s="18"/>
      <c r="O2121" s="18"/>
      <c r="P2121" s="18"/>
      <c r="Q2121" s="19"/>
      <c r="R2121" s="19"/>
      <c r="S2121" s="19"/>
    </row>
    <row r="2122" ht="15.75" customHeight="1">
      <c r="A2122" s="15">
        <v>45812.625706018516</v>
      </c>
      <c r="B2122" s="16" t="s">
        <v>6802</v>
      </c>
      <c r="C2122" s="16" t="s">
        <v>6792</v>
      </c>
      <c r="D2122" s="16" t="s">
        <v>6989</v>
      </c>
      <c r="E2122" s="16" t="s">
        <v>6990</v>
      </c>
      <c r="F2122" s="16"/>
      <c r="G2122" s="16"/>
      <c r="H2122" s="18"/>
      <c r="I2122" s="18"/>
      <c r="J2122" s="18"/>
      <c r="K2122" s="18"/>
      <c r="L2122" s="18"/>
      <c r="M2122" s="18"/>
      <c r="N2122" s="18"/>
      <c r="O2122" s="18"/>
      <c r="P2122" s="18"/>
      <c r="Q2122" s="19"/>
      <c r="R2122" s="19"/>
      <c r="S2122" s="19"/>
    </row>
    <row r="2123" ht="15.75" customHeight="1">
      <c r="A2123" s="15">
        <v>45814.293275462966</v>
      </c>
      <c r="B2123" s="16" t="s">
        <v>6802</v>
      </c>
      <c r="C2123" s="16" t="s">
        <v>6792</v>
      </c>
      <c r="D2123" s="20" t="str">
        <f>?UTF-8?B?TG9uZyB0aW1lLCBubyBzcGluISBMZXTigJlzIGZpeCB0aGF0IA==?=
 =?UTF-8?B?8J+OsA==?=</f>
        <v>#ERROR!</v>
      </c>
      <c r="E2123" s="16" t="s">
        <v>6991</v>
      </c>
      <c r="F2123" s="16"/>
      <c r="G2123" s="16"/>
      <c r="H2123" s="18"/>
      <c r="I2123" s="18"/>
      <c r="J2123" s="18"/>
      <c r="K2123" s="18"/>
      <c r="L2123" s="18"/>
      <c r="M2123" s="18"/>
      <c r="N2123" s="18"/>
      <c r="O2123" s="18"/>
      <c r="P2123" s="18"/>
      <c r="Q2123" s="19"/>
      <c r="R2123" s="19"/>
      <c r="S2123" s="19"/>
    </row>
    <row r="2124" ht="15.75" customHeight="1">
      <c r="A2124" s="15">
        <v>45814.58850694444</v>
      </c>
      <c r="B2124" s="16" t="s">
        <v>6780</v>
      </c>
      <c r="C2124" s="16" t="s">
        <v>6792</v>
      </c>
      <c r="D2124" s="16" t="s">
        <v>6992</v>
      </c>
      <c r="E2124" s="16" t="s">
        <v>6783</v>
      </c>
      <c r="F2124" s="16"/>
      <c r="G2124" s="16"/>
      <c r="H2124" s="18"/>
      <c r="I2124" s="18"/>
      <c r="J2124" s="18"/>
      <c r="K2124" s="18"/>
      <c r="L2124" s="18"/>
      <c r="M2124" s="18"/>
      <c r="N2124" s="18"/>
      <c r="O2124" s="18"/>
      <c r="P2124" s="18"/>
      <c r="Q2124" s="19"/>
      <c r="R2124" s="19"/>
      <c r="S2124" s="19"/>
    </row>
    <row r="2125" ht="15.75" customHeight="1">
      <c r="A2125" s="15">
        <v>45815.50403935185</v>
      </c>
      <c r="B2125" s="16" t="s">
        <v>6762</v>
      </c>
      <c r="C2125" s="16" t="s">
        <v>6792</v>
      </c>
      <c r="D2125" s="16" t="s">
        <v>6993</v>
      </c>
      <c r="E2125" s="16" t="s">
        <v>6766</v>
      </c>
      <c r="F2125" s="16"/>
      <c r="G2125" s="16"/>
      <c r="H2125" s="18"/>
      <c r="I2125" s="18"/>
      <c r="J2125" s="18"/>
      <c r="K2125" s="18"/>
      <c r="L2125" s="18"/>
      <c r="M2125" s="18"/>
      <c r="N2125" s="18"/>
      <c r="O2125" s="18"/>
      <c r="P2125" s="18"/>
      <c r="Q2125" s="19"/>
      <c r="R2125" s="19"/>
      <c r="S2125" s="19"/>
    </row>
    <row r="2126" ht="15.75" customHeight="1">
      <c r="A2126" s="15">
        <v>45816.47482638889</v>
      </c>
      <c r="B2126" s="16" t="s">
        <v>6785</v>
      </c>
      <c r="C2126" s="16" t="s">
        <v>6792</v>
      </c>
      <c r="D2126" s="16" t="s">
        <v>6994</v>
      </c>
      <c r="E2126" s="16" t="s">
        <v>6783</v>
      </c>
      <c r="F2126" s="16"/>
      <c r="G2126" s="16"/>
      <c r="H2126" s="18"/>
      <c r="I2126" s="18"/>
      <c r="J2126" s="18"/>
      <c r="K2126" s="18"/>
      <c r="L2126" s="18"/>
      <c r="M2126" s="18"/>
      <c r="N2126" s="18"/>
      <c r="O2126" s="18"/>
      <c r="P2126" s="18"/>
      <c r="Q2126" s="19"/>
      <c r="R2126" s="19"/>
      <c r="S2126" s="19"/>
    </row>
    <row r="2127" ht="15.75" customHeight="1">
      <c r="A2127" s="15">
        <v>45818.740798611114</v>
      </c>
      <c r="B2127" s="16" t="s">
        <v>6780</v>
      </c>
      <c r="C2127" s="16" t="s">
        <v>6792</v>
      </c>
      <c r="D2127" s="20" t="str">
        <f>?utf-8?q?50%_off_your_next_3_orders_-_just_for_you_=F0=9F=91=80?=</f>
        <v>#ERROR!</v>
      </c>
      <c r="E2127" s="16" t="s">
        <v>6783</v>
      </c>
      <c r="F2127" s="16"/>
      <c r="G2127" s="16"/>
      <c r="H2127" s="18"/>
      <c r="I2127" s="18"/>
      <c r="J2127" s="18"/>
      <c r="K2127" s="18"/>
      <c r="L2127" s="18"/>
      <c r="M2127" s="18"/>
      <c r="N2127" s="18"/>
      <c r="O2127" s="18"/>
      <c r="P2127" s="18"/>
      <c r="Q2127" s="19"/>
      <c r="R2127" s="19"/>
      <c r="S2127" s="19"/>
    </row>
    <row r="2128" ht="15.75" customHeight="1">
      <c r="A2128" s="15">
        <v>45822.293125</v>
      </c>
      <c r="B2128" s="16" t="s">
        <v>6802</v>
      </c>
      <c r="C2128" s="16" t="s">
        <v>6792</v>
      </c>
      <c r="D2128" s="20" t="str">
        <f>?UTF-8?B?U3VwZXIgRGVhbCBBY3RpdmF0ZWTigKYgQXJlIHlvdSBpbj8=?=</f>
        <v>#ERROR!</v>
      </c>
      <c r="E2128" s="16" t="s">
        <v>6995</v>
      </c>
      <c r="F2128" s="16"/>
      <c r="G2128" s="16"/>
      <c r="H2128" s="18"/>
      <c r="I2128" s="18"/>
      <c r="J2128" s="18"/>
      <c r="K2128" s="18"/>
      <c r="L2128" s="18"/>
      <c r="M2128" s="18"/>
      <c r="N2128" s="18"/>
      <c r="O2128" s="18"/>
      <c r="P2128" s="18"/>
      <c r="Q2128" s="19"/>
      <c r="R2128" s="19"/>
      <c r="S2128" s="19"/>
    </row>
    <row r="2129" ht="15.75" customHeight="1">
      <c r="A2129" s="15">
        <v>45822.31144675926</v>
      </c>
      <c r="B2129" s="16" t="s">
        <v>6762</v>
      </c>
      <c r="C2129" s="16" t="s">
        <v>6792</v>
      </c>
      <c r="D2129" s="20" t="str">
        <f>?utf-8?B?8J+UpSBEZWFsIGFsZXJ0ISBIdWdlIHNhdmluZ3Mgb24gU2Ftcw==?=
 =?utf-8?B?dW5nLg==?=</f>
        <v>#ERROR!</v>
      </c>
      <c r="E2129" s="16" t="s">
        <v>6996</v>
      </c>
      <c r="F2129" s="16"/>
      <c r="G2129" s="16"/>
      <c r="H2129" s="18"/>
      <c r="I2129" s="18"/>
      <c r="J2129" s="18"/>
      <c r="K2129" s="18"/>
      <c r="L2129" s="18"/>
      <c r="M2129" s="18"/>
      <c r="N2129" s="18"/>
      <c r="O2129" s="18"/>
      <c r="P2129" s="18"/>
      <c r="Q2129" s="19"/>
      <c r="R2129" s="19"/>
      <c r="S2129" s="19"/>
    </row>
    <row r="2130" ht="15.75" customHeight="1">
      <c r="A2130" s="15">
        <v>45826.08362268518</v>
      </c>
      <c r="B2130" s="16" t="s">
        <v>6975</v>
      </c>
      <c r="C2130" s="16" t="s">
        <v>6792</v>
      </c>
      <c r="D2130" s="16" t="s">
        <v>6997</v>
      </c>
      <c r="E2130" s="16" t="s">
        <v>6998</v>
      </c>
      <c r="F2130" s="16"/>
      <c r="G2130" s="16"/>
      <c r="H2130" s="18"/>
      <c r="I2130" s="18"/>
      <c r="J2130" s="18"/>
      <c r="K2130" s="18"/>
      <c r="L2130" s="18"/>
      <c r="M2130" s="18"/>
      <c r="N2130" s="18"/>
      <c r="O2130" s="18"/>
      <c r="P2130" s="18"/>
      <c r="Q2130" s="19"/>
      <c r="R2130" s="19"/>
      <c r="S2130" s="19"/>
    </row>
    <row r="2131" ht="15.75" customHeight="1">
      <c r="A2131" s="15">
        <v>45827.29287037037</v>
      </c>
      <c r="B2131" s="16" t="s">
        <v>6802</v>
      </c>
      <c r="C2131" s="16" t="s">
        <v>6792</v>
      </c>
      <c r="D2131" s="16" t="s">
        <v>6999</v>
      </c>
      <c r="E2131" s="16" t="s">
        <v>7000</v>
      </c>
      <c r="F2131" s="16"/>
      <c r="G2131" s="16"/>
      <c r="H2131" s="18"/>
      <c r="I2131" s="18"/>
      <c r="J2131" s="18"/>
      <c r="K2131" s="18"/>
      <c r="L2131" s="18"/>
      <c r="M2131" s="18"/>
      <c r="N2131" s="18"/>
      <c r="O2131" s="18"/>
      <c r="P2131" s="18"/>
      <c r="Q2131" s="19"/>
      <c r="R2131" s="19"/>
      <c r="S2131" s="19"/>
    </row>
    <row r="2132" ht="15.75" customHeight="1">
      <c r="A2132" s="15">
        <v>45828.56820601852</v>
      </c>
      <c r="B2132" s="16" t="s">
        <v>6780</v>
      </c>
      <c r="C2132" s="16" t="s">
        <v>6792</v>
      </c>
      <c r="D2132" s="16" t="s">
        <v>6992</v>
      </c>
      <c r="E2132" s="16" t="s">
        <v>6783</v>
      </c>
      <c r="F2132" s="16"/>
      <c r="G2132" s="16"/>
      <c r="H2132" s="18"/>
      <c r="I2132" s="18"/>
      <c r="J2132" s="18"/>
      <c r="K2132" s="18"/>
      <c r="L2132" s="18"/>
      <c r="M2132" s="18"/>
      <c r="N2132" s="18"/>
      <c r="O2132" s="18"/>
      <c r="P2132" s="18"/>
      <c r="Q2132" s="19"/>
      <c r="R2132" s="19"/>
      <c r="S2132" s="19"/>
    </row>
    <row r="2133" ht="15.75" customHeight="1">
      <c r="A2133" s="15">
        <v>45832.60486111111</v>
      </c>
      <c r="B2133" s="16" t="s">
        <v>6780</v>
      </c>
      <c r="C2133" s="16" t="s">
        <v>6792</v>
      </c>
      <c r="D2133" s="20" t="str">
        <f>?utf-8?q?50%_off_your_next_3_orders_-_just_for_you_=F0=9F=91=80?=</f>
        <v>#ERROR!</v>
      </c>
      <c r="E2133" s="16" t="s">
        <v>6783</v>
      </c>
      <c r="F2133" s="16"/>
      <c r="G2133" s="16"/>
      <c r="H2133" s="18"/>
      <c r="I2133" s="18"/>
      <c r="J2133" s="18"/>
      <c r="K2133" s="18"/>
      <c r="L2133" s="18"/>
      <c r="M2133" s="18"/>
      <c r="N2133" s="18"/>
      <c r="O2133" s="18"/>
      <c r="P2133" s="18"/>
      <c r="Q2133" s="19"/>
      <c r="R2133" s="19"/>
      <c r="S2133" s="19"/>
    </row>
    <row r="2134" ht="15.75" customHeight="1">
      <c r="A2134" s="15">
        <v>45832.75747685185</v>
      </c>
      <c r="B2134" s="16" t="s">
        <v>6762</v>
      </c>
      <c r="C2134" s="16" t="s">
        <v>6792</v>
      </c>
      <c r="D2134" s="16" t="s">
        <v>7001</v>
      </c>
      <c r="E2134" s="16" t="s">
        <v>6766</v>
      </c>
      <c r="F2134" s="16"/>
      <c r="G2134" s="16"/>
      <c r="H2134" s="18"/>
      <c r="I2134" s="18"/>
      <c r="J2134" s="18"/>
      <c r="K2134" s="18"/>
      <c r="L2134" s="18"/>
      <c r="M2134" s="18"/>
      <c r="N2134" s="18"/>
      <c r="O2134" s="18"/>
      <c r="P2134" s="18"/>
      <c r="Q2134" s="19"/>
      <c r="R2134" s="19"/>
      <c r="S2134" s="19"/>
    </row>
    <row r="2135" ht="15.75" customHeight="1">
      <c r="A2135" s="15">
        <v>45834.29381944444</v>
      </c>
      <c r="B2135" s="16" t="s">
        <v>6802</v>
      </c>
      <c r="C2135" s="16" t="s">
        <v>6792</v>
      </c>
      <c r="D2135" s="20" t="str">
        <f>?UTF-8?B?WW91ciBjb21lYmFjayBzdGFydHMgd2l0aCB0aGlz4oCmIPCfkYc=?=</f>
        <v>#ERROR!</v>
      </c>
      <c r="E2135" s="16" t="s">
        <v>7002</v>
      </c>
      <c r="F2135" s="16"/>
      <c r="G2135" s="16"/>
      <c r="H2135" s="18"/>
      <c r="I2135" s="18"/>
      <c r="J2135" s="18"/>
      <c r="K2135" s="18"/>
      <c r="L2135" s="18"/>
      <c r="M2135" s="18"/>
      <c r="N2135" s="18"/>
      <c r="O2135" s="18"/>
      <c r="P2135" s="18"/>
      <c r="Q2135" s="19"/>
      <c r="R2135" s="19"/>
      <c r="S2135" s="19"/>
    </row>
    <row r="2136" ht="15.75" customHeight="1">
      <c r="A2136" s="15">
        <v>45835.676400462966</v>
      </c>
      <c r="B2136" s="16" t="s">
        <v>6762</v>
      </c>
      <c r="C2136" s="16" t="s">
        <v>6792</v>
      </c>
      <c r="D2136" s="20" t="str">
        <f>?utf-8?B?V2hhdOKAmXMgZ290IGluZmx1ZW5jZXJzIHNvIGV4Y2l0ZWQ/IA==?=
 =?utf-8?B?8J+RgA==?=</f>
        <v>#ERROR!</v>
      </c>
      <c r="E2136" s="16" t="s">
        <v>6766</v>
      </c>
      <c r="F2136" s="16"/>
      <c r="G2136" s="16"/>
      <c r="H2136" s="18"/>
      <c r="I2136" s="18"/>
      <c r="J2136" s="18"/>
      <c r="K2136" s="18"/>
      <c r="L2136" s="18"/>
      <c r="M2136" s="18"/>
      <c r="N2136" s="18"/>
      <c r="O2136" s="18"/>
      <c r="P2136" s="18"/>
      <c r="Q2136" s="19"/>
      <c r="R2136" s="19"/>
      <c r="S2136" s="19"/>
    </row>
    <row r="2137" ht="15.75" customHeight="1">
      <c r="A2137" s="15">
        <v>45839.76025462963</v>
      </c>
      <c r="B2137" s="16" t="s">
        <v>6785</v>
      </c>
      <c r="C2137" s="16" t="s">
        <v>6792</v>
      </c>
      <c r="D2137" s="20" t="str">
        <f>?utf-8?q?Craig_n_Emma,_don=E2=80=99t_miss_these_popular_finds=E2=80=94sh?= =?utf-8?q?op_now_=F0=9F=9B=92?=</f>
        <v>#ERROR!</v>
      </c>
      <c r="E2137" s="16" t="s">
        <v>6783</v>
      </c>
      <c r="F2137" s="16"/>
      <c r="G2137" s="16"/>
      <c r="H2137" s="18"/>
      <c r="I2137" s="18"/>
      <c r="J2137" s="18"/>
      <c r="K2137" s="18"/>
      <c r="L2137" s="18"/>
      <c r="M2137" s="18"/>
      <c r="N2137" s="18"/>
      <c r="O2137" s="18"/>
      <c r="P2137" s="18"/>
      <c r="Q2137" s="19"/>
      <c r="R2137" s="19"/>
      <c r="S2137" s="19"/>
    </row>
    <row r="2138" ht="15.75" customHeight="1">
      <c r="A2138" s="15">
        <v>45840.47671296296</v>
      </c>
      <c r="B2138" s="16" t="s">
        <v>6785</v>
      </c>
      <c r="C2138" s="16" t="s">
        <v>6792</v>
      </c>
      <c r="D2138" s="16" t="s">
        <v>7003</v>
      </c>
      <c r="E2138" s="16" t="s">
        <v>6783</v>
      </c>
      <c r="F2138" s="16"/>
      <c r="G2138" s="16"/>
      <c r="H2138" s="18"/>
      <c r="I2138" s="18"/>
      <c r="J2138" s="18"/>
      <c r="K2138" s="18"/>
      <c r="L2138" s="18"/>
      <c r="M2138" s="18"/>
      <c r="N2138" s="18"/>
      <c r="O2138" s="18"/>
      <c r="P2138" s="18"/>
      <c r="Q2138" s="19"/>
      <c r="R2138" s="19"/>
      <c r="S2138" s="19"/>
    </row>
    <row r="2139" ht="15.75" customHeight="1">
      <c r="A2139" s="15">
        <v>45842.83269675926</v>
      </c>
      <c r="B2139" s="16" t="s">
        <v>6762</v>
      </c>
      <c r="C2139" s="16" t="s">
        <v>6792</v>
      </c>
      <c r="D2139" s="20" t="str">
        <f>?utf-8?B?TGFzdCBjaGFuY2UhIFJlc2VydmUgeW91ciBzcG90IGZvciBhIA==?=
 =?utf-8?B?c2xlZWsgcmV2ZWFsLiDij7A=?=</f>
        <v>#ERROR!</v>
      </c>
      <c r="E2139" s="16" t="s">
        <v>6766</v>
      </c>
      <c r="F2139" s="16"/>
      <c r="G2139" s="16"/>
      <c r="H2139" s="18"/>
      <c r="I2139" s="18"/>
      <c r="J2139" s="18"/>
      <c r="K2139" s="18"/>
      <c r="L2139" s="18"/>
      <c r="M2139" s="18"/>
      <c r="N2139" s="18"/>
      <c r="O2139" s="18"/>
      <c r="P2139" s="18"/>
      <c r="Q2139" s="19"/>
      <c r="R2139" s="19"/>
      <c r="S2139" s="19"/>
    </row>
    <row r="2140" ht="15.75" customHeight="1">
      <c r="A2140" s="15">
        <v>45847.57591435185</v>
      </c>
      <c r="B2140" s="16" t="s">
        <v>6762</v>
      </c>
      <c r="C2140" s="16" t="s">
        <v>6792</v>
      </c>
      <c r="D2140" s="16" t="s">
        <v>7004</v>
      </c>
      <c r="E2140" s="16" t="s">
        <v>6766</v>
      </c>
      <c r="F2140" s="16"/>
      <c r="G2140" s="16"/>
      <c r="H2140" s="18"/>
      <c r="I2140" s="18"/>
      <c r="J2140" s="18"/>
      <c r="K2140" s="18"/>
      <c r="L2140" s="18"/>
      <c r="M2140" s="18"/>
      <c r="N2140" s="18"/>
      <c r="O2140" s="18"/>
      <c r="P2140" s="18"/>
      <c r="Q2140" s="19"/>
      <c r="R2140" s="19"/>
      <c r="S2140" s="19"/>
    </row>
    <row r="2141" ht="15.75" customHeight="1">
      <c r="A2141" s="15">
        <v>45850.2937962963</v>
      </c>
      <c r="B2141" s="16" t="s">
        <v>6802</v>
      </c>
      <c r="C2141" s="16" t="s">
        <v>6792</v>
      </c>
      <c r="D2141" s="16" t="s">
        <v>7005</v>
      </c>
      <c r="E2141" s="16" t="s">
        <v>7006</v>
      </c>
      <c r="F2141" s="16"/>
      <c r="G2141" s="16"/>
      <c r="H2141" s="18"/>
      <c r="I2141" s="18"/>
      <c r="J2141" s="18"/>
      <c r="K2141" s="18"/>
      <c r="L2141" s="18"/>
      <c r="M2141" s="18"/>
      <c r="N2141" s="18"/>
      <c r="O2141" s="18"/>
      <c r="P2141" s="18"/>
      <c r="Q2141" s="19"/>
      <c r="R2141" s="19"/>
      <c r="S2141" s="19"/>
    </row>
    <row r="2142" ht="15.75" customHeight="1">
      <c r="A2142" s="15">
        <v>45851.75035879629</v>
      </c>
      <c r="B2142" s="16" t="s">
        <v>6785</v>
      </c>
      <c r="C2142" s="16" t="s">
        <v>6792</v>
      </c>
      <c r="D2142" s="16" t="s">
        <v>7007</v>
      </c>
      <c r="E2142" s="16" t="s">
        <v>6783</v>
      </c>
      <c r="F2142" s="16"/>
      <c r="G2142" s="16"/>
      <c r="H2142" s="18"/>
      <c r="I2142" s="18"/>
      <c r="J2142" s="18"/>
      <c r="K2142" s="18"/>
      <c r="L2142" s="18"/>
      <c r="M2142" s="18"/>
      <c r="N2142" s="18"/>
      <c r="O2142" s="18"/>
      <c r="P2142" s="18"/>
      <c r="Q2142" s="19"/>
      <c r="R2142" s="19"/>
      <c r="S2142" s="19"/>
    </row>
    <row r="2143" ht="15.75" customHeight="1">
      <c r="A2143" s="15">
        <v>45852.71107638889</v>
      </c>
      <c r="B2143" s="16" t="s">
        <v>6762</v>
      </c>
      <c r="C2143" s="16" t="s">
        <v>6792</v>
      </c>
      <c r="D2143" s="16" t="s">
        <v>7008</v>
      </c>
      <c r="E2143" s="16" t="s">
        <v>6766</v>
      </c>
      <c r="F2143" s="16"/>
      <c r="G2143" s="16"/>
      <c r="H2143" s="18"/>
      <c r="I2143" s="18"/>
      <c r="J2143" s="18"/>
      <c r="K2143" s="18"/>
      <c r="L2143" s="18"/>
      <c r="M2143" s="18"/>
      <c r="N2143" s="18"/>
      <c r="O2143" s="18"/>
      <c r="P2143" s="18"/>
      <c r="Q2143" s="19"/>
      <c r="R2143" s="19"/>
      <c r="S2143" s="19"/>
    </row>
    <row r="2144" ht="15.75" customHeight="1">
      <c r="A2144" s="15">
        <v>45855.29513888889</v>
      </c>
      <c r="B2144" s="16" t="s">
        <v>6802</v>
      </c>
      <c r="C2144" s="16" t="s">
        <v>6792</v>
      </c>
      <c r="D2144" s="16" t="s">
        <v>7009</v>
      </c>
      <c r="E2144" s="16" t="s">
        <v>7010</v>
      </c>
      <c r="F2144" s="16"/>
      <c r="G2144" s="16"/>
      <c r="H2144" s="18"/>
      <c r="I2144" s="18"/>
      <c r="J2144" s="18"/>
      <c r="K2144" s="18"/>
      <c r="L2144" s="18"/>
      <c r="M2144" s="18"/>
      <c r="N2144" s="18"/>
      <c r="O2144" s="18"/>
      <c r="P2144" s="18"/>
      <c r="Q2144" s="19"/>
      <c r="R2144" s="19"/>
      <c r="S2144" s="19"/>
    </row>
    <row r="2145" ht="15.75" customHeight="1">
      <c r="A2145" s="15">
        <v>45859.44079861111</v>
      </c>
      <c r="B2145" s="16" t="s">
        <v>6780</v>
      </c>
      <c r="C2145" s="16" t="s">
        <v>6792</v>
      </c>
      <c r="D2145" s="16" t="s">
        <v>6952</v>
      </c>
      <c r="E2145" s="16" t="s">
        <v>6783</v>
      </c>
      <c r="F2145" s="16"/>
      <c r="G2145" s="16"/>
      <c r="H2145" s="18"/>
      <c r="I2145" s="18"/>
      <c r="J2145" s="18"/>
      <c r="K2145" s="18"/>
      <c r="L2145" s="18"/>
      <c r="M2145" s="18"/>
      <c r="N2145" s="18"/>
      <c r="O2145" s="18"/>
      <c r="P2145" s="18"/>
      <c r="Q2145" s="19"/>
      <c r="R2145" s="19"/>
      <c r="S2145" s="19"/>
    </row>
    <row r="2146" ht="15.75" customHeight="1">
      <c r="A2146" s="15">
        <v>45859.82240740741</v>
      </c>
      <c r="B2146" s="16" t="s">
        <v>6785</v>
      </c>
      <c r="C2146" s="16" t="s">
        <v>6792</v>
      </c>
      <c r="D2146" s="16" t="s">
        <v>7011</v>
      </c>
      <c r="E2146" s="16" t="s">
        <v>6783</v>
      </c>
      <c r="F2146" s="16"/>
      <c r="G2146" s="16"/>
      <c r="H2146" s="18"/>
      <c r="I2146" s="18"/>
      <c r="J2146" s="18"/>
      <c r="K2146" s="18"/>
      <c r="L2146" s="18"/>
      <c r="M2146" s="18"/>
      <c r="N2146" s="18"/>
      <c r="O2146" s="18"/>
      <c r="P2146" s="18"/>
      <c r="Q2146" s="19"/>
      <c r="R2146" s="19"/>
      <c r="S2146" s="19"/>
    </row>
    <row r="2147" ht="15.75" customHeight="1">
      <c r="A2147" s="15">
        <v>45859.813726851855</v>
      </c>
      <c r="B2147" s="16" t="s">
        <v>6762</v>
      </c>
      <c r="C2147" s="16" t="s">
        <v>6792</v>
      </c>
      <c r="D2147" s="20" t="str">
        <f>?utf-8?B?IEVuZGluZyBzb29uISBCdW5kbGUgdXAgZm9yIHVwIHRvICQyLA==?=
 =?utf-8?B?Njg2LjQ5IG9mZi4g4oyb?=</f>
        <v>#ERROR!</v>
      </c>
      <c r="E2147" s="16" t="s">
        <v>7012</v>
      </c>
      <c r="F2147" s="16"/>
      <c r="G2147" s="16"/>
      <c r="H2147" s="18"/>
      <c r="I2147" s="18"/>
      <c r="J2147" s="18"/>
      <c r="K2147" s="18"/>
      <c r="L2147" s="18"/>
      <c r="M2147" s="18"/>
      <c r="N2147" s="18"/>
      <c r="O2147" s="18"/>
      <c r="P2147" s="18"/>
      <c r="Q2147" s="19"/>
      <c r="R2147" s="19"/>
      <c r="S2147" s="19"/>
    </row>
    <row r="2148" ht="15.75" customHeight="1">
      <c r="A2148" s="15">
        <v>45860.707233796296</v>
      </c>
      <c r="B2148" s="16" t="s">
        <v>6762</v>
      </c>
      <c r="C2148" s="16" t="s">
        <v>6792</v>
      </c>
      <c r="D2148" s="16" t="s">
        <v>7013</v>
      </c>
      <c r="E2148" s="16" t="s">
        <v>7014</v>
      </c>
      <c r="F2148" s="16"/>
      <c r="G2148" s="16"/>
      <c r="H2148" s="18"/>
      <c r="I2148" s="18"/>
      <c r="J2148" s="18"/>
      <c r="K2148" s="18"/>
      <c r="L2148" s="18"/>
      <c r="M2148" s="18"/>
      <c r="N2148" s="18"/>
      <c r="O2148" s="18"/>
      <c r="P2148" s="18"/>
      <c r="Q2148" s="19"/>
      <c r="R2148" s="19"/>
      <c r="S2148" s="19"/>
    </row>
    <row r="2149" ht="15.75" customHeight="1">
      <c r="A2149" s="15">
        <v>45865.292905092596</v>
      </c>
      <c r="B2149" s="16" t="s">
        <v>6802</v>
      </c>
      <c r="C2149" s="16" t="s">
        <v>6792</v>
      </c>
      <c r="D2149" s="20" t="str">
        <f>?UTF-8?B?Q2F1Z2h0IGluIHRoZSBBY3TigKYgb2YgR2V0dGluZyBNYXRjaGVk?=
 =?UTF-8?B?IQ==?=</f>
        <v>#ERROR!</v>
      </c>
      <c r="E2149" s="16" t="s">
        <v>7015</v>
      </c>
      <c r="F2149" s="16"/>
      <c r="G2149" s="16"/>
      <c r="H2149" s="18"/>
      <c r="I2149" s="18"/>
      <c r="J2149" s="18"/>
      <c r="K2149" s="18"/>
      <c r="L2149" s="18"/>
      <c r="M2149" s="18"/>
      <c r="N2149" s="18"/>
      <c r="O2149" s="18"/>
      <c r="P2149" s="18"/>
      <c r="Q2149" s="19"/>
      <c r="R2149" s="19"/>
      <c r="S2149" s="19"/>
    </row>
    <row r="2150" ht="15.75" customHeight="1">
      <c r="A2150" s="15">
        <v>45872.293078703704</v>
      </c>
      <c r="B2150" s="16" t="s">
        <v>6802</v>
      </c>
      <c r="C2150" s="16" t="s">
        <v>6792</v>
      </c>
      <c r="D2150" s="20" t="str">
        <f>?UTF-8?B?QSBwbGF5ZXIgd2Fsa3MgaW50byBhIGNhc2lub+KApg==?=</f>
        <v>#ERROR!</v>
      </c>
      <c r="E2150" s="16" t="s">
        <v>7016</v>
      </c>
      <c r="F2150" s="16"/>
      <c r="G2150" s="16"/>
      <c r="H2150" s="18"/>
      <c r="I2150" s="18"/>
      <c r="J2150" s="18"/>
      <c r="K2150" s="18"/>
      <c r="L2150" s="18"/>
      <c r="M2150" s="18"/>
      <c r="N2150" s="18"/>
      <c r="O2150" s="18"/>
      <c r="P2150" s="18"/>
      <c r="Q2150" s="19"/>
      <c r="R2150" s="19"/>
      <c r="S2150" s="19"/>
    </row>
    <row r="2151" ht="15.75" customHeight="1">
      <c r="A2151" s="15">
        <v>45875.293078703704</v>
      </c>
      <c r="B2151" s="16" t="s">
        <v>6802</v>
      </c>
      <c r="C2151" s="16" t="s">
        <v>6792</v>
      </c>
      <c r="D2151" s="20" t="str">
        <f>?UTF-8?B?SeKAmWQgaGl0IHRoYXTigKYgU3Bpbi1hdGEgdGltZSE=?=</f>
        <v>#ERROR!</v>
      </c>
      <c r="E2151" s="16" t="s">
        <v>7017</v>
      </c>
      <c r="F2151" s="16"/>
      <c r="G2151" s="16"/>
      <c r="H2151" s="18"/>
      <c r="I2151" s="18"/>
      <c r="J2151" s="18"/>
      <c r="K2151" s="18"/>
      <c r="L2151" s="18"/>
      <c r="M2151" s="18"/>
      <c r="N2151" s="18"/>
      <c r="O2151" s="18"/>
      <c r="P2151" s="18"/>
      <c r="Q2151" s="19"/>
      <c r="R2151" s="19"/>
      <c r="S2151" s="19"/>
    </row>
    <row r="2152" ht="15.75" customHeight="1">
      <c r="A2152" s="15">
        <v>45877.29273148148</v>
      </c>
      <c r="B2152" s="16" t="s">
        <v>6802</v>
      </c>
      <c r="C2152" s="16" t="s">
        <v>6792</v>
      </c>
      <c r="D2152" s="20" t="str">
        <f>?UTF-8?B?RGlkbuKAmXQgd2UgaGF2ZSBhIHBsYXlkYXRlPw==?=</f>
        <v>#ERROR!</v>
      </c>
      <c r="E2152" s="16" t="s">
        <v>7018</v>
      </c>
      <c r="F2152" s="16"/>
      <c r="G2152" s="16"/>
      <c r="H2152" s="18"/>
      <c r="I2152" s="18"/>
      <c r="J2152" s="18"/>
      <c r="K2152" s="18"/>
      <c r="L2152" s="18"/>
      <c r="M2152" s="18"/>
      <c r="N2152" s="18"/>
      <c r="O2152" s="18"/>
      <c r="P2152" s="18"/>
      <c r="Q2152" s="19"/>
      <c r="R2152" s="19"/>
      <c r="S2152" s="19"/>
    </row>
    <row r="2153" ht="15.75" customHeight="1">
      <c r="A2153" s="15">
        <v>45880.708715277775</v>
      </c>
      <c r="B2153" s="16" t="s">
        <v>6785</v>
      </c>
      <c r="C2153" s="16" t="s">
        <v>6792</v>
      </c>
      <c r="D2153" s="16" t="s">
        <v>7003</v>
      </c>
      <c r="E2153" s="16" t="s">
        <v>6783</v>
      </c>
      <c r="F2153" s="16"/>
      <c r="G2153" s="16"/>
      <c r="H2153" s="18"/>
      <c r="I2153" s="18"/>
      <c r="J2153" s="18"/>
      <c r="K2153" s="18"/>
      <c r="L2153" s="18"/>
      <c r="M2153" s="18"/>
      <c r="N2153" s="18"/>
      <c r="O2153" s="18"/>
      <c r="P2153" s="18"/>
      <c r="Q2153" s="19"/>
      <c r="R2153" s="19"/>
      <c r="S2153" s="19"/>
    </row>
    <row r="2154" ht="15.75" customHeight="1">
      <c r="A2154" s="15">
        <v>45882.83744212963</v>
      </c>
      <c r="B2154" s="16" t="s">
        <v>7019</v>
      </c>
      <c r="C2154" s="16" t="s">
        <v>6792</v>
      </c>
      <c r="D2154" s="16" t="s">
        <v>7020</v>
      </c>
      <c r="E2154" s="16" t="s">
        <v>7021</v>
      </c>
      <c r="F2154" s="16"/>
      <c r="G2154" s="16"/>
      <c r="H2154" s="18"/>
      <c r="I2154" s="18"/>
      <c r="J2154" s="18"/>
      <c r="K2154" s="18"/>
      <c r="L2154" s="18"/>
      <c r="M2154" s="18"/>
      <c r="N2154" s="18"/>
      <c r="O2154" s="18"/>
      <c r="P2154" s="18"/>
      <c r="Q2154" s="19"/>
      <c r="R2154" s="19"/>
      <c r="S2154" s="19"/>
    </row>
    <row r="2155" ht="15.75" customHeight="1">
      <c r="A2155" s="15">
        <v>45889.4916087963</v>
      </c>
      <c r="B2155" s="16" t="s">
        <v>6785</v>
      </c>
      <c r="C2155" s="16" t="s">
        <v>6792</v>
      </c>
      <c r="D2155" s="16" t="s">
        <v>6929</v>
      </c>
      <c r="E2155" s="16" t="s">
        <v>6783</v>
      </c>
      <c r="F2155" s="16"/>
      <c r="G2155" s="16"/>
      <c r="H2155" s="18"/>
      <c r="I2155" s="18"/>
      <c r="J2155" s="18"/>
      <c r="K2155" s="18"/>
      <c r="L2155" s="18"/>
      <c r="M2155" s="18"/>
      <c r="N2155" s="18"/>
      <c r="O2155" s="18"/>
      <c r="P2155" s="18"/>
      <c r="Q2155" s="19"/>
      <c r="R2155" s="19"/>
      <c r="S2155" s="19"/>
    </row>
    <row r="2156" ht="15.75" customHeight="1">
      <c r="A2156" s="15">
        <v>45890.88940972222</v>
      </c>
      <c r="B2156" s="16" t="s">
        <v>7019</v>
      </c>
      <c r="C2156" s="16" t="s">
        <v>6792</v>
      </c>
      <c r="D2156" s="16" t="s">
        <v>7020</v>
      </c>
      <c r="E2156" s="16" t="s">
        <v>7021</v>
      </c>
      <c r="F2156" s="16"/>
      <c r="G2156" s="16"/>
      <c r="H2156" s="18"/>
      <c r="I2156" s="18"/>
      <c r="J2156" s="18"/>
      <c r="K2156" s="18"/>
      <c r="L2156" s="18"/>
      <c r="M2156" s="18"/>
      <c r="N2156" s="18"/>
      <c r="O2156" s="18"/>
      <c r="P2156" s="18"/>
      <c r="Q2156" s="19"/>
      <c r="R2156" s="19"/>
      <c r="S2156" s="19"/>
    </row>
    <row r="2157" ht="15.75" customHeight="1">
      <c r="A2157" s="15">
        <v>45891.085543981484</v>
      </c>
      <c r="B2157" s="16" t="s">
        <v>6802</v>
      </c>
      <c r="C2157" s="16" t="s">
        <v>6792</v>
      </c>
      <c r="D2157" s="16" t="s">
        <v>7022</v>
      </c>
      <c r="E2157" s="16" t="s">
        <v>7023</v>
      </c>
      <c r="F2157" s="16"/>
      <c r="G2157" s="16"/>
      <c r="H2157" s="18"/>
      <c r="I2157" s="18"/>
      <c r="J2157" s="18"/>
      <c r="K2157" s="18"/>
      <c r="L2157" s="18"/>
      <c r="M2157" s="18"/>
      <c r="N2157" s="18"/>
      <c r="O2157" s="18"/>
      <c r="P2157" s="18"/>
      <c r="Q2157" s="19"/>
      <c r="R2157" s="19"/>
      <c r="S2157" s="19"/>
    </row>
    <row r="2158" ht="15.75" customHeight="1">
      <c r="A2158" s="15">
        <v>45892.29289351852</v>
      </c>
      <c r="B2158" s="16" t="s">
        <v>6802</v>
      </c>
      <c r="C2158" s="16" t="s">
        <v>6792</v>
      </c>
      <c r="D2158" s="16" t="s">
        <v>7024</v>
      </c>
      <c r="E2158" s="16" t="s">
        <v>7025</v>
      </c>
      <c r="F2158" s="16"/>
      <c r="G2158" s="16"/>
      <c r="H2158" s="18"/>
      <c r="I2158" s="18"/>
      <c r="J2158" s="18"/>
      <c r="K2158" s="18"/>
      <c r="L2158" s="18"/>
      <c r="M2158" s="18"/>
      <c r="N2158" s="18"/>
      <c r="O2158" s="18"/>
      <c r="P2158" s="18"/>
      <c r="Q2158" s="19"/>
      <c r="R2158" s="19"/>
      <c r="S2158" s="19"/>
    </row>
    <row r="2159" ht="15.75" customHeight="1">
      <c r="A2159" s="15">
        <v>45898.29369212963</v>
      </c>
      <c r="B2159" s="16" t="s">
        <v>6802</v>
      </c>
      <c r="C2159" s="16" t="s">
        <v>6792</v>
      </c>
      <c r="D2159" s="16" t="s">
        <v>7026</v>
      </c>
      <c r="E2159" s="16" t="s">
        <v>7027</v>
      </c>
      <c r="F2159" s="16"/>
      <c r="G2159" s="16"/>
      <c r="H2159" s="18"/>
      <c r="I2159" s="18"/>
      <c r="J2159" s="18"/>
      <c r="K2159" s="18"/>
      <c r="L2159" s="18"/>
      <c r="M2159" s="18"/>
      <c r="N2159" s="18"/>
      <c r="O2159" s="18"/>
      <c r="P2159" s="18"/>
      <c r="Q2159" s="19"/>
      <c r="R2159" s="19"/>
      <c r="S2159" s="19"/>
    </row>
    <row r="2160" ht="15.75" customHeight="1">
      <c r="A2160" s="15">
        <v>45903.7746875</v>
      </c>
      <c r="B2160" s="16" t="s">
        <v>6785</v>
      </c>
      <c r="C2160" s="16" t="s">
        <v>6792</v>
      </c>
      <c r="D2160" s="20" t="str">
        <f>?utf-8?q?Shopping_made_easy=E2=80=94see_what=E2=80=99s_popular_and_ready?= =?utf-8?q?_for_you.?=</f>
        <v>#ERROR!</v>
      </c>
      <c r="E2160" s="16" t="s">
        <v>6783</v>
      </c>
      <c r="F2160" s="16"/>
      <c r="G2160" s="16"/>
      <c r="H2160" s="18"/>
      <c r="I2160" s="18"/>
      <c r="J2160" s="18"/>
      <c r="K2160" s="18"/>
      <c r="L2160" s="18"/>
      <c r="M2160" s="18"/>
      <c r="N2160" s="18"/>
      <c r="O2160" s="18"/>
      <c r="P2160" s="18"/>
      <c r="Q2160" s="19"/>
      <c r="R2160" s="19"/>
      <c r="S2160" s="19"/>
    </row>
    <row r="2161" ht="15.75" customHeight="1">
      <c r="A2161" s="15">
        <v>45905.69363425926</v>
      </c>
      <c r="B2161" s="16" t="s">
        <v>6762</v>
      </c>
      <c r="C2161" s="16" t="s">
        <v>6792</v>
      </c>
      <c r="D2161" s="16" t="s">
        <v>7028</v>
      </c>
      <c r="E2161" s="16" t="s">
        <v>6764</v>
      </c>
      <c r="F2161" s="16"/>
      <c r="G2161" s="16"/>
      <c r="H2161" s="18"/>
      <c r="I2161" s="18"/>
      <c r="J2161" s="18"/>
      <c r="K2161" s="18"/>
      <c r="L2161" s="18"/>
      <c r="M2161" s="18"/>
      <c r="N2161" s="18"/>
      <c r="O2161" s="18"/>
      <c r="P2161" s="18"/>
      <c r="Q2161" s="19"/>
      <c r="R2161" s="19"/>
      <c r="S2161" s="19"/>
    </row>
    <row r="2162" ht="15.75" customHeight="1">
      <c r="A2162" s="15">
        <v>45906.29371527778</v>
      </c>
      <c r="B2162" s="16" t="s">
        <v>6802</v>
      </c>
      <c r="C2162" s="16" t="s">
        <v>6792</v>
      </c>
      <c r="D2162" s="16" t="s">
        <v>7029</v>
      </c>
      <c r="E2162" s="16" t="s">
        <v>7030</v>
      </c>
      <c r="F2162" s="16"/>
      <c r="G2162" s="16"/>
      <c r="H2162" s="18"/>
      <c r="I2162" s="18"/>
      <c r="J2162" s="18"/>
      <c r="K2162" s="18"/>
      <c r="L2162" s="18"/>
      <c r="M2162" s="18"/>
      <c r="N2162" s="18"/>
      <c r="O2162" s="18"/>
      <c r="P2162" s="18"/>
      <c r="Q2162" s="19"/>
      <c r="R2162" s="19"/>
      <c r="S2162" s="19"/>
    </row>
    <row r="2163" ht="15.75" customHeight="1">
      <c r="A2163" s="15">
        <v>45911.89619212963</v>
      </c>
      <c r="B2163" s="16" t="s">
        <v>6762</v>
      </c>
      <c r="C2163" s="16" t="s">
        <v>6792</v>
      </c>
      <c r="D2163" s="16" t="s">
        <v>7031</v>
      </c>
      <c r="E2163" s="16" t="s">
        <v>6766</v>
      </c>
      <c r="F2163" s="16"/>
      <c r="G2163" s="16"/>
      <c r="H2163" s="18"/>
      <c r="I2163" s="18"/>
      <c r="J2163" s="18"/>
      <c r="K2163" s="18"/>
      <c r="L2163" s="18"/>
      <c r="M2163" s="18"/>
      <c r="N2163" s="18"/>
      <c r="O2163" s="18"/>
      <c r="P2163" s="18"/>
      <c r="Q2163" s="19"/>
      <c r="R2163" s="19"/>
      <c r="S2163" s="19"/>
    </row>
    <row r="2164" ht="15.75" customHeight="1">
      <c r="A2164" s="15">
        <v>45912.504375</v>
      </c>
      <c r="B2164" s="16" t="s">
        <v>6785</v>
      </c>
      <c r="C2164" s="16" t="s">
        <v>6792</v>
      </c>
      <c r="D2164" s="16" t="s">
        <v>7032</v>
      </c>
      <c r="E2164" s="16" t="s">
        <v>6783</v>
      </c>
      <c r="F2164" s="16"/>
      <c r="G2164" s="16"/>
      <c r="H2164" s="18"/>
      <c r="I2164" s="18"/>
      <c r="J2164" s="18"/>
      <c r="K2164" s="18"/>
      <c r="L2164" s="18"/>
      <c r="M2164" s="18"/>
      <c r="N2164" s="18"/>
      <c r="O2164" s="18"/>
      <c r="P2164" s="18"/>
      <c r="Q2164" s="19"/>
      <c r="R2164" s="19"/>
      <c r="S2164" s="19"/>
    </row>
    <row r="2165" ht="15.75" customHeight="1">
      <c r="A2165" s="15">
        <v>45913.29253472222</v>
      </c>
      <c r="B2165" s="16" t="s">
        <v>6802</v>
      </c>
      <c r="C2165" s="16" t="s">
        <v>6792</v>
      </c>
      <c r="D2165" s="16" t="s">
        <v>7033</v>
      </c>
      <c r="E2165" s="16" t="s">
        <v>7034</v>
      </c>
      <c r="F2165" s="16"/>
      <c r="G2165" s="16"/>
      <c r="H2165" s="18"/>
      <c r="I2165" s="18"/>
      <c r="J2165" s="18"/>
      <c r="K2165" s="18"/>
      <c r="L2165" s="18"/>
      <c r="M2165" s="18"/>
      <c r="N2165" s="18"/>
      <c r="O2165" s="18"/>
      <c r="P2165" s="18"/>
      <c r="Q2165" s="19"/>
      <c r="R2165" s="19"/>
      <c r="S2165" s="19"/>
    </row>
    <row r="2166" ht="15.75" customHeight="1">
      <c r="A2166" s="15">
        <v>45915.45625</v>
      </c>
      <c r="B2166" s="16" t="s">
        <v>6780</v>
      </c>
      <c r="C2166" s="16" t="s">
        <v>6792</v>
      </c>
      <c r="D2166" s="16" t="s">
        <v>6952</v>
      </c>
      <c r="E2166" s="16" t="s">
        <v>6783</v>
      </c>
      <c r="F2166" s="16"/>
      <c r="G2166" s="16"/>
      <c r="H2166" s="18"/>
      <c r="I2166" s="18"/>
      <c r="J2166" s="18"/>
      <c r="K2166" s="18"/>
      <c r="L2166" s="18"/>
      <c r="M2166" s="18"/>
      <c r="N2166" s="18"/>
      <c r="O2166" s="18"/>
      <c r="P2166" s="18"/>
      <c r="Q2166" s="19"/>
      <c r="R2166" s="19"/>
      <c r="S2166" s="19"/>
    </row>
    <row r="2167" ht="15.75" customHeight="1">
      <c r="A2167" s="15">
        <v>45915.336435185185</v>
      </c>
      <c r="B2167" s="16" t="s">
        <v>6802</v>
      </c>
      <c r="C2167" s="16" t="s">
        <v>6792</v>
      </c>
      <c r="D2167" s="16" t="s">
        <v>7035</v>
      </c>
      <c r="E2167" s="16" t="s">
        <v>7036</v>
      </c>
      <c r="F2167" s="16"/>
      <c r="G2167" s="16"/>
      <c r="H2167" s="18"/>
      <c r="I2167" s="18"/>
      <c r="J2167" s="18"/>
      <c r="K2167" s="18"/>
      <c r="L2167" s="18"/>
      <c r="M2167" s="18"/>
      <c r="N2167" s="18"/>
      <c r="O2167" s="18"/>
      <c r="P2167" s="18"/>
      <c r="Q2167" s="19"/>
      <c r="R2167" s="19"/>
      <c r="S2167" s="19"/>
    </row>
    <row r="2168" ht="15.75" customHeight="1">
      <c r="A2168" s="15">
        <v>45920.29366898148</v>
      </c>
      <c r="B2168" s="16" t="s">
        <v>6802</v>
      </c>
      <c r="C2168" s="16" t="s">
        <v>6792</v>
      </c>
      <c r="D2168" s="20" t="str">
        <f>?UTF-8?B?Q2F1Z2h0IGluIHRoZSBBY3TigKYgb2YgR2V0dGluZyBNYXRjaGVk?=
 =?UTF-8?B?IQ==?=</f>
        <v>#ERROR!</v>
      </c>
      <c r="E2168" s="16" t="s">
        <v>7037</v>
      </c>
      <c r="F2168" s="16"/>
      <c r="G2168" s="16"/>
      <c r="H2168" s="18"/>
      <c r="I2168" s="18"/>
      <c r="J2168" s="18"/>
      <c r="K2168" s="18"/>
      <c r="L2168" s="18"/>
      <c r="M2168" s="18"/>
      <c r="N2168" s="18"/>
      <c r="O2168" s="18"/>
      <c r="P2168" s="18"/>
      <c r="Q2168" s="19"/>
      <c r="R2168" s="19"/>
      <c r="S2168" s="19"/>
    </row>
    <row r="2169" ht="15.75" customHeight="1">
      <c r="A2169" s="15">
        <v>45923.704664351855</v>
      </c>
      <c r="B2169" s="16" t="s">
        <v>6762</v>
      </c>
      <c r="C2169" s="16" t="s">
        <v>6792</v>
      </c>
      <c r="D2169" s="16" t="s">
        <v>7038</v>
      </c>
      <c r="E2169" s="16" t="s">
        <v>6769</v>
      </c>
      <c r="F2169" s="16"/>
      <c r="G2169" s="16"/>
      <c r="H2169" s="18"/>
      <c r="I2169" s="18"/>
      <c r="J2169" s="18"/>
      <c r="K2169" s="18"/>
      <c r="L2169" s="18"/>
      <c r="M2169" s="18"/>
      <c r="N2169" s="18"/>
      <c r="O2169" s="18"/>
      <c r="P2169" s="18"/>
      <c r="Q2169" s="19"/>
      <c r="R2169" s="19"/>
      <c r="S2169" s="19"/>
    </row>
    <row r="2170" ht="15.75" customHeight="1">
      <c r="A2170" s="15">
        <v>45926.29418981481</v>
      </c>
      <c r="B2170" s="16" t="s">
        <v>6802</v>
      </c>
      <c r="C2170" s="16" t="s">
        <v>6792</v>
      </c>
      <c r="D2170" s="20" t="str">
        <f>?UTF-8?B?QSBwbGF5ZXIgd2Fsa3MgaW50byBhIGNhc2lub+KApg==?=</f>
        <v>#ERROR!</v>
      </c>
      <c r="E2170" s="16" t="s">
        <v>7039</v>
      </c>
      <c r="F2170" s="16"/>
      <c r="G2170" s="16"/>
      <c r="H2170" s="18"/>
      <c r="I2170" s="18"/>
      <c r="J2170" s="18"/>
      <c r="K2170" s="18"/>
      <c r="L2170" s="18"/>
      <c r="M2170" s="18"/>
      <c r="N2170" s="18"/>
      <c r="O2170" s="18"/>
      <c r="P2170" s="18"/>
      <c r="Q2170" s="19"/>
      <c r="R2170" s="19"/>
      <c r="S2170" s="19"/>
    </row>
    <row r="2171" ht="15.75" customHeight="1">
      <c r="A2171" s="15">
        <v>45930.08553240741</v>
      </c>
      <c r="B2171" s="16" t="s">
        <v>6802</v>
      </c>
      <c r="C2171" s="16" t="s">
        <v>6792</v>
      </c>
      <c r="D2171" s="16" t="s">
        <v>7040</v>
      </c>
      <c r="E2171" s="16" t="s">
        <v>7041</v>
      </c>
      <c r="F2171" s="16"/>
      <c r="G2171" s="16"/>
      <c r="H2171" s="18"/>
      <c r="I2171" s="18"/>
      <c r="J2171" s="18"/>
      <c r="K2171" s="18"/>
      <c r="L2171" s="18"/>
      <c r="M2171" s="18"/>
      <c r="N2171" s="18"/>
      <c r="O2171" s="18"/>
      <c r="P2171" s="18"/>
      <c r="Q2171" s="19"/>
      <c r="R2171" s="19"/>
      <c r="S2171" s="19"/>
    </row>
    <row r="2172" ht="15.75" customHeight="1">
      <c r="A2172" s="15">
        <v>45930.48741898148</v>
      </c>
      <c r="B2172" s="16" t="s">
        <v>6785</v>
      </c>
      <c r="C2172" s="16" t="s">
        <v>6792</v>
      </c>
      <c r="D2172" s="16" t="s">
        <v>7042</v>
      </c>
      <c r="E2172" s="16" t="s">
        <v>6783</v>
      </c>
      <c r="F2172" s="16"/>
      <c r="G2172" s="16"/>
      <c r="H2172" s="18"/>
      <c r="I2172" s="18"/>
      <c r="J2172" s="18"/>
      <c r="K2172" s="18"/>
      <c r="L2172" s="18"/>
      <c r="M2172" s="18"/>
      <c r="N2172" s="18"/>
      <c r="O2172" s="18"/>
      <c r="P2172" s="18"/>
      <c r="Q2172" s="19"/>
      <c r="R2172" s="19"/>
      <c r="S2172" s="19"/>
    </row>
    <row r="2173" ht="15.75" customHeight="1">
      <c r="A2173" s="15">
        <v>45930.25131944445</v>
      </c>
      <c r="B2173" s="16" t="s">
        <v>6802</v>
      </c>
      <c r="C2173" s="16" t="s">
        <v>6792</v>
      </c>
      <c r="D2173" s="16" t="s">
        <v>7043</v>
      </c>
      <c r="E2173" s="16" t="s">
        <v>7044</v>
      </c>
      <c r="F2173" s="16"/>
      <c r="G2173" s="16"/>
      <c r="H2173" s="18"/>
      <c r="I2173" s="18"/>
      <c r="J2173" s="18"/>
      <c r="K2173" s="18"/>
      <c r="L2173" s="18"/>
      <c r="M2173" s="18"/>
      <c r="N2173" s="18"/>
      <c r="O2173" s="18"/>
      <c r="P2173" s="18"/>
      <c r="Q2173" s="19"/>
      <c r="R2173" s="19"/>
      <c r="S2173" s="19"/>
    </row>
    <row r="2174" ht="15.75" customHeight="1">
      <c r="A2174" s="15">
        <v>45933.2944212963</v>
      </c>
      <c r="B2174" s="16" t="s">
        <v>6802</v>
      </c>
      <c r="C2174" s="16" t="s">
        <v>6792</v>
      </c>
      <c r="D2174" s="20" t="str">
        <f>?UTF-8?B?RGlkbuKAmXQgd2UgaGF2ZSBhIHBsYXlkYXRlPw==?=</f>
        <v>#ERROR!</v>
      </c>
      <c r="E2174" s="16" t="s">
        <v>7045</v>
      </c>
      <c r="F2174" s="16"/>
      <c r="G2174" s="16"/>
      <c r="H2174" s="18"/>
      <c r="I2174" s="18"/>
      <c r="J2174" s="18"/>
      <c r="K2174" s="18"/>
      <c r="L2174" s="18"/>
      <c r="M2174" s="18"/>
      <c r="N2174" s="18"/>
      <c r="O2174" s="18"/>
      <c r="P2174" s="18"/>
      <c r="Q2174" s="19"/>
      <c r="R2174" s="19"/>
      <c r="S2174" s="19"/>
    </row>
    <row r="2175" ht="15.75" customHeight="1">
      <c r="A2175" s="15">
        <v>45935.5471875</v>
      </c>
      <c r="B2175" s="16" t="s">
        <v>6785</v>
      </c>
      <c r="C2175" s="16" t="s">
        <v>6792</v>
      </c>
      <c r="D2175" s="16" t="s">
        <v>7046</v>
      </c>
      <c r="E2175" s="16" t="s">
        <v>6783</v>
      </c>
      <c r="F2175" s="16"/>
      <c r="G2175" s="16"/>
      <c r="H2175" s="18"/>
      <c r="I2175" s="18"/>
      <c r="J2175" s="18"/>
      <c r="K2175" s="18"/>
      <c r="L2175" s="18"/>
      <c r="M2175" s="18"/>
      <c r="N2175" s="18"/>
      <c r="O2175" s="18"/>
      <c r="P2175" s="18"/>
      <c r="Q2175" s="19"/>
      <c r="R2175" s="19"/>
      <c r="S2175" s="19"/>
    </row>
    <row r="2176" ht="15.75" customHeight="1">
      <c r="A2176" s="15">
        <v>45937.087858796294</v>
      </c>
      <c r="B2176" s="16" t="s">
        <v>6802</v>
      </c>
      <c r="C2176" s="16" t="s">
        <v>6792</v>
      </c>
      <c r="D2176" s="16" t="s">
        <v>7035</v>
      </c>
      <c r="E2176" s="16" t="s">
        <v>7047</v>
      </c>
      <c r="F2176" s="16"/>
      <c r="G2176" s="16"/>
      <c r="H2176" s="18"/>
      <c r="I2176" s="18"/>
      <c r="J2176" s="18"/>
      <c r="K2176" s="18"/>
      <c r="L2176" s="18"/>
      <c r="M2176" s="18"/>
      <c r="N2176" s="18"/>
      <c r="O2176" s="18"/>
      <c r="P2176" s="18"/>
      <c r="Q2176" s="19"/>
      <c r="R2176" s="19"/>
      <c r="S2176" s="19"/>
    </row>
    <row r="2177" ht="15.75" customHeight="1">
      <c r="A2177" s="15">
        <v>45940.29319444444</v>
      </c>
      <c r="B2177" s="16" t="s">
        <v>6802</v>
      </c>
      <c r="C2177" s="16" t="s">
        <v>6792</v>
      </c>
      <c r="D2177" s="16" t="s">
        <v>7048</v>
      </c>
      <c r="E2177" s="16" t="s">
        <v>7049</v>
      </c>
      <c r="F2177" s="16"/>
      <c r="G2177" s="16"/>
      <c r="H2177" s="18"/>
      <c r="I2177" s="18"/>
      <c r="J2177" s="18"/>
      <c r="K2177" s="18"/>
      <c r="L2177" s="18"/>
      <c r="M2177" s="18"/>
      <c r="N2177" s="18"/>
      <c r="O2177" s="18"/>
      <c r="P2177" s="18"/>
      <c r="Q2177" s="19"/>
      <c r="R2177" s="19"/>
      <c r="S2177" s="19"/>
    </row>
    <row r="2178" ht="15.75" customHeight="1">
      <c r="A2178" s="15">
        <v>45945.917962962965</v>
      </c>
      <c r="B2178" s="16" t="s">
        <v>6780</v>
      </c>
      <c r="C2178" s="16" t="s">
        <v>6792</v>
      </c>
      <c r="D2178" s="16" t="s">
        <v>6874</v>
      </c>
      <c r="E2178" s="16" t="s">
        <v>6783</v>
      </c>
      <c r="F2178" s="16"/>
      <c r="G2178" s="16"/>
      <c r="H2178" s="18"/>
      <c r="I2178" s="18"/>
      <c r="J2178" s="18"/>
      <c r="K2178" s="18"/>
      <c r="L2178" s="18"/>
      <c r="M2178" s="18"/>
      <c r="N2178" s="18"/>
      <c r="O2178" s="18"/>
      <c r="P2178" s="18"/>
      <c r="Q2178" s="19"/>
      <c r="R2178" s="19"/>
      <c r="S2178" s="19"/>
    </row>
    <row r="2179" ht="15.75" customHeight="1">
      <c r="A2179" s="15">
        <v>45948.29305555556</v>
      </c>
      <c r="B2179" s="16" t="s">
        <v>6802</v>
      </c>
      <c r="C2179" s="16" t="s">
        <v>6792</v>
      </c>
      <c r="D2179" s="16" t="s">
        <v>7024</v>
      </c>
      <c r="E2179" s="16" t="s">
        <v>7050</v>
      </c>
      <c r="F2179" s="16"/>
      <c r="G2179" s="16"/>
      <c r="H2179" s="18"/>
      <c r="I2179" s="18"/>
      <c r="J2179" s="18"/>
      <c r="K2179" s="18"/>
      <c r="L2179" s="18"/>
      <c r="M2179" s="18"/>
      <c r="N2179" s="18"/>
      <c r="O2179" s="18"/>
      <c r="P2179" s="18"/>
      <c r="Q2179" s="19"/>
      <c r="R2179" s="19"/>
      <c r="S2179" s="19"/>
    </row>
    <row r="2180" ht="15.75" customHeight="1">
      <c r="A2180" s="15">
        <v>45901.66601851852</v>
      </c>
      <c r="B2180" s="16" t="s">
        <v>6591</v>
      </c>
      <c r="C2180" s="16" t="s">
        <v>7051</v>
      </c>
      <c r="D2180" s="16" t="s">
        <v>7052</v>
      </c>
      <c r="E2180" s="16" t="s">
        <v>7053</v>
      </c>
      <c r="F2180" s="16"/>
      <c r="G2180" s="16"/>
      <c r="H2180" s="18"/>
      <c r="I2180" s="18"/>
      <c r="J2180" s="18"/>
      <c r="K2180" s="18"/>
      <c r="L2180" s="18"/>
      <c r="M2180" s="18"/>
      <c r="N2180" s="18"/>
      <c r="O2180" s="18"/>
      <c r="P2180" s="18"/>
      <c r="Q2180" s="19"/>
      <c r="R2180" s="19"/>
      <c r="S2180" s="19"/>
    </row>
    <row r="2181" ht="15.75" customHeight="1">
      <c r="A2181" s="15">
        <v>45901.75815972222</v>
      </c>
      <c r="B2181" s="16" t="s">
        <v>6591</v>
      </c>
      <c r="C2181" s="16" t="s">
        <v>7051</v>
      </c>
      <c r="D2181" s="16" t="s">
        <v>6662</v>
      </c>
      <c r="E2181" s="16" t="s">
        <v>7053</v>
      </c>
      <c r="F2181" s="16"/>
      <c r="G2181" s="16"/>
      <c r="H2181" s="18"/>
      <c r="I2181" s="18"/>
      <c r="J2181" s="18"/>
      <c r="K2181" s="18"/>
      <c r="L2181" s="18"/>
      <c r="M2181" s="18"/>
      <c r="N2181" s="18"/>
      <c r="O2181" s="18"/>
      <c r="P2181" s="18"/>
      <c r="Q2181" s="19"/>
      <c r="R2181" s="19"/>
      <c r="S2181" s="19"/>
    </row>
    <row r="2182" ht="15.75" customHeight="1">
      <c r="A2182" s="15">
        <v>45900.86255787037</v>
      </c>
      <c r="B2182" s="16" t="s">
        <v>6591</v>
      </c>
      <c r="C2182" s="16" t="s">
        <v>7054</v>
      </c>
      <c r="D2182" s="16" t="s">
        <v>7055</v>
      </c>
      <c r="E2182" s="16" t="s">
        <v>7056</v>
      </c>
      <c r="F2182" s="16"/>
      <c r="G2182" s="16"/>
      <c r="H2182" s="18"/>
      <c r="I2182" s="18"/>
      <c r="J2182" s="18"/>
      <c r="K2182" s="18"/>
      <c r="L2182" s="18"/>
      <c r="M2182" s="18"/>
      <c r="N2182" s="18"/>
      <c r="O2182" s="18"/>
      <c r="P2182" s="18"/>
      <c r="Q2182" s="19"/>
      <c r="R2182" s="19"/>
      <c r="S2182" s="19"/>
    </row>
    <row r="2183" ht="15.75" customHeight="1">
      <c r="A2183" s="15">
        <v>45900.43040509259</v>
      </c>
      <c r="B2183" s="16" t="s">
        <v>6591</v>
      </c>
      <c r="C2183" s="16" t="s">
        <v>7057</v>
      </c>
      <c r="D2183" s="16" t="s">
        <v>7058</v>
      </c>
      <c r="E2183" s="16" t="s">
        <v>7059</v>
      </c>
      <c r="F2183" s="16"/>
      <c r="G2183" s="16"/>
      <c r="H2183" s="18"/>
      <c r="I2183" s="18"/>
      <c r="J2183" s="18"/>
      <c r="K2183" s="18"/>
      <c r="L2183" s="18"/>
      <c r="M2183" s="18"/>
      <c r="N2183" s="18"/>
      <c r="O2183" s="18"/>
      <c r="P2183" s="18"/>
      <c r="Q2183" s="19"/>
      <c r="R2183" s="19"/>
      <c r="S2183" s="19"/>
    </row>
    <row r="2184" ht="15.75" customHeight="1">
      <c r="A2184" s="15">
        <v>45900.439050925925</v>
      </c>
      <c r="B2184" s="16" t="s">
        <v>6591</v>
      </c>
      <c r="C2184" s="16" t="s">
        <v>7057</v>
      </c>
      <c r="D2184" s="16" t="s">
        <v>7060</v>
      </c>
      <c r="E2184" s="16" t="s">
        <v>7061</v>
      </c>
      <c r="F2184" s="16"/>
      <c r="G2184" s="16"/>
      <c r="H2184" s="18"/>
      <c r="I2184" s="18"/>
      <c r="J2184" s="18"/>
      <c r="K2184" s="18"/>
      <c r="L2184" s="18"/>
      <c r="M2184" s="18"/>
      <c r="N2184" s="18"/>
      <c r="O2184" s="18"/>
      <c r="P2184" s="18"/>
      <c r="Q2184" s="19"/>
      <c r="R2184" s="19"/>
      <c r="S2184" s="19"/>
    </row>
    <row r="2185" ht="15.75" customHeight="1">
      <c r="A2185" s="15">
        <v>45901.74460648148</v>
      </c>
      <c r="B2185" s="16" t="s">
        <v>6591</v>
      </c>
      <c r="C2185" s="16" t="s">
        <v>7062</v>
      </c>
      <c r="D2185" s="16" t="s">
        <v>7063</v>
      </c>
      <c r="E2185" s="16" t="s">
        <v>7064</v>
      </c>
      <c r="F2185" s="16"/>
      <c r="G2185" s="16"/>
      <c r="H2185" s="18"/>
      <c r="I2185" s="18"/>
      <c r="J2185" s="18"/>
      <c r="K2185" s="18"/>
      <c r="L2185" s="18"/>
      <c r="M2185" s="18"/>
      <c r="N2185" s="18"/>
      <c r="O2185" s="18"/>
      <c r="P2185" s="18"/>
      <c r="Q2185" s="19"/>
      <c r="R2185" s="19"/>
      <c r="S2185" s="19"/>
    </row>
    <row r="2186" ht="15.75" customHeight="1">
      <c r="A2186" s="15">
        <v>45901.74564814815</v>
      </c>
      <c r="B2186" s="16" t="s">
        <v>6591</v>
      </c>
      <c r="C2186" s="16" t="s">
        <v>7062</v>
      </c>
      <c r="D2186" s="16" t="s">
        <v>7065</v>
      </c>
      <c r="E2186" s="16" t="s">
        <v>7053</v>
      </c>
      <c r="F2186" s="16"/>
      <c r="G2186" s="16"/>
      <c r="H2186" s="18"/>
      <c r="I2186" s="18"/>
      <c r="J2186" s="18"/>
      <c r="K2186" s="18"/>
      <c r="L2186" s="18"/>
      <c r="M2186" s="18"/>
      <c r="N2186" s="18"/>
      <c r="O2186" s="18"/>
      <c r="P2186" s="18"/>
      <c r="Q2186" s="19"/>
      <c r="R2186" s="19"/>
      <c r="S2186" s="19"/>
    </row>
    <row r="2187" ht="15.75" customHeight="1">
      <c r="A2187" s="15">
        <v>45893.532847222225</v>
      </c>
      <c r="B2187" s="16" t="s">
        <v>6591</v>
      </c>
      <c r="C2187" s="16" t="s">
        <v>7066</v>
      </c>
      <c r="D2187" s="20" t="str">
        <f>?UTF-8?Q?Formal_Demand_=E2=80=93_Outstanding_Wages=2C_Unauthorized_Us?=
	=?UTF-8?Q?e_of_Materials=2C_and_Defamatory_Statements?=</f>
        <v>#ERROR!</v>
      </c>
      <c r="E2187" s="16" t="s">
        <v>7067</v>
      </c>
      <c r="F2187" s="16"/>
      <c r="G2187" s="16"/>
      <c r="H2187" s="18"/>
      <c r="I2187" s="18"/>
      <c r="J2187" s="18"/>
      <c r="K2187" s="18"/>
      <c r="L2187" s="18"/>
      <c r="M2187" s="18"/>
      <c r="N2187" s="18"/>
      <c r="O2187" s="18"/>
      <c r="P2187" s="18"/>
      <c r="Q2187" s="19"/>
      <c r="R2187" s="19"/>
      <c r="S2187" s="19"/>
    </row>
    <row r="2188" ht="15.75" customHeight="1">
      <c r="A2188" s="15">
        <v>45900.814722222225</v>
      </c>
      <c r="B2188" s="16" t="s">
        <v>6591</v>
      </c>
      <c r="C2188" s="16" t="s">
        <v>7068</v>
      </c>
      <c r="D2188" s="16" t="s">
        <v>7069</v>
      </c>
      <c r="E2188" s="16" t="s">
        <v>7070</v>
      </c>
      <c r="F2188" s="16"/>
      <c r="G2188" s="16"/>
      <c r="H2188" s="18"/>
      <c r="I2188" s="18"/>
      <c r="J2188" s="18"/>
      <c r="K2188" s="18"/>
      <c r="L2188" s="18"/>
      <c r="M2188" s="18"/>
      <c r="N2188" s="18"/>
      <c r="O2188" s="18"/>
      <c r="P2188" s="18"/>
      <c r="Q2188" s="19"/>
      <c r="R2188" s="19"/>
      <c r="S2188" s="19"/>
    </row>
    <row r="2189" ht="15.75" customHeight="1">
      <c r="A2189" s="15">
        <v>45898.82667824074</v>
      </c>
      <c r="B2189" s="16" t="s">
        <v>6591</v>
      </c>
      <c r="C2189" s="16" t="s">
        <v>7071</v>
      </c>
      <c r="D2189" s="16" t="s">
        <v>7072</v>
      </c>
      <c r="E2189" s="16" t="s">
        <v>7073</v>
      </c>
      <c r="F2189" s="16"/>
      <c r="G2189" s="16"/>
      <c r="H2189" s="18"/>
      <c r="I2189" s="18"/>
      <c r="J2189" s="18"/>
      <c r="K2189" s="18"/>
      <c r="L2189" s="18"/>
      <c r="M2189" s="18"/>
      <c r="N2189" s="18"/>
      <c r="O2189" s="18"/>
      <c r="P2189" s="18"/>
      <c r="Q2189" s="19"/>
      <c r="R2189" s="19"/>
      <c r="S2189" s="19"/>
    </row>
    <row r="2190" ht="15.75" customHeight="1">
      <c r="A2190" s="15">
        <v>45899.98527777778</v>
      </c>
      <c r="B2190" s="16" t="s">
        <v>6591</v>
      </c>
      <c r="C2190" s="16" t="s">
        <v>7074</v>
      </c>
      <c r="D2190" s="16" t="s">
        <v>7075</v>
      </c>
      <c r="E2190" s="16" t="s">
        <v>7076</v>
      </c>
      <c r="F2190" s="16"/>
      <c r="G2190" s="16"/>
      <c r="H2190" s="18"/>
      <c r="I2190" s="18"/>
      <c r="J2190" s="18"/>
      <c r="K2190" s="18"/>
      <c r="L2190" s="18"/>
      <c r="M2190" s="18"/>
      <c r="N2190" s="18"/>
      <c r="O2190" s="18"/>
      <c r="P2190" s="18"/>
      <c r="Q2190" s="19"/>
      <c r="R2190" s="19"/>
      <c r="S2190" s="19"/>
    </row>
    <row r="2191" ht="15.75" customHeight="1">
      <c r="A2191" s="15">
        <v>45900.01390046296</v>
      </c>
      <c r="B2191" s="16" t="s">
        <v>6591</v>
      </c>
      <c r="C2191" s="16" t="s">
        <v>7074</v>
      </c>
      <c r="D2191" s="16" t="s">
        <v>7077</v>
      </c>
      <c r="E2191" s="16" t="s">
        <v>7078</v>
      </c>
      <c r="F2191" s="16"/>
      <c r="G2191" s="16"/>
      <c r="H2191" s="18"/>
      <c r="I2191" s="18"/>
      <c r="J2191" s="18"/>
      <c r="K2191" s="18"/>
      <c r="L2191" s="18"/>
      <c r="M2191" s="18"/>
      <c r="N2191" s="18"/>
      <c r="O2191" s="18"/>
      <c r="P2191" s="18"/>
      <c r="Q2191" s="19"/>
      <c r="R2191" s="19"/>
      <c r="S2191" s="19"/>
    </row>
    <row r="2192" ht="15.75" customHeight="1">
      <c r="A2192" s="15">
        <v>45670.78209490741</v>
      </c>
      <c r="B2192" s="16" t="s">
        <v>7079</v>
      </c>
      <c r="C2192" s="16" t="s">
        <v>7080</v>
      </c>
      <c r="D2192" s="16" t="s">
        <v>7081</v>
      </c>
      <c r="E2192" s="16" t="s">
        <v>7082</v>
      </c>
      <c r="F2192" s="16"/>
      <c r="G2192" s="16"/>
      <c r="H2192" s="18"/>
      <c r="I2192" s="18"/>
      <c r="J2192" s="18"/>
      <c r="K2192" s="18"/>
      <c r="L2192" s="18"/>
      <c r="M2192" s="18"/>
      <c r="N2192" s="18"/>
      <c r="O2192" s="18"/>
      <c r="P2192" s="18"/>
      <c r="Q2192" s="19"/>
      <c r="R2192" s="19"/>
      <c r="S2192" s="19"/>
    </row>
    <row r="2193" ht="15.75" customHeight="1">
      <c r="A2193" s="15">
        <v>45672.54403935185</v>
      </c>
      <c r="B2193" s="16" t="s">
        <v>7083</v>
      </c>
      <c r="C2193" s="16" t="s">
        <v>7080</v>
      </c>
      <c r="D2193" s="20" t="str">
        <f>?utf-8?q?Keep_forgetting_your_passwords_Craig=3F?=</f>
        <v>#ERROR!</v>
      </c>
      <c r="E2193" s="16" t="s">
        <v>7084</v>
      </c>
      <c r="F2193" s="16"/>
      <c r="G2193" s="16"/>
      <c r="H2193" s="18"/>
      <c r="I2193" s="18"/>
      <c r="J2193" s="18"/>
      <c r="K2193" s="18"/>
      <c r="L2193" s="18"/>
      <c r="M2193" s="18"/>
      <c r="N2193" s="18"/>
      <c r="O2193" s="18"/>
      <c r="P2193" s="18"/>
      <c r="Q2193" s="19"/>
      <c r="R2193" s="19"/>
      <c r="S2193" s="19"/>
    </row>
    <row r="2194" ht="15.75" customHeight="1">
      <c r="A2194" s="15">
        <v>45678.88148148148</v>
      </c>
      <c r="B2194" s="16" t="s">
        <v>7085</v>
      </c>
      <c r="C2194" s="16" t="s">
        <v>7080</v>
      </c>
      <c r="D2194" s="16" t="s">
        <v>7086</v>
      </c>
      <c r="E2194" s="16" t="s">
        <v>7087</v>
      </c>
      <c r="F2194" s="16"/>
      <c r="G2194" s="16"/>
      <c r="H2194" s="18"/>
      <c r="I2194" s="18"/>
      <c r="J2194" s="18"/>
      <c r="K2194" s="18"/>
      <c r="L2194" s="18"/>
      <c r="M2194" s="18"/>
      <c r="N2194" s="18"/>
      <c r="O2194" s="18"/>
      <c r="P2194" s="18"/>
      <c r="Q2194" s="19"/>
      <c r="R2194" s="19"/>
      <c r="S2194" s="19"/>
    </row>
    <row r="2195" ht="15.75" customHeight="1">
      <c r="A2195" s="15">
        <v>45679.44813657407</v>
      </c>
      <c r="B2195" s="16" t="s">
        <v>7088</v>
      </c>
      <c r="C2195" s="16" t="s">
        <v>7080</v>
      </c>
      <c r="D2195" s="20" t="str">
        <f>?utf-8?Q?4_Stylish_Kitchens_in_250_Square_Feet_|_Designers_and_Builders_Share_Their_2025_Goals?=</f>
        <v>#ERROR!</v>
      </c>
      <c r="E2195" s="16" t="s">
        <v>7089</v>
      </c>
      <c r="F2195" s="16"/>
      <c r="G2195" s="16"/>
      <c r="H2195" s="18"/>
      <c r="I2195" s="18"/>
      <c r="J2195" s="18"/>
      <c r="K2195" s="18"/>
      <c r="L2195" s="18"/>
      <c r="M2195" s="18"/>
      <c r="N2195" s="18"/>
      <c r="O2195" s="18"/>
      <c r="P2195" s="18"/>
      <c r="Q2195" s="19"/>
      <c r="R2195" s="19"/>
      <c r="S2195" s="19"/>
    </row>
    <row r="2196" ht="15.75" customHeight="1">
      <c r="A2196" s="15">
        <v>45679.54340277778</v>
      </c>
      <c r="B2196" s="16" t="s">
        <v>7083</v>
      </c>
      <c r="C2196" s="16" t="s">
        <v>7080</v>
      </c>
      <c r="D2196" s="20" t="str">
        <f>?utf-8?q?Check_out_what_you_get_with_your_plan?=</f>
        <v>#ERROR!</v>
      </c>
      <c r="E2196" s="16" t="s">
        <v>7090</v>
      </c>
      <c r="F2196" s="16"/>
      <c r="G2196" s="16"/>
      <c r="H2196" s="18"/>
      <c r="I2196" s="18"/>
      <c r="J2196" s="18"/>
      <c r="K2196" s="18"/>
      <c r="L2196" s="18"/>
      <c r="M2196" s="18"/>
      <c r="N2196" s="18"/>
      <c r="O2196" s="18"/>
      <c r="P2196" s="18"/>
      <c r="Q2196" s="19"/>
      <c r="R2196" s="19"/>
      <c r="S2196" s="19"/>
    </row>
    <row r="2197" ht="15.75" customHeight="1">
      <c r="A2197" s="15">
        <v>45692.673854166664</v>
      </c>
      <c r="B2197" s="16" t="s">
        <v>7085</v>
      </c>
      <c r="C2197" s="16" t="s">
        <v>7080</v>
      </c>
      <c r="D2197" s="16" t="s">
        <v>7091</v>
      </c>
      <c r="E2197" s="16" t="s">
        <v>7092</v>
      </c>
      <c r="F2197" s="16"/>
      <c r="G2197" s="16"/>
      <c r="H2197" s="18"/>
      <c r="I2197" s="18"/>
      <c r="J2197" s="18"/>
      <c r="K2197" s="18"/>
      <c r="L2197" s="18"/>
      <c r="M2197" s="18"/>
      <c r="N2197" s="18"/>
      <c r="O2197" s="18"/>
      <c r="P2197" s="18"/>
      <c r="Q2197" s="19"/>
      <c r="R2197" s="19"/>
      <c r="S2197" s="19"/>
    </row>
    <row r="2198" ht="15.75" customHeight="1">
      <c r="A2198" s="15">
        <v>45694.74863425926</v>
      </c>
      <c r="B2198" s="16" t="s">
        <v>7093</v>
      </c>
      <c r="C2198" s="16" t="s">
        <v>7080</v>
      </c>
      <c r="D2198" s="16" t="s">
        <v>7094</v>
      </c>
      <c r="E2198" s="16" t="s">
        <v>7095</v>
      </c>
      <c r="F2198" s="16"/>
      <c r="G2198" s="16"/>
      <c r="H2198" s="18"/>
      <c r="I2198" s="18"/>
      <c r="J2198" s="18"/>
      <c r="K2198" s="18"/>
      <c r="L2198" s="18"/>
      <c r="M2198" s="18"/>
      <c r="N2198" s="18"/>
      <c r="O2198" s="18"/>
      <c r="P2198" s="18"/>
      <c r="Q2198" s="19"/>
      <c r="R2198" s="19"/>
      <c r="S2198" s="19"/>
    </row>
    <row r="2199" ht="15.75" customHeight="1">
      <c r="A2199" s="15">
        <v>45695.54421296297</v>
      </c>
      <c r="B2199" s="16" t="s">
        <v>7085</v>
      </c>
      <c r="C2199" s="16" t="s">
        <v>7080</v>
      </c>
      <c r="D2199" s="16" t="s">
        <v>7096</v>
      </c>
      <c r="E2199" s="16" t="s">
        <v>7097</v>
      </c>
      <c r="F2199" s="16"/>
      <c r="G2199" s="16"/>
      <c r="H2199" s="18"/>
      <c r="I2199" s="18"/>
      <c r="J2199" s="18"/>
      <c r="K2199" s="18"/>
      <c r="L2199" s="18"/>
      <c r="M2199" s="18"/>
      <c r="N2199" s="18"/>
      <c r="O2199" s="18"/>
      <c r="P2199" s="18"/>
      <c r="Q2199" s="19"/>
      <c r="R2199" s="19"/>
      <c r="S2199" s="19"/>
    </row>
    <row r="2200" ht="15.75" customHeight="1">
      <c r="A2200" s="15">
        <v>45698.60395833333</v>
      </c>
      <c r="B2200" s="16" t="s">
        <v>7093</v>
      </c>
      <c r="C2200" s="16" t="s">
        <v>7080</v>
      </c>
      <c r="D2200" s="16" t="s">
        <v>7098</v>
      </c>
      <c r="E2200" s="16" t="s">
        <v>7095</v>
      </c>
      <c r="F2200" s="16"/>
      <c r="G2200" s="16"/>
      <c r="H2200" s="18"/>
      <c r="I2200" s="18"/>
      <c r="J2200" s="18"/>
      <c r="K2200" s="18"/>
      <c r="L2200" s="18"/>
      <c r="M2200" s="18"/>
      <c r="N2200" s="18"/>
      <c r="O2200" s="18"/>
      <c r="P2200" s="18"/>
      <c r="Q2200" s="19"/>
      <c r="R2200" s="19"/>
      <c r="S2200" s="19"/>
    </row>
    <row r="2201" ht="15.75" customHeight="1">
      <c r="A2201" s="15">
        <v>45699.62359953704</v>
      </c>
      <c r="B2201" s="16" t="s">
        <v>7085</v>
      </c>
      <c r="C2201" s="16" t="s">
        <v>7080</v>
      </c>
      <c r="D2201" s="16" t="s">
        <v>7099</v>
      </c>
      <c r="E2201" s="16" t="s">
        <v>7100</v>
      </c>
      <c r="F2201" s="16"/>
      <c r="G2201" s="16"/>
      <c r="H2201" s="18"/>
      <c r="I2201" s="18"/>
      <c r="J2201" s="18"/>
      <c r="K2201" s="18"/>
      <c r="L2201" s="18"/>
      <c r="M2201" s="18"/>
      <c r="N2201" s="18"/>
      <c r="O2201" s="18"/>
      <c r="P2201" s="18"/>
      <c r="Q2201" s="19"/>
      <c r="R2201" s="19"/>
      <c r="S2201" s="19"/>
    </row>
    <row r="2202" ht="15.75" customHeight="1">
      <c r="A2202" s="15">
        <v>45700.011145833334</v>
      </c>
      <c r="B2202" s="16" t="s">
        <v>7101</v>
      </c>
      <c r="C2202" s="16" t="s">
        <v>7080</v>
      </c>
      <c r="D2202" s="16" t="s">
        <v>7102</v>
      </c>
      <c r="E2202" s="16" t="s">
        <v>7103</v>
      </c>
      <c r="F2202" s="16"/>
      <c r="G2202" s="16"/>
      <c r="H2202" s="18"/>
      <c r="I2202" s="18"/>
      <c r="J2202" s="18"/>
      <c r="K2202" s="18"/>
      <c r="L2202" s="18"/>
      <c r="M2202" s="18"/>
      <c r="N2202" s="18"/>
      <c r="O2202" s="18"/>
      <c r="P2202" s="18"/>
      <c r="Q2202" s="19"/>
      <c r="R2202" s="19"/>
      <c r="S2202" s="19"/>
    </row>
    <row r="2203" ht="15.75" customHeight="1">
      <c r="A2203" s="15">
        <v>45700.03579861111</v>
      </c>
      <c r="B2203" s="16" t="s">
        <v>7101</v>
      </c>
      <c r="C2203" s="16" t="s">
        <v>7080</v>
      </c>
      <c r="D2203" s="16" t="s">
        <v>7102</v>
      </c>
      <c r="E2203" s="16" t="s">
        <v>7103</v>
      </c>
      <c r="F2203" s="16"/>
      <c r="G2203" s="16"/>
      <c r="H2203" s="18"/>
      <c r="I2203" s="18"/>
      <c r="J2203" s="18"/>
      <c r="K2203" s="18"/>
      <c r="L2203" s="18"/>
      <c r="M2203" s="18"/>
      <c r="N2203" s="18"/>
      <c r="O2203" s="18"/>
      <c r="P2203" s="18"/>
      <c r="Q2203" s="19"/>
      <c r="R2203" s="19"/>
      <c r="S2203" s="19"/>
    </row>
    <row r="2204" ht="15.75" customHeight="1">
      <c r="A2204" s="15">
        <v>45700.12525462963</v>
      </c>
      <c r="B2204" s="16" t="s">
        <v>7101</v>
      </c>
      <c r="C2204" s="16" t="s">
        <v>7080</v>
      </c>
      <c r="D2204" s="16" t="s">
        <v>7102</v>
      </c>
      <c r="E2204" s="16" t="s">
        <v>7103</v>
      </c>
      <c r="F2204" s="16"/>
      <c r="G2204" s="16"/>
      <c r="H2204" s="18"/>
      <c r="I2204" s="18"/>
      <c r="J2204" s="18"/>
      <c r="K2204" s="18"/>
      <c r="L2204" s="18"/>
      <c r="M2204" s="18"/>
      <c r="N2204" s="18"/>
      <c r="O2204" s="18"/>
      <c r="P2204" s="18"/>
      <c r="Q2204" s="19"/>
      <c r="R2204" s="19"/>
      <c r="S2204" s="19"/>
    </row>
    <row r="2205" ht="15.75" customHeight="1">
      <c r="A2205" s="15">
        <v>45700.14219907407</v>
      </c>
      <c r="B2205" s="16" t="s">
        <v>7101</v>
      </c>
      <c r="C2205" s="16" t="s">
        <v>7080</v>
      </c>
      <c r="D2205" s="16" t="s">
        <v>7102</v>
      </c>
      <c r="E2205" s="16" t="s">
        <v>7103</v>
      </c>
      <c r="F2205" s="16"/>
      <c r="G2205" s="16"/>
      <c r="H2205" s="18"/>
      <c r="I2205" s="18"/>
      <c r="J2205" s="18"/>
      <c r="K2205" s="18"/>
      <c r="L2205" s="18"/>
      <c r="M2205" s="18"/>
      <c r="N2205" s="18"/>
      <c r="O2205" s="18"/>
      <c r="P2205" s="18"/>
      <c r="Q2205" s="19"/>
      <c r="R2205" s="19"/>
      <c r="S2205" s="19"/>
    </row>
    <row r="2206" ht="15.75" customHeight="1">
      <c r="A2206" s="15">
        <v>45700.14224537037</v>
      </c>
      <c r="B2206" s="16" t="s">
        <v>7101</v>
      </c>
      <c r="C2206" s="16" t="s">
        <v>7080</v>
      </c>
      <c r="D2206" s="16" t="s">
        <v>7102</v>
      </c>
      <c r="E2206" s="16" t="s">
        <v>7103</v>
      </c>
      <c r="F2206" s="16"/>
      <c r="G2206" s="16"/>
      <c r="H2206" s="18"/>
      <c r="I2206" s="18"/>
      <c r="J2206" s="18"/>
      <c r="K2206" s="18"/>
      <c r="L2206" s="18"/>
      <c r="M2206" s="18"/>
      <c r="N2206" s="18"/>
      <c r="O2206" s="18"/>
      <c r="P2206" s="18"/>
      <c r="Q2206" s="19"/>
      <c r="R2206" s="19"/>
      <c r="S2206" s="19"/>
    </row>
    <row r="2207" ht="15.75" customHeight="1">
      <c r="A2207" s="15">
        <v>45703.62443287037</v>
      </c>
      <c r="B2207" s="16" t="s">
        <v>7085</v>
      </c>
      <c r="C2207" s="16" t="s">
        <v>7080</v>
      </c>
      <c r="D2207" s="16" t="s">
        <v>7104</v>
      </c>
      <c r="E2207" s="16" t="s">
        <v>7105</v>
      </c>
      <c r="F2207" s="16"/>
      <c r="G2207" s="16"/>
      <c r="H2207" s="18"/>
      <c r="I2207" s="18"/>
      <c r="J2207" s="18"/>
      <c r="K2207" s="18"/>
      <c r="L2207" s="18"/>
      <c r="M2207" s="18"/>
      <c r="N2207" s="18"/>
      <c r="O2207" s="18"/>
      <c r="P2207" s="18"/>
      <c r="Q2207" s="19"/>
      <c r="R2207" s="19"/>
      <c r="S2207" s="19"/>
    </row>
    <row r="2208" ht="15.75" customHeight="1">
      <c r="A2208" s="15">
        <v>45729.7481712963</v>
      </c>
      <c r="B2208" s="16" t="s">
        <v>7085</v>
      </c>
      <c r="C2208" s="16" t="s">
        <v>7080</v>
      </c>
      <c r="D2208" s="16" t="s">
        <v>7106</v>
      </c>
      <c r="E2208" s="16" t="s">
        <v>7107</v>
      </c>
      <c r="F2208" s="16"/>
      <c r="G2208" s="16"/>
      <c r="H2208" s="18"/>
      <c r="I2208" s="18"/>
      <c r="J2208" s="18"/>
      <c r="K2208" s="18"/>
      <c r="L2208" s="18"/>
      <c r="M2208" s="18"/>
      <c r="N2208" s="18"/>
      <c r="O2208" s="18"/>
      <c r="P2208" s="18"/>
      <c r="Q2208" s="19"/>
      <c r="R2208" s="19"/>
      <c r="S2208" s="19"/>
    </row>
    <row r="2209" ht="15.75" customHeight="1">
      <c r="A2209" s="15">
        <v>45735.70724537037</v>
      </c>
      <c r="B2209" s="16" t="s">
        <v>7085</v>
      </c>
      <c r="C2209" s="16" t="s">
        <v>7080</v>
      </c>
      <c r="D2209" s="16" t="s">
        <v>7108</v>
      </c>
      <c r="E2209" s="16" t="s">
        <v>7109</v>
      </c>
      <c r="F2209" s="16"/>
      <c r="G2209" s="16"/>
      <c r="H2209" s="18"/>
      <c r="I2209" s="18"/>
      <c r="J2209" s="18"/>
      <c r="K2209" s="18"/>
      <c r="L2209" s="18"/>
      <c r="M2209" s="18"/>
      <c r="N2209" s="18"/>
      <c r="O2209" s="18"/>
      <c r="P2209" s="18"/>
      <c r="Q2209" s="19"/>
      <c r="R2209" s="19"/>
      <c r="S2209" s="19"/>
    </row>
    <row r="2210" ht="15.75" customHeight="1">
      <c r="A2210" s="15">
        <v>45741.5890162037</v>
      </c>
      <c r="B2210" s="16" t="s">
        <v>7085</v>
      </c>
      <c r="C2210" s="16" t="s">
        <v>7080</v>
      </c>
      <c r="D2210" s="16" t="s">
        <v>7110</v>
      </c>
      <c r="E2210" s="16" t="s">
        <v>7111</v>
      </c>
      <c r="F2210" s="16"/>
      <c r="G2210" s="16"/>
      <c r="H2210" s="18"/>
      <c r="I2210" s="18"/>
      <c r="J2210" s="18"/>
      <c r="K2210" s="18"/>
      <c r="L2210" s="18"/>
      <c r="M2210" s="18"/>
      <c r="N2210" s="18"/>
      <c r="O2210" s="18"/>
      <c r="P2210" s="18"/>
      <c r="Q2210" s="19"/>
      <c r="R2210" s="19"/>
      <c r="S2210" s="19"/>
    </row>
    <row r="2211" ht="15.75" customHeight="1">
      <c r="A2211" s="15">
        <v>45911.934432870374</v>
      </c>
      <c r="B2211" s="16" t="s">
        <v>6591</v>
      </c>
      <c r="C2211" s="16" t="s">
        <v>7112</v>
      </c>
      <c r="D2211" s="16" t="s">
        <v>7113</v>
      </c>
      <c r="E2211" s="16" t="s">
        <v>7114</v>
      </c>
      <c r="F2211" s="16"/>
      <c r="G2211" s="16"/>
      <c r="H2211" s="18"/>
      <c r="I2211" s="18"/>
      <c r="J2211" s="18"/>
      <c r="K2211" s="18"/>
      <c r="L2211" s="18"/>
      <c r="M2211" s="18"/>
      <c r="N2211" s="18"/>
      <c r="O2211" s="18"/>
      <c r="P2211" s="18"/>
      <c r="Q2211" s="19"/>
      <c r="R2211" s="19"/>
      <c r="S2211" s="19"/>
    </row>
    <row r="2212" ht="15.75" customHeight="1">
      <c r="A2212" s="15">
        <v>45901.70180555555</v>
      </c>
      <c r="B2212" s="16" t="s">
        <v>6591</v>
      </c>
      <c r="C2212" s="16" t="s">
        <v>7115</v>
      </c>
      <c r="D2212" s="16" t="s">
        <v>6662</v>
      </c>
      <c r="E2212" s="16" t="s">
        <v>7053</v>
      </c>
      <c r="F2212" s="16"/>
      <c r="G2212" s="16"/>
      <c r="H2212" s="18"/>
      <c r="I2212" s="18"/>
      <c r="J2212" s="18"/>
      <c r="K2212" s="18"/>
      <c r="L2212" s="18"/>
      <c r="M2212" s="18"/>
      <c r="N2212" s="18"/>
      <c r="O2212" s="18"/>
      <c r="P2212" s="18"/>
      <c r="Q2212" s="19"/>
      <c r="R2212" s="19"/>
      <c r="S2212" s="19"/>
    </row>
    <row r="2213" ht="15.75" customHeight="1">
      <c r="A2213" s="15">
        <v>45901.65252314815</v>
      </c>
      <c r="B2213" s="16" t="s">
        <v>6591</v>
      </c>
      <c r="C2213" s="16" t="s">
        <v>7116</v>
      </c>
      <c r="D2213" s="16" t="s">
        <v>6662</v>
      </c>
      <c r="E2213" s="16" t="s">
        <v>7053</v>
      </c>
      <c r="F2213" s="16"/>
      <c r="G2213" s="16"/>
      <c r="H2213" s="18"/>
      <c r="I2213" s="18"/>
      <c r="J2213" s="18"/>
      <c r="K2213" s="18"/>
      <c r="L2213" s="18"/>
      <c r="M2213" s="18"/>
      <c r="N2213" s="18"/>
      <c r="O2213" s="18"/>
      <c r="P2213" s="18"/>
      <c r="Q2213" s="19"/>
      <c r="R2213" s="19"/>
      <c r="S2213" s="19"/>
    </row>
    <row r="2214" ht="15.75" customHeight="1">
      <c r="A2214" s="15">
        <v>45929.974282407406</v>
      </c>
      <c r="B2214" s="16" t="s">
        <v>6591</v>
      </c>
      <c r="C2214" s="16" t="s">
        <v>7116</v>
      </c>
      <c r="D2214" s="16" t="s">
        <v>7117</v>
      </c>
      <c r="E2214" s="16" t="s">
        <v>7118</v>
      </c>
      <c r="F2214" s="16"/>
      <c r="G2214" s="16"/>
      <c r="H2214" s="18"/>
      <c r="I2214" s="18"/>
      <c r="J2214" s="18"/>
      <c r="K2214" s="18"/>
      <c r="L2214" s="18"/>
      <c r="M2214" s="18"/>
      <c r="N2214" s="18"/>
      <c r="O2214" s="18"/>
      <c r="P2214" s="18"/>
      <c r="Q2214" s="19"/>
      <c r="R2214" s="19"/>
      <c r="S2214" s="19"/>
    </row>
    <row r="2215" ht="15.75" customHeight="1">
      <c r="A2215" s="15">
        <v>45940.64925925926</v>
      </c>
      <c r="B2215" s="16" t="s">
        <v>6591</v>
      </c>
      <c r="C2215" s="16" t="s">
        <v>7116</v>
      </c>
      <c r="D2215" s="16" t="s">
        <v>7119</v>
      </c>
      <c r="E2215" s="16" t="s">
        <v>7120</v>
      </c>
      <c r="F2215" s="16"/>
      <c r="G2215" s="16"/>
      <c r="H2215" s="18"/>
      <c r="I2215" s="18"/>
      <c r="J2215" s="18"/>
      <c r="K2215" s="18"/>
      <c r="L2215" s="18"/>
      <c r="M2215" s="18"/>
      <c r="N2215" s="18"/>
      <c r="O2215" s="18"/>
      <c r="P2215" s="18"/>
      <c r="Q2215" s="19"/>
      <c r="R2215" s="19"/>
      <c r="S2215" s="19"/>
    </row>
    <row r="2216" ht="15.75" customHeight="1">
      <c r="A2216" s="15">
        <v>45909.594988425924</v>
      </c>
      <c r="B2216" s="16" t="s">
        <v>7121</v>
      </c>
      <c r="C2216" s="16" t="s">
        <v>7122</v>
      </c>
      <c r="D2216" s="16" t="s">
        <v>7123</v>
      </c>
      <c r="E2216" s="16" t="s">
        <v>7124</v>
      </c>
      <c r="F2216" s="16"/>
      <c r="G2216" s="16"/>
      <c r="H2216" s="18"/>
      <c r="I2216" s="18"/>
      <c r="J2216" s="18"/>
      <c r="K2216" s="18"/>
      <c r="L2216" s="18"/>
      <c r="M2216" s="18"/>
      <c r="N2216" s="18"/>
      <c r="O2216" s="18"/>
      <c r="P2216" s="18"/>
      <c r="Q2216" s="19"/>
      <c r="R2216" s="19"/>
      <c r="S2216" s="19"/>
    </row>
    <row r="2217" ht="15.75" customHeight="1">
      <c r="A2217" s="15">
        <v>45912.71166666667</v>
      </c>
      <c r="B2217" s="16" t="s">
        <v>7121</v>
      </c>
      <c r="C2217" s="16" t="s">
        <v>7122</v>
      </c>
      <c r="D2217" s="16" t="s">
        <v>7125</v>
      </c>
      <c r="E2217" s="16" t="s">
        <v>7126</v>
      </c>
      <c r="F2217" s="16"/>
      <c r="G2217" s="16"/>
      <c r="H2217" s="18"/>
      <c r="I2217" s="18"/>
      <c r="J2217" s="18"/>
      <c r="K2217" s="18"/>
      <c r="L2217" s="18"/>
      <c r="M2217" s="18"/>
      <c r="N2217" s="18"/>
      <c r="O2217" s="18"/>
      <c r="P2217" s="18"/>
      <c r="Q2217" s="19"/>
      <c r="R2217" s="19"/>
      <c r="S2217" s="19"/>
    </row>
    <row r="2218" ht="15.75" customHeight="1">
      <c r="A2218" s="15">
        <v>45937.56458333333</v>
      </c>
      <c r="B2218" s="16" t="s">
        <v>7121</v>
      </c>
      <c r="C2218" s="16" t="s">
        <v>7122</v>
      </c>
      <c r="D2218" s="16" t="s">
        <v>7127</v>
      </c>
      <c r="E2218" s="16" t="s">
        <v>7128</v>
      </c>
      <c r="F2218" s="16"/>
      <c r="G2218" s="16"/>
      <c r="H2218" s="18"/>
      <c r="I2218" s="18"/>
      <c r="J2218" s="18"/>
      <c r="K2218" s="18"/>
      <c r="L2218" s="18"/>
      <c r="M2218" s="18"/>
      <c r="N2218" s="18"/>
      <c r="O2218" s="18"/>
      <c r="P2218" s="18"/>
      <c r="Q2218" s="19"/>
      <c r="R2218" s="19"/>
      <c r="S2218" s="19"/>
    </row>
    <row r="2219" ht="15.75" customHeight="1">
      <c r="A2219" s="15">
        <v>45801.86050925926</v>
      </c>
      <c r="B2219" s="16" t="s">
        <v>7129</v>
      </c>
      <c r="C2219" s="16" t="s">
        <v>6591</v>
      </c>
      <c r="D2219" s="16" t="s">
        <v>7130</v>
      </c>
      <c r="E2219" s="16" t="s">
        <v>7131</v>
      </c>
      <c r="F2219" s="16"/>
      <c r="G2219" s="16"/>
      <c r="H2219" s="18"/>
      <c r="I2219" s="18"/>
      <c r="J2219" s="18"/>
      <c r="K2219" s="18"/>
      <c r="L2219" s="18"/>
      <c r="M2219" s="18"/>
      <c r="N2219" s="18"/>
      <c r="O2219" s="18"/>
      <c r="P2219" s="18"/>
      <c r="Q2219" s="19"/>
      <c r="R2219" s="19"/>
      <c r="S2219" s="19"/>
    </row>
    <row r="2220" ht="15.75" customHeight="1">
      <c r="A2220" s="15">
        <v>45801.870254629626</v>
      </c>
      <c r="B2220" s="16" t="s">
        <v>7129</v>
      </c>
      <c r="C2220" s="16" t="s">
        <v>6591</v>
      </c>
      <c r="D2220" s="16" t="s">
        <v>7130</v>
      </c>
      <c r="E2220" s="16" t="s">
        <v>7132</v>
      </c>
      <c r="F2220" s="16"/>
      <c r="G2220" s="16"/>
      <c r="H2220" s="18"/>
      <c r="I2220" s="18"/>
      <c r="J2220" s="18"/>
      <c r="K2220" s="18"/>
      <c r="L2220" s="18"/>
      <c r="M2220" s="18"/>
      <c r="N2220" s="18"/>
      <c r="O2220" s="18"/>
      <c r="P2220" s="18"/>
      <c r="Q2220" s="19"/>
      <c r="R2220" s="19"/>
      <c r="S2220" s="19"/>
    </row>
    <row r="2221" ht="15.75" customHeight="1">
      <c r="A2221" s="15">
        <v>45801.87253472222</v>
      </c>
      <c r="B2221" s="16" t="s">
        <v>7129</v>
      </c>
      <c r="C2221" s="16" t="s">
        <v>6591</v>
      </c>
      <c r="D2221" s="16" t="s">
        <v>7130</v>
      </c>
      <c r="E2221" s="16" t="s">
        <v>7133</v>
      </c>
      <c r="F2221" s="16"/>
      <c r="G2221" s="16"/>
      <c r="H2221" s="18"/>
      <c r="I2221" s="18"/>
      <c r="J2221" s="18"/>
      <c r="K2221" s="18"/>
      <c r="L2221" s="18"/>
      <c r="M2221" s="18"/>
      <c r="N2221" s="18"/>
      <c r="O2221" s="18"/>
      <c r="P2221" s="18"/>
      <c r="Q2221" s="19"/>
      <c r="R2221" s="19"/>
      <c r="S2221" s="19"/>
    </row>
    <row r="2222" ht="15.75" customHeight="1">
      <c r="A2222" s="15">
        <v>45801.87420138889</v>
      </c>
      <c r="B2222" s="16" t="s">
        <v>7129</v>
      </c>
      <c r="C2222" s="16" t="s">
        <v>6591</v>
      </c>
      <c r="D2222" s="16" t="s">
        <v>7130</v>
      </c>
      <c r="E2222" s="16" t="s">
        <v>7134</v>
      </c>
      <c r="F2222" s="16"/>
      <c r="G2222" s="16"/>
      <c r="H2222" s="18"/>
      <c r="I2222" s="18"/>
      <c r="J2222" s="18"/>
      <c r="K2222" s="18"/>
      <c r="L2222" s="18"/>
      <c r="M2222" s="18"/>
      <c r="N2222" s="18"/>
      <c r="O2222" s="18"/>
      <c r="P2222" s="18"/>
      <c r="Q2222" s="19"/>
      <c r="R2222" s="19"/>
      <c r="S2222" s="19"/>
    </row>
    <row r="2223" ht="15.75" customHeight="1">
      <c r="A2223" s="15">
        <v>45801.87451388889</v>
      </c>
      <c r="B2223" s="16" t="s">
        <v>7129</v>
      </c>
      <c r="C2223" s="16" t="s">
        <v>6591</v>
      </c>
      <c r="D2223" s="16" t="s">
        <v>7130</v>
      </c>
      <c r="E2223" s="16" t="s">
        <v>7135</v>
      </c>
      <c r="F2223" s="16"/>
      <c r="G2223" s="16"/>
      <c r="H2223" s="18"/>
      <c r="I2223" s="18"/>
      <c r="J2223" s="18"/>
      <c r="K2223" s="18"/>
      <c r="L2223" s="18"/>
      <c r="M2223" s="18"/>
      <c r="N2223" s="18"/>
      <c r="O2223" s="18"/>
      <c r="P2223" s="18"/>
      <c r="Q2223" s="19"/>
      <c r="R2223" s="19"/>
      <c r="S2223" s="19"/>
    </row>
    <row r="2224" ht="15.75" customHeight="1">
      <c r="A2224" s="15">
        <v>45801.874976851854</v>
      </c>
      <c r="B2224" s="16" t="s">
        <v>7129</v>
      </c>
      <c r="C2224" s="16" t="s">
        <v>6591</v>
      </c>
      <c r="D2224" s="16" t="s">
        <v>7130</v>
      </c>
      <c r="E2224" s="16" t="s">
        <v>7136</v>
      </c>
      <c r="F2224" s="16"/>
      <c r="G2224" s="16"/>
      <c r="H2224" s="18"/>
      <c r="I2224" s="18"/>
      <c r="J2224" s="18"/>
      <c r="K2224" s="18"/>
      <c r="L2224" s="18"/>
      <c r="M2224" s="18"/>
      <c r="N2224" s="18"/>
      <c r="O2224" s="18"/>
      <c r="P2224" s="18"/>
      <c r="Q2224" s="19"/>
      <c r="R2224" s="19"/>
      <c r="S2224" s="19"/>
    </row>
    <row r="2225" ht="15.75" customHeight="1">
      <c r="A2225" s="15">
        <v>45801.949641203704</v>
      </c>
      <c r="B2225" s="16" t="s">
        <v>7129</v>
      </c>
      <c r="C2225" s="16" t="s">
        <v>6591</v>
      </c>
      <c r="D2225" s="16" t="s">
        <v>7130</v>
      </c>
      <c r="E2225" s="16" t="s">
        <v>7137</v>
      </c>
      <c r="F2225" s="16"/>
      <c r="G2225" s="16"/>
      <c r="H2225" s="18"/>
      <c r="I2225" s="18"/>
      <c r="J2225" s="18"/>
      <c r="K2225" s="18"/>
      <c r="L2225" s="18"/>
      <c r="M2225" s="18"/>
      <c r="N2225" s="18"/>
      <c r="O2225" s="18"/>
      <c r="P2225" s="18"/>
      <c r="Q2225" s="19"/>
      <c r="R2225" s="19"/>
      <c r="S2225" s="19"/>
    </row>
    <row r="2226" ht="15.75" customHeight="1">
      <c r="A2226" s="15">
        <v>45801.95060185185</v>
      </c>
      <c r="B2226" s="16" t="s">
        <v>7129</v>
      </c>
      <c r="C2226" s="16" t="s">
        <v>6591</v>
      </c>
      <c r="D2226" s="16" t="s">
        <v>7130</v>
      </c>
      <c r="E2226" s="16" t="s">
        <v>7138</v>
      </c>
      <c r="F2226" s="16"/>
      <c r="G2226" s="16"/>
      <c r="H2226" s="18"/>
      <c r="I2226" s="18"/>
      <c r="J2226" s="18"/>
      <c r="K2226" s="18"/>
      <c r="L2226" s="18"/>
      <c r="M2226" s="18"/>
      <c r="N2226" s="18"/>
      <c r="O2226" s="18"/>
      <c r="P2226" s="18"/>
      <c r="Q2226" s="19"/>
      <c r="R2226" s="19"/>
      <c r="S2226" s="19"/>
    </row>
    <row r="2227" ht="15.75" customHeight="1">
      <c r="A2227" s="15">
        <v>45815.35089120371</v>
      </c>
      <c r="B2227" s="16" t="s">
        <v>7129</v>
      </c>
      <c r="C2227" s="16" t="s">
        <v>6591</v>
      </c>
      <c r="D2227" s="16" t="s">
        <v>7130</v>
      </c>
      <c r="E2227" s="16" t="s">
        <v>7139</v>
      </c>
      <c r="F2227" s="16"/>
      <c r="G2227" s="16"/>
      <c r="H2227" s="18"/>
      <c r="I2227" s="18"/>
      <c r="J2227" s="18"/>
      <c r="K2227" s="18"/>
      <c r="L2227" s="18"/>
      <c r="M2227" s="18"/>
      <c r="N2227" s="18"/>
      <c r="O2227" s="18"/>
      <c r="P2227" s="18"/>
      <c r="Q2227" s="19"/>
      <c r="R2227" s="19"/>
      <c r="S2227" s="19"/>
    </row>
    <row r="2228" ht="15.75" customHeight="1">
      <c r="A2228" s="15">
        <v>45815.40736111111</v>
      </c>
      <c r="B2228" s="16" t="s">
        <v>7129</v>
      </c>
      <c r="C2228" s="16" t="s">
        <v>6591</v>
      </c>
      <c r="D2228" s="16" t="s">
        <v>7130</v>
      </c>
      <c r="E2228" s="16" t="s">
        <v>7140</v>
      </c>
      <c r="F2228" s="16"/>
      <c r="G2228" s="16"/>
      <c r="H2228" s="18"/>
      <c r="I2228" s="18"/>
      <c r="J2228" s="18"/>
      <c r="K2228" s="18"/>
      <c r="L2228" s="18"/>
      <c r="M2228" s="18"/>
      <c r="N2228" s="18"/>
      <c r="O2228" s="18"/>
      <c r="P2228" s="18"/>
      <c r="Q2228" s="19"/>
      <c r="R2228" s="19"/>
      <c r="S2228" s="19"/>
    </row>
    <row r="2229" ht="15.75" customHeight="1">
      <c r="A2229" s="15">
        <v>45815.488587962966</v>
      </c>
      <c r="B2229" s="16" t="s">
        <v>7129</v>
      </c>
      <c r="C2229" s="16" t="s">
        <v>6591</v>
      </c>
      <c r="D2229" s="16" t="s">
        <v>7130</v>
      </c>
      <c r="E2229" s="16" t="s">
        <v>7141</v>
      </c>
      <c r="F2229" s="16"/>
      <c r="G2229" s="16"/>
      <c r="H2229" s="18"/>
      <c r="I2229" s="18"/>
      <c r="J2229" s="18"/>
      <c r="K2229" s="18"/>
      <c r="L2229" s="18"/>
      <c r="M2229" s="18"/>
      <c r="N2229" s="18"/>
      <c r="O2229" s="18"/>
      <c r="P2229" s="18"/>
      <c r="Q2229" s="19"/>
      <c r="R2229" s="19"/>
      <c r="S2229" s="19"/>
    </row>
    <row r="2230" ht="15.75" customHeight="1">
      <c r="A2230" s="15">
        <v>45815.48940972222</v>
      </c>
      <c r="B2230" s="16" t="s">
        <v>7129</v>
      </c>
      <c r="C2230" s="16" t="s">
        <v>6591</v>
      </c>
      <c r="D2230" s="16" t="s">
        <v>7130</v>
      </c>
      <c r="E2230" s="16" t="s">
        <v>7142</v>
      </c>
      <c r="F2230" s="16"/>
      <c r="G2230" s="16"/>
      <c r="H2230" s="18"/>
      <c r="I2230" s="18"/>
      <c r="J2230" s="18"/>
      <c r="K2230" s="18"/>
      <c r="L2230" s="18"/>
      <c r="M2230" s="18"/>
      <c r="N2230" s="18"/>
      <c r="O2230" s="18"/>
      <c r="P2230" s="18"/>
      <c r="Q2230" s="19"/>
      <c r="R2230" s="19"/>
      <c r="S2230" s="19"/>
    </row>
    <row r="2231" ht="15.75" customHeight="1">
      <c r="A2231" s="15">
        <v>45817.46888888889</v>
      </c>
      <c r="B2231" s="16" t="s">
        <v>7143</v>
      </c>
      <c r="C2231" s="16" t="s">
        <v>6591</v>
      </c>
      <c r="D2231" s="16" t="s">
        <v>7144</v>
      </c>
      <c r="E2231" s="16" t="s">
        <v>7145</v>
      </c>
      <c r="F2231" s="16"/>
      <c r="G2231" s="16"/>
      <c r="H2231" s="18"/>
      <c r="I2231" s="18"/>
      <c r="J2231" s="18"/>
      <c r="K2231" s="18"/>
      <c r="L2231" s="18"/>
      <c r="M2231" s="18"/>
      <c r="N2231" s="18"/>
      <c r="O2231" s="18"/>
      <c r="P2231" s="18"/>
      <c r="Q2231" s="19"/>
      <c r="R2231" s="19"/>
      <c r="S2231" s="19"/>
    </row>
    <row r="2232" ht="15.75" customHeight="1">
      <c r="A2232" s="15">
        <v>45817.81930555555</v>
      </c>
      <c r="B2232" s="16" t="s">
        <v>7129</v>
      </c>
      <c r="C2232" s="16" t="s">
        <v>6591</v>
      </c>
      <c r="D2232" s="16" t="s">
        <v>7146</v>
      </c>
      <c r="E2232" s="16" t="s">
        <v>7147</v>
      </c>
      <c r="F2232" s="16"/>
      <c r="G2232" s="16"/>
      <c r="H2232" s="18"/>
      <c r="I2232" s="18"/>
      <c r="J2232" s="18"/>
      <c r="K2232" s="18"/>
      <c r="L2232" s="18"/>
      <c r="M2232" s="18"/>
      <c r="N2232" s="18"/>
      <c r="O2232" s="18"/>
      <c r="P2232" s="18"/>
      <c r="Q2232" s="19"/>
      <c r="R2232" s="19"/>
      <c r="S2232" s="19"/>
    </row>
    <row r="2233" ht="15.75" customHeight="1">
      <c r="A2233" s="15">
        <v>45818.46880787037</v>
      </c>
      <c r="B2233" s="16" t="s">
        <v>7143</v>
      </c>
      <c r="C2233" s="16" t="s">
        <v>6591</v>
      </c>
      <c r="D2233" s="16" t="s">
        <v>7148</v>
      </c>
      <c r="E2233" s="16" t="s">
        <v>7149</v>
      </c>
      <c r="F2233" s="16"/>
      <c r="G2233" s="16"/>
      <c r="H2233" s="18"/>
      <c r="I2233" s="18"/>
      <c r="J2233" s="18"/>
      <c r="K2233" s="18"/>
      <c r="L2233" s="18"/>
      <c r="M2233" s="18"/>
      <c r="N2233" s="18"/>
      <c r="O2233" s="18"/>
      <c r="P2233" s="18"/>
      <c r="Q2233" s="19"/>
      <c r="R2233" s="19"/>
      <c r="S2233" s="19"/>
    </row>
    <row r="2234" ht="15.75" customHeight="1">
      <c r="A2234" s="15">
        <v>45818.37063657407</v>
      </c>
      <c r="B2234" s="16" t="s">
        <v>7129</v>
      </c>
      <c r="C2234" s="16" t="s">
        <v>6591</v>
      </c>
      <c r="D2234" s="16" t="s">
        <v>7146</v>
      </c>
      <c r="E2234" s="16" t="s">
        <v>7150</v>
      </c>
      <c r="F2234" s="16"/>
      <c r="G2234" s="16"/>
      <c r="H2234" s="18"/>
      <c r="I2234" s="18"/>
      <c r="J2234" s="18"/>
      <c r="K2234" s="18"/>
      <c r="L2234" s="18"/>
      <c r="M2234" s="18"/>
      <c r="N2234" s="18"/>
      <c r="O2234" s="18"/>
      <c r="P2234" s="18"/>
      <c r="Q2234" s="19"/>
      <c r="R2234" s="19"/>
      <c r="S2234" s="19"/>
    </row>
    <row r="2235" ht="15.75" customHeight="1">
      <c r="A2235" s="15">
        <v>45818.378657407404</v>
      </c>
      <c r="B2235" s="16" t="s">
        <v>7129</v>
      </c>
      <c r="C2235" s="16" t="s">
        <v>6591</v>
      </c>
      <c r="D2235" s="16" t="s">
        <v>7146</v>
      </c>
      <c r="E2235" s="16" t="s">
        <v>7151</v>
      </c>
      <c r="F2235" s="16"/>
      <c r="G2235" s="16"/>
      <c r="H2235" s="18"/>
      <c r="I2235" s="18"/>
      <c r="J2235" s="18"/>
      <c r="K2235" s="18"/>
      <c r="L2235" s="18"/>
      <c r="M2235" s="18"/>
      <c r="N2235" s="18"/>
      <c r="O2235" s="18"/>
      <c r="P2235" s="18"/>
      <c r="Q2235" s="19"/>
      <c r="R2235" s="19"/>
      <c r="S2235" s="19"/>
    </row>
    <row r="2236" ht="15.75" customHeight="1">
      <c r="A2236" s="15">
        <v>45819.4687037037</v>
      </c>
      <c r="B2236" s="16" t="s">
        <v>7143</v>
      </c>
      <c r="C2236" s="16" t="s">
        <v>6591</v>
      </c>
      <c r="D2236" s="16" t="s">
        <v>7152</v>
      </c>
      <c r="E2236" s="16" t="s">
        <v>7153</v>
      </c>
      <c r="F2236" s="16"/>
      <c r="G2236" s="16"/>
      <c r="H2236" s="18"/>
      <c r="I2236" s="18"/>
      <c r="J2236" s="18"/>
      <c r="K2236" s="18"/>
      <c r="L2236" s="18"/>
      <c r="M2236" s="18"/>
      <c r="N2236" s="18"/>
      <c r="O2236" s="18"/>
      <c r="P2236" s="18"/>
      <c r="Q2236" s="19"/>
      <c r="R2236" s="19"/>
      <c r="S2236" s="19"/>
    </row>
    <row r="2237" ht="15.75" customHeight="1">
      <c r="A2237" s="15">
        <v>45819.3837037037</v>
      </c>
      <c r="B2237" s="16" t="s">
        <v>7129</v>
      </c>
      <c r="C2237" s="16" t="s">
        <v>6591</v>
      </c>
      <c r="D2237" s="16" t="s">
        <v>7130</v>
      </c>
      <c r="E2237" s="16" t="s">
        <v>7154</v>
      </c>
      <c r="F2237" s="16"/>
      <c r="G2237" s="16"/>
      <c r="H2237" s="18"/>
      <c r="I2237" s="18"/>
      <c r="J2237" s="18"/>
      <c r="K2237" s="18"/>
      <c r="L2237" s="18"/>
      <c r="M2237" s="18"/>
      <c r="N2237" s="18"/>
      <c r="O2237" s="18"/>
      <c r="P2237" s="18"/>
      <c r="Q2237" s="19"/>
      <c r="R2237" s="19"/>
      <c r="S2237" s="19"/>
    </row>
    <row r="2238" ht="15.75" customHeight="1">
      <c r="A2238" s="15">
        <v>45819.38829861111</v>
      </c>
      <c r="B2238" s="16" t="s">
        <v>7129</v>
      </c>
      <c r="C2238" s="16" t="s">
        <v>6591</v>
      </c>
      <c r="D2238" s="16" t="s">
        <v>7130</v>
      </c>
      <c r="E2238" s="16" t="s">
        <v>7155</v>
      </c>
      <c r="F2238" s="16"/>
      <c r="G2238" s="16"/>
      <c r="H2238" s="18"/>
      <c r="I2238" s="18"/>
      <c r="J2238" s="18"/>
      <c r="K2238" s="18"/>
      <c r="L2238" s="18"/>
      <c r="M2238" s="18"/>
      <c r="N2238" s="18"/>
      <c r="O2238" s="18"/>
      <c r="P2238" s="18"/>
      <c r="Q2238" s="19"/>
      <c r="R2238" s="19"/>
      <c r="S2238" s="19"/>
    </row>
    <row r="2239" ht="15.75" customHeight="1">
      <c r="A2239" s="15">
        <v>45819.389861111114</v>
      </c>
      <c r="B2239" s="16" t="s">
        <v>7129</v>
      </c>
      <c r="C2239" s="16" t="s">
        <v>6591</v>
      </c>
      <c r="D2239" s="16" t="s">
        <v>7130</v>
      </c>
      <c r="E2239" s="16" t="s">
        <v>7156</v>
      </c>
      <c r="F2239" s="16"/>
      <c r="G2239" s="16"/>
      <c r="H2239" s="18"/>
      <c r="I2239" s="18"/>
      <c r="J2239" s="18"/>
      <c r="K2239" s="18"/>
      <c r="L2239" s="18"/>
      <c r="M2239" s="18"/>
      <c r="N2239" s="18"/>
      <c r="O2239" s="18"/>
      <c r="P2239" s="18"/>
      <c r="Q2239" s="19"/>
      <c r="R2239" s="19"/>
      <c r="S2239" s="19"/>
    </row>
    <row r="2240" ht="15.75" customHeight="1">
      <c r="A2240" s="15">
        <v>45819.561944444446</v>
      </c>
      <c r="B2240" s="16" t="s">
        <v>7157</v>
      </c>
      <c r="C2240" s="16" t="s">
        <v>6591</v>
      </c>
      <c r="D2240" s="16" t="s">
        <v>7158</v>
      </c>
      <c r="E2240" s="16"/>
      <c r="F2240" s="16"/>
      <c r="G2240" s="16"/>
      <c r="H2240" s="18"/>
      <c r="I2240" s="18"/>
      <c r="J2240" s="18"/>
      <c r="K2240" s="18"/>
      <c r="L2240" s="18"/>
      <c r="M2240" s="18"/>
      <c r="N2240" s="18"/>
      <c r="O2240" s="18"/>
      <c r="P2240" s="18"/>
      <c r="Q2240" s="19"/>
      <c r="R2240" s="19"/>
      <c r="S2240" s="19"/>
    </row>
    <row r="2241" ht="15.75" customHeight="1">
      <c r="A2241" s="15">
        <v>45819.61449074074</v>
      </c>
      <c r="B2241" s="16" t="s">
        <v>7129</v>
      </c>
      <c r="C2241" s="16" t="s">
        <v>6591</v>
      </c>
      <c r="D2241" s="16" t="s">
        <v>7146</v>
      </c>
      <c r="E2241" s="16" t="s">
        <v>7159</v>
      </c>
      <c r="F2241" s="16"/>
      <c r="G2241" s="16"/>
      <c r="H2241" s="18"/>
      <c r="I2241" s="18"/>
      <c r="J2241" s="18"/>
      <c r="K2241" s="18"/>
      <c r="L2241" s="18"/>
      <c r="M2241" s="18"/>
      <c r="N2241" s="18"/>
      <c r="O2241" s="18"/>
      <c r="P2241" s="18"/>
      <c r="Q2241" s="19"/>
      <c r="R2241" s="19"/>
      <c r="S2241" s="19"/>
    </row>
    <row r="2242" ht="15.75" customHeight="1">
      <c r="A2242" s="15">
        <v>45819.622037037036</v>
      </c>
      <c r="B2242" s="16" t="s">
        <v>7129</v>
      </c>
      <c r="C2242" s="16" t="s">
        <v>6591</v>
      </c>
      <c r="D2242" s="16" t="s">
        <v>7146</v>
      </c>
      <c r="E2242" s="16" t="s">
        <v>7160</v>
      </c>
      <c r="F2242" s="16"/>
      <c r="G2242" s="16"/>
      <c r="H2242" s="18"/>
      <c r="I2242" s="18"/>
      <c r="J2242" s="18"/>
      <c r="K2242" s="18"/>
      <c r="L2242" s="18"/>
      <c r="M2242" s="18"/>
      <c r="N2242" s="18"/>
      <c r="O2242" s="18"/>
      <c r="P2242" s="18"/>
      <c r="Q2242" s="19"/>
      <c r="R2242" s="19"/>
      <c r="S2242" s="19"/>
    </row>
    <row r="2243" ht="15.75" customHeight="1">
      <c r="A2243" s="15">
        <v>45820.46892361111</v>
      </c>
      <c r="B2243" s="16" t="s">
        <v>7143</v>
      </c>
      <c r="C2243" s="16" t="s">
        <v>6591</v>
      </c>
      <c r="D2243" s="16" t="s">
        <v>7161</v>
      </c>
      <c r="E2243" s="16" t="s">
        <v>7162</v>
      </c>
      <c r="F2243" s="16"/>
      <c r="G2243" s="16"/>
      <c r="H2243" s="18"/>
      <c r="I2243" s="18"/>
      <c r="J2243" s="18"/>
      <c r="K2243" s="18"/>
      <c r="L2243" s="18"/>
      <c r="M2243" s="18"/>
      <c r="N2243" s="18"/>
      <c r="O2243" s="18"/>
      <c r="P2243" s="18"/>
      <c r="Q2243" s="19"/>
      <c r="R2243" s="19"/>
      <c r="S2243" s="19"/>
    </row>
    <row r="2244" ht="15.75" customHeight="1">
      <c r="A2244" s="15">
        <v>45820.36858796296</v>
      </c>
      <c r="B2244" s="16" t="s">
        <v>7129</v>
      </c>
      <c r="C2244" s="16" t="s">
        <v>6591</v>
      </c>
      <c r="D2244" s="16" t="s">
        <v>7163</v>
      </c>
      <c r="E2244" s="16" t="s">
        <v>7164</v>
      </c>
      <c r="F2244" s="16"/>
      <c r="G2244" s="16"/>
      <c r="H2244" s="18"/>
      <c r="I2244" s="18"/>
      <c r="J2244" s="18"/>
      <c r="K2244" s="18"/>
      <c r="L2244" s="18"/>
      <c r="M2244" s="18"/>
      <c r="N2244" s="18"/>
      <c r="O2244" s="18"/>
      <c r="P2244" s="18"/>
      <c r="Q2244" s="19"/>
      <c r="R2244" s="19"/>
      <c r="S2244" s="19"/>
    </row>
    <row r="2245" ht="15.75" customHeight="1">
      <c r="A2245" s="15">
        <v>45820.36953703704</v>
      </c>
      <c r="B2245" s="16" t="s">
        <v>7129</v>
      </c>
      <c r="C2245" s="16" t="s">
        <v>6591</v>
      </c>
      <c r="D2245" s="16" t="s">
        <v>7163</v>
      </c>
      <c r="E2245" s="16" t="s">
        <v>7165</v>
      </c>
      <c r="F2245" s="16"/>
      <c r="G2245" s="16"/>
      <c r="H2245" s="18"/>
      <c r="I2245" s="18"/>
      <c r="J2245" s="18"/>
      <c r="K2245" s="18"/>
      <c r="L2245" s="18"/>
      <c r="M2245" s="18"/>
      <c r="N2245" s="18"/>
      <c r="O2245" s="18"/>
      <c r="P2245" s="18"/>
      <c r="Q2245" s="19"/>
      <c r="R2245" s="19"/>
      <c r="S2245" s="19"/>
    </row>
    <row r="2246" ht="15.75" customHeight="1">
      <c r="A2246" s="15">
        <v>45822.468668981484</v>
      </c>
      <c r="B2246" s="16" t="s">
        <v>7143</v>
      </c>
      <c r="C2246" s="16" t="s">
        <v>6591</v>
      </c>
      <c r="D2246" s="16" t="s">
        <v>7166</v>
      </c>
      <c r="E2246" s="16" t="s">
        <v>7167</v>
      </c>
      <c r="F2246" s="16"/>
      <c r="G2246" s="16"/>
      <c r="H2246" s="18"/>
      <c r="I2246" s="18"/>
      <c r="J2246" s="18"/>
      <c r="K2246" s="18"/>
      <c r="L2246" s="18"/>
      <c r="M2246" s="18"/>
      <c r="N2246" s="18"/>
      <c r="O2246" s="18"/>
      <c r="P2246" s="18"/>
      <c r="Q2246" s="19"/>
      <c r="R2246" s="19"/>
      <c r="S2246" s="19"/>
    </row>
    <row r="2247" ht="15.75" customHeight="1">
      <c r="A2247" s="15">
        <v>45823.19917824074</v>
      </c>
      <c r="B2247" s="16" t="s">
        <v>7129</v>
      </c>
      <c r="C2247" s="16" t="s">
        <v>6591</v>
      </c>
      <c r="D2247" s="16" t="s">
        <v>7130</v>
      </c>
      <c r="E2247" s="16" t="s">
        <v>7168</v>
      </c>
      <c r="F2247" s="16"/>
      <c r="G2247" s="16"/>
      <c r="H2247" s="18"/>
      <c r="I2247" s="18"/>
      <c r="J2247" s="18"/>
      <c r="K2247" s="18"/>
      <c r="L2247" s="18"/>
      <c r="M2247" s="18"/>
      <c r="N2247" s="18"/>
      <c r="O2247" s="18"/>
      <c r="P2247" s="18"/>
      <c r="Q2247" s="19"/>
      <c r="R2247" s="19"/>
      <c r="S2247" s="19"/>
    </row>
    <row r="2248" ht="15.75" customHeight="1">
      <c r="A2248" s="15">
        <v>45823.243946759256</v>
      </c>
      <c r="B2248" s="16" t="s">
        <v>7129</v>
      </c>
      <c r="C2248" s="16" t="s">
        <v>6591</v>
      </c>
      <c r="D2248" s="16" t="s">
        <v>7130</v>
      </c>
      <c r="E2248" s="16" t="s">
        <v>7169</v>
      </c>
      <c r="F2248" s="16"/>
      <c r="G2248" s="16"/>
      <c r="H2248" s="18"/>
      <c r="I2248" s="18"/>
      <c r="J2248" s="18"/>
      <c r="K2248" s="18"/>
      <c r="L2248" s="18"/>
      <c r="M2248" s="18"/>
      <c r="N2248" s="18"/>
      <c r="O2248" s="18"/>
      <c r="P2248" s="18"/>
      <c r="Q2248" s="19"/>
      <c r="R2248" s="19"/>
      <c r="S2248" s="19"/>
    </row>
    <row r="2249" ht="15.75" customHeight="1">
      <c r="A2249" s="15">
        <v>45823.37517361111</v>
      </c>
      <c r="B2249" s="16" t="s">
        <v>7157</v>
      </c>
      <c r="C2249" s="16" t="s">
        <v>6591</v>
      </c>
      <c r="D2249" s="16" t="s">
        <v>7170</v>
      </c>
      <c r="E2249" s="16"/>
      <c r="F2249" s="16"/>
      <c r="G2249" s="16"/>
      <c r="H2249" s="18"/>
      <c r="I2249" s="18"/>
      <c r="J2249" s="18"/>
      <c r="K2249" s="18"/>
      <c r="L2249" s="18"/>
      <c r="M2249" s="18"/>
      <c r="N2249" s="18"/>
      <c r="O2249" s="18"/>
      <c r="P2249" s="18"/>
      <c r="Q2249" s="19"/>
      <c r="R2249" s="19"/>
      <c r="S2249" s="19"/>
    </row>
    <row r="2250" ht="15.75" customHeight="1">
      <c r="A2250" s="15">
        <v>45823.37587962963</v>
      </c>
      <c r="B2250" s="16" t="s">
        <v>7157</v>
      </c>
      <c r="C2250" s="16" t="s">
        <v>6591</v>
      </c>
      <c r="D2250" s="16" t="s">
        <v>7170</v>
      </c>
      <c r="E2250" s="16"/>
      <c r="F2250" s="16"/>
      <c r="G2250" s="16"/>
      <c r="H2250" s="18"/>
      <c r="I2250" s="18"/>
      <c r="J2250" s="18"/>
      <c r="K2250" s="18"/>
      <c r="L2250" s="18"/>
      <c r="M2250" s="18"/>
      <c r="N2250" s="18"/>
      <c r="O2250" s="18"/>
      <c r="P2250" s="18"/>
      <c r="Q2250" s="19"/>
      <c r="R2250" s="19"/>
      <c r="S2250" s="19"/>
    </row>
    <row r="2251" ht="15.75" customHeight="1">
      <c r="A2251" s="15">
        <v>45823.46858796296</v>
      </c>
      <c r="B2251" s="16" t="s">
        <v>7143</v>
      </c>
      <c r="C2251" s="16" t="s">
        <v>6591</v>
      </c>
      <c r="D2251" s="16" t="s">
        <v>7171</v>
      </c>
      <c r="E2251" s="16" t="s">
        <v>7172</v>
      </c>
      <c r="F2251" s="16"/>
      <c r="G2251" s="16"/>
      <c r="H2251" s="18"/>
      <c r="I2251" s="18"/>
      <c r="J2251" s="18"/>
      <c r="K2251" s="18"/>
      <c r="L2251" s="18"/>
      <c r="M2251" s="18"/>
      <c r="N2251" s="18"/>
      <c r="O2251" s="18"/>
      <c r="P2251" s="18"/>
      <c r="Q2251" s="19"/>
      <c r="R2251" s="19"/>
      <c r="S2251" s="19"/>
    </row>
    <row r="2252" ht="15.75" customHeight="1">
      <c r="A2252" s="15">
        <v>45823.37725694444</v>
      </c>
      <c r="B2252" s="16" t="s">
        <v>7129</v>
      </c>
      <c r="C2252" s="16" t="s">
        <v>6591</v>
      </c>
      <c r="D2252" s="16" t="s">
        <v>7130</v>
      </c>
      <c r="E2252" s="16" t="s">
        <v>7173</v>
      </c>
      <c r="F2252" s="16"/>
      <c r="G2252" s="16"/>
      <c r="H2252" s="18"/>
      <c r="I2252" s="18"/>
      <c r="J2252" s="18"/>
      <c r="K2252" s="18"/>
      <c r="L2252" s="18"/>
      <c r="M2252" s="18"/>
      <c r="N2252" s="18"/>
      <c r="O2252" s="18"/>
      <c r="P2252" s="18"/>
      <c r="Q2252" s="19"/>
      <c r="R2252" s="19"/>
      <c r="S2252" s="19"/>
    </row>
    <row r="2253" ht="15.75" customHeight="1">
      <c r="A2253" s="15">
        <v>45823.37940972222</v>
      </c>
      <c r="B2253" s="16" t="s">
        <v>7129</v>
      </c>
      <c r="C2253" s="16" t="s">
        <v>6591</v>
      </c>
      <c r="D2253" s="16" t="s">
        <v>7130</v>
      </c>
      <c r="E2253" s="16" t="s">
        <v>7174</v>
      </c>
      <c r="F2253" s="16"/>
      <c r="G2253" s="16"/>
      <c r="H2253" s="18"/>
      <c r="I2253" s="18"/>
      <c r="J2253" s="18"/>
      <c r="K2253" s="18"/>
      <c r="L2253" s="18"/>
      <c r="M2253" s="18"/>
      <c r="N2253" s="18"/>
      <c r="O2253" s="18"/>
      <c r="P2253" s="18"/>
      <c r="Q2253" s="19"/>
      <c r="R2253" s="19"/>
      <c r="S2253" s="19"/>
    </row>
    <row r="2254" ht="15.75" customHeight="1">
      <c r="A2254" s="15">
        <v>45823.38019675926</v>
      </c>
      <c r="B2254" s="16" t="s">
        <v>7129</v>
      </c>
      <c r="C2254" s="16" t="s">
        <v>6591</v>
      </c>
      <c r="D2254" s="16" t="s">
        <v>7130</v>
      </c>
      <c r="E2254" s="16" t="s">
        <v>7175</v>
      </c>
      <c r="F2254" s="16"/>
      <c r="G2254" s="16"/>
      <c r="H2254" s="18"/>
      <c r="I2254" s="18"/>
      <c r="J2254" s="18"/>
      <c r="K2254" s="18"/>
      <c r="L2254" s="18"/>
      <c r="M2254" s="18"/>
      <c r="N2254" s="18"/>
      <c r="O2254" s="18"/>
      <c r="P2254" s="18"/>
      <c r="Q2254" s="19"/>
      <c r="R2254" s="19"/>
      <c r="S2254" s="19"/>
    </row>
    <row r="2255" ht="15.75" customHeight="1">
      <c r="A2255" s="15">
        <v>45823.38055555556</v>
      </c>
      <c r="B2255" s="16" t="s">
        <v>7129</v>
      </c>
      <c r="C2255" s="16" t="s">
        <v>6591</v>
      </c>
      <c r="D2255" s="16" t="s">
        <v>7130</v>
      </c>
      <c r="E2255" s="16" t="s">
        <v>7176</v>
      </c>
      <c r="F2255" s="16"/>
      <c r="G2255" s="16"/>
      <c r="H2255" s="18"/>
      <c r="I2255" s="18"/>
      <c r="J2255" s="18"/>
      <c r="K2255" s="18"/>
      <c r="L2255" s="18"/>
      <c r="M2255" s="18"/>
      <c r="N2255" s="18"/>
      <c r="O2255" s="18"/>
      <c r="P2255" s="18"/>
      <c r="Q2255" s="19"/>
      <c r="R2255" s="19"/>
      <c r="S2255" s="19"/>
    </row>
    <row r="2256" ht="15.75" customHeight="1">
      <c r="A2256" s="15">
        <v>45823.38078703704</v>
      </c>
      <c r="B2256" s="16" t="s">
        <v>7129</v>
      </c>
      <c r="C2256" s="16" t="s">
        <v>6591</v>
      </c>
      <c r="D2256" s="16" t="s">
        <v>7130</v>
      </c>
      <c r="E2256" s="16" t="s">
        <v>7177</v>
      </c>
      <c r="F2256" s="16"/>
      <c r="G2256" s="16"/>
      <c r="H2256" s="18"/>
      <c r="I2256" s="18"/>
      <c r="J2256" s="18"/>
      <c r="K2256" s="18"/>
      <c r="L2256" s="18"/>
      <c r="M2256" s="18"/>
      <c r="N2256" s="18"/>
      <c r="O2256" s="18"/>
      <c r="P2256" s="18"/>
      <c r="Q2256" s="19"/>
      <c r="R2256" s="19"/>
      <c r="S2256" s="19"/>
    </row>
    <row r="2257" ht="15.75" customHeight="1">
      <c r="A2257" s="15">
        <v>45823.38900462963</v>
      </c>
      <c r="B2257" s="16" t="s">
        <v>7129</v>
      </c>
      <c r="C2257" s="16" t="s">
        <v>6591</v>
      </c>
      <c r="D2257" s="16" t="s">
        <v>7130</v>
      </c>
      <c r="E2257" s="16" t="s">
        <v>7178</v>
      </c>
      <c r="F2257" s="16"/>
      <c r="G2257" s="16"/>
      <c r="H2257" s="18"/>
      <c r="I2257" s="18"/>
      <c r="J2257" s="18"/>
      <c r="K2257" s="18"/>
      <c r="L2257" s="18"/>
      <c r="M2257" s="18"/>
      <c r="N2257" s="18"/>
      <c r="O2257" s="18"/>
      <c r="P2257" s="18"/>
      <c r="Q2257" s="19"/>
      <c r="R2257" s="19"/>
      <c r="S2257" s="19"/>
    </row>
    <row r="2258" ht="15.75" customHeight="1">
      <c r="A2258" s="15">
        <v>45823.39188657407</v>
      </c>
      <c r="B2258" s="16" t="s">
        <v>7129</v>
      </c>
      <c r="C2258" s="16" t="s">
        <v>6591</v>
      </c>
      <c r="D2258" s="16" t="s">
        <v>7130</v>
      </c>
      <c r="E2258" s="16" t="s">
        <v>7179</v>
      </c>
      <c r="F2258" s="16"/>
      <c r="G2258" s="16"/>
      <c r="H2258" s="18"/>
      <c r="I2258" s="18"/>
      <c r="J2258" s="18"/>
      <c r="K2258" s="18"/>
      <c r="L2258" s="18"/>
      <c r="M2258" s="18"/>
      <c r="N2258" s="18"/>
      <c r="O2258" s="18"/>
      <c r="P2258" s="18"/>
      <c r="Q2258" s="19"/>
      <c r="R2258" s="19"/>
      <c r="S2258" s="19"/>
    </row>
    <row r="2259" ht="15.75" customHeight="1">
      <c r="A2259" s="15">
        <v>45823.41030092593</v>
      </c>
      <c r="B2259" s="16" t="s">
        <v>7129</v>
      </c>
      <c r="C2259" s="16" t="s">
        <v>6591</v>
      </c>
      <c r="D2259" s="16" t="s">
        <v>7130</v>
      </c>
      <c r="E2259" s="16" t="s">
        <v>7180</v>
      </c>
      <c r="F2259" s="16"/>
      <c r="G2259" s="16"/>
      <c r="H2259" s="18"/>
      <c r="I2259" s="18"/>
      <c r="J2259" s="18"/>
      <c r="K2259" s="18"/>
      <c r="L2259" s="18"/>
      <c r="M2259" s="18"/>
      <c r="N2259" s="18"/>
      <c r="O2259" s="18"/>
      <c r="P2259" s="18"/>
      <c r="Q2259" s="19"/>
      <c r="R2259" s="19"/>
      <c r="S2259" s="19"/>
    </row>
    <row r="2260" ht="15.75" customHeight="1">
      <c r="A2260" s="15">
        <v>45823.41055555556</v>
      </c>
      <c r="B2260" s="16" t="s">
        <v>7129</v>
      </c>
      <c r="C2260" s="16" t="s">
        <v>6591</v>
      </c>
      <c r="D2260" s="16" t="s">
        <v>7130</v>
      </c>
      <c r="E2260" s="16" t="s">
        <v>7181</v>
      </c>
      <c r="F2260" s="16"/>
      <c r="G2260" s="16"/>
      <c r="H2260" s="18"/>
      <c r="I2260" s="18"/>
      <c r="J2260" s="18"/>
      <c r="K2260" s="18"/>
      <c r="L2260" s="18"/>
      <c r="M2260" s="18"/>
      <c r="N2260" s="18"/>
      <c r="O2260" s="18"/>
      <c r="P2260" s="18"/>
      <c r="Q2260" s="19"/>
      <c r="R2260" s="19"/>
      <c r="S2260" s="19"/>
    </row>
    <row r="2261" ht="15.75" customHeight="1">
      <c r="A2261" s="15">
        <v>45823.41076388889</v>
      </c>
      <c r="B2261" s="16" t="s">
        <v>7129</v>
      </c>
      <c r="C2261" s="16" t="s">
        <v>6591</v>
      </c>
      <c r="D2261" s="16" t="s">
        <v>7130</v>
      </c>
      <c r="E2261" s="16" t="s">
        <v>7182</v>
      </c>
      <c r="F2261" s="16"/>
      <c r="G2261" s="16"/>
      <c r="H2261" s="18"/>
      <c r="I2261" s="18"/>
      <c r="J2261" s="18"/>
      <c r="K2261" s="18"/>
      <c r="L2261" s="18"/>
      <c r="M2261" s="18"/>
      <c r="N2261" s="18"/>
      <c r="O2261" s="18"/>
      <c r="P2261" s="18"/>
      <c r="Q2261" s="19"/>
      <c r="R2261" s="19"/>
      <c r="S2261" s="19"/>
    </row>
    <row r="2262" ht="15.75" customHeight="1">
      <c r="A2262" s="15">
        <v>45823.410949074074</v>
      </c>
      <c r="B2262" s="16" t="s">
        <v>7129</v>
      </c>
      <c r="C2262" s="16" t="s">
        <v>6591</v>
      </c>
      <c r="D2262" s="16" t="s">
        <v>7130</v>
      </c>
      <c r="E2262" s="16" t="s">
        <v>7183</v>
      </c>
      <c r="F2262" s="16"/>
      <c r="G2262" s="16"/>
      <c r="H2262" s="18"/>
      <c r="I2262" s="18"/>
      <c r="J2262" s="18"/>
      <c r="K2262" s="18"/>
      <c r="L2262" s="18"/>
      <c r="M2262" s="18"/>
      <c r="N2262" s="18"/>
      <c r="O2262" s="18"/>
      <c r="P2262" s="18"/>
      <c r="Q2262" s="19"/>
      <c r="R2262" s="19"/>
      <c r="S2262" s="19"/>
    </row>
    <row r="2263" ht="15.75" customHeight="1">
      <c r="A2263" s="15">
        <v>45823.41134259259</v>
      </c>
      <c r="B2263" s="16" t="s">
        <v>7129</v>
      </c>
      <c r="C2263" s="16" t="s">
        <v>6591</v>
      </c>
      <c r="D2263" s="16" t="s">
        <v>7130</v>
      </c>
      <c r="E2263" s="16" t="s">
        <v>7184</v>
      </c>
      <c r="F2263" s="16"/>
      <c r="G2263" s="16"/>
      <c r="H2263" s="18"/>
      <c r="I2263" s="18"/>
      <c r="J2263" s="18"/>
      <c r="K2263" s="18"/>
      <c r="L2263" s="18"/>
      <c r="M2263" s="18"/>
      <c r="N2263" s="18"/>
      <c r="O2263" s="18"/>
      <c r="P2263" s="18"/>
      <c r="Q2263" s="19"/>
      <c r="R2263" s="19"/>
      <c r="S2263" s="19"/>
    </row>
    <row r="2264" ht="15.75" customHeight="1">
      <c r="A2264" s="15">
        <v>45823.412303240744</v>
      </c>
      <c r="B2264" s="16" t="s">
        <v>7129</v>
      </c>
      <c r="C2264" s="16" t="s">
        <v>6591</v>
      </c>
      <c r="D2264" s="16" t="s">
        <v>7130</v>
      </c>
      <c r="E2264" s="16" t="s">
        <v>7185</v>
      </c>
      <c r="F2264" s="16"/>
      <c r="G2264" s="16"/>
      <c r="H2264" s="18"/>
      <c r="I2264" s="18"/>
      <c r="J2264" s="18"/>
      <c r="K2264" s="18"/>
      <c r="L2264" s="18"/>
      <c r="M2264" s="18"/>
      <c r="N2264" s="18"/>
      <c r="O2264" s="18"/>
      <c r="P2264" s="18"/>
      <c r="Q2264" s="19"/>
      <c r="R2264" s="19"/>
      <c r="S2264" s="19"/>
    </row>
    <row r="2265" ht="15.75" customHeight="1">
      <c r="A2265" s="15">
        <v>45823.41253472222</v>
      </c>
      <c r="B2265" s="16" t="s">
        <v>7129</v>
      </c>
      <c r="C2265" s="16" t="s">
        <v>6591</v>
      </c>
      <c r="D2265" s="16" t="s">
        <v>7130</v>
      </c>
      <c r="E2265" s="16" t="s">
        <v>7186</v>
      </c>
      <c r="F2265" s="16"/>
      <c r="G2265" s="16"/>
      <c r="H2265" s="18"/>
      <c r="I2265" s="18"/>
      <c r="J2265" s="18"/>
      <c r="K2265" s="18"/>
      <c r="L2265" s="18"/>
      <c r="M2265" s="18"/>
      <c r="N2265" s="18"/>
      <c r="O2265" s="18"/>
      <c r="P2265" s="18"/>
      <c r="Q2265" s="19"/>
      <c r="R2265" s="19"/>
      <c r="S2265" s="19"/>
    </row>
    <row r="2266" ht="15.75" customHeight="1">
      <c r="A2266" s="15">
        <v>45823.41271990741</v>
      </c>
      <c r="B2266" s="16" t="s">
        <v>7129</v>
      </c>
      <c r="C2266" s="16" t="s">
        <v>6591</v>
      </c>
      <c r="D2266" s="16" t="s">
        <v>7130</v>
      </c>
      <c r="E2266" s="16" t="s">
        <v>7187</v>
      </c>
      <c r="F2266" s="16"/>
      <c r="G2266" s="16"/>
      <c r="H2266" s="18"/>
      <c r="I2266" s="18"/>
      <c r="J2266" s="18"/>
      <c r="K2266" s="18"/>
      <c r="L2266" s="18"/>
      <c r="M2266" s="18"/>
      <c r="N2266" s="18"/>
      <c r="O2266" s="18"/>
      <c r="P2266" s="18"/>
      <c r="Q2266" s="19"/>
      <c r="R2266" s="19"/>
      <c r="S2266" s="19"/>
    </row>
    <row r="2267" ht="15.75" customHeight="1">
      <c r="A2267" s="15">
        <v>45823.41736111111</v>
      </c>
      <c r="B2267" s="16" t="s">
        <v>7129</v>
      </c>
      <c r="C2267" s="16" t="s">
        <v>6591</v>
      </c>
      <c r="D2267" s="16" t="s">
        <v>7130</v>
      </c>
      <c r="E2267" s="16" t="s">
        <v>7188</v>
      </c>
      <c r="F2267" s="16"/>
      <c r="G2267" s="16"/>
      <c r="H2267" s="18"/>
      <c r="I2267" s="18"/>
      <c r="J2267" s="18"/>
      <c r="K2267" s="18"/>
      <c r="L2267" s="18"/>
      <c r="M2267" s="18"/>
      <c r="N2267" s="18"/>
      <c r="O2267" s="18"/>
      <c r="P2267" s="18"/>
      <c r="Q2267" s="19"/>
      <c r="R2267" s="19"/>
      <c r="S2267" s="19"/>
    </row>
    <row r="2268" ht="15.75" customHeight="1">
      <c r="A2268" s="15">
        <v>45823.41806712963</v>
      </c>
      <c r="B2268" s="16" t="s">
        <v>7129</v>
      </c>
      <c r="C2268" s="16" t="s">
        <v>6591</v>
      </c>
      <c r="D2268" s="16" t="s">
        <v>7130</v>
      </c>
      <c r="E2268" s="16" t="s">
        <v>7189</v>
      </c>
      <c r="F2268" s="16"/>
      <c r="G2268" s="16"/>
      <c r="H2268" s="18"/>
      <c r="I2268" s="18"/>
      <c r="J2268" s="18"/>
      <c r="K2268" s="18"/>
      <c r="L2268" s="18"/>
      <c r="M2268" s="18"/>
      <c r="N2268" s="18"/>
      <c r="O2268" s="18"/>
      <c r="P2268" s="18"/>
      <c r="Q2268" s="19"/>
      <c r="R2268" s="19"/>
      <c r="S2268" s="19"/>
    </row>
    <row r="2269" ht="15.75" customHeight="1">
      <c r="A2269" s="15">
        <v>45823.43568287037</v>
      </c>
      <c r="B2269" s="16" t="s">
        <v>7129</v>
      </c>
      <c r="C2269" s="16" t="s">
        <v>6591</v>
      </c>
      <c r="D2269" s="16" t="s">
        <v>7130</v>
      </c>
      <c r="E2269" s="16" t="s">
        <v>7190</v>
      </c>
      <c r="F2269" s="16"/>
      <c r="G2269" s="16"/>
      <c r="H2269" s="18"/>
      <c r="I2269" s="18"/>
      <c r="J2269" s="18"/>
      <c r="K2269" s="18"/>
      <c r="L2269" s="18"/>
      <c r="M2269" s="18"/>
      <c r="N2269" s="18"/>
      <c r="O2269" s="18"/>
      <c r="P2269" s="18"/>
      <c r="Q2269" s="19"/>
      <c r="R2269" s="19"/>
      <c r="S2269" s="19"/>
    </row>
    <row r="2270" ht="15.75" customHeight="1">
      <c r="A2270" s="15">
        <v>45823.44840277778</v>
      </c>
      <c r="B2270" s="16" t="s">
        <v>7129</v>
      </c>
      <c r="C2270" s="16" t="s">
        <v>6591</v>
      </c>
      <c r="D2270" s="16" t="s">
        <v>7130</v>
      </c>
      <c r="E2270" s="16" t="s">
        <v>7191</v>
      </c>
      <c r="F2270" s="16"/>
      <c r="G2270" s="16"/>
      <c r="H2270" s="18"/>
      <c r="I2270" s="18"/>
      <c r="J2270" s="18"/>
      <c r="K2270" s="18"/>
      <c r="L2270" s="18"/>
      <c r="M2270" s="18"/>
      <c r="N2270" s="18"/>
      <c r="O2270" s="18"/>
      <c r="P2270" s="18"/>
      <c r="Q2270" s="19"/>
      <c r="R2270" s="19"/>
      <c r="S2270" s="19"/>
    </row>
    <row r="2271" ht="15.75" customHeight="1">
      <c r="A2271" s="15">
        <v>45824.46885416667</v>
      </c>
      <c r="B2271" s="16" t="s">
        <v>7143</v>
      </c>
      <c r="C2271" s="16" t="s">
        <v>6591</v>
      </c>
      <c r="D2271" s="16" t="s">
        <v>7192</v>
      </c>
      <c r="E2271" s="16" t="s">
        <v>7193</v>
      </c>
      <c r="F2271" s="16"/>
      <c r="G2271" s="16"/>
      <c r="H2271" s="18"/>
      <c r="I2271" s="18"/>
      <c r="J2271" s="18"/>
      <c r="K2271" s="18"/>
      <c r="L2271" s="18"/>
      <c r="M2271" s="18"/>
      <c r="N2271" s="18"/>
      <c r="O2271" s="18"/>
      <c r="P2271" s="18"/>
      <c r="Q2271" s="19"/>
      <c r="R2271" s="19"/>
      <c r="S2271" s="19"/>
    </row>
    <row r="2272" ht="15.75" customHeight="1">
      <c r="A2272" s="15">
        <v>45825.46863425926</v>
      </c>
      <c r="B2272" s="16" t="s">
        <v>7143</v>
      </c>
      <c r="C2272" s="16" t="s">
        <v>6591</v>
      </c>
      <c r="D2272" s="16" t="s">
        <v>7194</v>
      </c>
      <c r="E2272" s="16" t="s">
        <v>7195</v>
      </c>
      <c r="F2272" s="16"/>
      <c r="G2272" s="16"/>
      <c r="H2272" s="18"/>
      <c r="I2272" s="18"/>
      <c r="J2272" s="18"/>
      <c r="K2272" s="18"/>
      <c r="L2272" s="18"/>
      <c r="M2272" s="18"/>
      <c r="N2272" s="18"/>
      <c r="O2272" s="18"/>
      <c r="P2272" s="18"/>
      <c r="Q2272" s="19"/>
      <c r="R2272" s="19"/>
      <c r="S2272" s="19"/>
    </row>
    <row r="2273" ht="15.75" customHeight="1">
      <c r="A2273" s="15">
        <v>45826.46861111111</v>
      </c>
      <c r="B2273" s="16" t="s">
        <v>7143</v>
      </c>
      <c r="C2273" s="16" t="s">
        <v>6591</v>
      </c>
      <c r="D2273" s="16" t="s">
        <v>7196</v>
      </c>
      <c r="E2273" s="16" t="s">
        <v>7197</v>
      </c>
      <c r="F2273" s="16"/>
      <c r="G2273" s="16"/>
      <c r="H2273" s="18"/>
      <c r="I2273" s="18"/>
      <c r="J2273" s="18"/>
      <c r="K2273" s="18"/>
      <c r="L2273" s="18"/>
      <c r="M2273" s="18"/>
      <c r="N2273" s="18"/>
      <c r="O2273" s="18"/>
      <c r="P2273" s="18"/>
      <c r="Q2273" s="19"/>
      <c r="R2273" s="19"/>
      <c r="S2273" s="19"/>
    </row>
    <row r="2274" ht="15.75" customHeight="1">
      <c r="A2274" s="15">
        <v>45826.45076388889</v>
      </c>
      <c r="B2274" s="16" t="s">
        <v>7129</v>
      </c>
      <c r="C2274" s="16" t="s">
        <v>6591</v>
      </c>
      <c r="D2274" s="16" t="s">
        <v>7198</v>
      </c>
      <c r="E2274" s="16" t="s">
        <v>7199</v>
      </c>
      <c r="F2274" s="16"/>
      <c r="G2274" s="16"/>
      <c r="H2274" s="18"/>
      <c r="I2274" s="18"/>
      <c r="J2274" s="18"/>
      <c r="K2274" s="18"/>
      <c r="L2274" s="18"/>
      <c r="M2274" s="18"/>
      <c r="N2274" s="18"/>
      <c r="O2274" s="18"/>
      <c r="P2274" s="18"/>
      <c r="Q2274" s="19"/>
      <c r="R2274" s="19"/>
      <c r="S2274" s="19"/>
    </row>
    <row r="2275" ht="15.75" customHeight="1">
      <c r="A2275" s="15">
        <v>45826.45171296296</v>
      </c>
      <c r="B2275" s="16" t="s">
        <v>7129</v>
      </c>
      <c r="C2275" s="16" t="s">
        <v>6591</v>
      </c>
      <c r="D2275" s="16" t="s">
        <v>7130</v>
      </c>
      <c r="E2275" s="16" t="s">
        <v>7200</v>
      </c>
      <c r="F2275" s="16"/>
      <c r="G2275" s="16"/>
      <c r="H2275" s="18"/>
      <c r="I2275" s="18"/>
      <c r="J2275" s="18"/>
      <c r="K2275" s="18"/>
      <c r="L2275" s="18"/>
      <c r="M2275" s="18"/>
      <c r="N2275" s="18"/>
      <c r="O2275" s="18"/>
      <c r="P2275" s="18"/>
      <c r="Q2275" s="19"/>
      <c r="R2275" s="19"/>
      <c r="S2275" s="19"/>
    </row>
    <row r="2276" ht="15.75" customHeight="1">
      <c r="A2276" s="15">
        <v>45826.45224537037</v>
      </c>
      <c r="B2276" s="16" t="s">
        <v>7129</v>
      </c>
      <c r="C2276" s="16" t="s">
        <v>6591</v>
      </c>
      <c r="D2276" s="16" t="s">
        <v>7130</v>
      </c>
      <c r="E2276" s="16" t="s">
        <v>7201</v>
      </c>
      <c r="F2276" s="16"/>
      <c r="G2276" s="16"/>
      <c r="H2276" s="18"/>
      <c r="I2276" s="18"/>
      <c r="J2276" s="18"/>
      <c r="K2276" s="18"/>
      <c r="L2276" s="18"/>
      <c r="M2276" s="18"/>
      <c r="N2276" s="18"/>
      <c r="O2276" s="18"/>
      <c r="P2276" s="18"/>
      <c r="Q2276" s="19"/>
      <c r="R2276" s="19"/>
      <c r="S2276" s="19"/>
    </row>
    <row r="2277" ht="15.75" customHeight="1">
      <c r="A2277" s="15">
        <v>45826.45309027778</v>
      </c>
      <c r="B2277" s="16" t="s">
        <v>7129</v>
      </c>
      <c r="C2277" s="16" t="s">
        <v>6591</v>
      </c>
      <c r="D2277" s="16" t="s">
        <v>7130</v>
      </c>
      <c r="E2277" s="16" t="s">
        <v>7202</v>
      </c>
      <c r="F2277" s="16"/>
      <c r="G2277" s="16"/>
      <c r="H2277" s="18"/>
      <c r="I2277" s="18"/>
      <c r="J2277" s="18"/>
      <c r="K2277" s="18"/>
      <c r="L2277" s="18"/>
      <c r="M2277" s="18"/>
      <c r="N2277" s="18"/>
      <c r="O2277" s="18"/>
      <c r="P2277" s="18"/>
      <c r="Q2277" s="19"/>
      <c r="R2277" s="19"/>
      <c r="S2277" s="19"/>
    </row>
    <row r="2278" ht="15.75" customHeight="1">
      <c r="A2278" s="15">
        <v>45826.45394675926</v>
      </c>
      <c r="B2278" s="16" t="s">
        <v>7129</v>
      </c>
      <c r="C2278" s="16" t="s">
        <v>6591</v>
      </c>
      <c r="D2278" s="16" t="s">
        <v>7130</v>
      </c>
      <c r="E2278" s="16" t="s">
        <v>7203</v>
      </c>
      <c r="F2278" s="16"/>
      <c r="G2278" s="16"/>
      <c r="H2278" s="18"/>
      <c r="I2278" s="18"/>
      <c r="J2278" s="18"/>
      <c r="K2278" s="18"/>
      <c r="L2278" s="18"/>
      <c r="M2278" s="18"/>
      <c r="N2278" s="18"/>
      <c r="O2278" s="18"/>
      <c r="P2278" s="18"/>
      <c r="Q2278" s="19"/>
      <c r="R2278" s="19"/>
      <c r="S2278" s="19"/>
    </row>
    <row r="2279" ht="15.75" customHeight="1">
      <c r="A2279" s="15">
        <v>45826.45501157407</v>
      </c>
      <c r="B2279" s="16" t="s">
        <v>7129</v>
      </c>
      <c r="C2279" s="16" t="s">
        <v>6591</v>
      </c>
      <c r="D2279" s="16" t="s">
        <v>7130</v>
      </c>
      <c r="E2279" s="16" t="s">
        <v>7204</v>
      </c>
      <c r="F2279" s="16"/>
      <c r="G2279" s="16"/>
      <c r="H2279" s="18"/>
      <c r="I2279" s="18"/>
      <c r="J2279" s="18"/>
      <c r="K2279" s="18"/>
      <c r="L2279" s="18"/>
      <c r="M2279" s="18"/>
      <c r="N2279" s="18"/>
      <c r="O2279" s="18"/>
      <c r="P2279" s="18"/>
      <c r="Q2279" s="19"/>
      <c r="R2279" s="19"/>
      <c r="S2279" s="19"/>
    </row>
    <row r="2280" ht="15.75" customHeight="1">
      <c r="A2280" s="15">
        <v>45826.48542824074</v>
      </c>
      <c r="B2280" s="16" t="s">
        <v>7129</v>
      </c>
      <c r="C2280" s="16" t="s">
        <v>6591</v>
      </c>
      <c r="D2280" s="16" t="s">
        <v>7198</v>
      </c>
      <c r="E2280" s="16" t="s">
        <v>7205</v>
      </c>
      <c r="F2280" s="16"/>
      <c r="G2280" s="16"/>
      <c r="H2280" s="18"/>
      <c r="I2280" s="18"/>
      <c r="J2280" s="18"/>
      <c r="K2280" s="18"/>
      <c r="L2280" s="18"/>
      <c r="M2280" s="18"/>
      <c r="N2280" s="18"/>
      <c r="O2280" s="18"/>
      <c r="P2280" s="18"/>
      <c r="Q2280" s="19"/>
      <c r="R2280" s="19"/>
      <c r="S2280" s="19"/>
    </row>
    <row r="2281" ht="15.75" customHeight="1">
      <c r="A2281" s="15">
        <v>45826.48568287037</v>
      </c>
      <c r="B2281" s="16" t="s">
        <v>7129</v>
      </c>
      <c r="C2281" s="16" t="s">
        <v>6591</v>
      </c>
      <c r="D2281" s="16" t="s">
        <v>7198</v>
      </c>
      <c r="E2281" s="16" t="s">
        <v>7206</v>
      </c>
      <c r="F2281" s="16"/>
      <c r="G2281" s="16"/>
      <c r="H2281" s="18"/>
      <c r="I2281" s="18"/>
      <c r="J2281" s="18"/>
      <c r="K2281" s="18"/>
      <c r="L2281" s="18"/>
      <c r="M2281" s="18"/>
      <c r="N2281" s="18"/>
      <c r="O2281" s="18"/>
      <c r="P2281" s="18"/>
      <c r="Q2281" s="19"/>
      <c r="R2281" s="19"/>
      <c r="S2281" s="19"/>
    </row>
    <row r="2282" ht="15.75" customHeight="1">
      <c r="A2282" s="15">
        <v>45826.486030092594</v>
      </c>
      <c r="B2282" s="16" t="s">
        <v>7129</v>
      </c>
      <c r="C2282" s="16" t="s">
        <v>6591</v>
      </c>
      <c r="D2282" s="16" t="s">
        <v>7130</v>
      </c>
      <c r="E2282" s="16" t="s">
        <v>7207</v>
      </c>
      <c r="F2282" s="16"/>
      <c r="G2282" s="16"/>
      <c r="H2282" s="18"/>
      <c r="I2282" s="18"/>
      <c r="J2282" s="18"/>
      <c r="K2282" s="18"/>
      <c r="L2282" s="18"/>
      <c r="M2282" s="18"/>
      <c r="N2282" s="18"/>
      <c r="O2282" s="18"/>
      <c r="P2282" s="18"/>
      <c r="Q2282" s="19"/>
      <c r="R2282" s="19"/>
      <c r="S2282" s="19"/>
    </row>
    <row r="2283" ht="15.75" customHeight="1">
      <c r="A2283" s="15">
        <v>45826.48645833333</v>
      </c>
      <c r="B2283" s="16" t="s">
        <v>7129</v>
      </c>
      <c r="C2283" s="16" t="s">
        <v>6591</v>
      </c>
      <c r="D2283" s="16" t="s">
        <v>7130</v>
      </c>
      <c r="E2283" s="16" t="s">
        <v>7208</v>
      </c>
      <c r="F2283" s="16"/>
      <c r="G2283" s="16"/>
      <c r="H2283" s="18"/>
      <c r="I2283" s="18"/>
      <c r="J2283" s="18"/>
      <c r="K2283" s="18"/>
      <c r="L2283" s="18"/>
      <c r="M2283" s="18"/>
      <c r="N2283" s="18"/>
      <c r="O2283" s="18"/>
      <c r="P2283" s="18"/>
      <c r="Q2283" s="19"/>
      <c r="R2283" s="19"/>
      <c r="S2283" s="19"/>
    </row>
    <row r="2284" ht="15.75" customHeight="1">
      <c r="A2284" s="15">
        <v>45826.49159722222</v>
      </c>
      <c r="B2284" s="16" t="s">
        <v>7129</v>
      </c>
      <c r="C2284" s="16" t="s">
        <v>6591</v>
      </c>
      <c r="D2284" s="16" t="s">
        <v>7209</v>
      </c>
      <c r="E2284" s="16" t="s">
        <v>7210</v>
      </c>
      <c r="F2284" s="16"/>
      <c r="G2284" s="16"/>
      <c r="H2284" s="18"/>
      <c r="I2284" s="18"/>
      <c r="J2284" s="18"/>
      <c r="K2284" s="18"/>
      <c r="L2284" s="18"/>
      <c r="M2284" s="18"/>
      <c r="N2284" s="18"/>
      <c r="O2284" s="18"/>
      <c r="P2284" s="18"/>
      <c r="Q2284" s="19"/>
      <c r="R2284" s="19"/>
      <c r="S2284" s="19"/>
    </row>
    <row r="2285" ht="15.75" customHeight="1">
      <c r="A2285" s="15">
        <v>45826.491944444446</v>
      </c>
      <c r="B2285" s="16" t="s">
        <v>7129</v>
      </c>
      <c r="C2285" s="16" t="s">
        <v>6591</v>
      </c>
      <c r="D2285" s="16" t="s">
        <v>7209</v>
      </c>
      <c r="E2285" s="16" t="s">
        <v>7211</v>
      </c>
      <c r="F2285" s="16"/>
      <c r="G2285" s="16"/>
      <c r="H2285" s="18"/>
      <c r="I2285" s="18"/>
      <c r="J2285" s="18"/>
      <c r="K2285" s="18"/>
      <c r="L2285" s="18"/>
      <c r="M2285" s="18"/>
      <c r="N2285" s="18"/>
      <c r="O2285" s="18"/>
      <c r="P2285" s="18"/>
      <c r="Q2285" s="19"/>
      <c r="R2285" s="19"/>
      <c r="S2285" s="19"/>
    </row>
    <row r="2286" ht="15.75" customHeight="1">
      <c r="A2286" s="15">
        <v>45826.493576388886</v>
      </c>
      <c r="B2286" s="16" t="s">
        <v>7129</v>
      </c>
      <c r="C2286" s="16" t="s">
        <v>6591</v>
      </c>
      <c r="D2286" s="16" t="s">
        <v>7209</v>
      </c>
      <c r="E2286" s="16" t="s">
        <v>7212</v>
      </c>
      <c r="F2286" s="16"/>
      <c r="G2286" s="16"/>
      <c r="H2286" s="18"/>
      <c r="I2286" s="18"/>
      <c r="J2286" s="18"/>
      <c r="K2286" s="18"/>
      <c r="L2286" s="18"/>
      <c r="M2286" s="18"/>
      <c r="N2286" s="18"/>
      <c r="O2286" s="18"/>
      <c r="P2286" s="18"/>
      <c r="Q2286" s="19"/>
      <c r="R2286" s="19"/>
      <c r="S2286" s="19"/>
    </row>
    <row r="2287" ht="15.75" customHeight="1">
      <c r="A2287" s="15">
        <v>45827.468877314815</v>
      </c>
      <c r="B2287" s="16" t="s">
        <v>7143</v>
      </c>
      <c r="C2287" s="16" t="s">
        <v>6591</v>
      </c>
      <c r="D2287" s="16" t="s">
        <v>7213</v>
      </c>
      <c r="E2287" s="16" t="s">
        <v>7214</v>
      </c>
      <c r="F2287" s="16"/>
      <c r="G2287" s="16"/>
      <c r="H2287" s="18"/>
      <c r="I2287" s="18"/>
      <c r="J2287" s="18"/>
      <c r="K2287" s="18"/>
      <c r="L2287" s="18"/>
      <c r="M2287" s="18"/>
      <c r="N2287" s="18"/>
      <c r="O2287" s="18"/>
      <c r="P2287" s="18"/>
      <c r="Q2287" s="19"/>
      <c r="R2287" s="19"/>
      <c r="S2287" s="19"/>
    </row>
    <row r="2288" ht="15.75" customHeight="1">
      <c r="A2288" s="15">
        <v>45827.87196759259</v>
      </c>
      <c r="B2288" s="16" t="s">
        <v>7157</v>
      </c>
      <c r="C2288" s="16" t="s">
        <v>6591</v>
      </c>
      <c r="D2288" s="16" t="s">
        <v>7215</v>
      </c>
      <c r="E2288" s="16" t="s">
        <v>7216</v>
      </c>
      <c r="F2288" s="16"/>
      <c r="G2288" s="16"/>
      <c r="H2288" s="18"/>
      <c r="I2288" s="18"/>
      <c r="J2288" s="18"/>
      <c r="K2288" s="18"/>
      <c r="L2288" s="18"/>
      <c r="M2288" s="18"/>
      <c r="N2288" s="18"/>
      <c r="O2288" s="18"/>
      <c r="P2288" s="18"/>
      <c r="Q2288" s="19"/>
      <c r="R2288" s="19"/>
      <c r="S2288" s="19"/>
    </row>
    <row r="2289" ht="15.75" customHeight="1">
      <c r="A2289" s="15">
        <v>45827.92186342592</v>
      </c>
      <c r="B2289" s="16" t="s">
        <v>7157</v>
      </c>
      <c r="C2289" s="16" t="s">
        <v>6591</v>
      </c>
      <c r="D2289" s="16" t="s">
        <v>7215</v>
      </c>
      <c r="E2289" s="16" t="s">
        <v>7217</v>
      </c>
      <c r="F2289" s="16"/>
      <c r="G2289" s="16"/>
      <c r="H2289" s="18"/>
      <c r="I2289" s="18"/>
      <c r="J2289" s="18"/>
      <c r="K2289" s="18"/>
      <c r="L2289" s="18"/>
      <c r="M2289" s="18"/>
      <c r="N2289" s="18"/>
      <c r="O2289" s="18"/>
      <c r="P2289" s="18"/>
      <c r="Q2289" s="19"/>
      <c r="R2289" s="19"/>
      <c r="S2289" s="19"/>
    </row>
    <row r="2290" ht="15.75" customHeight="1">
      <c r="A2290" s="15">
        <v>45827.92454861111</v>
      </c>
      <c r="B2290" s="16" t="s">
        <v>7157</v>
      </c>
      <c r="C2290" s="16" t="s">
        <v>6591</v>
      </c>
      <c r="D2290" s="16" t="s">
        <v>7215</v>
      </c>
      <c r="E2290" s="16" t="s">
        <v>7218</v>
      </c>
      <c r="F2290" s="16"/>
      <c r="G2290" s="16"/>
      <c r="H2290" s="18"/>
      <c r="I2290" s="18"/>
      <c r="J2290" s="18"/>
      <c r="K2290" s="18"/>
      <c r="L2290" s="18"/>
      <c r="M2290" s="18"/>
      <c r="N2290" s="18"/>
      <c r="O2290" s="18"/>
      <c r="P2290" s="18"/>
      <c r="Q2290" s="19"/>
      <c r="R2290" s="19"/>
      <c r="S2290" s="19"/>
    </row>
    <row r="2291" ht="15.75" customHeight="1">
      <c r="A2291" s="15">
        <v>45827.927453703705</v>
      </c>
      <c r="B2291" s="16" t="s">
        <v>7157</v>
      </c>
      <c r="C2291" s="16" t="s">
        <v>6591</v>
      </c>
      <c r="D2291" s="16" t="s">
        <v>7215</v>
      </c>
      <c r="E2291" s="16" t="s">
        <v>7219</v>
      </c>
      <c r="F2291" s="16"/>
      <c r="G2291" s="16"/>
      <c r="H2291" s="18"/>
      <c r="I2291" s="18"/>
      <c r="J2291" s="18"/>
      <c r="K2291" s="18"/>
      <c r="L2291" s="18"/>
      <c r="M2291" s="18"/>
      <c r="N2291" s="18"/>
      <c r="O2291" s="18"/>
      <c r="P2291" s="18"/>
      <c r="Q2291" s="19"/>
      <c r="R2291" s="19"/>
      <c r="S2291" s="19"/>
    </row>
    <row r="2292" ht="15.75" customHeight="1">
      <c r="A2292" s="15">
        <v>45828.4687037037</v>
      </c>
      <c r="B2292" s="16" t="s">
        <v>7143</v>
      </c>
      <c r="C2292" s="16" t="s">
        <v>6591</v>
      </c>
      <c r="D2292" s="16" t="s">
        <v>7220</v>
      </c>
      <c r="E2292" s="16" t="s">
        <v>7221</v>
      </c>
      <c r="F2292" s="16"/>
      <c r="G2292" s="16"/>
      <c r="H2292" s="18"/>
      <c r="I2292" s="18"/>
      <c r="J2292" s="18"/>
      <c r="K2292" s="18"/>
      <c r="L2292" s="18"/>
      <c r="M2292" s="18"/>
      <c r="N2292" s="18"/>
      <c r="O2292" s="18"/>
      <c r="P2292" s="18"/>
      <c r="Q2292" s="19"/>
      <c r="R2292" s="19"/>
      <c r="S2292" s="19"/>
    </row>
    <row r="2293" ht="15.75" customHeight="1">
      <c r="A2293" s="15">
        <v>45828.48982638889</v>
      </c>
      <c r="B2293" s="16" t="s">
        <v>7157</v>
      </c>
      <c r="C2293" s="16" t="s">
        <v>6591</v>
      </c>
      <c r="D2293" s="16" t="s">
        <v>7215</v>
      </c>
      <c r="E2293" s="16" t="s">
        <v>7222</v>
      </c>
      <c r="F2293" s="16"/>
      <c r="G2293" s="16"/>
      <c r="H2293" s="18"/>
      <c r="I2293" s="18"/>
      <c r="J2293" s="18"/>
      <c r="K2293" s="18"/>
      <c r="L2293" s="18"/>
      <c r="M2293" s="18"/>
      <c r="N2293" s="18"/>
      <c r="O2293" s="18"/>
      <c r="P2293" s="18"/>
      <c r="Q2293" s="19"/>
      <c r="R2293" s="19"/>
      <c r="S2293" s="19"/>
    </row>
    <row r="2294" ht="15.75" customHeight="1">
      <c r="A2294" s="15">
        <v>45828.490439814814</v>
      </c>
      <c r="B2294" s="16" t="s">
        <v>7157</v>
      </c>
      <c r="C2294" s="16" t="s">
        <v>6591</v>
      </c>
      <c r="D2294" s="16" t="s">
        <v>7215</v>
      </c>
      <c r="E2294" s="16" t="s">
        <v>7223</v>
      </c>
      <c r="F2294" s="16"/>
      <c r="G2294" s="16"/>
      <c r="H2294" s="18"/>
      <c r="I2294" s="18"/>
      <c r="J2294" s="18"/>
      <c r="K2294" s="18"/>
      <c r="L2294" s="18"/>
      <c r="M2294" s="18"/>
      <c r="N2294" s="18"/>
      <c r="O2294" s="18"/>
      <c r="P2294" s="18"/>
      <c r="Q2294" s="19"/>
      <c r="R2294" s="19"/>
      <c r="S2294" s="19"/>
    </row>
    <row r="2295" ht="15.75" customHeight="1">
      <c r="A2295" s="15">
        <v>45828.49081018518</v>
      </c>
      <c r="B2295" s="16" t="s">
        <v>7157</v>
      </c>
      <c r="C2295" s="16" t="s">
        <v>6591</v>
      </c>
      <c r="D2295" s="16" t="s">
        <v>7215</v>
      </c>
      <c r="E2295" s="16" t="s">
        <v>7224</v>
      </c>
      <c r="F2295" s="16"/>
      <c r="G2295" s="16"/>
      <c r="H2295" s="18"/>
      <c r="I2295" s="18"/>
      <c r="J2295" s="18"/>
      <c r="K2295" s="18"/>
      <c r="L2295" s="18"/>
      <c r="M2295" s="18"/>
      <c r="N2295" s="18"/>
      <c r="O2295" s="18"/>
      <c r="P2295" s="18"/>
      <c r="Q2295" s="19"/>
      <c r="R2295" s="19"/>
      <c r="S2295" s="19"/>
    </row>
    <row r="2296" ht="15.75" customHeight="1">
      <c r="A2296" s="15">
        <v>45828.669803240744</v>
      </c>
      <c r="B2296" s="16" t="s">
        <v>6628</v>
      </c>
      <c r="C2296" s="16" t="s">
        <v>6591</v>
      </c>
      <c r="D2296" s="16" t="s">
        <v>7225</v>
      </c>
      <c r="E2296" s="16" t="s">
        <v>7226</v>
      </c>
      <c r="F2296" s="16"/>
      <c r="G2296" s="16"/>
      <c r="H2296" s="18"/>
      <c r="I2296" s="18"/>
      <c r="J2296" s="18"/>
      <c r="K2296" s="18"/>
      <c r="L2296" s="18"/>
      <c r="M2296" s="18"/>
      <c r="N2296" s="18"/>
      <c r="O2296" s="18"/>
      <c r="P2296" s="18"/>
      <c r="Q2296" s="19"/>
      <c r="R2296" s="19"/>
      <c r="S2296" s="19"/>
    </row>
    <row r="2297" ht="15.75" customHeight="1">
      <c r="A2297" s="15">
        <v>45828.6834375</v>
      </c>
      <c r="B2297" s="16" t="s">
        <v>6628</v>
      </c>
      <c r="C2297" s="16" t="s">
        <v>6591</v>
      </c>
      <c r="D2297" s="16" t="s">
        <v>7225</v>
      </c>
      <c r="E2297" s="16" t="s">
        <v>7227</v>
      </c>
      <c r="F2297" s="16"/>
      <c r="G2297" s="16"/>
      <c r="H2297" s="18"/>
      <c r="I2297" s="18"/>
      <c r="J2297" s="18"/>
      <c r="K2297" s="18"/>
      <c r="L2297" s="18"/>
      <c r="M2297" s="18"/>
      <c r="N2297" s="18"/>
      <c r="O2297" s="18"/>
      <c r="P2297" s="18"/>
      <c r="Q2297" s="19"/>
      <c r="R2297" s="19"/>
      <c r="S2297" s="19"/>
    </row>
    <row r="2298" ht="15.75" customHeight="1">
      <c r="A2298" s="15">
        <v>45829.4687962963</v>
      </c>
      <c r="B2298" s="16" t="s">
        <v>7143</v>
      </c>
      <c r="C2298" s="16" t="s">
        <v>6591</v>
      </c>
      <c r="D2298" s="16" t="s">
        <v>7228</v>
      </c>
      <c r="E2298" s="16" t="s">
        <v>7229</v>
      </c>
      <c r="F2298" s="16"/>
      <c r="G2298" s="16"/>
      <c r="H2298" s="18"/>
      <c r="I2298" s="18"/>
      <c r="J2298" s="18"/>
      <c r="K2298" s="18"/>
      <c r="L2298" s="18"/>
      <c r="M2298" s="18"/>
      <c r="N2298" s="18"/>
      <c r="O2298" s="18"/>
      <c r="P2298" s="18"/>
      <c r="Q2298" s="19"/>
      <c r="R2298" s="19"/>
      <c r="S2298" s="19"/>
    </row>
    <row r="2299" ht="15.75" customHeight="1">
      <c r="A2299" s="15">
        <v>45830.91900462963</v>
      </c>
      <c r="B2299" s="16" t="s">
        <v>6591</v>
      </c>
      <c r="C2299" s="16" t="s">
        <v>6591</v>
      </c>
      <c r="D2299" s="16" t="s">
        <v>7230</v>
      </c>
      <c r="E2299" s="16" t="s">
        <v>7231</v>
      </c>
      <c r="F2299" s="16"/>
      <c r="G2299" s="16"/>
      <c r="H2299" s="18"/>
      <c r="I2299" s="18"/>
      <c r="J2299" s="18"/>
      <c r="K2299" s="18"/>
      <c r="L2299" s="18"/>
      <c r="M2299" s="18"/>
      <c r="N2299" s="18"/>
      <c r="O2299" s="18"/>
      <c r="P2299" s="18"/>
      <c r="Q2299" s="19"/>
      <c r="R2299" s="19"/>
      <c r="S2299" s="19"/>
    </row>
    <row r="2300" ht="15.75" customHeight="1">
      <c r="A2300" s="15">
        <v>45831.46869212963</v>
      </c>
      <c r="B2300" s="16" t="s">
        <v>7143</v>
      </c>
      <c r="C2300" s="16" t="s">
        <v>6591</v>
      </c>
      <c r="D2300" s="16" t="s">
        <v>7232</v>
      </c>
      <c r="E2300" s="16" t="s">
        <v>7233</v>
      </c>
      <c r="F2300" s="16"/>
      <c r="G2300" s="16"/>
      <c r="H2300" s="18"/>
      <c r="I2300" s="18"/>
      <c r="J2300" s="18"/>
      <c r="K2300" s="18"/>
      <c r="L2300" s="18"/>
      <c r="M2300" s="18"/>
      <c r="N2300" s="18"/>
      <c r="O2300" s="18"/>
      <c r="P2300" s="18"/>
      <c r="Q2300" s="19"/>
      <c r="R2300" s="19"/>
      <c r="S2300" s="19"/>
    </row>
    <row r="2301" ht="15.75" customHeight="1">
      <c r="A2301" s="15">
        <v>45832.46885416667</v>
      </c>
      <c r="B2301" s="16" t="s">
        <v>7143</v>
      </c>
      <c r="C2301" s="16" t="s">
        <v>6591</v>
      </c>
      <c r="D2301" s="16" t="s">
        <v>7234</v>
      </c>
      <c r="E2301" s="16" t="s">
        <v>7235</v>
      </c>
      <c r="F2301" s="16"/>
      <c r="G2301" s="16"/>
      <c r="H2301" s="18"/>
      <c r="I2301" s="18"/>
      <c r="J2301" s="18"/>
      <c r="K2301" s="18"/>
      <c r="L2301" s="18"/>
      <c r="M2301" s="18"/>
      <c r="N2301" s="18"/>
      <c r="O2301" s="18"/>
      <c r="P2301" s="18"/>
      <c r="Q2301" s="19"/>
      <c r="R2301" s="19"/>
      <c r="S2301" s="19"/>
    </row>
    <row r="2302" ht="15.75" customHeight="1">
      <c r="A2302" s="15">
        <v>45832.55806712963</v>
      </c>
      <c r="B2302" s="16" t="s">
        <v>7129</v>
      </c>
      <c r="C2302" s="16" t="s">
        <v>6591</v>
      </c>
      <c r="D2302" s="16" t="s">
        <v>7236</v>
      </c>
      <c r="E2302" s="16" t="s">
        <v>7237</v>
      </c>
      <c r="F2302" s="16"/>
      <c r="G2302" s="16"/>
      <c r="H2302" s="18"/>
      <c r="I2302" s="18"/>
      <c r="J2302" s="18"/>
      <c r="K2302" s="18"/>
      <c r="L2302" s="18"/>
      <c r="M2302" s="18"/>
      <c r="N2302" s="18"/>
      <c r="O2302" s="18"/>
      <c r="P2302" s="18"/>
      <c r="Q2302" s="19"/>
      <c r="R2302" s="19"/>
      <c r="S2302" s="19"/>
    </row>
    <row r="2303" ht="15.75" customHeight="1">
      <c r="A2303" s="15">
        <v>45832.78954861111</v>
      </c>
      <c r="B2303" s="16" t="s">
        <v>7129</v>
      </c>
      <c r="C2303" s="16" t="s">
        <v>6591</v>
      </c>
      <c r="D2303" s="16" t="s">
        <v>7236</v>
      </c>
      <c r="E2303" s="16" t="s">
        <v>7238</v>
      </c>
      <c r="F2303" s="16"/>
      <c r="G2303" s="16"/>
      <c r="H2303" s="18"/>
      <c r="I2303" s="18"/>
      <c r="J2303" s="18"/>
      <c r="K2303" s="18"/>
      <c r="L2303" s="18"/>
      <c r="M2303" s="18"/>
      <c r="N2303" s="18"/>
      <c r="O2303" s="18"/>
      <c r="P2303" s="18"/>
      <c r="Q2303" s="19"/>
      <c r="R2303" s="19"/>
      <c r="S2303" s="19"/>
    </row>
    <row r="2304" ht="15.75" customHeight="1">
      <c r="A2304" s="15">
        <v>45832.79033564815</v>
      </c>
      <c r="B2304" s="16" t="s">
        <v>7129</v>
      </c>
      <c r="C2304" s="16" t="s">
        <v>6591</v>
      </c>
      <c r="D2304" s="16" t="s">
        <v>7236</v>
      </c>
      <c r="E2304" s="16" t="s">
        <v>7239</v>
      </c>
      <c r="F2304" s="16"/>
      <c r="G2304" s="16"/>
      <c r="H2304" s="18"/>
      <c r="I2304" s="18"/>
      <c r="J2304" s="18"/>
      <c r="K2304" s="18"/>
      <c r="L2304" s="18"/>
      <c r="M2304" s="18"/>
      <c r="N2304" s="18"/>
      <c r="O2304" s="18"/>
      <c r="P2304" s="18"/>
      <c r="Q2304" s="19"/>
      <c r="R2304" s="19"/>
      <c r="S2304" s="19"/>
    </row>
    <row r="2305" ht="15.75" customHeight="1">
      <c r="A2305" s="15">
        <v>45832.80085648148</v>
      </c>
      <c r="B2305" s="16" t="s">
        <v>7129</v>
      </c>
      <c r="C2305" s="16" t="s">
        <v>6591</v>
      </c>
      <c r="D2305" s="16" t="s">
        <v>7236</v>
      </c>
      <c r="E2305" s="16" t="s">
        <v>7240</v>
      </c>
      <c r="F2305" s="16"/>
      <c r="G2305" s="16"/>
      <c r="H2305" s="18"/>
      <c r="I2305" s="18"/>
      <c r="J2305" s="18"/>
      <c r="K2305" s="18"/>
      <c r="L2305" s="18"/>
      <c r="M2305" s="18"/>
      <c r="N2305" s="18"/>
      <c r="O2305" s="18"/>
      <c r="P2305" s="18"/>
      <c r="Q2305" s="19"/>
      <c r="R2305" s="19"/>
      <c r="S2305" s="19"/>
    </row>
    <row r="2306" ht="15.75" customHeight="1">
      <c r="A2306" s="15">
        <v>45832.85664351852</v>
      </c>
      <c r="B2306" s="16" t="s">
        <v>7129</v>
      </c>
      <c r="C2306" s="16" t="s">
        <v>6591</v>
      </c>
      <c r="D2306" s="16" t="s">
        <v>7236</v>
      </c>
      <c r="E2306" s="16" t="s">
        <v>7241</v>
      </c>
      <c r="F2306" s="16"/>
      <c r="G2306" s="16"/>
      <c r="H2306" s="18"/>
      <c r="I2306" s="18"/>
      <c r="J2306" s="18"/>
      <c r="K2306" s="18"/>
      <c r="L2306" s="18"/>
      <c r="M2306" s="18"/>
      <c r="N2306" s="18"/>
      <c r="O2306" s="18"/>
      <c r="P2306" s="18"/>
      <c r="Q2306" s="19"/>
      <c r="R2306" s="19"/>
      <c r="S2306" s="19"/>
    </row>
    <row r="2307" ht="15.75" customHeight="1">
      <c r="A2307" s="15">
        <v>45832.861712962964</v>
      </c>
      <c r="B2307" s="16" t="s">
        <v>7129</v>
      </c>
      <c r="C2307" s="16" t="s">
        <v>6591</v>
      </c>
      <c r="D2307" s="16" t="s">
        <v>7236</v>
      </c>
      <c r="E2307" s="16" t="s">
        <v>7242</v>
      </c>
      <c r="F2307" s="16"/>
      <c r="G2307" s="16"/>
      <c r="H2307" s="18"/>
      <c r="I2307" s="18"/>
      <c r="J2307" s="18"/>
      <c r="K2307" s="18"/>
      <c r="L2307" s="18"/>
      <c r="M2307" s="18"/>
      <c r="N2307" s="18"/>
      <c r="O2307" s="18"/>
      <c r="P2307" s="18"/>
      <c r="Q2307" s="19"/>
      <c r="R2307" s="19"/>
      <c r="S2307" s="19"/>
    </row>
    <row r="2308" ht="15.75" customHeight="1">
      <c r="A2308" s="15">
        <v>45833.46865740741</v>
      </c>
      <c r="B2308" s="16" t="s">
        <v>7143</v>
      </c>
      <c r="C2308" s="16" t="s">
        <v>6591</v>
      </c>
      <c r="D2308" s="16" t="s">
        <v>7243</v>
      </c>
      <c r="E2308" s="16" t="s">
        <v>7244</v>
      </c>
      <c r="F2308" s="16"/>
      <c r="G2308" s="16"/>
      <c r="H2308" s="18"/>
      <c r="I2308" s="18"/>
      <c r="J2308" s="18"/>
      <c r="K2308" s="18"/>
      <c r="L2308" s="18"/>
      <c r="M2308" s="18"/>
      <c r="N2308" s="18"/>
      <c r="O2308" s="18"/>
      <c r="P2308" s="18"/>
      <c r="Q2308" s="19"/>
      <c r="R2308" s="19"/>
      <c r="S2308" s="19"/>
    </row>
    <row r="2309" ht="15.75" customHeight="1">
      <c r="A2309" s="15">
        <v>45834.342685185184</v>
      </c>
      <c r="B2309" s="16" t="s">
        <v>7129</v>
      </c>
      <c r="C2309" s="16" t="s">
        <v>6591</v>
      </c>
      <c r="D2309" s="16" t="s">
        <v>7245</v>
      </c>
      <c r="E2309" s="16" t="s">
        <v>7246</v>
      </c>
      <c r="F2309" s="16"/>
      <c r="G2309" s="16"/>
      <c r="H2309" s="18"/>
      <c r="I2309" s="18"/>
      <c r="J2309" s="18"/>
      <c r="K2309" s="18"/>
      <c r="L2309" s="18"/>
      <c r="M2309" s="18"/>
      <c r="N2309" s="18"/>
      <c r="O2309" s="18"/>
      <c r="P2309" s="18"/>
      <c r="Q2309" s="19"/>
      <c r="R2309" s="19"/>
      <c r="S2309" s="19"/>
    </row>
    <row r="2310" ht="15.75" customHeight="1">
      <c r="A2310" s="15">
        <v>45834.46871527778</v>
      </c>
      <c r="B2310" s="16" t="s">
        <v>7143</v>
      </c>
      <c r="C2310" s="16" t="s">
        <v>6591</v>
      </c>
      <c r="D2310" s="16" t="s">
        <v>7247</v>
      </c>
      <c r="E2310" s="16" t="s">
        <v>7248</v>
      </c>
      <c r="F2310" s="16"/>
      <c r="G2310" s="16"/>
      <c r="H2310" s="18"/>
      <c r="I2310" s="18"/>
      <c r="J2310" s="18"/>
      <c r="K2310" s="18"/>
      <c r="L2310" s="18"/>
      <c r="M2310" s="18"/>
      <c r="N2310" s="18"/>
      <c r="O2310" s="18"/>
      <c r="P2310" s="18"/>
      <c r="Q2310" s="19"/>
      <c r="R2310" s="19"/>
      <c r="S2310" s="19"/>
    </row>
    <row r="2311" ht="15.75" customHeight="1">
      <c r="A2311" s="15">
        <v>45834.36924768519</v>
      </c>
      <c r="B2311" s="16" t="s">
        <v>7129</v>
      </c>
      <c r="C2311" s="16" t="s">
        <v>6591</v>
      </c>
      <c r="D2311" s="16" t="s">
        <v>7245</v>
      </c>
      <c r="E2311" s="16" t="s">
        <v>7249</v>
      </c>
      <c r="F2311" s="16"/>
      <c r="G2311" s="16"/>
      <c r="H2311" s="18"/>
      <c r="I2311" s="18"/>
      <c r="J2311" s="18"/>
      <c r="K2311" s="18"/>
      <c r="L2311" s="18"/>
      <c r="M2311" s="18"/>
      <c r="N2311" s="18"/>
      <c r="O2311" s="18"/>
      <c r="P2311" s="18"/>
      <c r="Q2311" s="19"/>
      <c r="R2311" s="19"/>
      <c r="S2311" s="19"/>
    </row>
    <row r="2312" ht="15.75" customHeight="1">
      <c r="A2312" s="15">
        <v>45834.37834490741</v>
      </c>
      <c r="B2312" s="16" t="s">
        <v>7129</v>
      </c>
      <c r="C2312" s="16" t="s">
        <v>6591</v>
      </c>
      <c r="D2312" s="16" t="s">
        <v>7245</v>
      </c>
      <c r="E2312" s="16" t="s">
        <v>7250</v>
      </c>
      <c r="F2312" s="16"/>
      <c r="G2312" s="16"/>
      <c r="H2312" s="18"/>
      <c r="I2312" s="18"/>
      <c r="J2312" s="18"/>
      <c r="K2312" s="18"/>
      <c r="L2312" s="18"/>
      <c r="M2312" s="18"/>
      <c r="N2312" s="18"/>
      <c r="O2312" s="18"/>
      <c r="P2312" s="18"/>
      <c r="Q2312" s="19"/>
      <c r="R2312" s="19"/>
      <c r="S2312" s="19"/>
    </row>
    <row r="2313" ht="15.75" customHeight="1">
      <c r="A2313" s="15">
        <v>45834.38037037037</v>
      </c>
      <c r="B2313" s="16" t="s">
        <v>7129</v>
      </c>
      <c r="C2313" s="16" t="s">
        <v>6591</v>
      </c>
      <c r="D2313" s="16" t="s">
        <v>7245</v>
      </c>
      <c r="E2313" s="16" t="s">
        <v>7251</v>
      </c>
      <c r="F2313" s="16"/>
      <c r="G2313" s="16"/>
      <c r="H2313" s="18"/>
      <c r="I2313" s="18"/>
      <c r="J2313" s="18"/>
      <c r="K2313" s="18"/>
      <c r="L2313" s="18"/>
      <c r="M2313" s="18"/>
      <c r="N2313" s="18"/>
      <c r="O2313" s="18"/>
      <c r="P2313" s="18"/>
      <c r="Q2313" s="19"/>
      <c r="R2313" s="19"/>
      <c r="S2313" s="19"/>
    </row>
    <row r="2314" ht="15.75" customHeight="1">
      <c r="A2314" s="15">
        <v>45834.38055555556</v>
      </c>
      <c r="B2314" s="16" t="s">
        <v>7129</v>
      </c>
      <c r="C2314" s="16" t="s">
        <v>6591</v>
      </c>
      <c r="D2314" s="16" t="s">
        <v>7245</v>
      </c>
      <c r="E2314" s="16" t="s">
        <v>7252</v>
      </c>
      <c r="F2314" s="16"/>
      <c r="G2314" s="16"/>
      <c r="H2314" s="18"/>
      <c r="I2314" s="18"/>
      <c r="J2314" s="18"/>
      <c r="K2314" s="18"/>
      <c r="L2314" s="18"/>
      <c r="M2314" s="18"/>
      <c r="N2314" s="18"/>
      <c r="O2314" s="18"/>
      <c r="P2314" s="18"/>
      <c r="Q2314" s="19"/>
      <c r="R2314" s="19"/>
      <c r="S2314" s="19"/>
    </row>
    <row r="2315" ht="15.75" customHeight="1">
      <c r="A2315" s="15">
        <v>45834.46606481481</v>
      </c>
      <c r="B2315" s="16" t="s">
        <v>7129</v>
      </c>
      <c r="C2315" s="16" t="s">
        <v>6591</v>
      </c>
      <c r="D2315" s="16" t="s">
        <v>7245</v>
      </c>
      <c r="E2315" s="16" t="s">
        <v>7253</v>
      </c>
      <c r="F2315" s="16"/>
      <c r="G2315" s="16"/>
      <c r="H2315" s="18"/>
      <c r="I2315" s="18"/>
      <c r="J2315" s="18"/>
      <c r="K2315" s="18"/>
      <c r="L2315" s="18"/>
      <c r="M2315" s="18"/>
      <c r="N2315" s="18"/>
      <c r="O2315" s="18"/>
      <c r="P2315" s="18"/>
      <c r="Q2315" s="19"/>
      <c r="R2315" s="19"/>
      <c r="S2315" s="19"/>
    </row>
    <row r="2316" ht="15.75" customHeight="1">
      <c r="A2316" s="15">
        <v>45835.46875</v>
      </c>
      <c r="B2316" s="16" t="s">
        <v>7143</v>
      </c>
      <c r="C2316" s="16" t="s">
        <v>6591</v>
      </c>
      <c r="D2316" s="16" t="s">
        <v>7254</v>
      </c>
      <c r="E2316" s="16" t="s">
        <v>7255</v>
      </c>
      <c r="F2316" s="16"/>
      <c r="G2316" s="16"/>
      <c r="H2316" s="18"/>
      <c r="I2316" s="18"/>
      <c r="J2316" s="18"/>
      <c r="K2316" s="18"/>
      <c r="L2316" s="18"/>
      <c r="M2316" s="18"/>
      <c r="N2316" s="18"/>
      <c r="O2316" s="18"/>
      <c r="P2316" s="18"/>
      <c r="Q2316" s="19"/>
      <c r="R2316" s="19"/>
      <c r="S2316" s="19"/>
    </row>
    <row r="2317" ht="15.75" customHeight="1">
      <c r="A2317" s="15">
        <v>45836.46871527778</v>
      </c>
      <c r="B2317" s="16" t="s">
        <v>7143</v>
      </c>
      <c r="C2317" s="16" t="s">
        <v>6591</v>
      </c>
      <c r="D2317" s="16" t="s">
        <v>7256</v>
      </c>
      <c r="E2317" s="16" t="s">
        <v>7257</v>
      </c>
      <c r="F2317" s="16"/>
      <c r="G2317" s="16"/>
      <c r="H2317" s="18"/>
      <c r="I2317" s="18"/>
      <c r="J2317" s="18"/>
      <c r="K2317" s="18"/>
      <c r="L2317" s="18"/>
      <c r="M2317" s="18"/>
      <c r="N2317" s="18"/>
      <c r="O2317" s="18"/>
      <c r="P2317" s="18"/>
      <c r="Q2317" s="19"/>
      <c r="R2317" s="19"/>
      <c r="S2317" s="19"/>
    </row>
    <row r="2318" ht="15.75" customHeight="1">
      <c r="A2318" s="15">
        <v>45838.46888888889</v>
      </c>
      <c r="B2318" s="16" t="s">
        <v>7143</v>
      </c>
      <c r="C2318" s="16" t="s">
        <v>6591</v>
      </c>
      <c r="D2318" s="16" t="s">
        <v>7258</v>
      </c>
      <c r="E2318" s="16" t="s">
        <v>7259</v>
      </c>
      <c r="F2318" s="16"/>
      <c r="G2318" s="16"/>
      <c r="H2318" s="18"/>
      <c r="I2318" s="18"/>
      <c r="J2318" s="18"/>
      <c r="K2318" s="18"/>
      <c r="L2318" s="18"/>
      <c r="M2318" s="18"/>
      <c r="N2318" s="18"/>
      <c r="O2318" s="18"/>
      <c r="P2318" s="18"/>
      <c r="Q2318" s="19"/>
      <c r="R2318" s="19"/>
      <c r="S2318" s="19"/>
    </row>
    <row r="2319" ht="15.75" customHeight="1">
      <c r="A2319" s="15">
        <v>45839.46878472222</v>
      </c>
      <c r="B2319" s="16" t="s">
        <v>7143</v>
      </c>
      <c r="C2319" s="16" t="s">
        <v>6591</v>
      </c>
      <c r="D2319" s="16" t="s">
        <v>7260</v>
      </c>
      <c r="E2319" s="16" t="s">
        <v>7261</v>
      </c>
      <c r="F2319" s="16"/>
      <c r="G2319" s="16"/>
      <c r="H2319" s="18"/>
      <c r="I2319" s="18"/>
      <c r="J2319" s="18"/>
      <c r="K2319" s="18"/>
      <c r="L2319" s="18"/>
      <c r="M2319" s="18"/>
      <c r="N2319" s="18"/>
      <c r="O2319" s="18"/>
      <c r="P2319" s="18"/>
      <c r="Q2319" s="19"/>
      <c r="R2319" s="19"/>
      <c r="S2319" s="19"/>
    </row>
    <row r="2320" ht="15.75" customHeight="1">
      <c r="A2320" s="15">
        <v>45840.468773148146</v>
      </c>
      <c r="B2320" s="16" t="s">
        <v>7143</v>
      </c>
      <c r="C2320" s="16" t="s">
        <v>6591</v>
      </c>
      <c r="D2320" s="16" t="s">
        <v>7262</v>
      </c>
      <c r="E2320" s="16" t="s">
        <v>7263</v>
      </c>
      <c r="F2320" s="16"/>
      <c r="G2320" s="16"/>
      <c r="H2320" s="18"/>
      <c r="I2320" s="18"/>
      <c r="J2320" s="18"/>
      <c r="K2320" s="18"/>
      <c r="L2320" s="18"/>
      <c r="M2320" s="18"/>
      <c r="N2320" s="18"/>
      <c r="O2320" s="18"/>
      <c r="P2320" s="18"/>
      <c r="Q2320" s="19"/>
      <c r="R2320" s="19"/>
      <c r="S2320" s="19"/>
    </row>
    <row r="2321" ht="15.75" customHeight="1">
      <c r="A2321" s="15">
        <v>45841.468726851854</v>
      </c>
      <c r="B2321" s="16" t="s">
        <v>7143</v>
      </c>
      <c r="C2321" s="16" t="s">
        <v>6591</v>
      </c>
      <c r="D2321" s="16" t="s">
        <v>7264</v>
      </c>
      <c r="E2321" s="16" t="s">
        <v>7265</v>
      </c>
      <c r="F2321" s="16"/>
      <c r="G2321" s="16"/>
      <c r="H2321" s="18"/>
      <c r="I2321" s="18"/>
      <c r="J2321" s="18"/>
      <c r="K2321" s="18"/>
      <c r="L2321" s="18"/>
      <c r="M2321" s="18"/>
      <c r="N2321" s="18"/>
      <c r="O2321" s="18"/>
      <c r="P2321" s="18"/>
      <c r="Q2321" s="19"/>
      <c r="R2321" s="19"/>
      <c r="S2321" s="19"/>
    </row>
    <row r="2322" ht="15.75" customHeight="1">
      <c r="A2322" s="15">
        <v>45842.60034722222</v>
      </c>
      <c r="B2322" s="16" t="s">
        <v>7129</v>
      </c>
      <c r="C2322" s="16" t="s">
        <v>6591</v>
      </c>
      <c r="D2322" s="16" t="s">
        <v>7266</v>
      </c>
      <c r="E2322" s="16" t="s">
        <v>7267</v>
      </c>
      <c r="F2322" s="16"/>
      <c r="G2322" s="16"/>
      <c r="H2322" s="18"/>
      <c r="I2322" s="18"/>
      <c r="J2322" s="18"/>
      <c r="K2322" s="18"/>
      <c r="L2322" s="18"/>
      <c r="M2322" s="18"/>
      <c r="N2322" s="18"/>
      <c r="O2322" s="18"/>
      <c r="P2322" s="18"/>
      <c r="Q2322" s="19"/>
      <c r="R2322" s="19"/>
      <c r="S2322" s="19"/>
    </row>
    <row r="2323" ht="15.75" customHeight="1">
      <c r="A2323" s="15">
        <v>45842.734143518515</v>
      </c>
      <c r="B2323" s="16" t="s">
        <v>7157</v>
      </c>
      <c r="C2323" s="16" t="s">
        <v>6591</v>
      </c>
      <c r="D2323" s="16" t="s">
        <v>7198</v>
      </c>
      <c r="E2323" s="16" t="s">
        <v>7268</v>
      </c>
      <c r="F2323" s="16"/>
      <c r="G2323" s="16"/>
      <c r="H2323" s="18"/>
      <c r="I2323" s="18"/>
      <c r="J2323" s="18"/>
      <c r="K2323" s="18"/>
      <c r="L2323" s="18"/>
      <c r="M2323" s="18"/>
      <c r="N2323" s="18"/>
      <c r="O2323" s="18"/>
      <c r="P2323" s="18"/>
      <c r="Q2323" s="19"/>
      <c r="R2323" s="19"/>
      <c r="S2323" s="19"/>
    </row>
    <row r="2324" ht="15.75" customHeight="1">
      <c r="A2324" s="15">
        <v>45842.61005787037</v>
      </c>
      <c r="B2324" s="16" t="s">
        <v>7129</v>
      </c>
      <c r="C2324" s="16" t="s">
        <v>6591</v>
      </c>
      <c r="D2324" s="16" t="s">
        <v>7266</v>
      </c>
      <c r="E2324" s="16" t="s">
        <v>7269</v>
      </c>
      <c r="F2324" s="16"/>
      <c r="G2324" s="16"/>
      <c r="H2324" s="18"/>
      <c r="I2324" s="18"/>
      <c r="J2324" s="18"/>
      <c r="K2324" s="18"/>
      <c r="L2324" s="18"/>
      <c r="M2324" s="18"/>
      <c r="N2324" s="18"/>
      <c r="O2324" s="18"/>
      <c r="P2324" s="18"/>
      <c r="Q2324" s="19"/>
      <c r="R2324" s="19"/>
      <c r="S2324" s="19"/>
    </row>
    <row r="2325" ht="15.75" customHeight="1">
      <c r="A2325" s="15">
        <v>45842.61032407408</v>
      </c>
      <c r="B2325" s="16" t="s">
        <v>7129</v>
      </c>
      <c r="C2325" s="16" t="s">
        <v>6591</v>
      </c>
      <c r="D2325" s="16" t="s">
        <v>7266</v>
      </c>
      <c r="E2325" s="16" t="s">
        <v>7270</v>
      </c>
      <c r="F2325" s="16"/>
      <c r="G2325" s="16"/>
      <c r="H2325" s="18"/>
      <c r="I2325" s="18"/>
      <c r="J2325" s="18"/>
      <c r="K2325" s="18"/>
      <c r="L2325" s="18"/>
      <c r="M2325" s="18"/>
      <c r="N2325" s="18"/>
      <c r="O2325" s="18"/>
      <c r="P2325" s="18"/>
      <c r="Q2325" s="19"/>
      <c r="R2325" s="19"/>
      <c r="S2325" s="19"/>
    </row>
    <row r="2326" ht="15.75" customHeight="1">
      <c r="A2326" s="15">
        <v>45842.61125</v>
      </c>
      <c r="B2326" s="16" t="s">
        <v>7129</v>
      </c>
      <c r="C2326" s="16" t="s">
        <v>6591</v>
      </c>
      <c r="D2326" s="16" t="s">
        <v>7266</v>
      </c>
      <c r="E2326" s="16" t="s">
        <v>7271</v>
      </c>
      <c r="F2326" s="16"/>
      <c r="G2326" s="16"/>
      <c r="H2326" s="18"/>
      <c r="I2326" s="18"/>
      <c r="J2326" s="18"/>
      <c r="K2326" s="18"/>
      <c r="L2326" s="18"/>
      <c r="M2326" s="18"/>
      <c r="N2326" s="18"/>
      <c r="O2326" s="18"/>
      <c r="P2326" s="18"/>
      <c r="Q2326" s="19"/>
      <c r="R2326" s="19"/>
      <c r="S2326" s="19"/>
    </row>
    <row r="2327" ht="15.75" customHeight="1">
      <c r="A2327" s="15">
        <v>45842.61534722222</v>
      </c>
      <c r="B2327" s="16" t="s">
        <v>6591</v>
      </c>
      <c r="C2327" s="16" t="s">
        <v>6591</v>
      </c>
      <c r="D2327" s="16"/>
      <c r="E2327" s="16" t="s">
        <v>7272</v>
      </c>
      <c r="F2327" s="16"/>
      <c r="G2327" s="16"/>
      <c r="H2327" s="18"/>
      <c r="I2327" s="18"/>
      <c r="J2327" s="18"/>
      <c r="K2327" s="18"/>
      <c r="L2327" s="18"/>
      <c r="M2327" s="18"/>
      <c r="N2327" s="18"/>
      <c r="O2327" s="18"/>
      <c r="P2327" s="18"/>
      <c r="Q2327" s="19"/>
      <c r="R2327" s="19"/>
      <c r="S2327" s="19"/>
    </row>
    <row r="2328" ht="15.75" customHeight="1">
      <c r="A2328" s="15">
        <v>45842.618368055555</v>
      </c>
      <c r="B2328" s="16" t="s">
        <v>7129</v>
      </c>
      <c r="C2328" s="16" t="s">
        <v>6591</v>
      </c>
      <c r="D2328" s="16" t="s">
        <v>7266</v>
      </c>
      <c r="E2328" s="16" t="s">
        <v>7273</v>
      </c>
      <c r="F2328" s="16"/>
      <c r="G2328" s="16"/>
      <c r="H2328" s="18"/>
      <c r="I2328" s="18"/>
      <c r="J2328" s="18"/>
      <c r="K2328" s="18"/>
      <c r="L2328" s="18"/>
      <c r="M2328" s="18"/>
      <c r="N2328" s="18"/>
      <c r="O2328" s="18"/>
      <c r="P2328" s="18"/>
      <c r="Q2328" s="19"/>
      <c r="R2328" s="19"/>
      <c r="S2328" s="19"/>
    </row>
    <row r="2329" ht="15.75" customHeight="1">
      <c r="A2329" s="15">
        <v>45842.63849537037</v>
      </c>
      <c r="B2329" s="16" t="s">
        <v>7129</v>
      </c>
      <c r="C2329" s="16" t="s">
        <v>6591</v>
      </c>
      <c r="D2329" s="16" t="s">
        <v>7266</v>
      </c>
      <c r="E2329" s="16" t="s">
        <v>7274</v>
      </c>
      <c r="F2329" s="16"/>
      <c r="G2329" s="16"/>
      <c r="H2329" s="18"/>
      <c r="I2329" s="18"/>
      <c r="J2329" s="18"/>
      <c r="K2329" s="18"/>
      <c r="L2329" s="18"/>
      <c r="M2329" s="18"/>
      <c r="N2329" s="18"/>
      <c r="O2329" s="18"/>
      <c r="P2329" s="18"/>
      <c r="Q2329" s="19"/>
      <c r="R2329" s="19"/>
      <c r="S2329" s="19"/>
    </row>
    <row r="2330" ht="15.75" customHeight="1">
      <c r="A2330" s="15">
        <v>45843.46865740741</v>
      </c>
      <c r="B2330" s="16" t="s">
        <v>7143</v>
      </c>
      <c r="C2330" s="16" t="s">
        <v>6591</v>
      </c>
      <c r="D2330" s="16" t="s">
        <v>7275</v>
      </c>
      <c r="E2330" s="16" t="s">
        <v>7276</v>
      </c>
      <c r="F2330" s="16"/>
      <c r="G2330" s="16"/>
      <c r="H2330" s="18"/>
      <c r="I2330" s="18"/>
      <c r="J2330" s="18"/>
      <c r="K2330" s="18"/>
      <c r="L2330" s="18"/>
      <c r="M2330" s="18"/>
      <c r="N2330" s="18"/>
      <c r="O2330" s="18"/>
      <c r="P2330" s="18"/>
      <c r="Q2330" s="19"/>
      <c r="R2330" s="19"/>
      <c r="S2330" s="19"/>
    </row>
    <row r="2331" ht="15.75" customHeight="1">
      <c r="A2331" s="15">
        <v>45843.517013888886</v>
      </c>
      <c r="B2331" s="16" t="s">
        <v>6591</v>
      </c>
      <c r="C2331" s="16" t="s">
        <v>6591</v>
      </c>
      <c r="D2331" s="16"/>
      <c r="E2331" s="16" t="s">
        <v>7277</v>
      </c>
      <c r="F2331" s="16"/>
      <c r="G2331" s="16"/>
      <c r="H2331" s="18"/>
      <c r="I2331" s="18"/>
      <c r="J2331" s="18"/>
      <c r="K2331" s="18"/>
      <c r="L2331" s="18"/>
      <c r="M2331" s="18"/>
      <c r="N2331" s="18"/>
      <c r="O2331" s="18"/>
      <c r="P2331" s="18"/>
      <c r="Q2331" s="19"/>
      <c r="R2331" s="19"/>
      <c r="S2331" s="19"/>
    </row>
    <row r="2332" ht="15.75" customHeight="1">
      <c r="A2332" s="15">
        <v>45845.46886574074</v>
      </c>
      <c r="B2332" s="16" t="s">
        <v>7143</v>
      </c>
      <c r="C2332" s="16" t="s">
        <v>6591</v>
      </c>
      <c r="D2332" s="16" t="s">
        <v>7278</v>
      </c>
      <c r="E2332" s="16" t="s">
        <v>7279</v>
      </c>
      <c r="F2332" s="16"/>
      <c r="G2332" s="16"/>
      <c r="H2332" s="18"/>
      <c r="I2332" s="18"/>
      <c r="J2332" s="18"/>
      <c r="K2332" s="18"/>
      <c r="L2332" s="18"/>
      <c r="M2332" s="18"/>
      <c r="N2332" s="18"/>
      <c r="O2332" s="18"/>
      <c r="P2332" s="18"/>
      <c r="Q2332" s="19"/>
      <c r="R2332" s="19"/>
      <c r="S2332" s="19"/>
    </row>
    <row r="2333" ht="15.75" customHeight="1">
      <c r="A2333" s="15">
        <v>45846.46857638889</v>
      </c>
      <c r="B2333" s="16" t="s">
        <v>7143</v>
      </c>
      <c r="C2333" s="16" t="s">
        <v>6591</v>
      </c>
      <c r="D2333" s="16" t="s">
        <v>7280</v>
      </c>
      <c r="E2333" s="16" t="s">
        <v>7281</v>
      </c>
      <c r="F2333" s="16"/>
      <c r="G2333" s="16"/>
      <c r="H2333" s="18"/>
      <c r="I2333" s="18"/>
      <c r="J2333" s="18"/>
      <c r="K2333" s="18"/>
      <c r="L2333" s="18"/>
      <c r="M2333" s="18"/>
      <c r="N2333" s="18"/>
      <c r="O2333" s="18"/>
      <c r="P2333" s="18"/>
      <c r="Q2333" s="19"/>
      <c r="R2333" s="19"/>
      <c r="S2333" s="19"/>
    </row>
    <row r="2334" ht="15.75" customHeight="1">
      <c r="A2334" s="15">
        <v>45847.46885416667</v>
      </c>
      <c r="B2334" s="16" t="s">
        <v>7143</v>
      </c>
      <c r="C2334" s="16" t="s">
        <v>6591</v>
      </c>
      <c r="D2334" s="16" t="s">
        <v>7282</v>
      </c>
      <c r="E2334" s="16" t="s">
        <v>7283</v>
      </c>
      <c r="F2334" s="16"/>
      <c r="G2334" s="16"/>
      <c r="H2334" s="18"/>
      <c r="I2334" s="18"/>
      <c r="J2334" s="18"/>
      <c r="K2334" s="18"/>
      <c r="L2334" s="18"/>
      <c r="M2334" s="18"/>
      <c r="N2334" s="18"/>
      <c r="O2334" s="18"/>
      <c r="P2334" s="18"/>
      <c r="Q2334" s="19"/>
      <c r="R2334" s="19"/>
      <c r="S2334" s="19"/>
    </row>
    <row r="2335" ht="15.75" customHeight="1">
      <c r="A2335" s="15">
        <v>45847.63606481482</v>
      </c>
      <c r="B2335" s="16" t="s">
        <v>6591</v>
      </c>
      <c r="C2335" s="16" t="s">
        <v>6591</v>
      </c>
      <c r="D2335" s="16" t="s">
        <v>7284</v>
      </c>
      <c r="E2335" s="16" t="s">
        <v>7285</v>
      </c>
      <c r="F2335" s="16"/>
      <c r="G2335" s="16"/>
      <c r="H2335" s="18"/>
      <c r="I2335" s="18"/>
      <c r="J2335" s="18"/>
      <c r="K2335" s="18"/>
      <c r="L2335" s="18"/>
      <c r="M2335" s="18"/>
      <c r="N2335" s="18"/>
      <c r="O2335" s="18"/>
      <c r="P2335" s="18"/>
      <c r="Q2335" s="19"/>
      <c r="R2335" s="19"/>
      <c r="S2335" s="19"/>
    </row>
    <row r="2336" ht="15.75" customHeight="1">
      <c r="A2336" s="15">
        <v>45847.63626157407</v>
      </c>
      <c r="B2336" s="16" t="s">
        <v>6591</v>
      </c>
      <c r="C2336" s="16" t="s">
        <v>6591</v>
      </c>
      <c r="D2336" s="16" t="s">
        <v>7286</v>
      </c>
      <c r="E2336" s="16" t="s">
        <v>7287</v>
      </c>
      <c r="F2336" s="16"/>
      <c r="G2336" s="16"/>
      <c r="H2336" s="18"/>
      <c r="I2336" s="18"/>
      <c r="J2336" s="18"/>
      <c r="K2336" s="18"/>
      <c r="L2336" s="18"/>
      <c r="M2336" s="18"/>
      <c r="N2336" s="18"/>
      <c r="O2336" s="18"/>
      <c r="P2336" s="18"/>
      <c r="Q2336" s="19"/>
      <c r="R2336" s="19"/>
      <c r="S2336" s="19"/>
    </row>
    <row r="2337" ht="15.75" customHeight="1">
      <c r="A2337" s="15">
        <v>45848.20866898148</v>
      </c>
      <c r="B2337" s="16" t="s">
        <v>6591</v>
      </c>
      <c r="C2337" s="16" t="s">
        <v>6591</v>
      </c>
      <c r="D2337" s="16" t="s">
        <v>7288</v>
      </c>
      <c r="E2337" s="16" t="s">
        <v>7289</v>
      </c>
      <c r="F2337" s="16"/>
      <c r="G2337" s="16"/>
      <c r="H2337" s="18"/>
      <c r="I2337" s="18"/>
      <c r="J2337" s="18"/>
      <c r="K2337" s="18"/>
      <c r="L2337" s="18"/>
      <c r="M2337" s="18"/>
      <c r="N2337" s="18"/>
      <c r="O2337" s="18"/>
      <c r="P2337" s="18"/>
      <c r="Q2337" s="19"/>
      <c r="R2337" s="19"/>
      <c r="S2337" s="19"/>
    </row>
    <row r="2338" ht="15.75" customHeight="1">
      <c r="A2338" s="15">
        <v>45848.21052083333</v>
      </c>
      <c r="B2338" s="16" t="s">
        <v>6591</v>
      </c>
      <c r="C2338" s="16" t="s">
        <v>6591</v>
      </c>
      <c r="D2338" s="16" t="s">
        <v>7290</v>
      </c>
      <c r="E2338" s="16" t="s">
        <v>7291</v>
      </c>
      <c r="F2338" s="16"/>
      <c r="G2338" s="16"/>
      <c r="H2338" s="18"/>
      <c r="I2338" s="18"/>
      <c r="J2338" s="18"/>
      <c r="K2338" s="18"/>
      <c r="L2338" s="18"/>
      <c r="M2338" s="18"/>
      <c r="N2338" s="18"/>
      <c r="O2338" s="18"/>
      <c r="P2338" s="18"/>
      <c r="Q2338" s="19"/>
      <c r="R2338" s="19"/>
      <c r="S2338" s="19"/>
    </row>
    <row r="2339" ht="15.75" customHeight="1">
      <c r="A2339" s="15">
        <v>45850.819872685184</v>
      </c>
      <c r="B2339" s="16" t="s">
        <v>7129</v>
      </c>
      <c r="C2339" s="16" t="s">
        <v>6591</v>
      </c>
      <c r="D2339" s="16" t="s">
        <v>7292</v>
      </c>
      <c r="E2339" s="16" t="s">
        <v>7293</v>
      </c>
      <c r="F2339" s="16"/>
      <c r="G2339" s="16"/>
      <c r="H2339" s="18"/>
      <c r="I2339" s="18"/>
      <c r="J2339" s="18"/>
      <c r="K2339" s="18"/>
      <c r="L2339" s="18"/>
      <c r="M2339" s="18"/>
      <c r="N2339" s="18"/>
      <c r="O2339" s="18"/>
      <c r="P2339" s="18"/>
      <c r="Q2339" s="19"/>
      <c r="R2339" s="19"/>
      <c r="S2339" s="19"/>
    </row>
    <row r="2340" ht="15.75" customHeight="1">
      <c r="A2340" s="15">
        <v>45852.423263888886</v>
      </c>
      <c r="B2340" s="16" t="s">
        <v>7129</v>
      </c>
      <c r="C2340" s="16" t="s">
        <v>6591</v>
      </c>
      <c r="D2340" s="16" t="s">
        <v>7294</v>
      </c>
      <c r="E2340" s="16" t="s">
        <v>7295</v>
      </c>
      <c r="F2340" s="16"/>
      <c r="G2340" s="16"/>
      <c r="H2340" s="18"/>
      <c r="I2340" s="18"/>
      <c r="J2340" s="18"/>
      <c r="K2340" s="18"/>
      <c r="L2340" s="18"/>
      <c r="M2340" s="18"/>
      <c r="N2340" s="18"/>
      <c r="O2340" s="18"/>
      <c r="P2340" s="18"/>
      <c r="Q2340" s="19"/>
      <c r="R2340" s="19"/>
      <c r="S2340" s="19"/>
    </row>
    <row r="2341" ht="15.75" customHeight="1">
      <c r="A2341" s="15">
        <v>45852.42386574074</v>
      </c>
      <c r="B2341" s="16" t="s">
        <v>7129</v>
      </c>
      <c r="C2341" s="16" t="s">
        <v>6591</v>
      </c>
      <c r="D2341" s="16" t="s">
        <v>7294</v>
      </c>
      <c r="E2341" s="16" t="s">
        <v>7296</v>
      </c>
      <c r="F2341" s="16"/>
      <c r="G2341" s="16"/>
      <c r="H2341" s="18"/>
      <c r="I2341" s="18"/>
      <c r="J2341" s="18"/>
      <c r="K2341" s="18"/>
      <c r="L2341" s="18"/>
      <c r="M2341" s="18"/>
      <c r="N2341" s="18"/>
      <c r="O2341" s="18"/>
      <c r="P2341" s="18"/>
      <c r="Q2341" s="19"/>
      <c r="R2341" s="19"/>
      <c r="S2341" s="19"/>
    </row>
    <row r="2342" ht="15.75" customHeight="1">
      <c r="A2342" s="15">
        <v>45852.42427083333</v>
      </c>
      <c r="B2342" s="16" t="s">
        <v>7129</v>
      </c>
      <c r="C2342" s="16" t="s">
        <v>6591</v>
      </c>
      <c r="D2342" s="16" t="s">
        <v>7294</v>
      </c>
      <c r="E2342" s="16" t="s">
        <v>7297</v>
      </c>
      <c r="F2342" s="16"/>
      <c r="G2342" s="16"/>
      <c r="H2342" s="18"/>
      <c r="I2342" s="18"/>
      <c r="J2342" s="18"/>
      <c r="K2342" s="18"/>
      <c r="L2342" s="18"/>
      <c r="M2342" s="18"/>
      <c r="N2342" s="18"/>
      <c r="O2342" s="18"/>
      <c r="P2342" s="18"/>
      <c r="Q2342" s="19"/>
      <c r="R2342" s="19"/>
      <c r="S2342" s="19"/>
    </row>
    <row r="2343" ht="15.75" customHeight="1">
      <c r="A2343" s="15">
        <v>45862.55328703704</v>
      </c>
      <c r="B2343" s="16" t="s">
        <v>7298</v>
      </c>
      <c r="C2343" s="16" t="s">
        <v>6591</v>
      </c>
      <c r="D2343" s="16" t="s">
        <v>7299</v>
      </c>
      <c r="E2343" s="16" t="s">
        <v>7300</v>
      </c>
      <c r="F2343" s="16"/>
      <c r="G2343" s="16"/>
      <c r="H2343" s="18"/>
      <c r="I2343" s="18"/>
      <c r="J2343" s="18"/>
      <c r="K2343" s="18"/>
      <c r="L2343" s="18"/>
      <c r="M2343" s="18"/>
      <c r="N2343" s="18"/>
      <c r="O2343" s="18"/>
      <c r="P2343" s="18"/>
      <c r="Q2343" s="19"/>
      <c r="R2343" s="19"/>
      <c r="S2343" s="19"/>
    </row>
    <row r="2344" ht="15.75" customHeight="1">
      <c r="A2344" s="15">
        <v>45864.42927083333</v>
      </c>
      <c r="B2344" s="16" t="s">
        <v>7129</v>
      </c>
      <c r="C2344" s="16" t="s">
        <v>6591</v>
      </c>
      <c r="D2344" s="16" t="s">
        <v>7301</v>
      </c>
      <c r="E2344" s="16" t="s">
        <v>7302</v>
      </c>
      <c r="F2344" s="16"/>
      <c r="G2344" s="16"/>
      <c r="H2344" s="18"/>
      <c r="I2344" s="18"/>
      <c r="J2344" s="18"/>
      <c r="K2344" s="18"/>
      <c r="L2344" s="18"/>
      <c r="M2344" s="18"/>
      <c r="N2344" s="18"/>
      <c r="O2344" s="18"/>
      <c r="P2344" s="18"/>
      <c r="Q2344" s="19"/>
      <c r="R2344" s="19"/>
      <c r="S2344" s="19"/>
    </row>
    <row r="2345" ht="15.75" customHeight="1">
      <c r="A2345" s="15">
        <v>45871.07953703704</v>
      </c>
      <c r="B2345" s="16" t="s">
        <v>7129</v>
      </c>
      <c r="C2345" s="16" t="s">
        <v>6591</v>
      </c>
      <c r="D2345" s="16" t="s">
        <v>7303</v>
      </c>
      <c r="E2345" s="16" t="s">
        <v>7304</v>
      </c>
      <c r="F2345" s="16"/>
      <c r="G2345" s="16"/>
      <c r="H2345" s="18"/>
      <c r="I2345" s="18"/>
      <c r="J2345" s="18"/>
      <c r="K2345" s="18"/>
      <c r="L2345" s="18"/>
      <c r="M2345" s="18"/>
      <c r="N2345" s="18"/>
      <c r="O2345" s="18"/>
      <c r="P2345" s="18"/>
      <c r="Q2345" s="19"/>
      <c r="R2345" s="19"/>
      <c r="S2345" s="19"/>
    </row>
    <row r="2346" ht="15.75" customHeight="1">
      <c r="A2346" s="15">
        <v>45871.63995370371</v>
      </c>
      <c r="B2346" s="16" t="s">
        <v>7129</v>
      </c>
      <c r="C2346" s="16" t="s">
        <v>6591</v>
      </c>
      <c r="D2346" s="16" t="s">
        <v>7305</v>
      </c>
      <c r="E2346" s="16" t="s">
        <v>7306</v>
      </c>
      <c r="F2346" s="16"/>
      <c r="G2346" s="16"/>
      <c r="H2346" s="18"/>
      <c r="I2346" s="18"/>
      <c r="J2346" s="18"/>
      <c r="K2346" s="18"/>
      <c r="L2346" s="18"/>
      <c r="M2346" s="18"/>
      <c r="N2346" s="18"/>
      <c r="O2346" s="18"/>
      <c r="P2346" s="18"/>
      <c r="Q2346" s="19"/>
      <c r="R2346" s="19"/>
      <c r="S2346" s="19"/>
    </row>
    <row r="2347" ht="15.75" customHeight="1">
      <c r="A2347" s="15">
        <v>45871.64077546296</v>
      </c>
      <c r="B2347" s="16" t="s">
        <v>7129</v>
      </c>
      <c r="C2347" s="16" t="s">
        <v>6591</v>
      </c>
      <c r="D2347" s="16" t="s">
        <v>7305</v>
      </c>
      <c r="E2347" s="16" t="s">
        <v>7307</v>
      </c>
      <c r="F2347" s="16"/>
      <c r="G2347" s="16"/>
      <c r="H2347" s="18"/>
      <c r="I2347" s="18"/>
      <c r="J2347" s="18"/>
      <c r="K2347" s="18"/>
      <c r="L2347" s="18"/>
      <c r="M2347" s="18"/>
      <c r="N2347" s="18"/>
      <c r="O2347" s="18"/>
      <c r="P2347" s="18"/>
      <c r="Q2347" s="19"/>
      <c r="R2347" s="19"/>
      <c r="S2347" s="19"/>
    </row>
    <row r="2348" ht="15.75" customHeight="1">
      <c r="A2348" s="15">
        <v>45871.91133101852</v>
      </c>
      <c r="B2348" s="16" t="s">
        <v>7129</v>
      </c>
      <c r="C2348" s="16" t="s">
        <v>6591</v>
      </c>
      <c r="D2348" s="16" t="s">
        <v>7305</v>
      </c>
      <c r="E2348" s="16" t="s">
        <v>7308</v>
      </c>
      <c r="F2348" s="16"/>
      <c r="G2348" s="16"/>
      <c r="H2348" s="18"/>
      <c r="I2348" s="18"/>
      <c r="J2348" s="18"/>
      <c r="K2348" s="18"/>
      <c r="L2348" s="18"/>
      <c r="M2348" s="18"/>
      <c r="N2348" s="18"/>
      <c r="O2348" s="18"/>
      <c r="P2348" s="18"/>
      <c r="Q2348" s="19"/>
      <c r="R2348" s="19"/>
      <c r="S2348" s="19"/>
    </row>
    <row r="2349" ht="15.75" customHeight="1">
      <c r="A2349" s="15">
        <v>45871.93445601852</v>
      </c>
      <c r="B2349" s="16" t="s">
        <v>7129</v>
      </c>
      <c r="C2349" s="16" t="s">
        <v>6591</v>
      </c>
      <c r="D2349" s="16" t="s">
        <v>7305</v>
      </c>
      <c r="E2349" s="16" t="s">
        <v>7309</v>
      </c>
      <c r="F2349" s="16"/>
      <c r="G2349" s="16"/>
      <c r="H2349" s="18"/>
      <c r="I2349" s="18"/>
      <c r="J2349" s="18"/>
      <c r="K2349" s="18"/>
      <c r="L2349" s="18"/>
      <c r="M2349" s="18"/>
      <c r="N2349" s="18"/>
      <c r="O2349" s="18"/>
      <c r="P2349" s="18"/>
      <c r="Q2349" s="19"/>
      <c r="R2349" s="19"/>
      <c r="S2349" s="19"/>
    </row>
    <row r="2350" ht="15.75" customHeight="1">
      <c r="A2350" s="15">
        <v>45872.31508101852</v>
      </c>
      <c r="B2350" s="16" t="s">
        <v>7129</v>
      </c>
      <c r="C2350" s="16" t="s">
        <v>6591</v>
      </c>
      <c r="D2350" s="16" t="s">
        <v>7305</v>
      </c>
      <c r="E2350" s="16" t="s">
        <v>7310</v>
      </c>
      <c r="F2350" s="16"/>
      <c r="G2350" s="16"/>
      <c r="H2350" s="18"/>
      <c r="I2350" s="18"/>
      <c r="J2350" s="18"/>
      <c r="K2350" s="18"/>
      <c r="L2350" s="18"/>
      <c r="M2350" s="18"/>
      <c r="N2350" s="18"/>
      <c r="O2350" s="18"/>
      <c r="P2350" s="18"/>
      <c r="Q2350" s="19"/>
      <c r="R2350" s="19"/>
      <c r="S2350" s="19"/>
    </row>
    <row r="2351" ht="15.75" customHeight="1">
      <c r="A2351" s="15">
        <v>45872.31613425926</v>
      </c>
      <c r="B2351" s="16" t="s">
        <v>7129</v>
      </c>
      <c r="C2351" s="16" t="s">
        <v>6591</v>
      </c>
      <c r="D2351" s="16" t="s">
        <v>7305</v>
      </c>
      <c r="E2351" s="16" t="s">
        <v>7311</v>
      </c>
      <c r="F2351" s="16"/>
      <c r="G2351" s="16"/>
      <c r="H2351" s="18"/>
      <c r="I2351" s="18"/>
      <c r="J2351" s="18"/>
      <c r="K2351" s="18"/>
      <c r="L2351" s="18"/>
      <c r="M2351" s="18"/>
      <c r="N2351" s="18"/>
      <c r="O2351" s="18"/>
      <c r="P2351" s="18"/>
      <c r="Q2351" s="19"/>
      <c r="R2351" s="19"/>
      <c r="S2351" s="19"/>
    </row>
    <row r="2352" ht="15.75" customHeight="1">
      <c r="A2352" s="15">
        <v>45872.317766203705</v>
      </c>
      <c r="B2352" s="16" t="s">
        <v>7129</v>
      </c>
      <c r="C2352" s="16" t="s">
        <v>6591</v>
      </c>
      <c r="D2352" s="16" t="s">
        <v>7305</v>
      </c>
      <c r="E2352" s="16" t="s">
        <v>7312</v>
      </c>
      <c r="F2352" s="16"/>
      <c r="G2352" s="16"/>
      <c r="H2352" s="18"/>
      <c r="I2352" s="18"/>
      <c r="J2352" s="18"/>
      <c r="K2352" s="18"/>
      <c r="L2352" s="18"/>
      <c r="M2352" s="18"/>
      <c r="N2352" s="18"/>
      <c r="O2352" s="18"/>
      <c r="P2352" s="18"/>
      <c r="Q2352" s="19"/>
      <c r="R2352" s="19"/>
      <c r="S2352" s="19"/>
    </row>
    <row r="2353" ht="15.75" customHeight="1">
      <c r="A2353" s="15">
        <v>45881.34637731482</v>
      </c>
      <c r="B2353" s="16" t="s">
        <v>7129</v>
      </c>
      <c r="C2353" s="16" t="s">
        <v>6591</v>
      </c>
      <c r="D2353" s="16" t="s">
        <v>7313</v>
      </c>
      <c r="E2353" s="16" t="s">
        <v>7314</v>
      </c>
      <c r="F2353" s="16"/>
      <c r="G2353" s="16"/>
      <c r="H2353" s="18"/>
      <c r="I2353" s="18"/>
      <c r="J2353" s="18"/>
      <c r="K2353" s="18"/>
      <c r="L2353" s="18"/>
      <c r="M2353" s="18"/>
      <c r="N2353" s="18"/>
      <c r="O2353" s="18"/>
      <c r="P2353" s="18"/>
      <c r="Q2353" s="19"/>
      <c r="R2353" s="19"/>
      <c r="S2353" s="19"/>
    </row>
    <row r="2354" ht="15.75" customHeight="1">
      <c r="A2354" s="15">
        <v>45888.52513888889</v>
      </c>
      <c r="B2354" s="16" t="s">
        <v>7129</v>
      </c>
      <c r="C2354" s="16" t="s">
        <v>6591</v>
      </c>
      <c r="D2354" s="16" t="s">
        <v>7315</v>
      </c>
      <c r="E2354" s="16" t="s">
        <v>7316</v>
      </c>
      <c r="F2354" s="16"/>
      <c r="G2354" s="16"/>
      <c r="H2354" s="18"/>
      <c r="I2354" s="18"/>
      <c r="J2354" s="18"/>
      <c r="K2354" s="18"/>
      <c r="L2354" s="18"/>
      <c r="M2354" s="18"/>
      <c r="N2354" s="18"/>
      <c r="O2354" s="18"/>
      <c r="P2354" s="18"/>
      <c r="Q2354" s="19"/>
      <c r="R2354" s="19"/>
      <c r="S2354" s="19"/>
    </row>
    <row r="2355" ht="15.75" customHeight="1">
      <c r="A2355" s="15">
        <v>45891.389340277776</v>
      </c>
      <c r="B2355" s="16" t="s">
        <v>6628</v>
      </c>
      <c r="C2355" s="16" t="s">
        <v>6591</v>
      </c>
      <c r="D2355" s="20" t="str">
        <f>?Windows-1252?Q?Automatic_reply:_Urgent_Request_for_Assistance_with_Fami?=
 =?Windows-1252?Q?ly_Law_Case_=96_Harper_Ryan=92s_Safety?=</f>
        <v>#ERROR!</v>
      </c>
      <c r="E2355" s="16" t="s">
        <v>7317</v>
      </c>
      <c r="F2355" s="16"/>
      <c r="G2355" s="16"/>
      <c r="H2355" s="18"/>
      <c r="I2355" s="18"/>
      <c r="J2355" s="18"/>
      <c r="K2355" s="18"/>
      <c r="L2355" s="18"/>
      <c r="M2355" s="18"/>
      <c r="N2355" s="18"/>
      <c r="O2355" s="18"/>
      <c r="P2355" s="18"/>
      <c r="Q2355" s="19"/>
      <c r="R2355" s="19"/>
      <c r="S2355" s="19"/>
    </row>
    <row r="2356" ht="15.75" customHeight="1">
      <c r="A2356" s="15">
        <v>45891.52564814815</v>
      </c>
      <c r="B2356" s="16" t="s">
        <v>6634</v>
      </c>
      <c r="C2356" s="16" t="s">
        <v>6591</v>
      </c>
      <c r="D2356" s="16" t="s">
        <v>7318</v>
      </c>
      <c r="E2356" s="16" t="s">
        <v>7319</v>
      </c>
      <c r="F2356" s="16"/>
      <c r="G2356" s="16"/>
      <c r="H2356" s="18"/>
      <c r="I2356" s="18"/>
      <c r="J2356" s="18"/>
      <c r="K2356" s="18"/>
      <c r="L2356" s="18"/>
      <c r="M2356" s="18"/>
      <c r="N2356" s="18"/>
      <c r="O2356" s="18"/>
      <c r="P2356" s="18"/>
      <c r="Q2356" s="19"/>
      <c r="R2356" s="19"/>
      <c r="S2356" s="19"/>
    </row>
    <row r="2357" ht="15.75" customHeight="1">
      <c r="A2357" s="15">
        <v>45896.52599537037</v>
      </c>
      <c r="B2357" s="16" t="s">
        <v>7157</v>
      </c>
      <c r="C2357" s="16" t="s">
        <v>6591</v>
      </c>
      <c r="D2357" s="16" t="s">
        <v>7320</v>
      </c>
      <c r="E2357" s="16" t="s">
        <v>7321</v>
      </c>
      <c r="F2357" s="16"/>
      <c r="G2357" s="16"/>
      <c r="H2357" s="18"/>
      <c r="I2357" s="18"/>
      <c r="J2357" s="18"/>
      <c r="K2357" s="18"/>
      <c r="L2357" s="18"/>
      <c r="M2357" s="18"/>
      <c r="N2357" s="18"/>
      <c r="O2357" s="18"/>
      <c r="P2357" s="18"/>
      <c r="Q2357" s="19"/>
      <c r="R2357" s="19"/>
      <c r="S2357" s="19"/>
    </row>
    <row r="2358" ht="15.75" customHeight="1">
      <c r="A2358" s="15">
        <v>45896.65456018518</v>
      </c>
      <c r="B2358" s="16" t="s">
        <v>7157</v>
      </c>
      <c r="C2358" s="16" t="s">
        <v>6591</v>
      </c>
      <c r="D2358" s="16" t="s">
        <v>7320</v>
      </c>
      <c r="E2358" s="16" t="s">
        <v>7322</v>
      </c>
      <c r="F2358" s="16"/>
      <c r="G2358" s="16"/>
      <c r="H2358" s="18"/>
      <c r="I2358" s="18"/>
      <c r="J2358" s="18"/>
      <c r="K2358" s="18"/>
      <c r="L2358" s="18"/>
      <c r="M2358" s="18"/>
      <c r="N2358" s="18"/>
      <c r="O2358" s="18"/>
      <c r="P2358" s="18"/>
      <c r="Q2358" s="19"/>
      <c r="R2358" s="19"/>
      <c r="S2358" s="19"/>
    </row>
    <row r="2359" ht="15.75" customHeight="1">
      <c r="A2359" s="15">
        <v>45896.659421296295</v>
      </c>
      <c r="B2359" s="16" t="s">
        <v>7157</v>
      </c>
      <c r="C2359" s="16" t="s">
        <v>6591</v>
      </c>
      <c r="D2359" s="16" t="s">
        <v>7320</v>
      </c>
      <c r="E2359" s="16" t="s">
        <v>7323</v>
      </c>
      <c r="F2359" s="16"/>
      <c r="G2359" s="16"/>
      <c r="H2359" s="18"/>
      <c r="I2359" s="18"/>
      <c r="J2359" s="18"/>
      <c r="K2359" s="18"/>
      <c r="L2359" s="18"/>
      <c r="M2359" s="18"/>
      <c r="N2359" s="18"/>
      <c r="O2359" s="18"/>
      <c r="P2359" s="18"/>
      <c r="Q2359" s="19"/>
      <c r="R2359" s="19"/>
      <c r="S2359" s="19"/>
    </row>
    <row r="2360" ht="15.75" customHeight="1">
      <c r="A2360" s="15">
        <v>45896.6658912037</v>
      </c>
      <c r="B2360" s="16" t="s">
        <v>7157</v>
      </c>
      <c r="C2360" s="16" t="s">
        <v>6591</v>
      </c>
      <c r="D2360" s="16" t="s">
        <v>7320</v>
      </c>
      <c r="E2360" s="16" t="s">
        <v>7324</v>
      </c>
      <c r="F2360" s="16"/>
      <c r="G2360" s="16"/>
      <c r="H2360" s="18"/>
      <c r="I2360" s="18"/>
      <c r="J2360" s="18"/>
      <c r="K2360" s="18"/>
      <c r="L2360" s="18"/>
      <c r="M2360" s="18"/>
      <c r="N2360" s="18"/>
      <c r="O2360" s="18"/>
      <c r="P2360" s="18"/>
      <c r="Q2360" s="19"/>
      <c r="R2360" s="19"/>
      <c r="S2360" s="19"/>
    </row>
    <row r="2361" ht="15.75" customHeight="1">
      <c r="A2361" s="15">
        <v>45896.66601851852</v>
      </c>
      <c r="B2361" s="16" t="s">
        <v>7157</v>
      </c>
      <c r="C2361" s="16" t="s">
        <v>6591</v>
      </c>
      <c r="D2361" s="16" t="s">
        <v>7320</v>
      </c>
      <c r="E2361" s="16" t="s">
        <v>7325</v>
      </c>
      <c r="F2361" s="16"/>
      <c r="G2361" s="16"/>
      <c r="H2361" s="18"/>
      <c r="I2361" s="18"/>
      <c r="J2361" s="18"/>
      <c r="K2361" s="18"/>
      <c r="L2361" s="18"/>
      <c r="M2361" s="18"/>
      <c r="N2361" s="18"/>
      <c r="O2361" s="18"/>
      <c r="P2361" s="18"/>
      <c r="Q2361" s="19"/>
      <c r="R2361" s="19"/>
      <c r="S2361" s="19"/>
    </row>
    <row r="2362" ht="15.75" customHeight="1">
      <c r="A2362" s="15">
        <v>45896.66609953704</v>
      </c>
      <c r="B2362" s="16" t="s">
        <v>7157</v>
      </c>
      <c r="C2362" s="16" t="s">
        <v>6591</v>
      </c>
      <c r="D2362" s="16" t="s">
        <v>7320</v>
      </c>
      <c r="E2362" s="16" t="s">
        <v>7326</v>
      </c>
      <c r="F2362" s="16"/>
      <c r="G2362" s="16"/>
      <c r="H2362" s="18"/>
      <c r="I2362" s="18"/>
      <c r="J2362" s="18"/>
      <c r="K2362" s="18"/>
      <c r="L2362" s="18"/>
      <c r="M2362" s="18"/>
      <c r="N2362" s="18"/>
      <c r="O2362" s="18"/>
      <c r="P2362" s="18"/>
      <c r="Q2362" s="19"/>
      <c r="R2362" s="19"/>
      <c r="S2362" s="19"/>
    </row>
    <row r="2363" ht="15.75" customHeight="1">
      <c r="A2363" s="15">
        <v>45896.66646990741</v>
      </c>
      <c r="B2363" s="16" t="s">
        <v>7157</v>
      </c>
      <c r="C2363" s="16" t="s">
        <v>6591</v>
      </c>
      <c r="D2363" s="16" t="s">
        <v>7320</v>
      </c>
      <c r="E2363" s="16" t="s">
        <v>7327</v>
      </c>
      <c r="F2363" s="16"/>
      <c r="G2363" s="16"/>
      <c r="H2363" s="18"/>
      <c r="I2363" s="18"/>
      <c r="J2363" s="18"/>
      <c r="K2363" s="18"/>
      <c r="L2363" s="18"/>
      <c r="M2363" s="18"/>
      <c r="N2363" s="18"/>
      <c r="O2363" s="18"/>
      <c r="P2363" s="18"/>
      <c r="Q2363" s="19"/>
      <c r="R2363" s="19"/>
      <c r="S2363" s="19"/>
    </row>
    <row r="2364" ht="15.75" customHeight="1">
      <c r="A2364" s="15">
        <v>45896.66737268519</v>
      </c>
      <c r="B2364" s="16" t="s">
        <v>7157</v>
      </c>
      <c r="C2364" s="16" t="s">
        <v>6591</v>
      </c>
      <c r="D2364" s="16" t="s">
        <v>7320</v>
      </c>
      <c r="E2364" s="16" t="s">
        <v>7328</v>
      </c>
      <c r="F2364" s="16"/>
      <c r="G2364" s="16"/>
      <c r="H2364" s="18"/>
      <c r="I2364" s="18"/>
      <c r="J2364" s="18"/>
      <c r="K2364" s="18"/>
      <c r="L2364" s="18"/>
      <c r="M2364" s="18"/>
      <c r="N2364" s="18"/>
      <c r="O2364" s="18"/>
      <c r="P2364" s="18"/>
      <c r="Q2364" s="19"/>
      <c r="R2364" s="19"/>
      <c r="S2364" s="19"/>
    </row>
    <row r="2365" ht="15.75" customHeight="1">
      <c r="A2365" s="15">
        <v>45896.669282407405</v>
      </c>
      <c r="B2365" s="16" t="s">
        <v>7157</v>
      </c>
      <c r="C2365" s="16" t="s">
        <v>6591</v>
      </c>
      <c r="D2365" s="16" t="s">
        <v>7320</v>
      </c>
      <c r="E2365" s="16" t="s">
        <v>7329</v>
      </c>
      <c r="F2365" s="16"/>
      <c r="G2365" s="16"/>
      <c r="H2365" s="18"/>
      <c r="I2365" s="18"/>
      <c r="J2365" s="18"/>
      <c r="K2365" s="18"/>
      <c r="L2365" s="18"/>
      <c r="M2365" s="18"/>
      <c r="N2365" s="18"/>
      <c r="O2365" s="18"/>
      <c r="P2365" s="18"/>
      <c r="Q2365" s="19"/>
      <c r="R2365" s="19"/>
      <c r="S2365" s="19"/>
    </row>
    <row r="2366" ht="15.75" customHeight="1">
      <c r="A2366" s="15">
        <v>45896.70777777778</v>
      </c>
      <c r="B2366" s="16" t="s">
        <v>7157</v>
      </c>
      <c r="C2366" s="16" t="s">
        <v>6591</v>
      </c>
      <c r="D2366" s="16" t="s">
        <v>7320</v>
      </c>
      <c r="E2366" s="16" t="s">
        <v>7330</v>
      </c>
      <c r="F2366" s="16"/>
      <c r="G2366" s="16"/>
      <c r="H2366" s="18"/>
      <c r="I2366" s="18"/>
      <c r="J2366" s="18"/>
      <c r="K2366" s="18"/>
      <c r="L2366" s="18"/>
      <c r="M2366" s="18"/>
      <c r="N2366" s="18"/>
      <c r="O2366" s="18"/>
      <c r="P2366" s="18"/>
      <c r="Q2366" s="19"/>
      <c r="R2366" s="19"/>
      <c r="S2366" s="19"/>
    </row>
    <row r="2367" ht="15.75" customHeight="1">
      <c r="A2367" s="15">
        <v>45896.70792824074</v>
      </c>
      <c r="B2367" s="16" t="s">
        <v>7157</v>
      </c>
      <c r="C2367" s="16" t="s">
        <v>6591</v>
      </c>
      <c r="D2367" s="16" t="s">
        <v>7320</v>
      </c>
      <c r="E2367" s="16" t="s">
        <v>7331</v>
      </c>
      <c r="F2367" s="16"/>
      <c r="G2367" s="16"/>
      <c r="H2367" s="18"/>
      <c r="I2367" s="18"/>
      <c r="J2367" s="18"/>
      <c r="K2367" s="18"/>
      <c r="L2367" s="18"/>
      <c r="M2367" s="18"/>
      <c r="N2367" s="18"/>
      <c r="O2367" s="18"/>
      <c r="P2367" s="18"/>
      <c r="Q2367" s="19"/>
      <c r="R2367" s="19"/>
      <c r="S2367" s="19"/>
    </row>
    <row r="2368" ht="15.75" customHeight="1">
      <c r="A2368" s="15">
        <v>45896.73903935185</v>
      </c>
      <c r="B2368" s="16" t="s">
        <v>7157</v>
      </c>
      <c r="C2368" s="16" t="s">
        <v>6591</v>
      </c>
      <c r="D2368" s="16" t="s">
        <v>7320</v>
      </c>
      <c r="E2368" s="16" t="s">
        <v>7332</v>
      </c>
      <c r="F2368" s="16"/>
      <c r="G2368" s="16"/>
      <c r="H2368" s="18"/>
      <c r="I2368" s="18"/>
      <c r="J2368" s="18"/>
      <c r="K2368" s="18"/>
      <c r="L2368" s="18"/>
      <c r="M2368" s="18"/>
      <c r="N2368" s="18"/>
      <c r="O2368" s="18"/>
      <c r="P2368" s="18"/>
      <c r="Q2368" s="19"/>
      <c r="R2368" s="19"/>
      <c r="S2368" s="19"/>
    </row>
    <row r="2369" ht="15.75" customHeight="1">
      <c r="A2369" s="15">
        <v>45896.74849537037</v>
      </c>
      <c r="B2369" s="16" t="s">
        <v>7157</v>
      </c>
      <c r="C2369" s="16" t="s">
        <v>6591</v>
      </c>
      <c r="D2369" s="16" t="s">
        <v>7320</v>
      </c>
      <c r="E2369" s="16" t="s">
        <v>7333</v>
      </c>
      <c r="F2369" s="16"/>
      <c r="G2369" s="16"/>
      <c r="H2369" s="18"/>
      <c r="I2369" s="18"/>
      <c r="J2369" s="18"/>
      <c r="K2369" s="18"/>
      <c r="L2369" s="18"/>
      <c r="M2369" s="18"/>
      <c r="N2369" s="18"/>
      <c r="O2369" s="18"/>
      <c r="P2369" s="18"/>
      <c r="Q2369" s="19"/>
      <c r="R2369" s="19"/>
      <c r="S2369" s="19"/>
    </row>
    <row r="2370" ht="15.75" customHeight="1">
      <c r="A2370" s="15">
        <v>45896.74862268518</v>
      </c>
      <c r="B2370" s="16" t="s">
        <v>7157</v>
      </c>
      <c r="C2370" s="16" t="s">
        <v>6591</v>
      </c>
      <c r="D2370" s="16" t="s">
        <v>7320</v>
      </c>
      <c r="E2370" s="16" t="s">
        <v>7334</v>
      </c>
      <c r="F2370" s="16"/>
      <c r="G2370" s="16"/>
      <c r="H2370" s="18"/>
      <c r="I2370" s="18"/>
      <c r="J2370" s="18"/>
      <c r="K2370" s="18"/>
      <c r="L2370" s="18"/>
      <c r="M2370" s="18"/>
      <c r="N2370" s="18"/>
      <c r="O2370" s="18"/>
      <c r="P2370" s="18"/>
      <c r="Q2370" s="19"/>
      <c r="R2370" s="19"/>
      <c r="S2370" s="19"/>
    </row>
    <row r="2371" ht="15.75" customHeight="1">
      <c r="A2371" s="15">
        <v>45899.424212962964</v>
      </c>
      <c r="B2371" s="16" t="s">
        <v>7129</v>
      </c>
      <c r="C2371" s="16" t="s">
        <v>6591</v>
      </c>
      <c r="D2371" s="16" t="s">
        <v>7335</v>
      </c>
      <c r="E2371" s="16" t="s">
        <v>7336</v>
      </c>
      <c r="F2371" s="16"/>
      <c r="G2371" s="16"/>
      <c r="H2371" s="18"/>
      <c r="I2371" s="18"/>
      <c r="J2371" s="18"/>
      <c r="K2371" s="18"/>
      <c r="L2371" s="18"/>
      <c r="M2371" s="18"/>
      <c r="N2371" s="18"/>
      <c r="O2371" s="18"/>
      <c r="P2371" s="18"/>
      <c r="Q2371" s="19"/>
      <c r="R2371" s="19"/>
      <c r="S2371" s="19"/>
    </row>
    <row r="2372" ht="15.75" customHeight="1">
      <c r="A2372" s="15">
        <v>45899.427083333336</v>
      </c>
      <c r="B2372" s="16" t="s">
        <v>7129</v>
      </c>
      <c r="C2372" s="16" t="s">
        <v>6591</v>
      </c>
      <c r="D2372" s="16" t="s">
        <v>7335</v>
      </c>
      <c r="E2372" s="16" t="s">
        <v>7337</v>
      </c>
      <c r="F2372" s="16"/>
      <c r="G2372" s="16"/>
      <c r="H2372" s="18"/>
      <c r="I2372" s="18"/>
      <c r="J2372" s="18"/>
      <c r="K2372" s="18"/>
      <c r="L2372" s="18"/>
      <c r="M2372" s="18"/>
      <c r="N2372" s="18"/>
      <c r="O2372" s="18"/>
      <c r="P2372" s="18"/>
      <c r="Q2372" s="19"/>
      <c r="R2372" s="19"/>
      <c r="S2372" s="19"/>
    </row>
    <row r="2373" ht="15.75" customHeight="1">
      <c r="A2373" s="15">
        <v>45899.65962962963</v>
      </c>
      <c r="B2373" s="16" t="s">
        <v>6591</v>
      </c>
      <c r="C2373" s="16" t="s">
        <v>6591</v>
      </c>
      <c r="D2373" s="16" t="s">
        <v>7338</v>
      </c>
      <c r="E2373" s="16" t="s">
        <v>7339</v>
      </c>
      <c r="F2373" s="16"/>
      <c r="G2373" s="16"/>
      <c r="H2373" s="18"/>
      <c r="I2373" s="18"/>
      <c r="J2373" s="18"/>
      <c r="K2373" s="18"/>
      <c r="L2373" s="18"/>
      <c r="M2373" s="18"/>
      <c r="N2373" s="18"/>
      <c r="O2373" s="18"/>
      <c r="P2373" s="18"/>
      <c r="Q2373" s="19"/>
      <c r="R2373" s="19"/>
      <c r="S2373" s="19"/>
    </row>
    <row r="2374" ht="15.75" customHeight="1">
      <c r="A2374" s="15">
        <v>45899.664675925924</v>
      </c>
      <c r="B2374" s="16" t="s">
        <v>6591</v>
      </c>
      <c r="C2374" s="16" t="s">
        <v>6591</v>
      </c>
      <c r="D2374" s="16" t="s">
        <v>7340</v>
      </c>
      <c r="E2374" s="16" t="s">
        <v>7341</v>
      </c>
      <c r="F2374" s="16"/>
      <c r="G2374" s="16"/>
      <c r="H2374" s="18"/>
      <c r="I2374" s="18"/>
      <c r="J2374" s="18"/>
      <c r="K2374" s="18"/>
      <c r="L2374" s="18"/>
      <c r="M2374" s="18"/>
      <c r="N2374" s="18"/>
      <c r="O2374" s="18"/>
      <c r="P2374" s="18"/>
      <c r="Q2374" s="19"/>
      <c r="R2374" s="19"/>
      <c r="S2374" s="19"/>
    </row>
    <row r="2375" ht="15.75" customHeight="1">
      <c r="A2375" s="15">
        <v>45899.733078703706</v>
      </c>
      <c r="B2375" s="16" t="s">
        <v>7129</v>
      </c>
      <c r="C2375" s="16" t="s">
        <v>6591</v>
      </c>
      <c r="D2375" s="16" t="s">
        <v>7335</v>
      </c>
      <c r="E2375" s="16" t="s">
        <v>7342</v>
      </c>
      <c r="F2375" s="16"/>
      <c r="G2375" s="16"/>
      <c r="H2375" s="18"/>
      <c r="I2375" s="18"/>
      <c r="J2375" s="18"/>
      <c r="K2375" s="18"/>
      <c r="L2375" s="18"/>
      <c r="M2375" s="18"/>
      <c r="N2375" s="18"/>
      <c r="O2375" s="18"/>
      <c r="P2375" s="18"/>
      <c r="Q2375" s="19"/>
      <c r="R2375" s="19"/>
      <c r="S2375" s="19"/>
    </row>
    <row r="2376" ht="15.75" customHeight="1">
      <c r="A2376" s="15">
        <v>45899.736446759256</v>
      </c>
      <c r="B2376" s="16" t="s">
        <v>7129</v>
      </c>
      <c r="C2376" s="16" t="s">
        <v>6591</v>
      </c>
      <c r="D2376" s="16" t="s">
        <v>7335</v>
      </c>
      <c r="E2376" s="16" t="s">
        <v>7343</v>
      </c>
      <c r="F2376" s="16"/>
      <c r="G2376" s="16"/>
      <c r="H2376" s="18"/>
      <c r="I2376" s="18"/>
      <c r="J2376" s="18"/>
      <c r="K2376" s="18"/>
      <c r="L2376" s="18"/>
      <c r="M2376" s="18"/>
      <c r="N2376" s="18"/>
      <c r="O2376" s="18"/>
      <c r="P2376" s="18"/>
      <c r="Q2376" s="19"/>
      <c r="R2376" s="19"/>
      <c r="S2376" s="19"/>
    </row>
    <row r="2377" ht="15.75" customHeight="1">
      <c r="A2377" s="15">
        <v>45899.84967592593</v>
      </c>
      <c r="B2377" s="16" t="s">
        <v>7129</v>
      </c>
      <c r="C2377" s="16" t="s">
        <v>6591</v>
      </c>
      <c r="D2377" s="16" t="s">
        <v>7344</v>
      </c>
      <c r="E2377" s="16" t="s">
        <v>7345</v>
      </c>
      <c r="F2377" s="16"/>
      <c r="G2377" s="16"/>
      <c r="H2377" s="18"/>
      <c r="I2377" s="18"/>
      <c r="J2377" s="18"/>
      <c r="K2377" s="18"/>
      <c r="L2377" s="18"/>
      <c r="M2377" s="18"/>
      <c r="N2377" s="18"/>
      <c r="O2377" s="18"/>
      <c r="P2377" s="18"/>
      <c r="Q2377" s="19"/>
      <c r="R2377" s="19"/>
      <c r="S2377" s="19"/>
    </row>
    <row r="2378" ht="15.75" customHeight="1">
      <c r="A2378" s="15">
        <v>45899.85482638889</v>
      </c>
      <c r="B2378" s="16" t="s">
        <v>7129</v>
      </c>
      <c r="C2378" s="16" t="s">
        <v>6591</v>
      </c>
      <c r="D2378" s="16" t="s">
        <v>7335</v>
      </c>
      <c r="E2378" s="16" t="s">
        <v>7346</v>
      </c>
      <c r="F2378" s="16"/>
      <c r="G2378" s="16"/>
      <c r="H2378" s="18"/>
      <c r="I2378" s="18"/>
      <c r="J2378" s="18"/>
      <c r="K2378" s="18"/>
      <c r="L2378" s="18"/>
      <c r="M2378" s="18"/>
      <c r="N2378" s="18"/>
      <c r="O2378" s="18"/>
      <c r="P2378" s="18"/>
      <c r="Q2378" s="19"/>
      <c r="R2378" s="19"/>
      <c r="S2378" s="19"/>
    </row>
    <row r="2379" ht="15.75" customHeight="1">
      <c r="A2379" s="15">
        <v>45899.95313657408</v>
      </c>
      <c r="B2379" s="16" t="s">
        <v>7129</v>
      </c>
      <c r="C2379" s="16" t="s">
        <v>6591</v>
      </c>
      <c r="D2379" s="16" t="s">
        <v>7344</v>
      </c>
      <c r="E2379" s="16" t="s">
        <v>7347</v>
      </c>
      <c r="F2379" s="16"/>
      <c r="G2379" s="16"/>
      <c r="H2379" s="18"/>
      <c r="I2379" s="18"/>
      <c r="J2379" s="18"/>
      <c r="K2379" s="18"/>
      <c r="L2379" s="18"/>
      <c r="M2379" s="18"/>
      <c r="N2379" s="18"/>
      <c r="O2379" s="18"/>
      <c r="P2379" s="18"/>
      <c r="Q2379" s="19"/>
      <c r="R2379" s="19"/>
      <c r="S2379" s="19"/>
    </row>
    <row r="2380" ht="15.75" customHeight="1">
      <c r="A2380" s="15">
        <v>45899.954988425925</v>
      </c>
      <c r="B2380" s="16" t="s">
        <v>7129</v>
      </c>
      <c r="C2380" s="16" t="s">
        <v>6591</v>
      </c>
      <c r="D2380" s="16" t="s">
        <v>7335</v>
      </c>
      <c r="E2380" s="16" t="s">
        <v>7348</v>
      </c>
      <c r="F2380" s="16"/>
      <c r="G2380" s="16"/>
      <c r="H2380" s="18"/>
      <c r="I2380" s="18"/>
      <c r="J2380" s="18"/>
      <c r="K2380" s="18"/>
      <c r="L2380" s="18"/>
      <c r="M2380" s="18"/>
      <c r="N2380" s="18"/>
      <c r="O2380" s="18"/>
      <c r="P2380" s="18"/>
      <c r="Q2380" s="19"/>
      <c r="R2380" s="19"/>
      <c r="S2380" s="19"/>
    </row>
    <row r="2381" ht="15.75" customHeight="1">
      <c r="A2381" s="15">
        <v>45900.580416666664</v>
      </c>
      <c r="B2381" s="16" t="s">
        <v>7129</v>
      </c>
      <c r="C2381" s="16" t="s">
        <v>6591</v>
      </c>
      <c r="D2381" s="16" t="s">
        <v>7335</v>
      </c>
      <c r="E2381" s="16" t="s">
        <v>7349</v>
      </c>
      <c r="F2381" s="16"/>
      <c r="G2381" s="16"/>
      <c r="H2381" s="18"/>
      <c r="I2381" s="18"/>
      <c r="J2381" s="18"/>
      <c r="K2381" s="18"/>
      <c r="L2381" s="18"/>
      <c r="M2381" s="18"/>
      <c r="N2381" s="18"/>
      <c r="O2381" s="18"/>
      <c r="P2381" s="18"/>
      <c r="Q2381" s="19"/>
      <c r="R2381" s="19"/>
      <c r="S2381" s="19"/>
    </row>
    <row r="2382" ht="15.75" customHeight="1">
      <c r="A2382" s="15">
        <v>45901.361655092594</v>
      </c>
      <c r="B2382" s="16" t="s">
        <v>7129</v>
      </c>
      <c r="C2382" s="16" t="s">
        <v>6591</v>
      </c>
      <c r="D2382" s="16" t="s">
        <v>7335</v>
      </c>
      <c r="E2382" s="16" t="s">
        <v>7350</v>
      </c>
      <c r="F2382" s="16"/>
      <c r="G2382" s="16"/>
      <c r="H2382" s="18"/>
      <c r="I2382" s="18"/>
      <c r="J2382" s="18"/>
      <c r="K2382" s="18"/>
      <c r="L2382" s="18"/>
      <c r="M2382" s="18"/>
      <c r="N2382" s="18"/>
      <c r="O2382" s="18"/>
      <c r="P2382" s="18"/>
      <c r="Q2382" s="19"/>
      <c r="R2382" s="19"/>
      <c r="S2382" s="19"/>
    </row>
    <row r="2383" ht="15.75" customHeight="1">
      <c r="A2383" s="15">
        <v>45901.36230324074</v>
      </c>
      <c r="B2383" s="16" t="s">
        <v>7129</v>
      </c>
      <c r="C2383" s="16" t="s">
        <v>6591</v>
      </c>
      <c r="D2383" s="16" t="s">
        <v>7335</v>
      </c>
      <c r="E2383" s="16" t="s">
        <v>7351</v>
      </c>
      <c r="F2383" s="16"/>
      <c r="G2383" s="16"/>
      <c r="H2383" s="18"/>
      <c r="I2383" s="18"/>
      <c r="J2383" s="18"/>
      <c r="K2383" s="18"/>
      <c r="L2383" s="18"/>
      <c r="M2383" s="18"/>
      <c r="N2383" s="18"/>
      <c r="O2383" s="18"/>
      <c r="P2383" s="18"/>
      <c r="Q2383" s="19"/>
      <c r="R2383" s="19"/>
      <c r="S2383" s="19"/>
    </row>
    <row r="2384" ht="15.75" customHeight="1">
      <c r="A2384" s="15">
        <v>45901.489432870374</v>
      </c>
      <c r="B2384" s="16" t="s">
        <v>7129</v>
      </c>
      <c r="C2384" s="16" t="s">
        <v>6591</v>
      </c>
      <c r="D2384" s="16" t="s">
        <v>7335</v>
      </c>
      <c r="E2384" s="16" t="s">
        <v>7352</v>
      </c>
      <c r="F2384" s="16"/>
      <c r="G2384" s="16"/>
      <c r="H2384" s="18"/>
      <c r="I2384" s="18"/>
      <c r="J2384" s="18"/>
      <c r="K2384" s="18"/>
      <c r="L2384" s="18"/>
      <c r="M2384" s="18"/>
      <c r="N2384" s="18"/>
      <c r="O2384" s="18"/>
      <c r="P2384" s="18"/>
      <c r="Q2384" s="19"/>
      <c r="R2384" s="19"/>
      <c r="S2384" s="19"/>
    </row>
    <row r="2385" ht="15.75" customHeight="1">
      <c r="A2385" s="15">
        <v>45901.54615740741</v>
      </c>
      <c r="B2385" s="16" t="s">
        <v>7129</v>
      </c>
      <c r="C2385" s="16" t="s">
        <v>6591</v>
      </c>
      <c r="D2385" s="16" t="s">
        <v>7335</v>
      </c>
      <c r="E2385" s="16" t="s">
        <v>7353</v>
      </c>
      <c r="F2385" s="16"/>
      <c r="G2385" s="16"/>
      <c r="H2385" s="18"/>
      <c r="I2385" s="18"/>
      <c r="J2385" s="18"/>
      <c r="K2385" s="18"/>
      <c r="L2385" s="18"/>
      <c r="M2385" s="18"/>
      <c r="N2385" s="18"/>
      <c r="O2385" s="18"/>
      <c r="P2385" s="18"/>
      <c r="Q2385" s="19"/>
      <c r="R2385" s="19"/>
      <c r="S2385" s="19"/>
    </row>
    <row r="2386" ht="15.75" customHeight="1">
      <c r="A2386" s="15">
        <v>45901.61415509259</v>
      </c>
      <c r="B2386" s="16" t="s">
        <v>7129</v>
      </c>
      <c r="C2386" s="16" t="s">
        <v>6591</v>
      </c>
      <c r="D2386" s="16" t="s">
        <v>7335</v>
      </c>
      <c r="E2386" s="16" t="s">
        <v>7354</v>
      </c>
      <c r="F2386" s="16"/>
      <c r="G2386" s="16"/>
      <c r="H2386" s="18"/>
      <c r="I2386" s="18"/>
      <c r="J2386" s="18"/>
      <c r="K2386" s="18"/>
      <c r="L2386" s="18"/>
      <c r="M2386" s="18"/>
      <c r="N2386" s="18"/>
      <c r="O2386" s="18"/>
      <c r="P2386" s="18"/>
      <c r="Q2386" s="19"/>
      <c r="R2386" s="19"/>
      <c r="S2386" s="19"/>
    </row>
    <row r="2387" ht="15.75" customHeight="1">
      <c r="A2387" s="15">
        <v>45901.61472222222</v>
      </c>
      <c r="B2387" s="16" t="s">
        <v>7129</v>
      </c>
      <c r="C2387" s="16" t="s">
        <v>6591</v>
      </c>
      <c r="D2387" s="16" t="s">
        <v>7335</v>
      </c>
      <c r="E2387" s="16" t="s">
        <v>7355</v>
      </c>
      <c r="F2387" s="16"/>
      <c r="G2387" s="16"/>
      <c r="H2387" s="18"/>
      <c r="I2387" s="18"/>
      <c r="J2387" s="18"/>
      <c r="K2387" s="18"/>
      <c r="L2387" s="18"/>
      <c r="M2387" s="18"/>
      <c r="N2387" s="18"/>
      <c r="O2387" s="18"/>
      <c r="P2387" s="18"/>
      <c r="Q2387" s="19"/>
      <c r="R2387" s="19"/>
      <c r="S2387" s="19"/>
    </row>
    <row r="2388" ht="15.75" customHeight="1">
      <c r="A2388" s="15">
        <v>45901.615648148145</v>
      </c>
      <c r="B2388" s="16" t="s">
        <v>7129</v>
      </c>
      <c r="C2388" s="16" t="s">
        <v>6591</v>
      </c>
      <c r="D2388" s="16" t="s">
        <v>7335</v>
      </c>
      <c r="E2388" s="16" t="s">
        <v>7356</v>
      </c>
      <c r="F2388" s="16"/>
      <c r="G2388" s="16"/>
      <c r="H2388" s="18"/>
      <c r="I2388" s="18"/>
      <c r="J2388" s="18"/>
      <c r="K2388" s="18"/>
      <c r="L2388" s="18"/>
      <c r="M2388" s="18"/>
      <c r="N2388" s="18"/>
      <c r="O2388" s="18"/>
      <c r="P2388" s="18"/>
      <c r="Q2388" s="19"/>
      <c r="R2388" s="19"/>
      <c r="S2388" s="19"/>
    </row>
    <row r="2389" ht="15.75" customHeight="1">
      <c r="A2389" s="15">
        <v>45901.616215277776</v>
      </c>
      <c r="B2389" s="16" t="s">
        <v>7129</v>
      </c>
      <c r="C2389" s="16" t="s">
        <v>6591</v>
      </c>
      <c r="D2389" s="16" t="s">
        <v>7335</v>
      </c>
      <c r="E2389" s="16" t="s">
        <v>7357</v>
      </c>
      <c r="F2389" s="16"/>
      <c r="G2389" s="16"/>
      <c r="H2389" s="18"/>
      <c r="I2389" s="18"/>
      <c r="J2389" s="18"/>
      <c r="K2389" s="18"/>
      <c r="L2389" s="18"/>
      <c r="M2389" s="18"/>
      <c r="N2389" s="18"/>
      <c r="O2389" s="18"/>
      <c r="P2389" s="18"/>
      <c r="Q2389" s="19"/>
      <c r="R2389" s="19"/>
      <c r="S2389" s="19"/>
    </row>
    <row r="2390" ht="15.75" customHeight="1">
      <c r="A2390" s="15">
        <v>45901.62126157407</v>
      </c>
      <c r="B2390" s="16" t="s">
        <v>7129</v>
      </c>
      <c r="C2390" s="16" t="s">
        <v>6591</v>
      </c>
      <c r="D2390" s="16" t="s">
        <v>7335</v>
      </c>
      <c r="E2390" s="16" t="s">
        <v>7358</v>
      </c>
      <c r="F2390" s="16"/>
      <c r="G2390" s="16"/>
      <c r="H2390" s="18"/>
      <c r="I2390" s="18"/>
      <c r="J2390" s="18"/>
      <c r="K2390" s="18"/>
      <c r="L2390" s="18"/>
      <c r="M2390" s="18"/>
      <c r="N2390" s="18"/>
      <c r="O2390" s="18"/>
      <c r="P2390" s="18"/>
      <c r="Q2390" s="19"/>
      <c r="R2390" s="19"/>
      <c r="S2390" s="19"/>
    </row>
    <row r="2391" ht="15.75" customHeight="1">
      <c r="A2391" s="15">
        <v>45901.62153935185</v>
      </c>
      <c r="B2391" s="16" t="s">
        <v>7129</v>
      </c>
      <c r="C2391" s="16" t="s">
        <v>6591</v>
      </c>
      <c r="D2391" s="16" t="s">
        <v>7335</v>
      </c>
      <c r="E2391" s="16" t="s">
        <v>7359</v>
      </c>
      <c r="F2391" s="16"/>
      <c r="G2391" s="16"/>
      <c r="H2391" s="18"/>
      <c r="I2391" s="18"/>
      <c r="J2391" s="18"/>
      <c r="K2391" s="18"/>
      <c r="L2391" s="18"/>
      <c r="M2391" s="18"/>
      <c r="N2391" s="18"/>
      <c r="O2391" s="18"/>
      <c r="P2391" s="18"/>
      <c r="Q2391" s="19"/>
      <c r="R2391" s="19"/>
      <c r="S2391" s="19"/>
    </row>
    <row r="2392" ht="15.75" customHeight="1">
      <c r="A2392" s="15">
        <v>45901.63821759259</v>
      </c>
      <c r="B2392" s="16" t="s">
        <v>7129</v>
      </c>
      <c r="C2392" s="16" t="s">
        <v>6591</v>
      </c>
      <c r="D2392" s="16" t="s">
        <v>7335</v>
      </c>
      <c r="E2392" s="16" t="s">
        <v>7360</v>
      </c>
      <c r="F2392" s="16"/>
      <c r="G2392" s="16"/>
      <c r="H2392" s="18"/>
      <c r="I2392" s="18"/>
      <c r="J2392" s="18"/>
      <c r="K2392" s="18"/>
      <c r="L2392" s="18"/>
      <c r="M2392" s="18"/>
      <c r="N2392" s="18"/>
      <c r="O2392" s="18"/>
      <c r="P2392" s="18"/>
      <c r="Q2392" s="19"/>
      <c r="R2392" s="19"/>
      <c r="S2392" s="19"/>
    </row>
    <row r="2393" ht="15.75" customHeight="1">
      <c r="A2393" s="15">
        <v>45901.70491898148</v>
      </c>
      <c r="B2393" s="16" t="s">
        <v>7129</v>
      </c>
      <c r="C2393" s="16" t="s">
        <v>6591</v>
      </c>
      <c r="D2393" s="16" t="s">
        <v>7335</v>
      </c>
      <c r="E2393" s="16" t="s">
        <v>7361</v>
      </c>
      <c r="F2393" s="16"/>
      <c r="G2393" s="16"/>
      <c r="H2393" s="18"/>
      <c r="I2393" s="18"/>
      <c r="J2393" s="18"/>
      <c r="K2393" s="18"/>
      <c r="L2393" s="18"/>
      <c r="M2393" s="18"/>
      <c r="N2393" s="18"/>
      <c r="O2393" s="18"/>
      <c r="P2393" s="18"/>
      <c r="Q2393" s="19"/>
      <c r="R2393" s="19"/>
      <c r="S2393" s="19"/>
    </row>
    <row r="2394" ht="15.75" customHeight="1">
      <c r="A2394" s="15">
        <v>45901.715</v>
      </c>
      <c r="B2394" s="16" t="s">
        <v>7129</v>
      </c>
      <c r="C2394" s="16" t="s">
        <v>6591</v>
      </c>
      <c r="D2394" s="16" t="s">
        <v>7335</v>
      </c>
      <c r="E2394" s="16" t="s">
        <v>7362</v>
      </c>
      <c r="F2394" s="16"/>
      <c r="G2394" s="16"/>
      <c r="H2394" s="18"/>
      <c r="I2394" s="18"/>
      <c r="J2394" s="18"/>
      <c r="K2394" s="18"/>
      <c r="L2394" s="18"/>
      <c r="M2394" s="18"/>
      <c r="N2394" s="18"/>
      <c r="O2394" s="18"/>
      <c r="P2394" s="18"/>
      <c r="Q2394" s="19"/>
      <c r="R2394" s="19"/>
      <c r="S2394" s="19"/>
    </row>
    <row r="2395" ht="15.75" customHeight="1">
      <c r="A2395" s="15">
        <v>45901.72336805556</v>
      </c>
      <c r="B2395" s="16" t="s">
        <v>7129</v>
      </c>
      <c r="C2395" s="16" t="s">
        <v>6591</v>
      </c>
      <c r="D2395" s="16" t="s">
        <v>7335</v>
      </c>
      <c r="E2395" s="16" t="s">
        <v>7363</v>
      </c>
      <c r="F2395" s="16"/>
      <c r="G2395" s="16"/>
      <c r="H2395" s="18"/>
      <c r="I2395" s="18"/>
      <c r="J2395" s="18"/>
      <c r="K2395" s="18"/>
      <c r="L2395" s="18"/>
      <c r="M2395" s="18"/>
      <c r="N2395" s="18"/>
      <c r="O2395" s="18"/>
      <c r="P2395" s="18"/>
      <c r="Q2395" s="19"/>
      <c r="R2395" s="19"/>
      <c r="S2395" s="19"/>
    </row>
    <row r="2396" ht="15.75" customHeight="1">
      <c r="A2396" s="15">
        <v>45901.723912037036</v>
      </c>
      <c r="B2396" s="16" t="s">
        <v>7129</v>
      </c>
      <c r="C2396" s="16" t="s">
        <v>6591</v>
      </c>
      <c r="D2396" s="16" t="s">
        <v>7335</v>
      </c>
      <c r="E2396" s="16" t="s">
        <v>7364</v>
      </c>
      <c r="F2396" s="16"/>
      <c r="G2396" s="16"/>
      <c r="H2396" s="18"/>
      <c r="I2396" s="18"/>
      <c r="J2396" s="18"/>
      <c r="K2396" s="18"/>
      <c r="L2396" s="18"/>
      <c r="M2396" s="18"/>
      <c r="N2396" s="18"/>
      <c r="O2396" s="18"/>
      <c r="P2396" s="18"/>
      <c r="Q2396" s="19"/>
      <c r="R2396" s="19"/>
      <c r="S2396" s="19"/>
    </row>
    <row r="2397" ht="15.75" customHeight="1">
      <c r="A2397" s="15">
        <v>45901.72833333333</v>
      </c>
      <c r="B2397" s="16" t="s">
        <v>7129</v>
      </c>
      <c r="C2397" s="16" t="s">
        <v>6591</v>
      </c>
      <c r="D2397" s="16" t="s">
        <v>7335</v>
      </c>
      <c r="E2397" s="16" t="s">
        <v>7365</v>
      </c>
      <c r="F2397" s="16"/>
      <c r="G2397" s="16"/>
      <c r="H2397" s="18"/>
      <c r="I2397" s="18"/>
      <c r="J2397" s="18"/>
      <c r="K2397" s="18"/>
      <c r="L2397" s="18"/>
      <c r="M2397" s="18"/>
      <c r="N2397" s="18"/>
      <c r="O2397" s="18"/>
      <c r="P2397" s="18"/>
      <c r="Q2397" s="19"/>
      <c r="R2397" s="19"/>
      <c r="S2397" s="19"/>
    </row>
    <row r="2398" ht="15.75" customHeight="1">
      <c r="A2398" s="15">
        <v>45901.73583333333</v>
      </c>
      <c r="B2398" s="16" t="s">
        <v>7129</v>
      </c>
      <c r="C2398" s="16" t="s">
        <v>6591</v>
      </c>
      <c r="D2398" s="16" t="s">
        <v>7335</v>
      </c>
      <c r="E2398" s="16" t="s">
        <v>7366</v>
      </c>
      <c r="F2398" s="16"/>
      <c r="G2398" s="16"/>
      <c r="H2398" s="18"/>
      <c r="I2398" s="18"/>
      <c r="J2398" s="18"/>
      <c r="K2398" s="18"/>
      <c r="L2398" s="18"/>
      <c r="M2398" s="18"/>
      <c r="N2398" s="18"/>
      <c r="O2398" s="18"/>
      <c r="P2398" s="18"/>
      <c r="Q2398" s="19"/>
      <c r="R2398" s="19"/>
      <c r="S2398" s="19"/>
    </row>
    <row r="2399" ht="15.75" customHeight="1">
      <c r="A2399" s="15">
        <v>45901.73706018519</v>
      </c>
      <c r="B2399" s="16" t="s">
        <v>7129</v>
      </c>
      <c r="C2399" s="16" t="s">
        <v>6591</v>
      </c>
      <c r="D2399" s="16" t="s">
        <v>7335</v>
      </c>
      <c r="E2399" s="16" t="s">
        <v>7367</v>
      </c>
      <c r="F2399" s="16"/>
      <c r="G2399" s="16"/>
      <c r="H2399" s="18"/>
      <c r="I2399" s="18"/>
      <c r="J2399" s="18"/>
      <c r="K2399" s="18"/>
      <c r="L2399" s="18"/>
      <c r="M2399" s="18"/>
      <c r="N2399" s="18"/>
      <c r="O2399" s="18"/>
      <c r="P2399" s="18"/>
      <c r="Q2399" s="19"/>
      <c r="R2399" s="19"/>
      <c r="S2399" s="19"/>
    </row>
    <row r="2400" ht="15.75" customHeight="1">
      <c r="A2400" s="15">
        <v>45901.77128472222</v>
      </c>
      <c r="B2400" s="16" t="s">
        <v>7129</v>
      </c>
      <c r="C2400" s="16" t="s">
        <v>6591</v>
      </c>
      <c r="D2400" s="16" t="s">
        <v>7335</v>
      </c>
      <c r="E2400" s="16" t="s">
        <v>7368</v>
      </c>
      <c r="F2400" s="16"/>
      <c r="G2400" s="16"/>
      <c r="H2400" s="18"/>
      <c r="I2400" s="18"/>
      <c r="J2400" s="18"/>
      <c r="K2400" s="18"/>
      <c r="L2400" s="18"/>
      <c r="M2400" s="18"/>
      <c r="N2400" s="18"/>
      <c r="O2400" s="18"/>
      <c r="P2400" s="18"/>
      <c r="Q2400" s="19"/>
      <c r="R2400" s="19"/>
      <c r="S2400" s="19"/>
    </row>
    <row r="2401" ht="15.75" customHeight="1">
      <c r="A2401" s="15">
        <v>45903.67859953704</v>
      </c>
      <c r="B2401" s="16" t="s">
        <v>6591</v>
      </c>
      <c r="C2401" s="16" t="s">
        <v>6591</v>
      </c>
      <c r="D2401" s="16" t="s">
        <v>7369</v>
      </c>
      <c r="E2401" s="16" t="s">
        <v>6613</v>
      </c>
      <c r="F2401" s="16"/>
      <c r="G2401" s="16"/>
      <c r="H2401" s="18"/>
      <c r="I2401" s="18"/>
      <c r="J2401" s="18"/>
      <c r="K2401" s="18"/>
      <c r="L2401" s="18"/>
      <c r="M2401" s="18"/>
      <c r="N2401" s="18"/>
      <c r="O2401" s="18"/>
      <c r="P2401" s="18"/>
      <c r="Q2401" s="19"/>
      <c r="R2401" s="19"/>
      <c r="S2401" s="19"/>
    </row>
    <row r="2402" ht="15.75" customHeight="1">
      <c r="A2402" s="15">
        <v>45904.82069444445</v>
      </c>
      <c r="B2402" s="16" t="s">
        <v>7157</v>
      </c>
      <c r="C2402" s="16" t="s">
        <v>6591</v>
      </c>
      <c r="D2402" s="16" t="s">
        <v>7370</v>
      </c>
      <c r="E2402" s="16" t="s">
        <v>7371</v>
      </c>
      <c r="F2402" s="16"/>
      <c r="G2402" s="16"/>
      <c r="H2402" s="18"/>
      <c r="I2402" s="18"/>
      <c r="J2402" s="18"/>
      <c r="K2402" s="18"/>
      <c r="L2402" s="18"/>
      <c r="M2402" s="18"/>
      <c r="N2402" s="18"/>
      <c r="O2402" s="18"/>
      <c r="P2402" s="18"/>
      <c r="Q2402" s="19"/>
      <c r="R2402" s="19"/>
      <c r="S2402" s="19"/>
    </row>
    <row r="2403" ht="15.75" customHeight="1">
      <c r="A2403" s="15">
        <v>45904.99369212963</v>
      </c>
      <c r="B2403" s="16" t="s">
        <v>7157</v>
      </c>
      <c r="C2403" s="16" t="s">
        <v>6591</v>
      </c>
      <c r="D2403" s="16" t="s">
        <v>7370</v>
      </c>
      <c r="E2403" s="16" t="s">
        <v>7372</v>
      </c>
      <c r="F2403" s="16"/>
      <c r="G2403" s="16"/>
      <c r="H2403" s="18"/>
      <c r="I2403" s="18"/>
      <c r="J2403" s="18"/>
      <c r="K2403" s="18"/>
      <c r="L2403" s="18"/>
      <c r="M2403" s="18"/>
      <c r="N2403" s="18"/>
      <c r="O2403" s="18"/>
      <c r="P2403" s="18"/>
      <c r="Q2403" s="19"/>
      <c r="R2403" s="19"/>
      <c r="S2403" s="19"/>
    </row>
    <row r="2404" ht="15.75" customHeight="1">
      <c r="A2404" s="15">
        <v>45904.994479166664</v>
      </c>
      <c r="B2404" s="16" t="s">
        <v>7157</v>
      </c>
      <c r="C2404" s="16" t="s">
        <v>6591</v>
      </c>
      <c r="D2404" s="16" t="s">
        <v>7370</v>
      </c>
      <c r="E2404" s="16" t="s">
        <v>7373</v>
      </c>
      <c r="F2404" s="16"/>
      <c r="G2404" s="16"/>
      <c r="H2404" s="18"/>
      <c r="I2404" s="18"/>
      <c r="J2404" s="18"/>
      <c r="K2404" s="18"/>
      <c r="L2404" s="18"/>
      <c r="M2404" s="18"/>
      <c r="N2404" s="18"/>
      <c r="O2404" s="18"/>
      <c r="P2404" s="18"/>
      <c r="Q2404" s="19"/>
      <c r="R2404" s="19"/>
      <c r="S2404" s="19"/>
    </row>
    <row r="2405" ht="15.75" customHeight="1">
      <c r="A2405" s="15">
        <v>45905.00607638889</v>
      </c>
      <c r="B2405" s="16" t="s">
        <v>7157</v>
      </c>
      <c r="C2405" s="16" t="s">
        <v>6591</v>
      </c>
      <c r="D2405" s="16" t="s">
        <v>7370</v>
      </c>
      <c r="E2405" s="16" t="s">
        <v>7374</v>
      </c>
      <c r="F2405" s="16"/>
      <c r="G2405" s="16"/>
      <c r="H2405" s="18"/>
      <c r="I2405" s="18"/>
      <c r="J2405" s="18"/>
      <c r="K2405" s="18"/>
      <c r="L2405" s="18"/>
      <c r="M2405" s="18"/>
      <c r="N2405" s="18"/>
      <c r="O2405" s="18"/>
      <c r="P2405" s="18"/>
      <c r="Q2405" s="19"/>
      <c r="R2405" s="19"/>
      <c r="S2405" s="19"/>
    </row>
    <row r="2406" ht="15.75" customHeight="1">
      <c r="A2406" s="15">
        <v>45905.45445601852</v>
      </c>
      <c r="B2406" s="16" t="s">
        <v>7157</v>
      </c>
      <c r="C2406" s="16" t="s">
        <v>6591</v>
      </c>
      <c r="D2406" s="16" t="s">
        <v>7370</v>
      </c>
      <c r="E2406" s="16" t="s">
        <v>7375</v>
      </c>
      <c r="F2406" s="16"/>
      <c r="G2406" s="16"/>
      <c r="H2406" s="18"/>
      <c r="I2406" s="18"/>
      <c r="J2406" s="18"/>
      <c r="K2406" s="18"/>
      <c r="L2406" s="18"/>
      <c r="M2406" s="18"/>
      <c r="N2406" s="18"/>
      <c r="O2406" s="18"/>
      <c r="P2406" s="18"/>
      <c r="Q2406" s="19"/>
      <c r="R2406" s="19"/>
      <c r="S2406" s="19"/>
    </row>
    <row r="2407" ht="15.75" customHeight="1">
      <c r="A2407" s="15">
        <v>45905.45483796296</v>
      </c>
      <c r="B2407" s="16" t="s">
        <v>7157</v>
      </c>
      <c r="C2407" s="16" t="s">
        <v>6591</v>
      </c>
      <c r="D2407" s="16" t="s">
        <v>7370</v>
      </c>
      <c r="E2407" s="16" t="s">
        <v>7376</v>
      </c>
      <c r="F2407" s="16"/>
      <c r="G2407" s="16"/>
      <c r="H2407" s="18"/>
      <c r="I2407" s="18"/>
      <c r="J2407" s="18"/>
      <c r="K2407" s="18"/>
      <c r="L2407" s="18"/>
      <c r="M2407" s="18"/>
      <c r="N2407" s="18"/>
      <c r="O2407" s="18"/>
      <c r="P2407" s="18"/>
      <c r="Q2407" s="19"/>
      <c r="R2407" s="19"/>
      <c r="S2407" s="19"/>
    </row>
    <row r="2408" ht="15.75" customHeight="1">
      <c r="A2408" s="15">
        <v>45905.45909722222</v>
      </c>
      <c r="B2408" s="16" t="s">
        <v>7157</v>
      </c>
      <c r="C2408" s="16" t="s">
        <v>6591</v>
      </c>
      <c r="D2408" s="16" t="s">
        <v>7370</v>
      </c>
      <c r="E2408" s="16" t="s">
        <v>7377</v>
      </c>
      <c r="F2408" s="16"/>
      <c r="G2408" s="16"/>
      <c r="H2408" s="18"/>
      <c r="I2408" s="18"/>
      <c r="J2408" s="18"/>
      <c r="K2408" s="18"/>
      <c r="L2408" s="18"/>
      <c r="M2408" s="18"/>
      <c r="N2408" s="18"/>
      <c r="O2408" s="18"/>
      <c r="P2408" s="18"/>
      <c r="Q2408" s="19"/>
      <c r="R2408" s="19"/>
      <c r="S2408" s="19"/>
    </row>
    <row r="2409" ht="15.75" customHeight="1">
      <c r="A2409" s="15">
        <v>45905.45930555555</v>
      </c>
      <c r="B2409" s="16" t="s">
        <v>7157</v>
      </c>
      <c r="C2409" s="16" t="s">
        <v>6591</v>
      </c>
      <c r="D2409" s="16" t="s">
        <v>7370</v>
      </c>
      <c r="E2409" s="16" t="s">
        <v>7378</v>
      </c>
      <c r="F2409" s="16"/>
      <c r="G2409" s="16"/>
      <c r="H2409" s="18"/>
      <c r="I2409" s="18"/>
      <c r="J2409" s="18"/>
      <c r="K2409" s="18"/>
      <c r="L2409" s="18"/>
      <c r="M2409" s="18"/>
      <c r="N2409" s="18"/>
      <c r="O2409" s="18"/>
      <c r="P2409" s="18"/>
      <c r="Q2409" s="19"/>
      <c r="R2409" s="19"/>
      <c r="S2409" s="19"/>
    </row>
    <row r="2410" ht="15.75" customHeight="1">
      <c r="A2410" s="15">
        <v>45905.475</v>
      </c>
      <c r="B2410" s="16" t="s">
        <v>7157</v>
      </c>
      <c r="C2410" s="16" t="s">
        <v>6591</v>
      </c>
      <c r="D2410" s="16" t="s">
        <v>7370</v>
      </c>
      <c r="E2410" s="16" t="s">
        <v>7379</v>
      </c>
      <c r="F2410" s="16"/>
      <c r="G2410" s="16"/>
      <c r="H2410" s="18"/>
      <c r="I2410" s="18"/>
      <c r="J2410" s="18"/>
      <c r="K2410" s="18"/>
      <c r="L2410" s="18"/>
      <c r="M2410" s="18"/>
      <c r="N2410" s="18"/>
      <c r="O2410" s="18"/>
      <c r="P2410" s="18"/>
      <c r="Q2410" s="19"/>
      <c r="R2410" s="19"/>
      <c r="S2410" s="19"/>
    </row>
    <row r="2411" ht="15.75" customHeight="1">
      <c r="A2411" s="15">
        <v>45905.47990740741</v>
      </c>
      <c r="B2411" s="16" t="s">
        <v>7157</v>
      </c>
      <c r="C2411" s="16" t="s">
        <v>6591</v>
      </c>
      <c r="D2411" s="16" t="s">
        <v>7370</v>
      </c>
      <c r="E2411" s="16" t="s">
        <v>7380</v>
      </c>
      <c r="F2411" s="16"/>
      <c r="G2411" s="16"/>
      <c r="H2411" s="18"/>
      <c r="I2411" s="18"/>
      <c r="J2411" s="18"/>
      <c r="K2411" s="18"/>
      <c r="L2411" s="18"/>
      <c r="M2411" s="18"/>
      <c r="N2411" s="18"/>
      <c r="O2411" s="18"/>
      <c r="P2411" s="18"/>
      <c r="Q2411" s="19"/>
      <c r="R2411" s="19"/>
      <c r="S2411" s="19"/>
    </row>
    <row r="2412" ht="15.75" customHeight="1">
      <c r="A2412" s="15">
        <v>45905.48579861111</v>
      </c>
      <c r="B2412" s="16" t="s">
        <v>7157</v>
      </c>
      <c r="C2412" s="16" t="s">
        <v>6591</v>
      </c>
      <c r="D2412" s="16" t="s">
        <v>7370</v>
      </c>
      <c r="E2412" s="16" t="s">
        <v>7381</v>
      </c>
      <c r="F2412" s="16"/>
      <c r="G2412" s="16"/>
      <c r="H2412" s="18"/>
      <c r="I2412" s="18"/>
      <c r="J2412" s="18"/>
      <c r="K2412" s="18"/>
      <c r="L2412" s="18"/>
      <c r="M2412" s="18"/>
      <c r="N2412" s="18"/>
      <c r="O2412" s="18"/>
      <c r="P2412" s="18"/>
      <c r="Q2412" s="19"/>
      <c r="R2412" s="19"/>
      <c r="S2412" s="19"/>
    </row>
    <row r="2413" ht="15.75" customHeight="1">
      <c r="A2413" s="15">
        <v>45905.487488425926</v>
      </c>
      <c r="B2413" s="16" t="s">
        <v>7157</v>
      </c>
      <c r="C2413" s="16" t="s">
        <v>6591</v>
      </c>
      <c r="D2413" s="16" t="s">
        <v>7370</v>
      </c>
      <c r="E2413" s="16" t="s">
        <v>7382</v>
      </c>
      <c r="F2413" s="16"/>
      <c r="G2413" s="16"/>
      <c r="H2413" s="18"/>
      <c r="I2413" s="18"/>
      <c r="J2413" s="18"/>
      <c r="K2413" s="18"/>
      <c r="L2413" s="18"/>
      <c r="M2413" s="18"/>
      <c r="N2413" s="18"/>
      <c r="O2413" s="18"/>
      <c r="P2413" s="18"/>
      <c r="Q2413" s="19"/>
      <c r="R2413" s="19"/>
      <c r="S2413" s="19"/>
    </row>
    <row r="2414" ht="15.75" customHeight="1">
      <c r="A2414" s="15">
        <v>45905.4887962963</v>
      </c>
      <c r="B2414" s="16" t="s">
        <v>7157</v>
      </c>
      <c r="C2414" s="16" t="s">
        <v>6591</v>
      </c>
      <c r="D2414" s="16" t="s">
        <v>7370</v>
      </c>
      <c r="E2414" s="16" t="s">
        <v>7383</v>
      </c>
      <c r="F2414" s="16"/>
      <c r="G2414" s="16"/>
      <c r="H2414" s="18"/>
      <c r="I2414" s="18"/>
      <c r="J2414" s="18"/>
      <c r="K2414" s="18"/>
      <c r="L2414" s="18"/>
      <c r="M2414" s="18"/>
      <c r="N2414" s="18"/>
      <c r="O2414" s="18"/>
      <c r="P2414" s="18"/>
      <c r="Q2414" s="19"/>
      <c r="R2414" s="19"/>
      <c r="S2414" s="19"/>
    </row>
    <row r="2415" ht="15.75" customHeight="1">
      <c r="A2415" s="15">
        <v>45905.4940625</v>
      </c>
      <c r="B2415" s="16" t="s">
        <v>7157</v>
      </c>
      <c r="C2415" s="16" t="s">
        <v>6591</v>
      </c>
      <c r="D2415" s="16" t="s">
        <v>7370</v>
      </c>
      <c r="E2415" s="16" t="s">
        <v>7384</v>
      </c>
      <c r="F2415" s="16"/>
      <c r="G2415" s="16"/>
      <c r="H2415" s="18"/>
      <c r="I2415" s="18"/>
      <c r="J2415" s="18"/>
      <c r="K2415" s="18"/>
      <c r="L2415" s="18"/>
      <c r="M2415" s="18"/>
      <c r="N2415" s="18"/>
      <c r="O2415" s="18"/>
      <c r="P2415" s="18"/>
      <c r="Q2415" s="19"/>
      <c r="R2415" s="19"/>
      <c r="S2415" s="19"/>
    </row>
    <row r="2416" ht="15.75" customHeight="1">
      <c r="A2416" s="15">
        <v>45905.4949537037</v>
      </c>
      <c r="B2416" s="16" t="s">
        <v>7157</v>
      </c>
      <c r="C2416" s="16" t="s">
        <v>6591</v>
      </c>
      <c r="D2416" s="16"/>
      <c r="E2416" s="16" t="s">
        <v>7385</v>
      </c>
      <c r="F2416" s="16"/>
      <c r="G2416" s="16"/>
      <c r="H2416" s="18"/>
      <c r="I2416" s="18"/>
      <c r="J2416" s="18"/>
      <c r="K2416" s="18"/>
      <c r="L2416" s="18"/>
      <c r="M2416" s="18"/>
      <c r="N2416" s="18"/>
      <c r="O2416" s="18"/>
      <c r="P2416" s="18"/>
      <c r="Q2416" s="19"/>
      <c r="R2416" s="19"/>
      <c r="S2416" s="19"/>
    </row>
    <row r="2417" ht="15.75" customHeight="1">
      <c r="A2417" s="15">
        <v>45905.567245370374</v>
      </c>
      <c r="B2417" s="16" t="s">
        <v>6682</v>
      </c>
      <c r="C2417" s="16" t="s">
        <v>6591</v>
      </c>
      <c r="D2417" s="16" t="s">
        <v>7386</v>
      </c>
      <c r="E2417" s="16" t="s">
        <v>7387</v>
      </c>
      <c r="F2417" s="16"/>
      <c r="G2417" s="16"/>
      <c r="H2417" s="18"/>
      <c r="I2417" s="18"/>
      <c r="J2417" s="18"/>
      <c r="K2417" s="18"/>
      <c r="L2417" s="18"/>
      <c r="M2417" s="18"/>
      <c r="N2417" s="18"/>
      <c r="O2417" s="18"/>
      <c r="P2417" s="18"/>
      <c r="Q2417" s="19"/>
      <c r="R2417" s="19"/>
      <c r="S2417" s="19"/>
    </row>
    <row r="2418" ht="15.75" customHeight="1">
      <c r="A2418" s="15">
        <v>45905.58329861111</v>
      </c>
      <c r="B2418" s="16" t="s">
        <v>7157</v>
      </c>
      <c r="C2418" s="16" t="s">
        <v>6591</v>
      </c>
      <c r="D2418" s="16" t="s">
        <v>7130</v>
      </c>
      <c r="E2418" s="16" t="s">
        <v>7388</v>
      </c>
      <c r="F2418" s="16"/>
      <c r="G2418" s="16"/>
      <c r="H2418" s="18"/>
      <c r="I2418" s="18"/>
      <c r="J2418" s="18"/>
      <c r="K2418" s="18"/>
      <c r="L2418" s="18"/>
      <c r="M2418" s="18"/>
      <c r="N2418" s="18"/>
      <c r="O2418" s="18"/>
      <c r="P2418" s="18"/>
      <c r="Q2418" s="19"/>
      <c r="R2418" s="19"/>
      <c r="S2418" s="19"/>
    </row>
    <row r="2419" ht="15.75" customHeight="1">
      <c r="A2419" s="15">
        <v>45905.72324074074</v>
      </c>
      <c r="B2419" s="16" t="s">
        <v>7157</v>
      </c>
      <c r="C2419" s="16" t="s">
        <v>6591</v>
      </c>
      <c r="D2419" s="16" t="s">
        <v>7130</v>
      </c>
      <c r="E2419" s="16" t="s">
        <v>7389</v>
      </c>
      <c r="F2419" s="16"/>
      <c r="G2419" s="16"/>
      <c r="H2419" s="18"/>
      <c r="I2419" s="18"/>
      <c r="J2419" s="18"/>
      <c r="K2419" s="18"/>
      <c r="L2419" s="18"/>
      <c r="M2419" s="18"/>
      <c r="N2419" s="18"/>
      <c r="O2419" s="18"/>
      <c r="P2419" s="18"/>
      <c r="Q2419" s="19"/>
      <c r="R2419" s="19"/>
      <c r="S2419" s="19"/>
    </row>
    <row r="2420" ht="15.75" customHeight="1">
      <c r="A2420" s="15">
        <v>45905.72741898148</v>
      </c>
      <c r="B2420" s="16" t="s">
        <v>7157</v>
      </c>
      <c r="C2420" s="16" t="s">
        <v>6591</v>
      </c>
      <c r="D2420" s="16" t="s">
        <v>7130</v>
      </c>
      <c r="E2420" s="16" t="s">
        <v>7390</v>
      </c>
      <c r="F2420" s="16"/>
      <c r="G2420" s="16"/>
      <c r="H2420" s="18"/>
      <c r="I2420" s="18"/>
      <c r="J2420" s="18"/>
      <c r="K2420" s="18"/>
      <c r="L2420" s="18"/>
      <c r="M2420" s="18"/>
      <c r="N2420" s="18"/>
      <c r="O2420" s="18"/>
      <c r="P2420" s="18"/>
      <c r="Q2420" s="19"/>
      <c r="R2420" s="19"/>
      <c r="S2420" s="19"/>
    </row>
    <row r="2421" ht="15.75" customHeight="1">
      <c r="A2421" s="15">
        <v>45905.731469907405</v>
      </c>
      <c r="B2421" s="16" t="s">
        <v>7157</v>
      </c>
      <c r="C2421" s="16" t="s">
        <v>6591</v>
      </c>
      <c r="D2421" s="16" t="s">
        <v>7130</v>
      </c>
      <c r="E2421" s="16" t="s">
        <v>7391</v>
      </c>
      <c r="F2421" s="16"/>
      <c r="G2421" s="16"/>
      <c r="H2421" s="18"/>
      <c r="I2421" s="18"/>
      <c r="J2421" s="18"/>
      <c r="K2421" s="18"/>
      <c r="L2421" s="18"/>
      <c r="M2421" s="18"/>
      <c r="N2421" s="18"/>
      <c r="O2421" s="18"/>
      <c r="P2421" s="18"/>
      <c r="Q2421" s="19"/>
      <c r="R2421" s="19"/>
      <c r="S2421" s="19"/>
    </row>
    <row r="2422" ht="15.75" customHeight="1">
      <c r="A2422" s="15">
        <v>45905.785787037035</v>
      </c>
      <c r="B2422" s="16" t="s">
        <v>7157</v>
      </c>
      <c r="C2422" s="16" t="s">
        <v>6591</v>
      </c>
      <c r="D2422" s="16" t="s">
        <v>7130</v>
      </c>
      <c r="E2422" s="16" t="s">
        <v>7392</v>
      </c>
      <c r="F2422" s="16"/>
      <c r="G2422" s="16"/>
      <c r="H2422" s="18"/>
      <c r="I2422" s="18"/>
      <c r="J2422" s="18"/>
      <c r="K2422" s="18"/>
      <c r="L2422" s="18"/>
      <c r="M2422" s="18"/>
      <c r="N2422" s="18"/>
      <c r="O2422" s="18"/>
      <c r="P2422" s="18"/>
      <c r="Q2422" s="19"/>
      <c r="R2422" s="19"/>
      <c r="S2422" s="19"/>
    </row>
    <row r="2423" ht="15.75" customHeight="1">
      <c r="A2423" s="15">
        <v>45905.86618055555</v>
      </c>
      <c r="B2423" s="16" t="s">
        <v>7157</v>
      </c>
      <c r="C2423" s="16" t="s">
        <v>6591</v>
      </c>
      <c r="D2423" s="16" t="s">
        <v>7130</v>
      </c>
      <c r="E2423" s="16" t="s">
        <v>7393</v>
      </c>
      <c r="F2423" s="16"/>
      <c r="G2423" s="16"/>
      <c r="H2423" s="18"/>
      <c r="I2423" s="18"/>
      <c r="J2423" s="18"/>
      <c r="K2423" s="18"/>
      <c r="L2423" s="18"/>
      <c r="M2423" s="18"/>
      <c r="N2423" s="18"/>
      <c r="O2423" s="18"/>
      <c r="P2423" s="18"/>
      <c r="Q2423" s="19"/>
      <c r="R2423" s="19"/>
      <c r="S2423" s="19"/>
    </row>
    <row r="2424" ht="15.75" customHeight="1">
      <c r="A2424" s="15">
        <v>45906.45107638889</v>
      </c>
      <c r="B2424" s="16" t="s">
        <v>7157</v>
      </c>
      <c r="C2424" s="16" t="s">
        <v>6591</v>
      </c>
      <c r="D2424" s="16" t="s">
        <v>7130</v>
      </c>
      <c r="E2424" s="16" t="s">
        <v>7394</v>
      </c>
      <c r="F2424" s="16"/>
      <c r="G2424" s="16"/>
      <c r="H2424" s="18"/>
      <c r="I2424" s="18"/>
      <c r="J2424" s="18"/>
      <c r="K2424" s="18"/>
      <c r="L2424" s="18"/>
      <c r="M2424" s="18"/>
      <c r="N2424" s="18"/>
      <c r="O2424" s="18"/>
      <c r="P2424" s="18"/>
      <c r="Q2424" s="19"/>
      <c r="R2424" s="19"/>
      <c r="S2424" s="19"/>
    </row>
    <row r="2425" ht="15.75" customHeight="1">
      <c r="A2425" s="15">
        <v>45906.45222222222</v>
      </c>
      <c r="B2425" s="16" t="s">
        <v>7157</v>
      </c>
      <c r="C2425" s="16" t="s">
        <v>6591</v>
      </c>
      <c r="D2425" s="16" t="s">
        <v>7130</v>
      </c>
      <c r="E2425" s="16" t="s">
        <v>7395</v>
      </c>
      <c r="F2425" s="16"/>
      <c r="G2425" s="16"/>
      <c r="H2425" s="18"/>
      <c r="I2425" s="18"/>
      <c r="J2425" s="18"/>
      <c r="K2425" s="18"/>
      <c r="L2425" s="18"/>
      <c r="M2425" s="18"/>
      <c r="N2425" s="18"/>
      <c r="O2425" s="18"/>
      <c r="P2425" s="18"/>
      <c r="Q2425" s="19"/>
      <c r="R2425" s="19"/>
      <c r="S2425" s="19"/>
    </row>
    <row r="2426" ht="15.75" customHeight="1">
      <c r="A2426" s="15">
        <v>45906.45601851852</v>
      </c>
      <c r="B2426" s="16" t="s">
        <v>7157</v>
      </c>
      <c r="C2426" s="16" t="s">
        <v>6591</v>
      </c>
      <c r="D2426" s="16" t="s">
        <v>7130</v>
      </c>
      <c r="E2426" s="16" t="s">
        <v>7396</v>
      </c>
      <c r="F2426" s="16"/>
      <c r="G2426" s="16"/>
      <c r="H2426" s="18"/>
      <c r="I2426" s="18"/>
      <c r="J2426" s="18"/>
      <c r="K2426" s="18"/>
      <c r="L2426" s="18"/>
      <c r="M2426" s="18"/>
      <c r="N2426" s="18"/>
      <c r="O2426" s="18"/>
      <c r="P2426" s="18"/>
      <c r="Q2426" s="19"/>
      <c r="R2426" s="19"/>
      <c r="S2426" s="19"/>
    </row>
    <row r="2427" ht="15.75" customHeight="1">
      <c r="A2427" s="15">
        <v>45906.46333333333</v>
      </c>
      <c r="B2427" s="16" t="s">
        <v>7157</v>
      </c>
      <c r="C2427" s="16" t="s">
        <v>6591</v>
      </c>
      <c r="D2427" s="16" t="s">
        <v>7130</v>
      </c>
      <c r="E2427" s="16" t="s">
        <v>7397</v>
      </c>
      <c r="F2427" s="16"/>
      <c r="G2427" s="16"/>
      <c r="H2427" s="18"/>
      <c r="I2427" s="18"/>
      <c r="J2427" s="18"/>
      <c r="K2427" s="18"/>
      <c r="L2427" s="18"/>
      <c r="M2427" s="18"/>
      <c r="N2427" s="18"/>
      <c r="O2427" s="18"/>
      <c r="P2427" s="18"/>
      <c r="Q2427" s="19"/>
      <c r="R2427" s="19"/>
      <c r="S2427" s="19"/>
    </row>
    <row r="2428" ht="15.75" customHeight="1">
      <c r="A2428" s="15">
        <v>45906.519421296296</v>
      </c>
      <c r="B2428" s="16" t="s">
        <v>7157</v>
      </c>
      <c r="C2428" s="16" t="s">
        <v>6591</v>
      </c>
      <c r="D2428" s="16" t="s">
        <v>7130</v>
      </c>
      <c r="E2428" s="16" t="s">
        <v>7398</v>
      </c>
      <c r="F2428" s="16"/>
      <c r="G2428" s="16"/>
      <c r="H2428" s="18"/>
      <c r="I2428" s="18"/>
      <c r="J2428" s="18"/>
      <c r="K2428" s="18"/>
      <c r="L2428" s="18"/>
      <c r="M2428" s="18"/>
      <c r="N2428" s="18"/>
      <c r="O2428" s="18"/>
      <c r="P2428" s="18"/>
      <c r="Q2428" s="19"/>
      <c r="R2428" s="19"/>
      <c r="S2428" s="19"/>
    </row>
    <row r="2429" ht="15.75" customHeight="1">
      <c r="A2429" s="15">
        <v>45906.52111111111</v>
      </c>
      <c r="B2429" s="16" t="s">
        <v>7157</v>
      </c>
      <c r="C2429" s="16" t="s">
        <v>6591</v>
      </c>
      <c r="D2429" s="16" t="s">
        <v>7130</v>
      </c>
      <c r="E2429" s="16" t="s">
        <v>7399</v>
      </c>
      <c r="F2429" s="16"/>
      <c r="G2429" s="16"/>
      <c r="H2429" s="18"/>
      <c r="I2429" s="18"/>
      <c r="J2429" s="18"/>
      <c r="K2429" s="18"/>
      <c r="L2429" s="18"/>
      <c r="M2429" s="18"/>
      <c r="N2429" s="18"/>
      <c r="O2429" s="18"/>
      <c r="P2429" s="18"/>
      <c r="Q2429" s="19"/>
      <c r="R2429" s="19"/>
      <c r="S2429" s="19"/>
    </row>
    <row r="2430" ht="15.75" customHeight="1">
      <c r="A2430" s="15">
        <v>45906.52427083333</v>
      </c>
      <c r="B2430" s="16" t="s">
        <v>7157</v>
      </c>
      <c r="C2430" s="16" t="s">
        <v>6591</v>
      </c>
      <c r="D2430" s="16" t="s">
        <v>7130</v>
      </c>
      <c r="E2430" s="16" t="s">
        <v>7400</v>
      </c>
      <c r="F2430" s="16"/>
      <c r="G2430" s="16"/>
      <c r="H2430" s="18"/>
      <c r="I2430" s="18"/>
      <c r="J2430" s="18"/>
      <c r="K2430" s="18"/>
      <c r="L2430" s="18"/>
      <c r="M2430" s="18"/>
      <c r="N2430" s="18"/>
      <c r="O2430" s="18"/>
      <c r="P2430" s="18"/>
      <c r="Q2430" s="19"/>
      <c r="R2430" s="19"/>
      <c r="S2430" s="19"/>
    </row>
    <row r="2431" ht="15.75" customHeight="1">
      <c r="A2431" s="15">
        <v>45906.52460648148</v>
      </c>
      <c r="B2431" s="16" t="s">
        <v>7157</v>
      </c>
      <c r="C2431" s="16" t="s">
        <v>6591</v>
      </c>
      <c r="D2431" s="16" t="s">
        <v>7130</v>
      </c>
      <c r="E2431" s="16" t="s">
        <v>7401</v>
      </c>
      <c r="F2431" s="16"/>
      <c r="G2431" s="16"/>
      <c r="H2431" s="18"/>
      <c r="I2431" s="18"/>
      <c r="J2431" s="18"/>
      <c r="K2431" s="18"/>
      <c r="L2431" s="18"/>
      <c r="M2431" s="18"/>
      <c r="N2431" s="18"/>
      <c r="O2431" s="18"/>
      <c r="P2431" s="18"/>
      <c r="Q2431" s="19"/>
      <c r="R2431" s="19"/>
      <c r="S2431" s="19"/>
    </row>
    <row r="2432" ht="15.75" customHeight="1">
      <c r="A2432" s="15">
        <v>45906.52627314815</v>
      </c>
      <c r="B2432" s="16" t="s">
        <v>7157</v>
      </c>
      <c r="C2432" s="16" t="s">
        <v>6591</v>
      </c>
      <c r="D2432" s="16" t="s">
        <v>7130</v>
      </c>
      <c r="E2432" s="16" t="s">
        <v>7402</v>
      </c>
      <c r="F2432" s="16"/>
      <c r="G2432" s="16"/>
      <c r="H2432" s="18"/>
      <c r="I2432" s="18"/>
      <c r="J2432" s="18"/>
      <c r="K2432" s="18"/>
      <c r="L2432" s="18"/>
      <c r="M2432" s="18"/>
      <c r="N2432" s="18"/>
      <c r="O2432" s="18"/>
      <c r="P2432" s="18"/>
      <c r="Q2432" s="19"/>
      <c r="R2432" s="19"/>
      <c r="S2432" s="19"/>
    </row>
    <row r="2433" ht="15.75" customHeight="1">
      <c r="A2433" s="15">
        <v>45906.52712962963</v>
      </c>
      <c r="B2433" s="16" t="s">
        <v>7157</v>
      </c>
      <c r="C2433" s="16" t="s">
        <v>6591</v>
      </c>
      <c r="D2433" s="16" t="s">
        <v>7130</v>
      </c>
      <c r="E2433" s="16" t="s">
        <v>7403</v>
      </c>
      <c r="F2433" s="16"/>
      <c r="G2433" s="16"/>
      <c r="H2433" s="18"/>
      <c r="I2433" s="18"/>
      <c r="J2433" s="18"/>
      <c r="K2433" s="18"/>
      <c r="L2433" s="18"/>
      <c r="M2433" s="18"/>
      <c r="N2433" s="18"/>
      <c r="O2433" s="18"/>
      <c r="P2433" s="18"/>
      <c r="Q2433" s="19"/>
      <c r="R2433" s="19"/>
      <c r="S2433" s="19"/>
    </row>
    <row r="2434" ht="15.75" customHeight="1">
      <c r="A2434" s="15">
        <v>45906.52837962963</v>
      </c>
      <c r="B2434" s="16" t="s">
        <v>7157</v>
      </c>
      <c r="C2434" s="16" t="s">
        <v>6591</v>
      </c>
      <c r="D2434" s="16" t="s">
        <v>7130</v>
      </c>
      <c r="E2434" s="16" t="s">
        <v>7404</v>
      </c>
      <c r="F2434" s="16"/>
      <c r="G2434" s="16"/>
      <c r="H2434" s="18"/>
      <c r="I2434" s="18"/>
      <c r="J2434" s="18"/>
      <c r="K2434" s="18"/>
      <c r="L2434" s="18"/>
      <c r="M2434" s="18"/>
      <c r="N2434" s="18"/>
      <c r="O2434" s="18"/>
      <c r="P2434" s="18"/>
      <c r="Q2434" s="19"/>
      <c r="R2434" s="19"/>
      <c r="S2434" s="19"/>
    </row>
    <row r="2435" ht="15.75" customHeight="1">
      <c r="A2435" s="15">
        <v>45906.52976851852</v>
      </c>
      <c r="B2435" s="16" t="s">
        <v>7157</v>
      </c>
      <c r="C2435" s="16" t="s">
        <v>6591</v>
      </c>
      <c r="D2435" s="16" t="s">
        <v>7130</v>
      </c>
      <c r="E2435" s="16" t="s">
        <v>7405</v>
      </c>
      <c r="F2435" s="16"/>
      <c r="G2435" s="16"/>
      <c r="H2435" s="18"/>
      <c r="I2435" s="18"/>
      <c r="J2435" s="18"/>
      <c r="K2435" s="18"/>
      <c r="L2435" s="18"/>
      <c r="M2435" s="18"/>
      <c r="N2435" s="18"/>
      <c r="O2435" s="18"/>
      <c r="P2435" s="18"/>
      <c r="Q2435" s="19"/>
      <c r="R2435" s="19"/>
      <c r="S2435" s="19"/>
    </row>
    <row r="2436" ht="15.75" customHeight="1">
      <c r="A2436" s="15">
        <v>45906.53197916667</v>
      </c>
      <c r="B2436" s="16" t="s">
        <v>7157</v>
      </c>
      <c r="C2436" s="16" t="s">
        <v>6591</v>
      </c>
      <c r="D2436" s="16" t="s">
        <v>7406</v>
      </c>
      <c r="E2436" s="16" t="s">
        <v>7407</v>
      </c>
      <c r="F2436" s="16"/>
      <c r="G2436" s="16"/>
      <c r="H2436" s="18"/>
      <c r="I2436" s="18"/>
      <c r="J2436" s="18"/>
      <c r="K2436" s="18"/>
      <c r="L2436" s="18"/>
      <c r="M2436" s="18"/>
      <c r="N2436" s="18"/>
      <c r="O2436" s="18"/>
      <c r="P2436" s="18"/>
      <c r="Q2436" s="19"/>
      <c r="R2436" s="19"/>
      <c r="S2436" s="19"/>
    </row>
    <row r="2437" ht="15.75" customHeight="1">
      <c r="A2437" s="15">
        <v>45906.56837962963</v>
      </c>
      <c r="B2437" s="16" t="s">
        <v>7157</v>
      </c>
      <c r="C2437" s="16" t="s">
        <v>6591</v>
      </c>
      <c r="D2437" s="16" t="s">
        <v>7130</v>
      </c>
      <c r="E2437" s="16" t="s">
        <v>7408</v>
      </c>
      <c r="F2437" s="16"/>
      <c r="G2437" s="16"/>
      <c r="H2437" s="18"/>
      <c r="I2437" s="18"/>
      <c r="J2437" s="18"/>
      <c r="K2437" s="18"/>
      <c r="L2437" s="18"/>
      <c r="M2437" s="18"/>
      <c r="N2437" s="18"/>
      <c r="O2437" s="18"/>
      <c r="P2437" s="18"/>
      <c r="Q2437" s="19"/>
      <c r="R2437" s="19"/>
      <c r="S2437" s="19"/>
    </row>
    <row r="2438" ht="15.75" customHeight="1">
      <c r="A2438" s="15">
        <v>45913.06025462963</v>
      </c>
      <c r="B2438" s="16" t="s">
        <v>7409</v>
      </c>
      <c r="C2438" s="16" t="s">
        <v>6591</v>
      </c>
      <c r="D2438" s="16" t="s">
        <v>7410</v>
      </c>
      <c r="E2438" s="16" t="s">
        <v>7411</v>
      </c>
      <c r="F2438" s="16"/>
      <c r="G2438" s="16"/>
      <c r="H2438" s="18"/>
      <c r="I2438" s="18"/>
      <c r="J2438" s="18"/>
      <c r="K2438" s="18"/>
      <c r="L2438" s="18"/>
      <c r="M2438" s="18"/>
      <c r="N2438" s="18"/>
      <c r="O2438" s="18"/>
      <c r="P2438" s="18"/>
      <c r="Q2438" s="19"/>
      <c r="R2438" s="19"/>
      <c r="S2438" s="19"/>
    </row>
    <row r="2439" ht="15.75" customHeight="1">
      <c r="A2439" s="15">
        <v>45924.767592592594</v>
      </c>
      <c r="B2439" s="16" t="s">
        <v>6649</v>
      </c>
      <c r="C2439" s="16" t="s">
        <v>6591</v>
      </c>
      <c r="D2439" s="16" t="s">
        <v>7412</v>
      </c>
      <c r="E2439" s="16" t="s">
        <v>7413</v>
      </c>
      <c r="F2439" s="16"/>
      <c r="G2439" s="16"/>
      <c r="H2439" s="18"/>
      <c r="I2439" s="18"/>
      <c r="J2439" s="18"/>
      <c r="K2439" s="18"/>
      <c r="L2439" s="18"/>
      <c r="M2439" s="18"/>
      <c r="N2439" s="18"/>
      <c r="O2439" s="18"/>
      <c r="P2439" s="18"/>
      <c r="Q2439" s="19"/>
      <c r="R2439" s="19"/>
      <c r="S2439" s="19"/>
    </row>
    <row r="2440" ht="15.75" customHeight="1">
      <c r="A2440" s="15">
        <v>45926.34096064815</v>
      </c>
      <c r="B2440" s="16" t="s">
        <v>6592</v>
      </c>
      <c r="C2440" s="16" t="s">
        <v>6591</v>
      </c>
      <c r="D2440" s="16" t="s">
        <v>6593</v>
      </c>
      <c r="E2440" s="16" t="s">
        <v>7414</v>
      </c>
      <c r="F2440" s="16"/>
      <c r="G2440" s="16"/>
      <c r="H2440" s="18"/>
      <c r="I2440" s="18"/>
      <c r="J2440" s="18"/>
      <c r="K2440" s="18"/>
      <c r="L2440" s="18"/>
      <c r="M2440" s="18"/>
      <c r="N2440" s="18"/>
      <c r="O2440" s="18"/>
      <c r="P2440" s="18"/>
      <c r="Q2440" s="19"/>
      <c r="R2440" s="19"/>
      <c r="S2440" s="19"/>
    </row>
    <row r="2441" ht="15.75" customHeight="1">
      <c r="A2441" s="15">
        <v>45926.52190972222</v>
      </c>
      <c r="B2441" s="16" t="s">
        <v>6682</v>
      </c>
      <c r="C2441" s="16" t="s">
        <v>6591</v>
      </c>
      <c r="D2441" s="16" t="s">
        <v>7386</v>
      </c>
      <c r="E2441" s="16" t="s">
        <v>7415</v>
      </c>
      <c r="F2441" s="16"/>
      <c r="G2441" s="16"/>
      <c r="H2441" s="18"/>
      <c r="I2441" s="18"/>
      <c r="J2441" s="18"/>
      <c r="K2441" s="18"/>
      <c r="L2441" s="18"/>
      <c r="M2441" s="18"/>
      <c r="N2441" s="18"/>
      <c r="O2441" s="18"/>
      <c r="P2441" s="18"/>
      <c r="Q2441" s="19"/>
      <c r="R2441" s="19"/>
      <c r="S2441" s="19"/>
    </row>
    <row r="2442" ht="15.75" customHeight="1">
      <c r="A2442" s="15">
        <v>45926.58806712963</v>
      </c>
      <c r="B2442" s="16" t="s">
        <v>6682</v>
      </c>
      <c r="C2442" s="16" t="s">
        <v>6591</v>
      </c>
      <c r="D2442" s="16" t="s">
        <v>7386</v>
      </c>
      <c r="E2442" s="16" t="s">
        <v>7416</v>
      </c>
      <c r="F2442" s="16"/>
      <c r="G2442" s="16"/>
      <c r="H2442" s="18"/>
      <c r="I2442" s="18"/>
      <c r="J2442" s="18"/>
      <c r="K2442" s="18"/>
      <c r="L2442" s="18"/>
      <c r="M2442" s="18"/>
      <c r="N2442" s="18"/>
      <c r="O2442" s="18"/>
      <c r="P2442" s="18"/>
      <c r="Q2442" s="19"/>
      <c r="R2442" s="19"/>
      <c r="S2442" s="19"/>
    </row>
    <row r="2443" ht="15.75" customHeight="1">
      <c r="A2443" s="15">
        <v>45926.64230324074</v>
      </c>
      <c r="B2443" s="16" t="s">
        <v>6649</v>
      </c>
      <c r="C2443" s="16" t="s">
        <v>6591</v>
      </c>
      <c r="D2443" s="16" t="s">
        <v>6650</v>
      </c>
      <c r="E2443" s="16" t="s">
        <v>7417</v>
      </c>
      <c r="F2443" s="16"/>
      <c r="G2443" s="16"/>
      <c r="H2443" s="18"/>
      <c r="I2443" s="18"/>
      <c r="J2443" s="18"/>
      <c r="K2443" s="18"/>
      <c r="L2443" s="18"/>
      <c r="M2443" s="18"/>
      <c r="N2443" s="18"/>
      <c r="O2443" s="18"/>
      <c r="P2443" s="18"/>
      <c r="Q2443" s="19"/>
      <c r="R2443" s="19"/>
      <c r="S2443" s="19"/>
    </row>
    <row r="2444" ht="15.75" customHeight="1">
      <c r="A2444" s="15">
        <v>45928.13429398148</v>
      </c>
      <c r="B2444" s="16" t="s">
        <v>6591</v>
      </c>
      <c r="C2444" s="16" t="s">
        <v>6591</v>
      </c>
      <c r="D2444" s="16" t="s">
        <v>7418</v>
      </c>
      <c r="E2444" s="16" t="s">
        <v>7053</v>
      </c>
      <c r="F2444" s="16"/>
      <c r="G2444" s="16"/>
      <c r="H2444" s="18"/>
      <c r="I2444" s="18"/>
      <c r="J2444" s="18"/>
      <c r="K2444" s="18"/>
      <c r="L2444" s="18"/>
      <c r="M2444" s="18"/>
      <c r="N2444" s="18"/>
      <c r="O2444" s="18"/>
      <c r="P2444" s="18"/>
      <c r="Q2444" s="19"/>
      <c r="R2444" s="19"/>
      <c r="S2444" s="19"/>
    </row>
    <row r="2445" ht="15.75" customHeight="1">
      <c r="A2445" s="15">
        <v>45928.146574074075</v>
      </c>
      <c r="B2445" s="16" t="s">
        <v>6591</v>
      </c>
      <c r="C2445" s="16" t="s">
        <v>6591</v>
      </c>
      <c r="D2445" s="16"/>
      <c r="E2445" s="16" t="s">
        <v>7419</v>
      </c>
      <c r="F2445" s="16"/>
      <c r="G2445" s="16"/>
      <c r="H2445" s="18"/>
      <c r="I2445" s="18"/>
      <c r="J2445" s="18"/>
      <c r="K2445" s="18"/>
      <c r="L2445" s="18"/>
      <c r="M2445" s="18"/>
      <c r="N2445" s="18"/>
      <c r="O2445" s="18"/>
      <c r="P2445" s="18"/>
      <c r="Q2445" s="19"/>
      <c r="R2445" s="19"/>
      <c r="S2445" s="19"/>
    </row>
    <row r="2446" ht="15.75" customHeight="1">
      <c r="A2446" s="15">
        <v>45929.333333333336</v>
      </c>
      <c r="B2446" s="20" t="str">
        <f>?UTF-8?B?THVuYSDigKI=?= &lt;lunacraigcep@gmail.com&gt;</f>
        <v>#ERROR!</v>
      </c>
      <c r="C2446" s="16" t="s">
        <v>6591</v>
      </c>
      <c r="D2446" s="16" t="s">
        <v>7420</v>
      </c>
      <c r="E2446" s="16" t="s">
        <v>7421</v>
      </c>
      <c r="F2446" s="16"/>
      <c r="G2446" s="16"/>
      <c r="H2446" s="18"/>
      <c r="I2446" s="18"/>
      <c r="J2446" s="18"/>
      <c r="K2446" s="18"/>
      <c r="L2446" s="18"/>
      <c r="M2446" s="18"/>
      <c r="N2446" s="18"/>
      <c r="O2446" s="18"/>
      <c r="P2446" s="18"/>
      <c r="Q2446" s="19"/>
      <c r="R2446" s="19"/>
      <c r="S2446" s="19"/>
    </row>
    <row r="2447" ht="15.75" customHeight="1">
      <c r="A2447" s="15">
        <v>45930.64538194444</v>
      </c>
      <c r="B2447" s="16" t="s">
        <v>6664</v>
      </c>
      <c r="C2447" s="16" t="s">
        <v>6591</v>
      </c>
      <c r="D2447" s="16" t="s">
        <v>6665</v>
      </c>
      <c r="E2447" s="16" t="s">
        <v>7422</v>
      </c>
      <c r="F2447" s="16"/>
      <c r="G2447" s="16"/>
      <c r="H2447" s="18"/>
      <c r="I2447" s="18"/>
      <c r="J2447" s="18"/>
      <c r="K2447" s="18"/>
      <c r="L2447" s="18"/>
      <c r="M2447" s="18"/>
      <c r="N2447" s="18"/>
      <c r="O2447" s="18"/>
      <c r="P2447" s="18"/>
      <c r="Q2447" s="19"/>
      <c r="R2447" s="19"/>
      <c r="S2447" s="19"/>
    </row>
    <row r="2448" ht="15.75" customHeight="1">
      <c r="A2448" s="15">
        <v>45930.89675925926</v>
      </c>
      <c r="B2448" s="16" t="s">
        <v>7423</v>
      </c>
      <c r="C2448" s="16" t="s">
        <v>6591</v>
      </c>
      <c r="D2448" s="16" t="s">
        <v>7424</v>
      </c>
      <c r="E2448" s="16" t="s">
        <v>7425</v>
      </c>
      <c r="F2448" s="16"/>
      <c r="G2448" s="16"/>
      <c r="H2448" s="18"/>
      <c r="I2448" s="18"/>
      <c r="J2448" s="18"/>
      <c r="K2448" s="18"/>
      <c r="L2448" s="18"/>
      <c r="M2448" s="18"/>
      <c r="N2448" s="18"/>
      <c r="O2448" s="18"/>
      <c r="P2448" s="18"/>
      <c r="Q2448" s="19"/>
      <c r="R2448" s="19"/>
      <c r="S2448" s="19"/>
    </row>
    <row r="2449" ht="15.75" customHeight="1">
      <c r="A2449" s="15">
        <v>45932.619722222225</v>
      </c>
      <c r="B2449" s="16" t="s">
        <v>6667</v>
      </c>
      <c r="C2449" s="16" t="s">
        <v>6591</v>
      </c>
      <c r="D2449" s="16" t="s">
        <v>7426</v>
      </c>
      <c r="E2449" s="16" t="s">
        <v>7427</v>
      </c>
      <c r="F2449" s="16"/>
      <c r="G2449" s="16"/>
      <c r="H2449" s="18"/>
      <c r="I2449" s="18"/>
      <c r="J2449" s="18"/>
      <c r="K2449" s="18"/>
      <c r="L2449" s="18"/>
      <c r="M2449" s="18"/>
      <c r="N2449" s="18"/>
      <c r="O2449" s="18"/>
      <c r="P2449" s="18"/>
      <c r="Q2449" s="19"/>
      <c r="R2449" s="19"/>
      <c r="S2449" s="19"/>
    </row>
    <row r="2450" ht="15.75" customHeight="1">
      <c r="A2450" s="15">
        <v>45933.151354166665</v>
      </c>
      <c r="B2450" s="16" t="s">
        <v>6591</v>
      </c>
      <c r="C2450" s="16" t="s">
        <v>6591</v>
      </c>
      <c r="D2450" s="16" t="s">
        <v>7428</v>
      </c>
      <c r="E2450" s="16" t="s">
        <v>7167</v>
      </c>
      <c r="F2450" s="16"/>
      <c r="G2450" s="16"/>
      <c r="H2450" s="18"/>
      <c r="I2450" s="18"/>
      <c r="J2450" s="18"/>
      <c r="K2450" s="18"/>
      <c r="L2450" s="18"/>
      <c r="M2450" s="18"/>
      <c r="N2450" s="18"/>
      <c r="O2450" s="18"/>
      <c r="P2450" s="18"/>
      <c r="Q2450" s="19"/>
      <c r="R2450" s="19"/>
      <c r="S2450" s="19"/>
    </row>
    <row r="2451" ht="15.75" customHeight="1">
      <c r="A2451" s="15">
        <v>45936.764398148145</v>
      </c>
      <c r="B2451" s="16" t="s">
        <v>6667</v>
      </c>
      <c r="C2451" s="16" t="s">
        <v>6591</v>
      </c>
      <c r="D2451" s="16" t="s">
        <v>7426</v>
      </c>
      <c r="E2451" s="16" t="s">
        <v>7429</v>
      </c>
      <c r="F2451" s="16"/>
      <c r="G2451" s="16"/>
      <c r="H2451" s="18"/>
      <c r="I2451" s="18"/>
      <c r="J2451" s="18"/>
      <c r="K2451" s="18"/>
      <c r="L2451" s="18"/>
      <c r="M2451" s="18"/>
      <c r="N2451" s="18"/>
      <c r="O2451" s="18"/>
      <c r="P2451" s="18"/>
      <c r="Q2451" s="19"/>
      <c r="R2451" s="19"/>
      <c r="S2451" s="19"/>
    </row>
    <row r="2452" ht="15.75" customHeight="1">
      <c r="A2452" s="15">
        <v>45937.57848379629</v>
      </c>
      <c r="B2452" s="16" t="s">
        <v>7430</v>
      </c>
      <c r="C2452" s="16" t="s">
        <v>6591</v>
      </c>
      <c r="D2452" s="16" t="s">
        <v>7431</v>
      </c>
      <c r="E2452" s="16" t="s">
        <v>7432</v>
      </c>
      <c r="F2452" s="16"/>
      <c r="G2452" s="16"/>
      <c r="H2452" s="18"/>
      <c r="I2452" s="18"/>
      <c r="J2452" s="18"/>
      <c r="K2452" s="18"/>
      <c r="L2452" s="18"/>
      <c r="M2452" s="18"/>
      <c r="N2452" s="18"/>
      <c r="O2452" s="18"/>
      <c r="P2452" s="18"/>
      <c r="Q2452" s="19"/>
      <c r="R2452" s="19"/>
      <c r="S2452" s="19"/>
    </row>
    <row r="2453" ht="15.75" customHeight="1">
      <c r="A2453" s="15">
        <v>45937.612708333334</v>
      </c>
      <c r="B2453" s="16" t="s">
        <v>7430</v>
      </c>
      <c r="C2453" s="16" t="s">
        <v>6591</v>
      </c>
      <c r="D2453" s="16" t="s">
        <v>7431</v>
      </c>
      <c r="E2453" s="16" t="s">
        <v>7433</v>
      </c>
      <c r="F2453" s="16"/>
      <c r="G2453" s="16"/>
      <c r="H2453" s="18"/>
      <c r="I2453" s="18"/>
      <c r="J2453" s="18"/>
      <c r="K2453" s="18"/>
      <c r="L2453" s="18"/>
      <c r="M2453" s="18"/>
      <c r="N2453" s="18"/>
      <c r="O2453" s="18"/>
      <c r="P2453" s="18"/>
      <c r="Q2453" s="19"/>
      <c r="R2453" s="19"/>
      <c r="S2453" s="19"/>
    </row>
    <row r="2454" ht="15.75" customHeight="1">
      <c r="A2454" s="15">
        <v>45938.45438657407</v>
      </c>
      <c r="B2454" s="16" t="s">
        <v>7430</v>
      </c>
      <c r="C2454" s="16" t="s">
        <v>6591</v>
      </c>
      <c r="D2454" s="16" t="s">
        <v>7431</v>
      </c>
      <c r="E2454" s="16" t="s">
        <v>7434</v>
      </c>
      <c r="F2454" s="16"/>
      <c r="G2454" s="16"/>
      <c r="H2454" s="18"/>
      <c r="I2454" s="18"/>
      <c r="J2454" s="18"/>
      <c r="K2454" s="18"/>
      <c r="L2454" s="18"/>
      <c r="M2454" s="18"/>
      <c r="N2454" s="18"/>
      <c r="O2454" s="18"/>
      <c r="P2454" s="18"/>
      <c r="Q2454" s="19"/>
      <c r="R2454" s="19"/>
      <c r="S2454" s="19"/>
    </row>
    <row r="2455" ht="15.75" customHeight="1">
      <c r="A2455" s="15">
        <v>45938.62835648148</v>
      </c>
      <c r="B2455" s="16" t="s">
        <v>7430</v>
      </c>
      <c r="C2455" s="16" t="s">
        <v>6591</v>
      </c>
      <c r="D2455" s="16" t="s">
        <v>7431</v>
      </c>
      <c r="E2455" s="16" t="s">
        <v>7435</v>
      </c>
      <c r="F2455" s="16"/>
      <c r="G2455" s="16"/>
      <c r="H2455" s="18"/>
      <c r="I2455" s="18"/>
      <c r="J2455" s="18"/>
      <c r="K2455" s="18"/>
      <c r="L2455" s="18"/>
      <c r="M2455" s="18"/>
      <c r="N2455" s="18"/>
      <c r="O2455" s="18"/>
      <c r="P2455" s="18"/>
      <c r="Q2455" s="19"/>
      <c r="R2455" s="19"/>
      <c r="S2455" s="19"/>
    </row>
    <row r="2456" ht="15.75" customHeight="1">
      <c r="A2456" s="15">
        <v>45938.71497685185</v>
      </c>
      <c r="B2456" s="16" t="s">
        <v>7430</v>
      </c>
      <c r="C2456" s="16" t="s">
        <v>6591</v>
      </c>
      <c r="D2456" s="16" t="s">
        <v>7431</v>
      </c>
      <c r="E2456" s="16" t="s">
        <v>7436</v>
      </c>
      <c r="F2456" s="16"/>
      <c r="G2456" s="16"/>
      <c r="H2456" s="18"/>
      <c r="I2456" s="18"/>
      <c r="J2456" s="18"/>
      <c r="K2456" s="18"/>
      <c r="L2456" s="18"/>
      <c r="M2456" s="18"/>
      <c r="N2456" s="18"/>
      <c r="O2456" s="18"/>
      <c r="P2456" s="18"/>
      <c r="Q2456" s="19"/>
      <c r="R2456" s="19"/>
      <c r="S2456" s="19"/>
    </row>
    <row r="2457" ht="15.75" customHeight="1">
      <c r="A2457" s="15">
        <v>45938.68685185185</v>
      </c>
      <c r="B2457" s="16" t="s">
        <v>7430</v>
      </c>
      <c r="C2457" s="16" t="s">
        <v>6591</v>
      </c>
      <c r="D2457" s="16" t="s">
        <v>7431</v>
      </c>
      <c r="E2457" s="16" t="s">
        <v>7437</v>
      </c>
      <c r="F2457" s="16"/>
      <c r="G2457" s="16"/>
      <c r="H2457" s="18"/>
      <c r="I2457" s="18"/>
      <c r="J2457" s="18"/>
      <c r="K2457" s="18"/>
      <c r="L2457" s="18"/>
      <c r="M2457" s="18"/>
      <c r="N2457" s="18"/>
      <c r="O2457" s="18"/>
      <c r="P2457" s="18"/>
      <c r="Q2457" s="19"/>
      <c r="R2457" s="19"/>
      <c r="S2457" s="19"/>
    </row>
    <row r="2458" ht="15.75" customHeight="1">
      <c r="A2458" s="15">
        <v>45939.768379629626</v>
      </c>
      <c r="B2458" s="16" t="s">
        <v>6658</v>
      </c>
      <c r="C2458" s="16" t="s">
        <v>6591</v>
      </c>
      <c r="D2458" s="16" t="s">
        <v>7438</v>
      </c>
      <c r="E2458" s="16" t="s">
        <v>7439</v>
      </c>
      <c r="F2458" s="16"/>
      <c r="G2458" s="16"/>
      <c r="H2458" s="18"/>
      <c r="I2458" s="18"/>
      <c r="J2458" s="18"/>
      <c r="K2458" s="18"/>
      <c r="L2458" s="18"/>
      <c r="M2458" s="18"/>
      <c r="N2458" s="18"/>
      <c r="O2458" s="18"/>
      <c r="P2458" s="18"/>
      <c r="Q2458" s="19"/>
      <c r="R2458" s="19"/>
      <c r="S2458" s="19"/>
    </row>
    <row r="2459" ht="15.75" customHeight="1">
      <c r="A2459" s="15">
        <v>45940.97574074074</v>
      </c>
      <c r="B2459" s="16" t="s">
        <v>7409</v>
      </c>
      <c r="C2459" s="16" t="s">
        <v>6591</v>
      </c>
      <c r="D2459" s="16" t="s">
        <v>7440</v>
      </c>
      <c r="E2459" s="16" t="s">
        <v>7441</v>
      </c>
      <c r="F2459" s="16"/>
      <c r="G2459" s="16"/>
      <c r="H2459" s="18"/>
      <c r="I2459" s="18"/>
      <c r="J2459" s="18"/>
      <c r="K2459" s="18"/>
      <c r="L2459" s="18"/>
      <c r="M2459" s="18"/>
      <c r="N2459" s="18"/>
      <c r="O2459" s="18"/>
      <c r="P2459" s="18"/>
      <c r="Q2459" s="19"/>
      <c r="R2459" s="19"/>
      <c r="S2459" s="19"/>
    </row>
    <row r="2460" ht="15.75" customHeight="1">
      <c r="A2460" s="15">
        <v>45940.991122685184</v>
      </c>
      <c r="B2460" s="16" t="s">
        <v>6591</v>
      </c>
      <c r="C2460" s="16" t="s">
        <v>6591</v>
      </c>
      <c r="D2460" s="16" t="s">
        <v>7442</v>
      </c>
      <c r="E2460" s="16" t="s">
        <v>6638</v>
      </c>
      <c r="F2460" s="16"/>
      <c r="G2460" s="16"/>
      <c r="H2460" s="18"/>
      <c r="I2460" s="18"/>
      <c r="J2460" s="18"/>
      <c r="K2460" s="18"/>
      <c r="L2460" s="18"/>
      <c r="M2460" s="18"/>
      <c r="N2460" s="18"/>
      <c r="O2460" s="18"/>
      <c r="P2460" s="18"/>
      <c r="Q2460" s="19"/>
      <c r="R2460" s="19"/>
      <c r="S2460" s="19"/>
    </row>
    <row r="2461" ht="15.75" customHeight="1">
      <c r="A2461" s="15">
        <v>45941.49878472222</v>
      </c>
      <c r="B2461" s="16" t="s">
        <v>7430</v>
      </c>
      <c r="C2461" s="16" t="s">
        <v>6591</v>
      </c>
      <c r="D2461" s="16" t="s">
        <v>7431</v>
      </c>
      <c r="E2461" s="16" t="s">
        <v>7443</v>
      </c>
      <c r="F2461" s="16"/>
      <c r="G2461" s="16"/>
      <c r="H2461" s="18"/>
      <c r="I2461" s="18"/>
      <c r="J2461" s="18"/>
      <c r="K2461" s="18"/>
      <c r="L2461" s="18"/>
      <c r="M2461" s="18"/>
      <c r="N2461" s="18"/>
      <c r="O2461" s="18"/>
      <c r="P2461" s="18"/>
      <c r="Q2461" s="19"/>
      <c r="R2461" s="19"/>
      <c r="S2461" s="19"/>
    </row>
    <row r="2462" ht="15.75" customHeight="1">
      <c r="A2462" s="15">
        <v>45943.80416666667</v>
      </c>
      <c r="B2462" s="16" t="s">
        <v>7298</v>
      </c>
      <c r="C2462" s="16" t="s">
        <v>6591</v>
      </c>
      <c r="D2462" s="16" t="s">
        <v>7444</v>
      </c>
      <c r="E2462" s="16" t="s">
        <v>7445</v>
      </c>
      <c r="F2462" s="16"/>
      <c r="G2462" s="16"/>
      <c r="H2462" s="18"/>
      <c r="I2462" s="18"/>
      <c r="J2462" s="18"/>
      <c r="K2462" s="18"/>
      <c r="L2462" s="18"/>
      <c r="M2462" s="18"/>
      <c r="N2462" s="18"/>
      <c r="O2462" s="18"/>
      <c r="P2462" s="18"/>
      <c r="Q2462" s="19"/>
      <c r="R2462" s="19"/>
      <c r="S2462" s="19"/>
    </row>
    <row r="2463" ht="15.75" customHeight="1">
      <c r="A2463" s="15">
        <v>45947.801932870374</v>
      </c>
      <c r="B2463" s="16" t="s">
        <v>7446</v>
      </c>
      <c r="C2463" s="16" t="s">
        <v>6591</v>
      </c>
      <c r="D2463" s="16" t="s">
        <v>7447</v>
      </c>
      <c r="E2463" s="16" t="s">
        <v>7448</v>
      </c>
      <c r="F2463" s="16"/>
      <c r="G2463" s="16"/>
      <c r="H2463" s="18"/>
      <c r="I2463" s="18"/>
      <c r="J2463" s="18"/>
      <c r="K2463" s="18"/>
      <c r="L2463" s="18"/>
      <c r="M2463" s="18"/>
      <c r="N2463" s="18"/>
      <c r="O2463" s="18"/>
      <c r="P2463" s="18"/>
      <c r="Q2463" s="19"/>
      <c r="R2463" s="19"/>
      <c r="S2463" s="19"/>
    </row>
    <row r="2464" ht="15.75" customHeight="1">
      <c r="A2464" s="15">
        <v>45835.69351851852</v>
      </c>
      <c r="B2464" s="16" t="s">
        <v>6628</v>
      </c>
      <c r="C2464" s="16" t="s">
        <v>7449</v>
      </c>
      <c r="D2464" s="16" t="s">
        <v>7450</v>
      </c>
      <c r="E2464" s="16" t="s">
        <v>7451</v>
      </c>
      <c r="F2464" s="16"/>
      <c r="G2464" s="16"/>
      <c r="H2464" s="18"/>
      <c r="I2464" s="18"/>
      <c r="J2464" s="18"/>
      <c r="K2464" s="18"/>
      <c r="L2464" s="18"/>
      <c r="M2464" s="18"/>
      <c r="N2464" s="18"/>
      <c r="O2464" s="18"/>
      <c r="P2464" s="18"/>
      <c r="Q2464" s="19"/>
      <c r="R2464" s="19"/>
      <c r="S2464" s="19"/>
    </row>
    <row r="2465" ht="15.75" customHeight="1">
      <c r="A2465" s="15">
        <v>45826.538194444445</v>
      </c>
      <c r="B2465" s="16" t="s">
        <v>6595</v>
      </c>
      <c r="C2465" s="16" t="s">
        <v>7452</v>
      </c>
      <c r="D2465" s="16" t="s">
        <v>7225</v>
      </c>
      <c r="E2465" s="16" t="s">
        <v>7453</v>
      </c>
      <c r="F2465" s="16"/>
      <c r="G2465" s="16"/>
      <c r="H2465" s="18"/>
      <c r="I2465" s="18"/>
      <c r="J2465" s="18"/>
      <c r="K2465" s="18"/>
      <c r="L2465" s="18"/>
      <c r="M2465" s="18"/>
      <c r="N2465" s="18"/>
      <c r="O2465" s="18"/>
      <c r="P2465" s="18"/>
      <c r="Q2465" s="19"/>
      <c r="R2465" s="19"/>
      <c r="S2465" s="19"/>
    </row>
    <row r="2466" ht="15.75" customHeight="1">
      <c r="A2466" s="15">
        <v>45891.51615740741</v>
      </c>
      <c r="B2466" s="16" t="s">
        <v>6630</v>
      </c>
      <c r="C2466" s="16" t="s">
        <v>7454</v>
      </c>
      <c r="D2466" s="16" t="s">
        <v>7455</v>
      </c>
      <c r="E2466" s="16" t="s">
        <v>7456</v>
      </c>
      <c r="F2466" s="16"/>
      <c r="G2466" s="16"/>
      <c r="H2466" s="18"/>
      <c r="I2466" s="18"/>
      <c r="J2466" s="18"/>
      <c r="K2466" s="18"/>
      <c r="L2466" s="18"/>
      <c r="M2466" s="18"/>
      <c r="N2466" s="18"/>
      <c r="O2466" s="18"/>
      <c r="P2466" s="18"/>
      <c r="Q2466" s="19"/>
      <c r="R2466" s="19"/>
      <c r="S2466" s="19"/>
    </row>
    <row r="2467" ht="15.75" customHeight="1">
      <c r="A2467" s="15">
        <v>45830.42805555555</v>
      </c>
      <c r="B2467" s="20" t="str">
        <f>?UTF-8?B?THVuYSDigKI=?= &lt;lunacraigcep@gmail.com&gt;</f>
        <v>#ERROR!</v>
      </c>
      <c r="C2467" s="16" t="s">
        <v>7457</v>
      </c>
      <c r="D2467" s="16" t="s">
        <v>7458</v>
      </c>
      <c r="E2467" s="16" t="s">
        <v>7459</v>
      </c>
      <c r="F2467" s="16"/>
      <c r="G2467" s="16"/>
      <c r="H2467" s="18"/>
      <c r="I2467" s="18"/>
      <c r="J2467" s="18"/>
      <c r="K2467" s="18"/>
      <c r="L2467" s="18"/>
      <c r="M2467" s="18"/>
      <c r="N2467" s="18"/>
      <c r="O2467" s="18"/>
      <c r="P2467" s="18"/>
      <c r="Q2467" s="19"/>
      <c r="R2467" s="19"/>
      <c r="S2467" s="19"/>
    </row>
    <row r="2468" ht="15.75" customHeight="1">
      <c r="A2468" s="15">
        <v>45849.17118055555</v>
      </c>
      <c r="B2468" s="16" t="s">
        <v>7460</v>
      </c>
      <c r="C2468" s="16" t="s">
        <v>7457</v>
      </c>
      <c r="D2468" s="16" t="s">
        <v>7461</v>
      </c>
      <c r="E2468" s="16" t="s">
        <v>7462</v>
      </c>
      <c r="F2468" s="16"/>
      <c r="G2468" s="16"/>
      <c r="H2468" s="18"/>
      <c r="I2468" s="18"/>
      <c r="J2468" s="18"/>
      <c r="K2468" s="18"/>
      <c r="L2468" s="18"/>
      <c r="M2468" s="18"/>
      <c r="N2468" s="18"/>
      <c r="O2468" s="18"/>
      <c r="P2468" s="18"/>
      <c r="Q2468" s="19"/>
      <c r="R2468" s="19"/>
      <c r="S2468" s="19"/>
    </row>
    <row r="2469" ht="15.75" customHeight="1">
      <c r="A2469" s="15">
        <v>45903.654074074075</v>
      </c>
      <c r="B2469" s="16" t="s">
        <v>7121</v>
      </c>
      <c r="C2469" s="16" t="s">
        <v>7457</v>
      </c>
      <c r="D2469" s="16" t="s">
        <v>7463</v>
      </c>
      <c r="E2469" s="16" t="s">
        <v>7464</v>
      </c>
      <c r="F2469" s="16"/>
      <c r="G2469" s="16"/>
      <c r="H2469" s="18"/>
      <c r="I2469" s="18"/>
      <c r="J2469" s="18"/>
      <c r="K2469" s="18"/>
      <c r="L2469" s="18"/>
      <c r="M2469" s="18"/>
      <c r="N2469" s="18"/>
      <c r="O2469" s="18"/>
      <c r="P2469" s="18"/>
      <c r="Q2469" s="19"/>
      <c r="R2469" s="19"/>
      <c r="S2469" s="19"/>
    </row>
    <row r="2470" ht="15.75" customHeight="1">
      <c r="A2470" s="15">
        <v>45705.854050925926</v>
      </c>
      <c r="B2470" s="16" t="s">
        <v>6654</v>
      </c>
      <c r="C2470" s="16" t="s">
        <v>6671</v>
      </c>
      <c r="D2470" s="16" t="s">
        <v>7465</v>
      </c>
      <c r="E2470" s="16" t="s">
        <v>7466</v>
      </c>
      <c r="F2470" s="16"/>
      <c r="G2470" s="16"/>
      <c r="H2470" s="18"/>
      <c r="I2470" s="18"/>
      <c r="J2470" s="18"/>
      <c r="K2470" s="18"/>
      <c r="L2470" s="18"/>
      <c r="M2470" s="18"/>
      <c r="N2470" s="18"/>
      <c r="O2470" s="18"/>
      <c r="P2470" s="18"/>
      <c r="Q2470" s="19"/>
      <c r="R2470" s="19"/>
      <c r="S2470" s="19"/>
    </row>
    <row r="2471" ht="15.75" customHeight="1">
      <c r="A2471" s="15">
        <v>45705.85457175926</v>
      </c>
      <c r="B2471" s="16" t="s">
        <v>6654</v>
      </c>
      <c r="C2471" s="16" t="s">
        <v>6671</v>
      </c>
      <c r="D2471" s="16" t="s">
        <v>7465</v>
      </c>
      <c r="E2471" s="16" t="s">
        <v>7467</v>
      </c>
      <c r="F2471" s="16"/>
      <c r="G2471" s="16"/>
      <c r="H2471" s="18"/>
      <c r="I2471" s="18"/>
      <c r="J2471" s="18"/>
      <c r="K2471" s="18"/>
      <c r="L2471" s="18"/>
      <c r="M2471" s="18"/>
      <c r="N2471" s="18"/>
      <c r="O2471" s="18"/>
      <c r="P2471" s="18"/>
      <c r="Q2471" s="19"/>
      <c r="R2471" s="19"/>
      <c r="S2471" s="19"/>
    </row>
    <row r="2472" ht="15.75" customHeight="1">
      <c r="A2472" s="15">
        <v>45705.85491898148</v>
      </c>
      <c r="B2472" s="16" t="s">
        <v>6654</v>
      </c>
      <c r="C2472" s="16" t="s">
        <v>6671</v>
      </c>
      <c r="D2472" s="16" t="s">
        <v>7465</v>
      </c>
      <c r="E2472" s="16" t="s">
        <v>7468</v>
      </c>
      <c r="F2472" s="16"/>
      <c r="G2472" s="16"/>
      <c r="H2472" s="18"/>
      <c r="I2472" s="18"/>
      <c r="J2472" s="18"/>
      <c r="K2472" s="18"/>
      <c r="L2472" s="18"/>
      <c r="M2472" s="18"/>
      <c r="N2472" s="18"/>
      <c r="O2472" s="18"/>
      <c r="P2472" s="18"/>
      <c r="Q2472" s="19"/>
      <c r="R2472" s="19"/>
      <c r="S2472" s="19"/>
    </row>
    <row r="2473" ht="15.75" customHeight="1">
      <c r="A2473" s="15">
        <v>45833.94133101852</v>
      </c>
      <c r="B2473" s="16" t="s">
        <v>6591</v>
      </c>
      <c r="C2473" s="16" t="s">
        <v>6671</v>
      </c>
      <c r="D2473" s="16" t="s">
        <v>7469</v>
      </c>
      <c r="E2473" s="16" t="s">
        <v>7470</v>
      </c>
      <c r="F2473" s="16"/>
      <c r="G2473" s="16"/>
      <c r="H2473" s="18"/>
      <c r="I2473" s="18"/>
      <c r="J2473" s="18"/>
      <c r="K2473" s="18"/>
      <c r="L2473" s="18"/>
      <c r="M2473" s="18"/>
      <c r="N2473" s="18"/>
      <c r="O2473" s="18"/>
      <c r="P2473" s="18"/>
      <c r="Q2473" s="19"/>
      <c r="R2473" s="19"/>
      <c r="S2473" s="19"/>
    </row>
    <row r="2474" ht="15.75" customHeight="1">
      <c r="A2474" s="15">
        <v>45847.8537037037</v>
      </c>
      <c r="B2474" s="16" t="s">
        <v>6591</v>
      </c>
      <c r="C2474" s="16" t="s">
        <v>6671</v>
      </c>
      <c r="D2474" s="16" t="s">
        <v>7471</v>
      </c>
      <c r="E2474" s="16" t="s">
        <v>7472</v>
      </c>
      <c r="F2474" s="16"/>
      <c r="G2474" s="16"/>
      <c r="H2474" s="18"/>
      <c r="I2474" s="18"/>
      <c r="J2474" s="18"/>
      <c r="K2474" s="18"/>
      <c r="L2474" s="18"/>
      <c r="M2474" s="18"/>
      <c r="N2474" s="18"/>
      <c r="O2474" s="18"/>
      <c r="P2474" s="18"/>
      <c r="Q2474" s="19"/>
      <c r="R2474" s="19"/>
      <c r="S2474" s="19"/>
    </row>
    <row r="2475" ht="15.75" customHeight="1">
      <c r="A2475" s="15">
        <v>45900.013287037036</v>
      </c>
      <c r="B2475" s="16" t="s">
        <v>6591</v>
      </c>
      <c r="C2475" s="16" t="s">
        <v>6671</v>
      </c>
      <c r="D2475" s="16" t="s">
        <v>7473</v>
      </c>
      <c r="E2475" s="16" t="s">
        <v>7474</v>
      </c>
      <c r="F2475" s="16"/>
      <c r="G2475" s="16"/>
      <c r="H2475" s="18"/>
      <c r="I2475" s="18"/>
      <c r="J2475" s="18"/>
      <c r="K2475" s="18"/>
      <c r="L2475" s="18"/>
      <c r="M2475" s="18"/>
      <c r="N2475" s="18"/>
      <c r="O2475" s="18"/>
      <c r="P2475" s="18"/>
      <c r="Q2475" s="19"/>
      <c r="R2475" s="19"/>
      <c r="S2475" s="19"/>
    </row>
    <row r="2476" ht="15.75" customHeight="1">
      <c r="A2476" s="15">
        <v>45909.91122685185</v>
      </c>
      <c r="B2476" s="16" t="s">
        <v>6591</v>
      </c>
      <c r="C2476" s="16" t="s">
        <v>6671</v>
      </c>
      <c r="D2476" s="16" t="s">
        <v>7475</v>
      </c>
      <c r="E2476" s="16" t="s">
        <v>7476</v>
      </c>
      <c r="F2476" s="16"/>
      <c r="G2476" s="16"/>
      <c r="H2476" s="18"/>
      <c r="I2476" s="18"/>
      <c r="J2476" s="18"/>
      <c r="K2476" s="18"/>
      <c r="L2476" s="18"/>
      <c r="M2476" s="18"/>
      <c r="N2476" s="18"/>
      <c r="O2476" s="18"/>
      <c r="P2476" s="18"/>
      <c r="Q2476" s="19"/>
      <c r="R2476" s="19"/>
      <c r="S2476" s="19"/>
    </row>
    <row r="2477" ht="15.75" customHeight="1">
      <c r="A2477" s="15">
        <v>45915.85444444444</v>
      </c>
      <c r="B2477" s="16" t="s">
        <v>6591</v>
      </c>
      <c r="C2477" s="16" t="s">
        <v>7477</v>
      </c>
      <c r="D2477" s="16" t="s">
        <v>7478</v>
      </c>
      <c r="E2477" s="16" t="s">
        <v>7479</v>
      </c>
      <c r="F2477" s="16"/>
      <c r="G2477" s="16"/>
      <c r="H2477" s="18"/>
      <c r="I2477" s="18"/>
      <c r="J2477" s="18"/>
      <c r="K2477" s="18"/>
      <c r="L2477" s="18"/>
      <c r="M2477" s="18"/>
      <c r="N2477" s="18"/>
      <c r="O2477" s="18"/>
      <c r="P2477" s="18"/>
      <c r="Q2477" s="19"/>
      <c r="R2477" s="19"/>
      <c r="S2477" s="19"/>
    </row>
    <row r="2478" ht="15.75" customHeight="1">
      <c r="A2478" s="15">
        <v>45659.62672453704</v>
      </c>
      <c r="B2478" s="16" t="s">
        <v>6654</v>
      </c>
      <c r="C2478" s="16" t="s">
        <v>6667</v>
      </c>
      <c r="D2478" s="16" t="s">
        <v>7480</v>
      </c>
      <c r="E2478" s="16" t="s">
        <v>7481</v>
      </c>
      <c r="F2478" s="16"/>
      <c r="G2478" s="16"/>
      <c r="H2478" s="18"/>
      <c r="I2478" s="18"/>
      <c r="J2478" s="18"/>
      <c r="K2478" s="18"/>
      <c r="L2478" s="18"/>
      <c r="M2478" s="18"/>
      <c r="N2478" s="18"/>
      <c r="O2478" s="18"/>
      <c r="P2478" s="18"/>
      <c r="Q2478" s="19"/>
      <c r="R2478" s="19"/>
      <c r="S2478" s="19"/>
    </row>
    <row r="2479" ht="15.75" customHeight="1">
      <c r="A2479" s="15">
        <v>45660.06518518519</v>
      </c>
      <c r="B2479" s="16" t="s">
        <v>6654</v>
      </c>
      <c r="C2479" s="16" t="s">
        <v>6667</v>
      </c>
      <c r="D2479" s="16" t="s">
        <v>6669</v>
      </c>
      <c r="E2479" s="16" t="s">
        <v>7482</v>
      </c>
      <c r="F2479" s="16"/>
      <c r="G2479" s="16"/>
      <c r="H2479" s="18"/>
      <c r="I2479" s="18"/>
      <c r="J2479" s="18"/>
      <c r="K2479" s="18"/>
      <c r="L2479" s="18"/>
      <c r="M2479" s="18"/>
      <c r="N2479" s="18"/>
      <c r="O2479" s="18"/>
      <c r="P2479" s="18"/>
      <c r="Q2479" s="19"/>
      <c r="R2479" s="19"/>
      <c r="S2479" s="19"/>
    </row>
    <row r="2480" ht="15.75" customHeight="1">
      <c r="A2480" s="15">
        <v>45670.743726851855</v>
      </c>
      <c r="B2480" s="16" t="s">
        <v>7483</v>
      </c>
      <c r="C2480" s="16" t="s">
        <v>6667</v>
      </c>
      <c r="D2480" s="16" t="s">
        <v>6669</v>
      </c>
      <c r="E2480" s="16" t="s">
        <v>7484</v>
      </c>
      <c r="F2480" s="16"/>
      <c r="G2480" s="16"/>
      <c r="H2480" s="18"/>
      <c r="I2480" s="18"/>
      <c r="J2480" s="18"/>
      <c r="K2480" s="18"/>
      <c r="L2480" s="18"/>
      <c r="M2480" s="18"/>
      <c r="N2480" s="18"/>
      <c r="O2480" s="18"/>
      <c r="P2480" s="18"/>
      <c r="Q2480" s="19"/>
      <c r="R2480" s="19"/>
      <c r="S2480" s="19"/>
    </row>
    <row r="2481" ht="15.75" customHeight="1">
      <c r="A2481" s="15">
        <v>45670.85482638889</v>
      </c>
      <c r="B2481" s="16" t="s">
        <v>6654</v>
      </c>
      <c r="C2481" s="16" t="s">
        <v>6667</v>
      </c>
      <c r="D2481" s="16" t="s">
        <v>6669</v>
      </c>
      <c r="E2481" s="16" t="s">
        <v>7485</v>
      </c>
      <c r="F2481" s="16"/>
      <c r="G2481" s="16"/>
      <c r="H2481" s="18"/>
      <c r="I2481" s="18"/>
      <c r="J2481" s="18"/>
      <c r="K2481" s="18"/>
      <c r="L2481" s="18"/>
      <c r="M2481" s="18"/>
      <c r="N2481" s="18"/>
      <c r="O2481" s="18"/>
      <c r="P2481" s="18"/>
      <c r="Q2481" s="19"/>
      <c r="R2481" s="19"/>
      <c r="S2481" s="19"/>
    </row>
    <row r="2482" ht="15.75" customHeight="1">
      <c r="A2482" s="15">
        <v>45671.23774305556</v>
      </c>
      <c r="B2482" s="16" t="s">
        <v>6654</v>
      </c>
      <c r="C2482" s="16" t="s">
        <v>6667</v>
      </c>
      <c r="D2482" s="16" t="s">
        <v>6669</v>
      </c>
      <c r="E2482" s="16" t="s">
        <v>7486</v>
      </c>
      <c r="F2482" s="16"/>
      <c r="G2482" s="16"/>
      <c r="H2482" s="18"/>
      <c r="I2482" s="18"/>
      <c r="J2482" s="18"/>
      <c r="K2482" s="18"/>
      <c r="L2482" s="18"/>
      <c r="M2482" s="18"/>
      <c r="N2482" s="18"/>
      <c r="O2482" s="18"/>
      <c r="P2482" s="18"/>
      <c r="Q2482" s="19"/>
      <c r="R2482" s="19"/>
      <c r="S2482" s="19"/>
    </row>
    <row r="2483" ht="15.75" customHeight="1">
      <c r="A2483" s="15">
        <v>45701.58665509259</v>
      </c>
      <c r="B2483" s="16" t="s">
        <v>6654</v>
      </c>
      <c r="C2483" s="16" t="s">
        <v>6667</v>
      </c>
      <c r="D2483" s="16" t="s">
        <v>7487</v>
      </c>
      <c r="E2483" s="16" t="s">
        <v>7488</v>
      </c>
      <c r="F2483" s="16"/>
      <c r="G2483" s="16"/>
      <c r="H2483" s="18"/>
      <c r="I2483" s="18"/>
      <c r="J2483" s="18"/>
      <c r="K2483" s="18"/>
      <c r="L2483" s="18"/>
      <c r="M2483" s="18"/>
      <c r="N2483" s="18"/>
      <c r="O2483" s="18"/>
      <c r="P2483" s="18"/>
      <c r="Q2483" s="19"/>
      <c r="R2483" s="19"/>
      <c r="S2483" s="19"/>
    </row>
    <row r="2484" ht="15.75" customHeight="1">
      <c r="A2484" s="15">
        <v>45833.54109953704</v>
      </c>
      <c r="B2484" s="16" t="s">
        <v>6591</v>
      </c>
      <c r="C2484" s="16" t="s">
        <v>6667</v>
      </c>
      <c r="D2484" s="16" t="s">
        <v>7489</v>
      </c>
      <c r="E2484" s="16" t="s">
        <v>7490</v>
      </c>
      <c r="F2484" s="16"/>
      <c r="G2484" s="16"/>
      <c r="H2484" s="18"/>
      <c r="I2484" s="18"/>
      <c r="J2484" s="18"/>
      <c r="K2484" s="18"/>
      <c r="L2484" s="18"/>
      <c r="M2484" s="18"/>
      <c r="N2484" s="18"/>
      <c r="O2484" s="18"/>
      <c r="P2484" s="18"/>
      <c r="Q2484" s="19"/>
      <c r="R2484" s="19"/>
      <c r="S2484" s="19"/>
    </row>
    <row r="2485" ht="15.75" customHeight="1">
      <c r="A2485" s="15">
        <v>45844.610925925925</v>
      </c>
      <c r="B2485" s="16" t="s">
        <v>6591</v>
      </c>
      <c r="C2485" s="16" t="s">
        <v>6667</v>
      </c>
      <c r="D2485" s="16" t="s">
        <v>7491</v>
      </c>
      <c r="E2485" s="16" t="s">
        <v>7492</v>
      </c>
      <c r="F2485" s="16"/>
      <c r="G2485" s="16"/>
      <c r="H2485" s="18"/>
      <c r="I2485" s="18"/>
      <c r="J2485" s="18"/>
      <c r="K2485" s="18"/>
      <c r="L2485" s="18"/>
      <c r="M2485" s="18"/>
      <c r="N2485" s="18"/>
      <c r="O2485" s="18"/>
      <c r="P2485" s="18"/>
      <c r="Q2485" s="19"/>
      <c r="R2485" s="19"/>
      <c r="S2485" s="19"/>
    </row>
    <row r="2486" ht="15.75" customHeight="1">
      <c r="A2486" s="15">
        <v>45888.88146990741</v>
      </c>
      <c r="B2486" s="16" t="s">
        <v>6591</v>
      </c>
      <c r="C2486" s="16" t="s">
        <v>6667</v>
      </c>
      <c r="D2486" s="16" t="s">
        <v>7493</v>
      </c>
      <c r="E2486" s="16" t="s">
        <v>7494</v>
      </c>
      <c r="F2486" s="16"/>
      <c r="G2486" s="16"/>
      <c r="H2486" s="18"/>
      <c r="I2486" s="18"/>
      <c r="J2486" s="18"/>
      <c r="K2486" s="18"/>
      <c r="L2486" s="18"/>
      <c r="M2486" s="18"/>
      <c r="N2486" s="18"/>
      <c r="O2486" s="18"/>
      <c r="P2486" s="18"/>
      <c r="Q2486" s="19"/>
      <c r="R2486" s="19"/>
      <c r="S2486" s="19"/>
    </row>
    <row r="2487" ht="15.75" customHeight="1">
      <c r="A2487" s="15">
        <v>45932.43541666667</v>
      </c>
      <c r="B2487" s="16" t="s">
        <v>6591</v>
      </c>
      <c r="C2487" s="16" t="s">
        <v>6667</v>
      </c>
      <c r="D2487" s="16" t="s">
        <v>7495</v>
      </c>
      <c r="E2487" s="16" t="s">
        <v>7496</v>
      </c>
      <c r="F2487" s="16"/>
      <c r="G2487" s="16"/>
      <c r="H2487" s="18"/>
      <c r="I2487" s="18"/>
      <c r="J2487" s="18"/>
      <c r="K2487" s="18"/>
      <c r="L2487" s="18"/>
      <c r="M2487" s="18"/>
      <c r="N2487" s="18"/>
      <c r="O2487" s="18"/>
      <c r="P2487" s="18"/>
      <c r="Q2487" s="19"/>
      <c r="R2487" s="19"/>
      <c r="S2487" s="19"/>
    </row>
    <row r="2488" ht="15.75" customHeight="1">
      <c r="A2488" s="15">
        <v>45932.558344907404</v>
      </c>
      <c r="B2488" s="16" t="s">
        <v>6591</v>
      </c>
      <c r="C2488" s="16" t="s">
        <v>6667</v>
      </c>
      <c r="D2488" s="16" t="s">
        <v>7426</v>
      </c>
      <c r="E2488" s="16" t="s">
        <v>7497</v>
      </c>
      <c r="F2488" s="16"/>
      <c r="G2488" s="16"/>
      <c r="H2488" s="18"/>
      <c r="I2488" s="18"/>
      <c r="J2488" s="18"/>
      <c r="K2488" s="18"/>
      <c r="L2488" s="18"/>
      <c r="M2488" s="18"/>
      <c r="N2488" s="18"/>
      <c r="O2488" s="18"/>
      <c r="P2488" s="18"/>
      <c r="Q2488" s="19"/>
      <c r="R2488" s="19"/>
      <c r="S2488" s="19"/>
    </row>
    <row r="2489" ht="15.75" customHeight="1">
      <c r="A2489" s="15">
        <v>45932.8165625</v>
      </c>
      <c r="B2489" s="16" t="s">
        <v>6591</v>
      </c>
      <c r="C2489" s="16" t="s">
        <v>6667</v>
      </c>
      <c r="D2489" s="16" t="s">
        <v>7426</v>
      </c>
      <c r="E2489" s="16" t="s">
        <v>7498</v>
      </c>
      <c r="F2489" s="16"/>
      <c r="G2489" s="16"/>
      <c r="H2489" s="18"/>
      <c r="I2489" s="18"/>
      <c r="J2489" s="18"/>
      <c r="K2489" s="18"/>
      <c r="L2489" s="18"/>
      <c r="M2489" s="18"/>
      <c r="N2489" s="18"/>
      <c r="O2489" s="18"/>
      <c r="P2489" s="18"/>
      <c r="Q2489" s="19"/>
      <c r="R2489" s="19"/>
      <c r="S2489" s="19"/>
    </row>
    <row r="2490" ht="15.75" customHeight="1">
      <c r="A2490" s="15">
        <v>45933.46386574074</v>
      </c>
      <c r="B2490" s="16" t="s">
        <v>6591</v>
      </c>
      <c r="C2490" s="16" t="s">
        <v>6667</v>
      </c>
      <c r="D2490" s="16" t="s">
        <v>7426</v>
      </c>
      <c r="E2490" s="16" t="s">
        <v>7499</v>
      </c>
      <c r="F2490" s="16"/>
      <c r="G2490" s="16"/>
      <c r="H2490" s="18"/>
      <c r="I2490" s="18"/>
      <c r="J2490" s="18"/>
      <c r="K2490" s="18"/>
      <c r="L2490" s="18"/>
      <c r="M2490" s="18"/>
      <c r="N2490" s="18"/>
      <c r="O2490" s="18"/>
      <c r="P2490" s="18"/>
      <c r="Q2490" s="19"/>
      <c r="R2490" s="19"/>
      <c r="S2490" s="19"/>
    </row>
    <row r="2491" ht="15.75" customHeight="1">
      <c r="A2491" s="15">
        <v>45936.74050925926</v>
      </c>
      <c r="B2491" s="16" t="s">
        <v>6591</v>
      </c>
      <c r="C2491" s="16" t="s">
        <v>6667</v>
      </c>
      <c r="D2491" s="16" t="s">
        <v>7426</v>
      </c>
      <c r="E2491" s="16" t="s">
        <v>7500</v>
      </c>
      <c r="F2491" s="16"/>
      <c r="G2491" s="16"/>
      <c r="H2491" s="18"/>
      <c r="I2491" s="18"/>
      <c r="J2491" s="18"/>
      <c r="K2491" s="18"/>
      <c r="L2491" s="18"/>
      <c r="M2491" s="18"/>
      <c r="N2491" s="18"/>
      <c r="O2491" s="18"/>
      <c r="P2491" s="18"/>
      <c r="Q2491" s="19"/>
      <c r="R2491" s="19"/>
      <c r="S2491" s="19"/>
    </row>
    <row r="2492" ht="15.75" customHeight="1">
      <c r="A2492" s="15">
        <v>45937.51758101852</v>
      </c>
      <c r="B2492" s="16" t="s">
        <v>6591</v>
      </c>
      <c r="C2492" s="16" t="s">
        <v>6667</v>
      </c>
      <c r="D2492" s="16"/>
      <c r="E2492" s="16" t="s">
        <v>7501</v>
      </c>
      <c r="F2492" s="16"/>
      <c r="G2492" s="16"/>
      <c r="H2492" s="18"/>
      <c r="I2492" s="18"/>
      <c r="J2492" s="18"/>
      <c r="K2492" s="18"/>
      <c r="L2492" s="18"/>
      <c r="M2492" s="18"/>
      <c r="N2492" s="18"/>
      <c r="O2492" s="18"/>
      <c r="P2492" s="18"/>
      <c r="Q2492" s="19"/>
      <c r="R2492" s="19"/>
      <c r="S2492" s="19"/>
    </row>
    <row r="2493" ht="15.75" customHeight="1">
      <c r="A2493" s="15">
        <v>45940.69635416667</v>
      </c>
      <c r="B2493" s="16" t="s">
        <v>6591</v>
      </c>
      <c r="C2493" s="16" t="s">
        <v>6667</v>
      </c>
      <c r="D2493" s="16"/>
      <c r="E2493" s="16" t="s">
        <v>7502</v>
      </c>
      <c r="F2493" s="16"/>
      <c r="G2493" s="16"/>
      <c r="H2493" s="18"/>
      <c r="I2493" s="18"/>
      <c r="J2493" s="18"/>
      <c r="K2493" s="18"/>
      <c r="L2493" s="18"/>
      <c r="M2493" s="18"/>
      <c r="N2493" s="18"/>
      <c r="O2493" s="18"/>
      <c r="P2493" s="18"/>
      <c r="Q2493" s="19"/>
      <c r="R2493" s="19"/>
      <c r="S2493" s="19"/>
    </row>
    <row r="2494" ht="15.75" customHeight="1">
      <c r="A2494" s="15">
        <v>45940.697604166664</v>
      </c>
      <c r="B2494" s="16" t="s">
        <v>6591</v>
      </c>
      <c r="C2494" s="16" t="s">
        <v>6667</v>
      </c>
      <c r="D2494" s="16" t="s">
        <v>7130</v>
      </c>
      <c r="E2494" s="16" t="s">
        <v>6645</v>
      </c>
      <c r="F2494" s="16"/>
      <c r="G2494" s="16"/>
      <c r="H2494" s="18"/>
      <c r="I2494" s="18"/>
      <c r="J2494" s="18"/>
      <c r="K2494" s="18"/>
      <c r="L2494" s="18"/>
      <c r="M2494" s="18"/>
      <c r="N2494" s="18"/>
      <c r="O2494" s="18"/>
      <c r="P2494" s="18"/>
      <c r="Q2494" s="19"/>
      <c r="R2494" s="19"/>
      <c r="S2494" s="19"/>
    </row>
    <row r="2495" ht="15.75" customHeight="1">
      <c r="A2495" s="15">
        <v>45942.333333333336</v>
      </c>
      <c r="B2495" s="16" t="s">
        <v>6591</v>
      </c>
      <c r="C2495" s="16" t="s">
        <v>6667</v>
      </c>
      <c r="D2495" s="16" t="s">
        <v>7503</v>
      </c>
      <c r="E2495" s="16" t="s">
        <v>7504</v>
      </c>
      <c r="F2495" s="16"/>
      <c r="G2495" s="16"/>
      <c r="H2495" s="18"/>
      <c r="I2495" s="18"/>
      <c r="J2495" s="18"/>
      <c r="K2495" s="18"/>
      <c r="L2495" s="18"/>
      <c r="M2495" s="18"/>
      <c r="N2495" s="18"/>
      <c r="O2495" s="18"/>
      <c r="P2495" s="18"/>
      <c r="Q2495" s="19"/>
      <c r="R2495" s="19"/>
      <c r="S2495" s="19"/>
    </row>
    <row r="2496" ht="15.75" customHeight="1">
      <c r="A2496" s="15">
        <v>45671.12976851852</v>
      </c>
      <c r="B2496" s="16" t="s">
        <v>6654</v>
      </c>
      <c r="C2496" s="16" t="s">
        <v>7129</v>
      </c>
      <c r="D2496" s="16" t="s">
        <v>7505</v>
      </c>
      <c r="E2496" s="16" t="s">
        <v>7506</v>
      </c>
      <c r="F2496" s="16"/>
      <c r="G2496" s="16"/>
      <c r="H2496" s="18"/>
      <c r="I2496" s="18"/>
      <c r="J2496" s="18"/>
      <c r="K2496" s="18"/>
      <c r="L2496" s="18"/>
      <c r="M2496" s="18"/>
      <c r="N2496" s="18"/>
      <c r="O2496" s="18"/>
      <c r="P2496" s="18"/>
      <c r="Q2496" s="19"/>
      <c r="R2496" s="19"/>
      <c r="S2496" s="19"/>
    </row>
    <row r="2497" ht="15.75" customHeight="1">
      <c r="A2497" s="15">
        <v>45671.141388888886</v>
      </c>
      <c r="B2497" s="16" t="s">
        <v>6654</v>
      </c>
      <c r="C2497" s="16" t="s">
        <v>7129</v>
      </c>
      <c r="D2497" s="16" t="s">
        <v>7505</v>
      </c>
      <c r="E2497" s="16" t="s">
        <v>7507</v>
      </c>
      <c r="F2497" s="16"/>
      <c r="G2497" s="16"/>
      <c r="H2497" s="18"/>
      <c r="I2497" s="18"/>
      <c r="J2497" s="18"/>
      <c r="K2497" s="18"/>
      <c r="L2497" s="18"/>
      <c r="M2497" s="18"/>
      <c r="N2497" s="18"/>
      <c r="O2497" s="18"/>
      <c r="P2497" s="18"/>
      <c r="Q2497" s="19"/>
      <c r="R2497" s="19"/>
      <c r="S2497" s="19"/>
    </row>
    <row r="2498" ht="15.75" customHeight="1">
      <c r="A2498" s="15">
        <v>45671.44733796296</v>
      </c>
      <c r="B2498" s="16" t="s">
        <v>6654</v>
      </c>
      <c r="C2498" s="16" t="s">
        <v>7129</v>
      </c>
      <c r="D2498" s="16" t="s">
        <v>7508</v>
      </c>
      <c r="E2498" s="16" t="s">
        <v>7509</v>
      </c>
      <c r="F2498" s="16"/>
      <c r="G2498" s="16"/>
      <c r="H2498" s="18"/>
      <c r="I2498" s="18"/>
      <c r="J2498" s="18"/>
      <c r="K2498" s="18"/>
      <c r="L2498" s="18"/>
      <c r="M2498" s="18"/>
      <c r="N2498" s="18"/>
      <c r="O2498" s="18"/>
      <c r="P2498" s="18"/>
      <c r="Q2498" s="19"/>
      <c r="R2498" s="19"/>
      <c r="S2498" s="19"/>
    </row>
    <row r="2499" ht="15.75" customHeight="1">
      <c r="A2499" s="15">
        <v>45671.46236111111</v>
      </c>
      <c r="B2499" s="16" t="s">
        <v>6654</v>
      </c>
      <c r="C2499" s="16" t="s">
        <v>7129</v>
      </c>
      <c r="D2499" s="16" t="s">
        <v>7508</v>
      </c>
      <c r="E2499" s="16" t="s">
        <v>7510</v>
      </c>
      <c r="F2499" s="16"/>
      <c r="G2499" s="16"/>
      <c r="H2499" s="18"/>
      <c r="I2499" s="18"/>
      <c r="J2499" s="18"/>
      <c r="K2499" s="18"/>
      <c r="L2499" s="18"/>
      <c r="M2499" s="18"/>
      <c r="N2499" s="18"/>
      <c r="O2499" s="18"/>
      <c r="P2499" s="18"/>
      <c r="Q2499" s="19"/>
      <c r="R2499" s="19"/>
      <c r="S2499" s="19"/>
    </row>
    <row r="2500" ht="15.75" customHeight="1">
      <c r="A2500" s="15">
        <v>45671.46978009259</v>
      </c>
      <c r="B2500" s="16" t="s">
        <v>6654</v>
      </c>
      <c r="C2500" s="16" t="s">
        <v>7129</v>
      </c>
      <c r="D2500" s="16" t="s">
        <v>7508</v>
      </c>
      <c r="E2500" s="16" t="s">
        <v>7511</v>
      </c>
      <c r="F2500" s="16"/>
      <c r="G2500" s="16"/>
      <c r="H2500" s="18"/>
      <c r="I2500" s="18"/>
      <c r="J2500" s="18"/>
      <c r="K2500" s="18"/>
      <c r="L2500" s="18"/>
      <c r="M2500" s="18"/>
      <c r="N2500" s="18"/>
      <c r="O2500" s="18"/>
      <c r="P2500" s="18"/>
      <c r="Q2500" s="19"/>
      <c r="R2500" s="19"/>
      <c r="S2500" s="19"/>
    </row>
    <row r="2501" ht="15.75" customHeight="1">
      <c r="A2501" s="15">
        <v>45671.470613425925</v>
      </c>
      <c r="B2501" s="16" t="s">
        <v>6654</v>
      </c>
      <c r="C2501" s="16" t="s">
        <v>7129</v>
      </c>
      <c r="D2501" s="16" t="s">
        <v>7508</v>
      </c>
      <c r="E2501" s="16" t="s">
        <v>7512</v>
      </c>
      <c r="F2501" s="16"/>
      <c r="G2501" s="16"/>
      <c r="H2501" s="18"/>
      <c r="I2501" s="18"/>
      <c r="J2501" s="18"/>
      <c r="K2501" s="18"/>
      <c r="L2501" s="18"/>
      <c r="M2501" s="18"/>
      <c r="N2501" s="18"/>
      <c r="O2501" s="18"/>
      <c r="P2501" s="18"/>
      <c r="Q2501" s="19"/>
      <c r="R2501" s="19"/>
      <c r="S2501" s="19"/>
    </row>
    <row r="2502" ht="15.75" customHeight="1">
      <c r="A2502" s="15">
        <v>45671.47119212963</v>
      </c>
      <c r="B2502" s="16" t="s">
        <v>6654</v>
      </c>
      <c r="C2502" s="16" t="s">
        <v>7129</v>
      </c>
      <c r="D2502" s="16" t="s">
        <v>7508</v>
      </c>
      <c r="E2502" s="16" t="s">
        <v>7513</v>
      </c>
      <c r="F2502" s="16"/>
      <c r="G2502" s="16"/>
      <c r="H2502" s="18"/>
      <c r="I2502" s="18"/>
      <c r="J2502" s="18"/>
      <c r="K2502" s="18"/>
      <c r="L2502" s="18"/>
      <c r="M2502" s="18"/>
      <c r="N2502" s="18"/>
      <c r="O2502" s="18"/>
      <c r="P2502" s="18"/>
      <c r="Q2502" s="19"/>
      <c r="R2502" s="19"/>
      <c r="S2502" s="19"/>
    </row>
    <row r="2503" ht="15.75" customHeight="1">
      <c r="A2503" s="15">
        <v>45671.471597222226</v>
      </c>
      <c r="B2503" s="16" t="s">
        <v>6654</v>
      </c>
      <c r="C2503" s="16" t="s">
        <v>7129</v>
      </c>
      <c r="D2503" s="16" t="s">
        <v>7508</v>
      </c>
      <c r="E2503" s="16" t="s">
        <v>7514</v>
      </c>
      <c r="F2503" s="16"/>
      <c r="G2503" s="16"/>
      <c r="H2503" s="18"/>
      <c r="I2503" s="18"/>
      <c r="J2503" s="18"/>
      <c r="K2503" s="18"/>
      <c r="L2503" s="18"/>
      <c r="M2503" s="18"/>
      <c r="N2503" s="18"/>
      <c r="O2503" s="18"/>
      <c r="P2503" s="18"/>
      <c r="Q2503" s="19"/>
      <c r="R2503" s="19"/>
      <c r="S2503" s="19"/>
    </row>
    <row r="2504" ht="15.75" customHeight="1">
      <c r="A2504" s="15">
        <v>45671.471875</v>
      </c>
      <c r="B2504" s="16" t="s">
        <v>6654</v>
      </c>
      <c r="C2504" s="16" t="s">
        <v>7129</v>
      </c>
      <c r="D2504" s="16" t="s">
        <v>7508</v>
      </c>
      <c r="E2504" s="16" t="s">
        <v>7515</v>
      </c>
      <c r="F2504" s="16"/>
      <c r="G2504" s="16"/>
      <c r="H2504" s="18"/>
      <c r="I2504" s="18"/>
      <c r="J2504" s="18"/>
      <c r="K2504" s="18"/>
      <c r="L2504" s="18"/>
      <c r="M2504" s="18"/>
      <c r="N2504" s="18"/>
      <c r="O2504" s="18"/>
      <c r="P2504" s="18"/>
      <c r="Q2504" s="19"/>
      <c r="R2504" s="19"/>
      <c r="S2504" s="19"/>
    </row>
    <row r="2505" ht="15.75" customHeight="1">
      <c r="A2505" s="15">
        <v>45671.472453703704</v>
      </c>
      <c r="B2505" s="16" t="s">
        <v>6654</v>
      </c>
      <c r="C2505" s="16" t="s">
        <v>7129</v>
      </c>
      <c r="D2505" s="16" t="s">
        <v>7508</v>
      </c>
      <c r="E2505" s="16" t="s">
        <v>7516</v>
      </c>
      <c r="F2505" s="16"/>
      <c r="G2505" s="16"/>
      <c r="H2505" s="18"/>
      <c r="I2505" s="18"/>
      <c r="J2505" s="18"/>
      <c r="K2505" s="18"/>
      <c r="L2505" s="18"/>
      <c r="M2505" s="18"/>
      <c r="N2505" s="18"/>
      <c r="O2505" s="18"/>
      <c r="P2505" s="18"/>
      <c r="Q2505" s="19"/>
      <c r="R2505" s="19"/>
      <c r="S2505" s="19"/>
    </row>
    <row r="2506" ht="15.75" customHeight="1">
      <c r="A2506" s="15">
        <v>45671.472662037035</v>
      </c>
      <c r="B2506" s="16" t="s">
        <v>6654</v>
      </c>
      <c r="C2506" s="16" t="s">
        <v>7129</v>
      </c>
      <c r="D2506" s="16" t="s">
        <v>7508</v>
      </c>
      <c r="E2506" s="16" t="s">
        <v>7517</v>
      </c>
      <c r="F2506" s="16"/>
      <c r="G2506" s="16"/>
      <c r="H2506" s="18"/>
      <c r="I2506" s="18"/>
      <c r="J2506" s="18"/>
      <c r="K2506" s="18"/>
      <c r="L2506" s="18"/>
      <c r="M2506" s="18"/>
      <c r="N2506" s="18"/>
      <c r="O2506" s="18"/>
      <c r="P2506" s="18"/>
      <c r="Q2506" s="19"/>
      <c r="R2506" s="19"/>
      <c r="S2506" s="19"/>
    </row>
    <row r="2507" ht="15.75" customHeight="1">
      <c r="A2507" s="15">
        <v>45671.4734837963</v>
      </c>
      <c r="B2507" s="16" t="s">
        <v>6654</v>
      </c>
      <c r="C2507" s="16" t="s">
        <v>7129</v>
      </c>
      <c r="D2507" s="16" t="s">
        <v>7508</v>
      </c>
      <c r="E2507" s="16" t="s">
        <v>7518</v>
      </c>
      <c r="F2507" s="16"/>
      <c r="G2507" s="16"/>
      <c r="H2507" s="18"/>
      <c r="I2507" s="18"/>
      <c r="J2507" s="18"/>
      <c r="K2507" s="18"/>
      <c r="L2507" s="18"/>
      <c r="M2507" s="18"/>
      <c r="N2507" s="18"/>
      <c r="O2507" s="18"/>
      <c r="P2507" s="18"/>
      <c r="Q2507" s="19"/>
      <c r="R2507" s="19"/>
      <c r="S2507" s="19"/>
    </row>
    <row r="2508" ht="15.75" customHeight="1">
      <c r="A2508" s="15">
        <v>45671.47372685185</v>
      </c>
      <c r="B2508" s="16" t="s">
        <v>7483</v>
      </c>
      <c r="C2508" s="16" t="s">
        <v>7129</v>
      </c>
      <c r="D2508" s="16" t="s">
        <v>7508</v>
      </c>
      <c r="E2508" s="16" t="s">
        <v>7519</v>
      </c>
      <c r="F2508" s="16"/>
      <c r="G2508" s="16"/>
      <c r="H2508" s="18"/>
      <c r="I2508" s="18"/>
      <c r="J2508" s="18"/>
      <c r="K2508" s="18"/>
      <c r="L2508" s="18"/>
      <c r="M2508" s="18"/>
      <c r="N2508" s="18"/>
      <c r="O2508" s="18"/>
      <c r="P2508" s="18"/>
      <c r="Q2508" s="19"/>
      <c r="R2508" s="19"/>
      <c r="S2508" s="19"/>
    </row>
    <row r="2509" ht="15.75" customHeight="1">
      <c r="A2509" s="15">
        <v>45671.47568287037</v>
      </c>
      <c r="B2509" s="16" t="s">
        <v>7483</v>
      </c>
      <c r="C2509" s="16" t="s">
        <v>7129</v>
      </c>
      <c r="D2509" s="16" t="s">
        <v>7508</v>
      </c>
      <c r="E2509" s="16" t="s">
        <v>7520</v>
      </c>
      <c r="F2509" s="16"/>
      <c r="G2509" s="16"/>
      <c r="H2509" s="18"/>
      <c r="I2509" s="18"/>
      <c r="J2509" s="18"/>
      <c r="K2509" s="18"/>
      <c r="L2509" s="18"/>
      <c r="M2509" s="18"/>
      <c r="N2509" s="18"/>
      <c r="O2509" s="18"/>
      <c r="P2509" s="18"/>
      <c r="Q2509" s="19"/>
      <c r="R2509" s="19"/>
      <c r="S2509" s="19"/>
    </row>
    <row r="2510" ht="15.75" customHeight="1">
      <c r="A2510" s="15">
        <v>45671.47625</v>
      </c>
      <c r="B2510" s="16" t="s">
        <v>7483</v>
      </c>
      <c r="C2510" s="16" t="s">
        <v>7129</v>
      </c>
      <c r="D2510" s="16" t="s">
        <v>7508</v>
      </c>
      <c r="E2510" s="16" t="s">
        <v>7521</v>
      </c>
      <c r="F2510" s="16"/>
      <c r="G2510" s="16"/>
      <c r="H2510" s="18"/>
      <c r="I2510" s="18"/>
      <c r="J2510" s="18"/>
      <c r="K2510" s="18"/>
      <c r="L2510" s="18"/>
      <c r="M2510" s="18"/>
      <c r="N2510" s="18"/>
      <c r="O2510" s="18"/>
      <c r="P2510" s="18"/>
      <c r="Q2510" s="19"/>
      <c r="R2510" s="19"/>
      <c r="S2510" s="19"/>
    </row>
    <row r="2511" ht="15.75" customHeight="1">
      <c r="A2511" s="15">
        <v>45671.48097222222</v>
      </c>
      <c r="B2511" s="16" t="s">
        <v>7483</v>
      </c>
      <c r="C2511" s="16" t="s">
        <v>7129</v>
      </c>
      <c r="D2511" s="16" t="s">
        <v>7508</v>
      </c>
      <c r="E2511" s="16" t="s">
        <v>7522</v>
      </c>
      <c r="F2511" s="16"/>
      <c r="G2511" s="16"/>
      <c r="H2511" s="18"/>
      <c r="I2511" s="18"/>
      <c r="J2511" s="18"/>
      <c r="K2511" s="18"/>
      <c r="L2511" s="18"/>
      <c r="M2511" s="18"/>
      <c r="N2511" s="18"/>
      <c r="O2511" s="18"/>
      <c r="P2511" s="18"/>
      <c r="Q2511" s="19"/>
      <c r="R2511" s="19"/>
      <c r="S2511" s="19"/>
    </row>
    <row r="2512" ht="15.75" customHeight="1">
      <c r="A2512" s="15">
        <v>45671.481516203705</v>
      </c>
      <c r="B2512" s="16" t="s">
        <v>7483</v>
      </c>
      <c r="C2512" s="16" t="s">
        <v>7129</v>
      </c>
      <c r="D2512" s="16" t="s">
        <v>7508</v>
      </c>
      <c r="E2512" s="16" t="s">
        <v>7523</v>
      </c>
      <c r="F2512" s="16"/>
      <c r="G2512" s="16"/>
      <c r="H2512" s="18"/>
      <c r="I2512" s="18"/>
      <c r="J2512" s="18"/>
      <c r="K2512" s="18"/>
      <c r="L2512" s="18"/>
      <c r="M2512" s="18"/>
      <c r="N2512" s="18"/>
      <c r="O2512" s="18"/>
      <c r="P2512" s="18"/>
      <c r="Q2512" s="19"/>
      <c r="R2512" s="19"/>
      <c r="S2512" s="19"/>
    </row>
    <row r="2513" ht="15.75" customHeight="1">
      <c r="A2513" s="15">
        <v>45671.48328703704</v>
      </c>
      <c r="B2513" s="16" t="s">
        <v>6654</v>
      </c>
      <c r="C2513" s="16" t="s">
        <v>7129</v>
      </c>
      <c r="D2513" s="16" t="s">
        <v>7508</v>
      </c>
      <c r="E2513" s="16" t="s">
        <v>7524</v>
      </c>
      <c r="F2513" s="16"/>
      <c r="G2513" s="16"/>
      <c r="H2513" s="18"/>
      <c r="I2513" s="18"/>
      <c r="J2513" s="18"/>
      <c r="K2513" s="18"/>
      <c r="L2513" s="18"/>
      <c r="M2513" s="18"/>
      <c r="N2513" s="18"/>
      <c r="O2513" s="18"/>
      <c r="P2513" s="18"/>
      <c r="Q2513" s="19"/>
      <c r="R2513" s="19"/>
      <c r="S2513" s="19"/>
    </row>
    <row r="2514" ht="15.75" customHeight="1">
      <c r="A2514" s="15">
        <v>45671.48787037037</v>
      </c>
      <c r="B2514" s="16" t="s">
        <v>7483</v>
      </c>
      <c r="C2514" s="16" t="s">
        <v>7129</v>
      </c>
      <c r="D2514" s="16" t="s">
        <v>7508</v>
      </c>
      <c r="E2514" s="16" t="s">
        <v>7525</v>
      </c>
      <c r="F2514" s="16"/>
      <c r="G2514" s="16"/>
      <c r="H2514" s="18"/>
      <c r="I2514" s="18"/>
      <c r="J2514" s="18"/>
      <c r="K2514" s="18"/>
      <c r="L2514" s="18"/>
      <c r="M2514" s="18"/>
      <c r="N2514" s="18"/>
      <c r="O2514" s="18"/>
      <c r="P2514" s="18"/>
      <c r="Q2514" s="19"/>
      <c r="R2514" s="19"/>
      <c r="S2514" s="19"/>
    </row>
    <row r="2515" ht="15.75" customHeight="1">
      <c r="A2515" s="15">
        <v>45671.49450231482</v>
      </c>
      <c r="B2515" s="16" t="s">
        <v>6654</v>
      </c>
      <c r="C2515" s="16" t="s">
        <v>7129</v>
      </c>
      <c r="D2515" s="16" t="s">
        <v>7508</v>
      </c>
      <c r="E2515" s="16" t="s">
        <v>7526</v>
      </c>
      <c r="F2515" s="16"/>
      <c r="G2515" s="16"/>
      <c r="H2515" s="18"/>
      <c r="I2515" s="18"/>
      <c r="J2515" s="18"/>
      <c r="K2515" s="18"/>
      <c r="L2515" s="18"/>
      <c r="M2515" s="18"/>
      <c r="N2515" s="18"/>
      <c r="O2515" s="18"/>
      <c r="P2515" s="18"/>
      <c r="Q2515" s="19"/>
      <c r="R2515" s="19"/>
      <c r="S2515" s="19"/>
    </row>
    <row r="2516" ht="15.75" customHeight="1">
      <c r="A2516" s="15">
        <v>45671.494780092595</v>
      </c>
      <c r="B2516" s="16" t="s">
        <v>6654</v>
      </c>
      <c r="C2516" s="16" t="s">
        <v>7129</v>
      </c>
      <c r="D2516" s="16" t="s">
        <v>7508</v>
      </c>
      <c r="E2516" s="16" t="s">
        <v>7527</v>
      </c>
      <c r="F2516" s="16"/>
      <c r="G2516" s="16"/>
      <c r="H2516" s="18"/>
      <c r="I2516" s="18"/>
      <c r="J2516" s="18"/>
      <c r="K2516" s="18"/>
      <c r="L2516" s="18"/>
      <c r="M2516" s="18"/>
      <c r="N2516" s="18"/>
      <c r="O2516" s="18"/>
      <c r="P2516" s="18"/>
      <c r="Q2516" s="19"/>
      <c r="R2516" s="19"/>
      <c r="S2516" s="19"/>
    </row>
    <row r="2517" ht="15.75" customHeight="1">
      <c r="A2517" s="15">
        <v>45671.49600694444</v>
      </c>
      <c r="B2517" s="16" t="s">
        <v>7483</v>
      </c>
      <c r="C2517" s="16" t="s">
        <v>7129</v>
      </c>
      <c r="D2517" s="16" t="s">
        <v>7508</v>
      </c>
      <c r="E2517" s="16" t="s">
        <v>7528</v>
      </c>
      <c r="F2517" s="16"/>
      <c r="G2517" s="16"/>
      <c r="H2517" s="18"/>
      <c r="I2517" s="18"/>
      <c r="J2517" s="18"/>
      <c r="K2517" s="18"/>
      <c r="L2517" s="18"/>
      <c r="M2517" s="18"/>
      <c r="N2517" s="18"/>
      <c r="O2517" s="18"/>
      <c r="P2517" s="18"/>
      <c r="Q2517" s="19"/>
      <c r="R2517" s="19"/>
      <c r="S2517" s="19"/>
    </row>
    <row r="2518" ht="15.75" customHeight="1">
      <c r="A2518" s="15">
        <v>45671.5219212963</v>
      </c>
      <c r="B2518" s="16" t="s">
        <v>6654</v>
      </c>
      <c r="C2518" s="16" t="s">
        <v>7129</v>
      </c>
      <c r="D2518" s="16" t="s">
        <v>7508</v>
      </c>
      <c r="E2518" s="16" t="s">
        <v>7529</v>
      </c>
      <c r="F2518" s="16"/>
      <c r="G2518" s="16"/>
      <c r="H2518" s="18"/>
      <c r="I2518" s="18"/>
      <c r="J2518" s="18"/>
      <c r="K2518" s="18"/>
      <c r="L2518" s="18"/>
      <c r="M2518" s="18"/>
      <c r="N2518" s="18"/>
      <c r="O2518" s="18"/>
      <c r="P2518" s="18"/>
      <c r="Q2518" s="19"/>
      <c r="R2518" s="19"/>
      <c r="S2518" s="19"/>
    </row>
    <row r="2519" ht="15.75" customHeight="1">
      <c r="A2519" s="15">
        <v>45671.56155092592</v>
      </c>
      <c r="B2519" s="16" t="s">
        <v>6654</v>
      </c>
      <c r="C2519" s="16" t="s">
        <v>7129</v>
      </c>
      <c r="D2519" s="16" t="s">
        <v>7508</v>
      </c>
      <c r="E2519" s="16" t="s">
        <v>7530</v>
      </c>
      <c r="F2519" s="16"/>
      <c r="G2519" s="16"/>
      <c r="H2519" s="18"/>
      <c r="I2519" s="18"/>
      <c r="J2519" s="18"/>
      <c r="K2519" s="18"/>
      <c r="L2519" s="18"/>
      <c r="M2519" s="18"/>
      <c r="N2519" s="18"/>
      <c r="O2519" s="18"/>
      <c r="P2519" s="18"/>
      <c r="Q2519" s="19"/>
      <c r="R2519" s="19"/>
      <c r="S2519" s="19"/>
    </row>
    <row r="2520" ht="15.75" customHeight="1">
      <c r="A2520" s="15">
        <v>45671.56423611111</v>
      </c>
      <c r="B2520" s="16" t="s">
        <v>6654</v>
      </c>
      <c r="C2520" s="16" t="s">
        <v>7129</v>
      </c>
      <c r="D2520" s="16" t="s">
        <v>7508</v>
      </c>
      <c r="E2520" s="16" t="s">
        <v>7531</v>
      </c>
      <c r="F2520" s="16"/>
      <c r="G2520" s="16"/>
      <c r="H2520" s="18"/>
      <c r="I2520" s="18"/>
      <c r="J2520" s="18"/>
      <c r="K2520" s="18"/>
      <c r="L2520" s="18"/>
      <c r="M2520" s="18"/>
      <c r="N2520" s="18"/>
      <c r="O2520" s="18"/>
      <c r="P2520" s="18"/>
      <c r="Q2520" s="19"/>
      <c r="R2520" s="19"/>
      <c r="S2520" s="19"/>
    </row>
    <row r="2521" ht="15.75" customHeight="1">
      <c r="A2521" s="15">
        <v>45671.57282407407</v>
      </c>
      <c r="B2521" s="16" t="s">
        <v>6654</v>
      </c>
      <c r="C2521" s="16" t="s">
        <v>7129</v>
      </c>
      <c r="D2521" s="16" t="s">
        <v>7508</v>
      </c>
      <c r="E2521" s="16" t="s">
        <v>7532</v>
      </c>
      <c r="F2521" s="16"/>
      <c r="G2521" s="16"/>
      <c r="H2521" s="18"/>
      <c r="I2521" s="18"/>
      <c r="J2521" s="18"/>
      <c r="K2521" s="18"/>
      <c r="L2521" s="18"/>
      <c r="M2521" s="18"/>
      <c r="N2521" s="18"/>
      <c r="O2521" s="18"/>
      <c r="P2521" s="18"/>
      <c r="Q2521" s="19"/>
      <c r="R2521" s="19"/>
      <c r="S2521" s="19"/>
    </row>
    <row r="2522" ht="15.75" customHeight="1">
      <c r="A2522" s="15">
        <v>45671.57508101852</v>
      </c>
      <c r="B2522" s="16" t="s">
        <v>6654</v>
      </c>
      <c r="C2522" s="16" t="s">
        <v>7129</v>
      </c>
      <c r="D2522" s="16" t="s">
        <v>7508</v>
      </c>
      <c r="E2522" s="16" t="s">
        <v>7533</v>
      </c>
      <c r="F2522" s="16"/>
      <c r="G2522" s="16"/>
      <c r="H2522" s="18"/>
      <c r="I2522" s="18"/>
      <c r="J2522" s="18"/>
      <c r="K2522" s="18"/>
      <c r="L2522" s="18"/>
      <c r="M2522" s="18"/>
      <c r="N2522" s="18"/>
      <c r="O2522" s="18"/>
      <c r="P2522" s="18"/>
      <c r="Q2522" s="19"/>
      <c r="R2522" s="19"/>
      <c r="S2522" s="19"/>
    </row>
    <row r="2523" ht="15.75" customHeight="1">
      <c r="A2523" s="15">
        <v>45671.62704861111</v>
      </c>
      <c r="B2523" s="16" t="s">
        <v>7483</v>
      </c>
      <c r="C2523" s="16" t="s">
        <v>7129</v>
      </c>
      <c r="D2523" s="16" t="s">
        <v>7508</v>
      </c>
      <c r="E2523" s="16" t="s">
        <v>7534</v>
      </c>
      <c r="F2523" s="16"/>
      <c r="G2523" s="16"/>
      <c r="H2523" s="18"/>
      <c r="I2523" s="18"/>
      <c r="J2523" s="18"/>
      <c r="K2523" s="18"/>
      <c r="L2523" s="18"/>
      <c r="M2523" s="18"/>
      <c r="N2523" s="18"/>
      <c r="O2523" s="18"/>
      <c r="P2523" s="18"/>
      <c r="Q2523" s="19"/>
      <c r="R2523" s="19"/>
      <c r="S2523" s="19"/>
    </row>
    <row r="2524" ht="15.75" customHeight="1">
      <c r="A2524" s="15">
        <v>45671.694189814814</v>
      </c>
      <c r="B2524" s="16" t="s">
        <v>6654</v>
      </c>
      <c r="C2524" s="16" t="s">
        <v>7129</v>
      </c>
      <c r="D2524" s="16" t="s">
        <v>7508</v>
      </c>
      <c r="E2524" s="16" t="s">
        <v>7535</v>
      </c>
      <c r="F2524" s="16"/>
      <c r="G2524" s="16"/>
      <c r="H2524" s="18"/>
      <c r="I2524" s="18"/>
      <c r="J2524" s="18"/>
      <c r="K2524" s="18"/>
      <c r="L2524" s="18"/>
      <c r="M2524" s="18"/>
      <c r="N2524" s="18"/>
      <c r="O2524" s="18"/>
      <c r="P2524" s="18"/>
      <c r="Q2524" s="19"/>
      <c r="R2524" s="19"/>
      <c r="S2524" s="19"/>
    </row>
    <row r="2525" ht="15.75" customHeight="1">
      <c r="A2525" s="15">
        <v>45671.72986111111</v>
      </c>
      <c r="B2525" s="16" t="s">
        <v>7483</v>
      </c>
      <c r="C2525" s="16" t="s">
        <v>7129</v>
      </c>
      <c r="D2525" s="16" t="s">
        <v>7508</v>
      </c>
      <c r="E2525" s="16" t="s">
        <v>7536</v>
      </c>
      <c r="F2525" s="16"/>
      <c r="G2525" s="16"/>
      <c r="H2525" s="18"/>
      <c r="I2525" s="18"/>
      <c r="J2525" s="18"/>
      <c r="K2525" s="18"/>
      <c r="L2525" s="18"/>
      <c r="M2525" s="18"/>
      <c r="N2525" s="18"/>
      <c r="O2525" s="18"/>
      <c r="P2525" s="18"/>
      <c r="Q2525" s="19"/>
      <c r="R2525" s="19"/>
      <c r="S2525" s="19"/>
    </row>
    <row r="2526" ht="15.75" customHeight="1">
      <c r="A2526" s="15">
        <v>45671.734768518516</v>
      </c>
      <c r="B2526" s="16" t="s">
        <v>7483</v>
      </c>
      <c r="C2526" s="16" t="s">
        <v>7129</v>
      </c>
      <c r="D2526" s="16" t="s">
        <v>7508</v>
      </c>
      <c r="E2526" s="16" t="s">
        <v>7537</v>
      </c>
      <c r="F2526" s="16"/>
      <c r="G2526" s="16"/>
      <c r="H2526" s="18"/>
      <c r="I2526" s="18"/>
      <c r="J2526" s="18"/>
      <c r="K2526" s="18"/>
      <c r="L2526" s="18"/>
      <c r="M2526" s="18"/>
      <c r="N2526" s="18"/>
      <c r="O2526" s="18"/>
      <c r="P2526" s="18"/>
      <c r="Q2526" s="19"/>
      <c r="R2526" s="19"/>
      <c r="S2526" s="19"/>
    </row>
    <row r="2527" ht="15.75" customHeight="1">
      <c r="A2527" s="15">
        <v>45671.747025462966</v>
      </c>
      <c r="B2527" s="16" t="s">
        <v>6654</v>
      </c>
      <c r="C2527" s="16" t="s">
        <v>7129</v>
      </c>
      <c r="D2527" s="16" t="s">
        <v>7508</v>
      </c>
      <c r="E2527" s="16" t="s">
        <v>7341</v>
      </c>
      <c r="F2527" s="16"/>
      <c r="G2527" s="16"/>
      <c r="H2527" s="18"/>
      <c r="I2527" s="18"/>
      <c r="J2527" s="18"/>
      <c r="K2527" s="18"/>
      <c r="L2527" s="18"/>
      <c r="M2527" s="18"/>
      <c r="N2527" s="18"/>
      <c r="O2527" s="18"/>
      <c r="P2527" s="18"/>
      <c r="Q2527" s="19"/>
      <c r="R2527" s="19"/>
      <c r="S2527" s="19"/>
    </row>
    <row r="2528" ht="15.75" customHeight="1">
      <c r="A2528" s="15">
        <v>45672.40277777778</v>
      </c>
      <c r="B2528" s="16" t="s">
        <v>6654</v>
      </c>
      <c r="C2528" s="16" t="s">
        <v>7129</v>
      </c>
      <c r="D2528" s="16" t="s">
        <v>7538</v>
      </c>
      <c r="E2528" s="16" t="s">
        <v>7539</v>
      </c>
      <c r="F2528" s="16"/>
      <c r="G2528" s="16"/>
      <c r="H2528" s="18"/>
      <c r="I2528" s="18"/>
      <c r="J2528" s="18"/>
      <c r="K2528" s="18"/>
      <c r="L2528" s="18"/>
      <c r="M2528" s="18"/>
      <c r="N2528" s="18"/>
      <c r="O2528" s="18"/>
      <c r="P2528" s="18"/>
      <c r="Q2528" s="19"/>
      <c r="R2528" s="19"/>
      <c r="S2528" s="19"/>
    </row>
    <row r="2529" ht="15.75" customHeight="1">
      <c r="A2529" s="15">
        <v>45801.72482638889</v>
      </c>
      <c r="B2529" s="16" t="s">
        <v>6591</v>
      </c>
      <c r="C2529" s="16" t="s">
        <v>7129</v>
      </c>
      <c r="D2529" s="16" t="s">
        <v>7130</v>
      </c>
      <c r="E2529" s="16" t="s">
        <v>7540</v>
      </c>
      <c r="F2529" s="16"/>
      <c r="G2529" s="16"/>
      <c r="H2529" s="18"/>
      <c r="I2529" s="18"/>
      <c r="J2529" s="18"/>
      <c r="K2529" s="18"/>
      <c r="L2529" s="18"/>
      <c r="M2529" s="18"/>
      <c r="N2529" s="18"/>
      <c r="O2529" s="18"/>
      <c r="P2529" s="18"/>
      <c r="Q2529" s="19"/>
      <c r="R2529" s="19"/>
      <c r="S2529" s="19"/>
    </row>
    <row r="2530" ht="15.75" customHeight="1">
      <c r="A2530" s="15">
        <v>45801.8618287037</v>
      </c>
      <c r="B2530" s="16" t="s">
        <v>6591</v>
      </c>
      <c r="C2530" s="16" t="s">
        <v>7129</v>
      </c>
      <c r="D2530" s="16" t="s">
        <v>7130</v>
      </c>
      <c r="E2530" s="16" t="s">
        <v>7541</v>
      </c>
      <c r="F2530" s="16"/>
      <c r="G2530" s="16"/>
      <c r="H2530" s="18"/>
      <c r="I2530" s="18"/>
      <c r="J2530" s="18"/>
      <c r="K2530" s="18"/>
      <c r="L2530" s="18"/>
      <c r="M2530" s="18"/>
      <c r="N2530" s="18"/>
      <c r="O2530" s="18"/>
      <c r="P2530" s="18"/>
      <c r="Q2530" s="19"/>
      <c r="R2530" s="19"/>
      <c r="S2530" s="19"/>
    </row>
    <row r="2531" ht="15.75" customHeight="1">
      <c r="A2531" s="15">
        <v>45801.86357638889</v>
      </c>
      <c r="B2531" s="16" t="s">
        <v>6591</v>
      </c>
      <c r="C2531" s="16" t="s">
        <v>7129</v>
      </c>
      <c r="D2531" s="16" t="s">
        <v>7130</v>
      </c>
      <c r="E2531" s="16" t="s">
        <v>7542</v>
      </c>
      <c r="F2531" s="16"/>
      <c r="G2531" s="16"/>
      <c r="H2531" s="18"/>
      <c r="I2531" s="18"/>
      <c r="J2531" s="18"/>
      <c r="K2531" s="18"/>
      <c r="L2531" s="18"/>
      <c r="M2531" s="18"/>
      <c r="N2531" s="18"/>
      <c r="O2531" s="18"/>
      <c r="P2531" s="18"/>
      <c r="Q2531" s="19"/>
      <c r="R2531" s="19"/>
      <c r="S2531" s="19"/>
    </row>
    <row r="2532" ht="15.75" customHeight="1">
      <c r="A2532" s="15">
        <v>45801.87158564815</v>
      </c>
      <c r="B2532" s="16" t="s">
        <v>6591</v>
      </c>
      <c r="C2532" s="16" t="s">
        <v>7129</v>
      </c>
      <c r="D2532" s="16" t="s">
        <v>7130</v>
      </c>
      <c r="E2532" s="16" t="s">
        <v>7543</v>
      </c>
      <c r="F2532" s="16"/>
      <c r="G2532" s="16"/>
      <c r="H2532" s="18"/>
      <c r="I2532" s="18"/>
      <c r="J2532" s="18"/>
      <c r="K2532" s="18"/>
      <c r="L2532" s="18"/>
      <c r="M2532" s="18"/>
      <c r="N2532" s="18"/>
      <c r="O2532" s="18"/>
      <c r="P2532" s="18"/>
      <c r="Q2532" s="19"/>
      <c r="R2532" s="19"/>
      <c r="S2532" s="19"/>
    </row>
    <row r="2533" ht="15.75" customHeight="1">
      <c r="A2533" s="15">
        <v>45801.8750462963</v>
      </c>
      <c r="B2533" s="16" t="s">
        <v>6591</v>
      </c>
      <c r="C2533" s="16" t="s">
        <v>7129</v>
      </c>
      <c r="D2533" s="16" t="s">
        <v>7130</v>
      </c>
      <c r="E2533" s="16" t="s">
        <v>7544</v>
      </c>
      <c r="F2533" s="16"/>
      <c r="G2533" s="16"/>
      <c r="H2533" s="18"/>
      <c r="I2533" s="18"/>
      <c r="J2533" s="18"/>
      <c r="K2533" s="18"/>
      <c r="L2533" s="18"/>
      <c r="M2533" s="18"/>
      <c r="N2533" s="18"/>
      <c r="O2533" s="18"/>
      <c r="P2533" s="18"/>
      <c r="Q2533" s="19"/>
      <c r="R2533" s="19"/>
      <c r="S2533" s="19"/>
    </row>
    <row r="2534" ht="15.75" customHeight="1">
      <c r="A2534" s="15">
        <v>45801.87533564815</v>
      </c>
      <c r="B2534" s="16" t="s">
        <v>6591</v>
      </c>
      <c r="C2534" s="16" t="s">
        <v>7129</v>
      </c>
      <c r="D2534" s="16" t="s">
        <v>7130</v>
      </c>
      <c r="E2534" s="16" t="s">
        <v>7545</v>
      </c>
      <c r="F2534" s="16"/>
      <c r="G2534" s="16"/>
      <c r="H2534" s="18"/>
      <c r="I2534" s="18"/>
      <c r="J2534" s="18"/>
      <c r="K2534" s="18"/>
      <c r="L2534" s="18"/>
      <c r="M2534" s="18"/>
      <c r="N2534" s="18"/>
      <c r="O2534" s="18"/>
      <c r="P2534" s="18"/>
      <c r="Q2534" s="19"/>
      <c r="R2534" s="19"/>
      <c r="S2534" s="19"/>
    </row>
    <row r="2535" ht="15.75" customHeight="1">
      <c r="A2535" s="15">
        <v>45801.87559027778</v>
      </c>
      <c r="B2535" s="16" t="s">
        <v>6591</v>
      </c>
      <c r="C2535" s="16" t="s">
        <v>7129</v>
      </c>
      <c r="D2535" s="16" t="s">
        <v>7130</v>
      </c>
      <c r="E2535" s="16" t="s">
        <v>7546</v>
      </c>
      <c r="F2535" s="16"/>
      <c r="G2535" s="16"/>
      <c r="H2535" s="18"/>
      <c r="I2535" s="18"/>
      <c r="J2535" s="18"/>
      <c r="K2535" s="18"/>
      <c r="L2535" s="18"/>
      <c r="M2535" s="18"/>
      <c r="N2535" s="18"/>
      <c r="O2535" s="18"/>
      <c r="P2535" s="18"/>
      <c r="Q2535" s="19"/>
      <c r="R2535" s="19"/>
      <c r="S2535" s="19"/>
    </row>
    <row r="2536" ht="15.75" customHeight="1">
      <c r="A2536" s="15">
        <v>45801.88064814815</v>
      </c>
      <c r="B2536" s="16" t="s">
        <v>6591</v>
      </c>
      <c r="C2536" s="16" t="s">
        <v>7129</v>
      </c>
      <c r="D2536" s="16" t="s">
        <v>7130</v>
      </c>
      <c r="E2536" s="16" t="s">
        <v>7547</v>
      </c>
      <c r="F2536" s="16"/>
      <c r="G2536" s="16"/>
      <c r="H2536" s="18"/>
      <c r="I2536" s="18"/>
      <c r="J2536" s="18"/>
      <c r="K2536" s="18"/>
      <c r="L2536" s="18"/>
      <c r="M2536" s="18"/>
      <c r="N2536" s="18"/>
      <c r="O2536" s="18"/>
      <c r="P2536" s="18"/>
      <c r="Q2536" s="19"/>
      <c r="R2536" s="19"/>
      <c r="S2536" s="19"/>
    </row>
    <row r="2537" ht="15.75" customHeight="1">
      <c r="A2537" s="15">
        <v>45801.881516203706</v>
      </c>
      <c r="B2537" s="16" t="s">
        <v>6591</v>
      </c>
      <c r="C2537" s="16" t="s">
        <v>7129</v>
      </c>
      <c r="D2537" s="16" t="s">
        <v>7130</v>
      </c>
      <c r="E2537" s="16" t="s">
        <v>7548</v>
      </c>
      <c r="F2537" s="16"/>
      <c r="G2537" s="16"/>
      <c r="H2537" s="18"/>
      <c r="I2537" s="18"/>
      <c r="J2537" s="18"/>
      <c r="K2537" s="18"/>
      <c r="L2537" s="18"/>
      <c r="M2537" s="18"/>
      <c r="N2537" s="18"/>
      <c r="O2537" s="18"/>
      <c r="P2537" s="18"/>
      <c r="Q2537" s="19"/>
      <c r="R2537" s="19"/>
      <c r="S2537" s="19"/>
    </row>
    <row r="2538" ht="15.75" customHeight="1">
      <c r="A2538" s="15">
        <v>45801.88177083333</v>
      </c>
      <c r="B2538" s="16" t="s">
        <v>6591</v>
      </c>
      <c r="C2538" s="16" t="s">
        <v>7129</v>
      </c>
      <c r="D2538" s="16" t="s">
        <v>7130</v>
      </c>
      <c r="E2538" s="16" t="s">
        <v>7549</v>
      </c>
      <c r="F2538" s="16"/>
      <c r="G2538" s="16"/>
      <c r="H2538" s="18"/>
      <c r="I2538" s="18"/>
      <c r="J2538" s="18"/>
      <c r="K2538" s="18"/>
      <c r="L2538" s="18"/>
      <c r="M2538" s="18"/>
      <c r="N2538" s="18"/>
      <c r="O2538" s="18"/>
      <c r="P2538" s="18"/>
      <c r="Q2538" s="19"/>
      <c r="R2538" s="19"/>
      <c r="S2538" s="19"/>
    </row>
    <row r="2539" ht="15.75" customHeight="1">
      <c r="A2539" s="15">
        <v>45801.8840162037</v>
      </c>
      <c r="B2539" s="16" t="s">
        <v>6591</v>
      </c>
      <c r="C2539" s="16" t="s">
        <v>7129</v>
      </c>
      <c r="D2539" s="16" t="s">
        <v>7130</v>
      </c>
      <c r="E2539" s="16" t="s">
        <v>7550</v>
      </c>
      <c r="F2539" s="16"/>
      <c r="G2539" s="16"/>
      <c r="H2539" s="18"/>
      <c r="I2539" s="18"/>
      <c r="J2539" s="18"/>
      <c r="K2539" s="18"/>
      <c r="L2539" s="18"/>
      <c r="M2539" s="18"/>
      <c r="N2539" s="18"/>
      <c r="O2539" s="18"/>
      <c r="P2539" s="18"/>
      <c r="Q2539" s="19"/>
      <c r="R2539" s="19"/>
      <c r="S2539" s="19"/>
    </row>
    <row r="2540" ht="15.75" customHeight="1">
      <c r="A2540" s="15">
        <v>45801.89020833333</v>
      </c>
      <c r="B2540" s="16" t="s">
        <v>6591</v>
      </c>
      <c r="C2540" s="16" t="s">
        <v>7129</v>
      </c>
      <c r="D2540" s="16" t="s">
        <v>7130</v>
      </c>
      <c r="E2540" s="16" t="s">
        <v>7551</v>
      </c>
      <c r="F2540" s="16"/>
      <c r="G2540" s="16"/>
      <c r="H2540" s="18"/>
      <c r="I2540" s="18"/>
      <c r="J2540" s="18"/>
      <c r="K2540" s="18"/>
      <c r="L2540" s="18"/>
      <c r="M2540" s="18"/>
      <c r="N2540" s="18"/>
      <c r="O2540" s="18"/>
      <c r="P2540" s="18"/>
      <c r="Q2540" s="19"/>
      <c r="R2540" s="19"/>
      <c r="S2540" s="19"/>
    </row>
    <row r="2541" ht="15.75" customHeight="1">
      <c r="A2541" s="15">
        <v>45801.95141203704</v>
      </c>
      <c r="B2541" s="16" t="s">
        <v>6591</v>
      </c>
      <c r="C2541" s="16" t="s">
        <v>7129</v>
      </c>
      <c r="D2541" s="16" t="s">
        <v>7130</v>
      </c>
      <c r="E2541" s="16" t="s">
        <v>7552</v>
      </c>
      <c r="F2541" s="16"/>
      <c r="G2541" s="16"/>
      <c r="H2541" s="18"/>
      <c r="I2541" s="18"/>
      <c r="J2541" s="18"/>
      <c r="K2541" s="18"/>
      <c r="L2541" s="18"/>
      <c r="M2541" s="18"/>
      <c r="N2541" s="18"/>
      <c r="O2541" s="18"/>
      <c r="P2541" s="18"/>
      <c r="Q2541" s="19"/>
      <c r="R2541" s="19"/>
      <c r="S2541" s="19"/>
    </row>
    <row r="2542" ht="15.75" customHeight="1">
      <c r="A2542" s="15">
        <v>45801.951944444445</v>
      </c>
      <c r="B2542" s="16" t="s">
        <v>6591</v>
      </c>
      <c r="C2542" s="16" t="s">
        <v>7129</v>
      </c>
      <c r="D2542" s="16" t="s">
        <v>7130</v>
      </c>
      <c r="E2542" s="16" t="s">
        <v>7553</v>
      </c>
      <c r="F2542" s="16"/>
      <c r="G2542" s="16"/>
      <c r="H2542" s="18"/>
      <c r="I2542" s="18"/>
      <c r="J2542" s="18"/>
      <c r="K2542" s="18"/>
      <c r="L2542" s="18"/>
      <c r="M2542" s="18"/>
      <c r="N2542" s="18"/>
      <c r="O2542" s="18"/>
      <c r="P2542" s="18"/>
      <c r="Q2542" s="19"/>
      <c r="R2542" s="19"/>
      <c r="S2542" s="19"/>
    </row>
    <row r="2543" ht="15.75" customHeight="1">
      <c r="A2543" s="15">
        <v>45801.954050925924</v>
      </c>
      <c r="B2543" s="16" t="s">
        <v>6591</v>
      </c>
      <c r="C2543" s="16" t="s">
        <v>7129</v>
      </c>
      <c r="D2543" s="16" t="s">
        <v>7130</v>
      </c>
      <c r="E2543" s="16" t="s">
        <v>7554</v>
      </c>
      <c r="F2543" s="16"/>
      <c r="G2543" s="16"/>
      <c r="H2543" s="18"/>
      <c r="I2543" s="18"/>
      <c r="J2543" s="18"/>
      <c r="K2543" s="18"/>
      <c r="L2543" s="18"/>
      <c r="M2543" s="18"/>
      <c r="N2543" s="18"/>
      <c r="O2543" s="18"/>
      <c r="P2543" s="18"/>
      <c r="Q2543" s="19"/>
      <c r="R2543" s="19"/>
      <c r="S2543" s="19"/>
    </row>
    <row r="2544" ht="15.75" customHeight="1">
      <c r="A2544" s="15">
        <v>45801.955092592594</v>
      </c>
      <c r="B2544" s="16" t="s">
        <v>6591</v>
      </c>
      <c r="C2544" s="16" t="s">
        <v>7129</v>
      </c>
      <c r="D2544" s="16" t="s">
        <v>7130</v>
      </c>
      <c r="E2544" s="16" t="s">
        <v>7555</v>
      </c>
      <c r="F2544" s="16"/>
      <c r="G2544" s="16"/>
      <c r="H2544" s="18"/>
      <c r="I2544" s="18"/>
      <c r="J2544" s="18"/>
      <c r="K2544" s="18"/>
      <c r="L2544" s="18"/>
      <c r="M2544" s="18"/>
      <c r="N2544" s="18"/>
      <c r="O2544" s="18"/>
      <c r="P2544" s="18"/>
      <c r="Q2544" s="19"/>
      <c r="R2544" s="19"/>
      <c r="S2544" s="19"/>
    </row>
    <row r="2545" ht="15.75" customHeight="1">
      <c r="A2545" s="15">
        <v>45801.95559027778</v>
      </c>
      <c r="B2545" s="16" t="s">
        <v>6591</v>
      </c>
      <c r="C2545" s="16" t="s">
        <v>7129</v>
      </c>
      <c r="D2545" s="16" t="s">
        <v>7130</v>
      </c>
      <c r="E2545" s="16" t="s">
        <v>7556</v>
      </c>
      <c r="F2545" s="16"/>
      <c r="G2545" s="16"/>
      <c r="H2545" s="18"/>
      <c r="I2545" s="18"/>
      <c r="J2545" s="18"/>
      <c r="K2545" s="18"/>
      <c r="L2545" s="18"/>
      <c r="M2545" s="18"/>
      <c r="N2545" s="18"/>
      <c r="O2545" s="18"/>
      <c r="P2545" s="18"/>
      <c r="Q2545" s="19"/>
      <c r="R2545" s="19"/>
      <c r="S2545" s="19"/>
    </row>
    <row r="2546" ht="15.75" customHeight="1">
      <c r="A2546" s="15">
        <v>45801.95618055556</v>
      </c>
      <c r="B2546" s="16" t="s">
        <v>6591</v>
      </c>
      <c r="C2546" s="16" t="s">
        <v>7129</v>
      </c>
      <c r="D2546" s="16" t="s">
        <v>7130</v>
      </c>
      <c r="E2546" s="16" t="s">
        <v>7557</v>
      </c>
      <c r="F2546" s="16"/>
      <c r="G2546" s="16"/>
      <c r="H2546" s="18"/>
      <c r="I2546" s="18"/>
      <c r="J2546" s="18"/>
      <c r="K2546" s="18"/>
      <c r="L2546" s="18"/>
      <c r="M2546" s="18"/>
      <c r="N2546" s="18"/>
      <c r="O2546" s="18"/>
      <c r="P2546" s="18"/>
      <c r="Q2546" s="19"/>
      <c r="R2546" s="19"/>
      <c r="S2546" s="19"/>
    </row>
    <row r="2547" ht="15.75" customHeight="1">
      <c r="A2547" s="15">
        <v>45802.0053125</v>
      </c>
      <c r="B2547" s="16" t="s">
        <v>6591</v>
      </c>
      <c r="C2547" s="16" t="s">
        <v>7129</v>
      </c>
      <c r="D2547" s="16" t="s">
        <v>7130</v>
      </c>
      <c r="E2547" s="16" t="s">
        <v>7558</v>
      </c>
      <c r="F2547" s="16"/>
      <c r="G2547" s="16"/>
      <c r="H2547" s="18"/>
      <c r="I2547" s="18"/>
      <c r="J2547" s="18"/>
      <c r="K2547" s="18"/>
      <c r="L2547" s="18"/>
      <c r="M2547" s="18"/>
      <c r="N2547" s="18"/>
      <c r="O2547" s="18"/>
      <c r="P2547" s="18"/>
      <c r="Q2547" s="19"/>
      <c r="R2547" s="19"/>
      <c r="S2547" s="19"/>
    </row>
    <row r="2548" ht="15.75" customHeight="1">
      <c r="A2548" s="15">
        <v>45802.56123842593</v>
      </c>
      <c r="B2548" s="16" t="s">
        <v>6591</v>
      </c>
      <c r="C2548" s="16" t="s">
        <v>7129</v>
      </c>
      <c r="D2548" s="16" t="s">
        <v>7130</v>
      </c>
      <c r="E2548" s="16" t="s">
        <v>7559</v>
      </c>
      <c r="F2548" s="16"/>
      <c r="G2548" s="16"/>
      <c r="H2548" s="18"/>
      <c r="I2548" s="18"/>
      <c r="J2548" s="18"/>
      <c r="K2548" s="18"/>
      <c r="L2548" s="18"/>
      <c r="M2548" s="18"/>
      <c r="N2548" s="18"/>
      <c r="O2548" s="18"/>
      <c r="P2548" s="18"/>
      <c r="Q2548" s="19"/>
      <c r="R2548" s="19"/>
      <c r="S2548" s="19"/>
    </row>
    <row r="2549" ht="15.75" customHeight="1">
      <c r="A2549" s="15">
        <v>45802.881944444445</v>
      </c>
      <c r="B2549" s="16" t="s">
        <v>6591</v>
      </c>
      <c r="C2549" s="16" t="s">
        <v>7129</v>
      </c>
      <c r="D2549" s="16" t="s">
        <v>7130</v>
      </c>
      <c r="E2549" s="16" t="s">
        <v>7560</v>
      </c>
      <c r="F2549" s="16"/>
      <c r="G2549" s="16"/>
      <c r="H2549" s="18"/>
      <c r="I2549" s="18"/>
      <c r="J2549" s="18"/>
      <c r="K2549" s="18"/>
      <c r="L2549" s="18"/>
      <c r="M2549" s="18"/>
      <c r="N2549" s="18"/>
      <c r="O2549" s="18"/>
      <c r="P2549" s="18"/>
      <c r="Q2549" s="19"/>
      <c r="R2549" s="19"/>
      <c r="S2549" s="19"/>
    </row>
    <row r="2550" ht="15.75" customHeight="1">
      <c r="A2550" s="15">
        <v>45815.44204861111</v>
      </c>
      <c r="B2550" s="16" t="s">
        <v>6591</v>
      </c>
      <c r="C2550" s="16" t="s">
        <v>7129</v>
      </c>
      <c r="D2550" s="16" t="s">
        <v>7130</v>
      </c>
      <c r="E2550" s="16" t="s">
        <v>7561</v>
      </c>
      <c r="F2550" s="16"/>
      <c r="G2550" s="16"/>
      <c r="H2550" s="18"/>
      <c r="I2550" s="18"/>
      <c r="J2550" s="18"/>
      <c r="K2550" s="18"/>
      <c r="L2550" s="18"/>
      <c r="M2550" s="18"/>
      <c r="N2550" s="18"/>
      <c r="O2550" s="18"/>
      <c r="P2550" s="18"/>
      <c r="Q2550" s="19"/>
      <c r="R2550" s="19"/>
      <c r="S2550" s="19"/>
    </row>
    <row r="2551" ht="15.75" customHeight="1">
      <c r="A2551" s="15">
        <v>45815.44260416667</v>
      </c>
      <c r="B2551" s="16" t="s">
        <v>6591</v>
      </c>
      <c r="C2551" s="16" t="s">
        <v>7129</v>
      </c>
      <c r="D2551" s="16" t="s">
        <v>7130</v>
      </c>
      <c r="E2551" s="16" t="s">
        <v>7562</v>
      </c>
      <c r="F2551" s="16"/>
      <c r="G2551" s="16"/>
      <c r="H2551" s="18"/>
      <c r="I2551" s="18"/>
      <c r="J2551" s="18"/>
      <c r="K2551" s="18"/>
      <c r="L2551" s="18"/>
      <c r="M2551" s="18"/>
      <c r="N2551" s="18"/>
      <c r="O2551" s="18"/>
      <c r="P2551" s="18"/>
      <c r="Q2551" s="19"/>
      <c r="R2551" s="19"/>
      <c r="S2551" s="19"/>
    </row>
    <row r="2552" ht="15.75" customHeight="1">
      <c r="A2552" s="15">
        <v>45815.44445601852</v>
      </c>
      <c r="B2552" s="16" t="s">
        <v>6591</v>
      </c>
      <c r="C2552" s="16" t="s">
        <v>7129</v>
      </c>
      <c r="D2552" s="16" t="s">
        <v>7130</v>
      </c>
      <c r="E2552" s="16" t="s">
        <v>7563</v>
      </c>
      <c r="F2552" s="16"/>
      <c r="G2552" s="16"/>
      <c r="H2552" s="18"/>
      <c r="I2552" s="18"/>
      <c r="J2552" s="18"/>
      <c r="K2552" s="18"/>
      <c r="L2552" s="18"/>
      <c r="M2552" s="18"/>
      <c r="N2552" s="18"/>
      <c r="O2552" s="18"/>
      <c r="P2552" s="18"/>
      <c r="Q2552" s="19"/>
      <c r="R2552" s="19"/>
      <c r="S2552" s="19"/>
    </row>
    <row r="2553" ht="15.75" customHeight="1">
      <c r="A2553" s="15">
        <v>45815.44894675926</v>
      </c>
      <c r="B2553" s="16" t="s">
        <v>6591</v>
      </c>
      <c r="C2553" s="16" t="s">
        <v>7129</v>
      </c>
      <c r="D2553" s="16" t="s">
        <v>7130</v>
      </c>
      <c r="E2553" s="16" t="s">
        <v>7564</v>
      </c>
      <c r="F2553" s="16"/>
      <c r="G2553" s="16"/>
      <c r="H2553" s="18"/>
      <c r="I2553" s="18"/>
      <c r="J2553" s="18"/>
      <c r="K2553" s="18"/>
      <c r="L2553" s="18"/>
      <c r="M2553" s="18"/>
      <c r="N2553" s="18"/>
      <c r="O2553" s="18"/>
      <c r="P2553" s="18"/>
      <c r="Q2553" s="19"/>
      <c r="R2553" s="19"/>
      <c r="S2553" s="19"/>
    </row>
    <row r="2554" ht="15.75" customHeight="1">
      <c r="A2554" s="15">
        <v>45815.45410879629</v>
      </c>
      <c r="B2554" s="16" t="s">
        <v>6591</v>
      </c>
      <c r="C2554" s="16" t="s">
        <v>7129</v>
      </c>
      <c r="D2554" s="16" t="s">
        <v>7130</v>
      </c>
      <c r="E2554" s="16" t="s">
        <v>7565</v>
      </c>
      <c r="F2554" s="16"/>
      <c r="G2554" s="16"/>
      <c r="H2554" s="18"/>
      <c r="I2554" s="18"/>
      <c r="J2554" s="18"/>
      <c r="K2554" s="18"/>
      <c r="L2554" s="18"/>
      <c r="M2554" s="18"/>
      <c r="N2554" s="18"/>
      <c r="O2554" s="18"/>
      <c r="P2554" s="18"/>
      <c r="Q2554" s="19"/>
      <c r="R2554" s="19"/>
      <c r="S2554" s="19"/>
    </row>
    <row r="2555" ht="15.75" customHeight="1">
      <c r="A2555" s="15">
        <v>45815.45527777778</v>
      </c>
      <c r="B2555" s="16" t="s">
        <v>6591</v>
      </c>
      <c r="C2555" s="16" t="s">
        <v>7129</v>
      </c>
      <c r="D2555" s="16" t="s">
        <v>7130</v>
      </c>
      <c r="E2555" s="16" t="s">
        <v>7566</v>
      </c>
      <c r="F2555" s="16"/>
      <c r="G2555" s="16"/>
      <c r="H2555" s="18"/>
      <c r="I2555" s="18"/>
      <c r="J2555" s="18"/>
      <c r="K2555" s="18"/>
      <c r="L2555" s="18"/>
      <c r="M2555" s="18"/>
      <c r="N2555" s="18"/>
      <c r="O2555" s="18"/>
      <c r="P2555" s="18"/>
      <c r="Q2555" s="19"/>
      <c r="R2555" s="19"/>
      <c r="S2555" s="19"/>
    </row>
    <row r="2556" ht="15.75" customHeight="1">
      <c r="A2556" s="15">
        <v>45815.496296296296</v>
      </c>
      <c r="B2556" s="16" t="s">
        <v>6591</v>
      </c>
      <c r="C2556" s="16" t="s">
        <v>7129</v>
      </c>
      <c r="D2556" s="16" t="s">
        <v>7130</v>
      </c>
      <c r="E2556" s="16" t="s">
        <v>7567</v>
      </c>
      <c r="F2556" s="16"/>
      <c r="G2556" s="16"/>
      <c r="H2556" s="18"/>
      <c r="I2556" s="18"/>
      <c r="J2556" s="18"/>
      <c r="K2556" s="18"/>
      <c r="L2556" s="18"/>
      <c r="M2556" s="18"/>
      <c r="N2556" s="18"/>
      <c r="O2556" s="18"/>
      <c r="P2556" s="18"/>
      <c r="Q2556" s="19"/>
      <c r="R2556" s="19"/>
      <c r="S2556" s="19"/>
    </row>
    <row r="2557" ht="15.75" customHeight="1">
      <c r="A2557" s="15">
        <v>45815.52142361111</v>
      </c>
      <c r="B2557" s="16" t="s">
        <v>6591</v>
      </c>
      <c r="C2557" s="16" t="s">
        <v>7129</v>
      </c>
      <c r="D2557" s="16" t="s">
        <v>7130</v>
      </c>
      <c r="E2557" s="16" t="s">
        <v>7568</v>
      </c>
      <c r="F2557" s="16"/>
      <c r="G2557" s="16"/>
      <c r="H2557" s="18"/>
      <c r="I2557" s="18"/>
      <c r="J2557" s="18"/>
      <c r="K2557" s="18"/>
      <c r="L2557" s="18"/>
      <c r="M2557" s="18"/>
      <c r="N2557" s="18"/>
      <c r="O2557" s="18"/>
      <c r="P2557" s="18"/>
      <c r="Q2557" s="19"/>
      <c r="R2557" s="19"/>
      <c r="S2557" s="19"/>
    </row>
    <row r="2558" ht="15.75" customHeight="1">
      <c r="A2558" s="15">
        <v>45815.52269675926</v>
      </c>
      <c r="B2558" s="16" t="s">
        <v>6591</v>
      </c>
      <c r="C2558" s="16" t="s">
        <v>7129</v>
      </c>
      <c r="D2558" s="16" t="s">
        <v>7130</v>
      </c>
      <c r="E2558" s="16" t="s">
        <v>7569</v>
      </c>
      <c r="F2558" s="16"/>
      <c r="G2558" s="16"/>
      <c r="H2558" s="18"/>
      <c r="I2558" s="18"/>
      <c r="J2558" s="18"/>
      <c r="K2558" s="18"/>
      <c r="L2558" s="18"/>
      <c r="M2558" s="18"/>
      <c r="N2558" s="18"/>
      <c r="O2558" s="18"/>
      <c r="P2558" s="18"/>
      <c r="Q2558" s="19"/>
      <c r="R2558" s="19"/>
      <c r="S2558" s="19"/>
    </row>
    <row r="2559" ht="15.75" customHeight="1">
      <c r="A2559" s="15">
        <v>45815.52373842592</v>
      </c>
      <c r="B2559" s="16" t="s">
        <v>6591</v>
      </c>
      <c r="C2559" s="16" t="s">
        <v>7129</v>
      </c>
      <c r="D2559" s="16" t="s">
        <v>7130</v>
      </c>
      <c r="E2559" s="16" t="s">
        <v>7570</v>
      </c>
      <c r="F2559" s="16"/>
      <c r="G2559" s="16"/>
      <c r="H2559" s="18"/>
      <c r="I2559" s="18"/>
      <c r="J2559" s="18"/>
      <c r="K2559" s="18"/>
      <c r="L2559" s="18"/>
      <c r="M2559" s="18"/>
      <c r="N2559" s="18"/>
      <c r="O2559" s="18"/>
      <c r="P2559" s="18"/>
      <c r="Q2559" s="19"/>
      <c r="R2559" s="19"/>
      <c r="S2559" s="19"/>
    </row>
    <row r="2560" ht="15.75" customHeight="1">
      <c r="A2560" s="15">
        <v>45815.59111111111</v>
      </c>
      <c r="B2560" s="16" t="s">
        <v>6591</v>
      </c>
      <c r="C2560" s="16" t="s">
        <v>7129</v>
      </c>
      <c r="D2560" s="16" t="s">
        <v>7130</v>
      </c>
      <c r="E2560" s="16" t="s">
        <v>7571</v>
      </c>
      <c r="F2560" s="16"/>
      <c r="G2560" s="16"/>
      <c r="H2560" s="18"/>
      <c r="I2560" s="18"/>
      <c r="J2560" s="18"/>
      <c r="K2560" s="18"/>
      <c r="L2560" s="18"/>
      <c r="M2560" s="18"/>
      <c r="N2560" s="18"/>
      <c r="O2560" s="18"/>
      <c r="P2560" s="18"/>
      <c r="Q2560" s="19"/>
      <c r="R2560" s="19"/>
      <c r="S2560" s="19"/>
    </row>
    <row r="2561" ht="15.75" customHeight="1">
      <c r="A2561" s="15">
        <v>45818.60833333333</v>
      </c>
      <c r="B2561" s="16" t="s">
        <v>6591</v>
      </c>
      <c r="C2561" s="16" t="s">
        <v>7129</v>
      </c>
      <c r="D2561" s="16" t="s">
        <v>7572</v>
      </c>
      <c r="E2561" s="16" t="s">
        <v>7573</v>
      </c>
      <c r="F2561" s="16"/>
      <c r="G2561" s="16"/>
      <c r="H2561" s="18"/>
      <c r="I2561" s="18"/>
      <c r="J2561" s="18"/>
      <c r="K2561" s="18"/>
      <c r="L2561" s="18"/>
      <c r="M2561" s="18"/>
      <c r="N2561" s="18"/>
      <c r="O2561" s="18"/>
      <c r="P2561" s="18"/>
      <c r="Q2561" s="19"/>
      <c r="R2561" s="19"/>
      <c r="S2561" s="19"/>
    </row>
    <row r="2562" ht="15.75" customHeight="1">
      <c r="A2562" s="15">
        <v>45818.6134375</v>
      </c>
      <c r="B2562" s="16" t="s">
        <v>6591</v>
      </c>
      <c r="C2562" s="16" t="s">
        <v>7129</v>
      </c>
      <c r="D2562" s="16" t="s">
        <v>7572</v>
      </c>
      <c r="E2562" s="16" t="s">
        <v>7574</v>
      </c>
      <c r="F2562" s="16"/>
      <c r="G2562" s="16"/>
      <c r="H2562" s="18"/>
      <c r="I2562" s="18"/>
      <c r="J2562" s="18"/>
      <c r="K2562" s="18"/>
      <c r="L2562" s="18"/>
      <c r="M2562" s="18"/>
      <c r="N2562" s="18"/>
      <c r="O2562" s="18"/>
      <c r="P2562" s="18"/>
      <c r="Q2562" s="19"/>
      <c r="R2562" s="19"/>
      <c r="S2562" s="19"/>
    </row>
    <row r="2563" ht="15.75" customHeight="1">
      <c r="A2563" s="15">
        <v>45822.31039351852</v>
      </c>
      <c r="B2563" s="16" t="s">
        <v>6591</v>
      </c>
      <c r="C2563" s="16" t="s">
        <v>7129</v>
      </c>
      <c r="D2563" s="16" t="s">
        <v>7572</v>
      </c>
      <c r="E2563" s="16" t="s">
        <v>7575</v>
      </c>
      <c r="F2563" s="16"/>
      <c r="G2563" s="16"/>
      <c r="H2563" s="18"/>
      <c r="I2563" s="18"/>
      <c r="J2563" s="18"/>
      <c r="K2563" s="18"/>
      <c r="L2563" s="18"/>
      <c r="M2563" s="18"/>
      <c r="N2563" s="18"/>
      <c r="O2563" s="18"/>
      <c r="P2563" s="18"/>
      <c r="Q2563" s="19"/>
      <c r="R2563" s="19"/>
      <c r="S2563" s="19"/>
    </row>
    <row r="2564" ht="15.75" customHeight="1">
      <c r="A2564" s="15">
        <v>45822.93412037037</v>
      </c>
      <c r="B2564" s="16" t="s">
        <v>6591</v>
      </c>
      <c r="C2564" s="16" t="s">
        <v>7129</v>
      </c>
      <c r="D2564" s="16" t="s">
        <v>7130</v>
      </c>
      <c r="E2564" s="16" t="s">
        <v>7576</v>
      </c>
      <c r="F2564" s="16"/>
      <c r="G2564" s="16"/>
      <c r="H2564" s="18"/>
      <c r="I2564" s="18"/>
      <c r="J2564" s="18"/>
      <c r="K2564" s="18"/>
      <c r="L2564" s="18"/>
      <c r="M2564" s="18"/>
      <c r="N2564" s="18"/>
      <c r="O2564" s="18"/>
      <c r="P2564" s="18"/>
      <c r="Q2564" s="19"/>
      <c r="R2564" s="19"/>
      <c r="S2564" s="19"/>
    </row>
    <row r="2565" ht="15.75" customHeight="1">
      <c r="A2565" s="15">
        <v>45822.96741898148</v>
      </c>
      <c r="B2565" s="16" t="s">
        <v>6591</v>
      </c>
      <c r="C2565" s="16" t="s">
        <v>7129</v>
      </c>
      <c r="D2565" s="16" t="s">
        <v>7130</v>
      </c>
      <c r="E2565" s="16" t="s">
        <v>7577</v>
      </c>
      <c r="F2565" s="16"/>
      <c r="G2565" s="16"/>
      <c r="H2565" s="18"/>
      <c r="I2565" s="18"/>
      <c r="J2565" s="18"/>
      <c r="K2565" s="18"/>
      <c r="L2565" s="18"/>
      <c r="M2565" s="18"/>
      <c r="N2565" s="18"/>
      <c r="O2565" s="18"/>
      <c r="P2565" s="18"/>
      <c r="Q2565" s="19"/>
      <c r="R2565" s="19"/>
      <c r="S2565" s="19"/>
    </row>
    <row r="2566" ht="15.75" customHeight="1">
      <c r="A2566" s="15">
        <v>45822.98292824074</v>
      </c>
      <c r="B2566" s="16" t="s">
        <v>6591</v>
      </c>
      <c r="C2566" s="16" t="s">
        <v>7129</v>
      </c>
      <c r="D2566" s="16" t="s">
        <v>7130</v>
      </c>
      <c r="E2566" s="16" t="s">
        <v>7578</v>
      </c>
      <c r="F2566" s="16"/>
      <c r="G2566" s="16"/>
      <c r="H2566" s="18"/>
      <c r="I2566" s="18"/>
      <c r="J2566" s="18"/>
      <c r="K2566" s="18"/>
      <c r="L2566" s="18"/>
      <c r="M2566" s="18"/>
      <c r="N2566" s="18"/>
      <c r="O2566" s="18"/>
      <c r="P2566" s="18"/>
      <c r="Q2566" s="19"/>
      <c r="R2566" s="19"/>
      <c r="S2566" s="19"/>
    </row>
    <row r="2567" ht="15.75" customHeight="1">
      <c r="A2567" s="15">
        <v>45823.01893518519</v>
      </c>
      <c r="B2567" s="16" t="s">
        <v>6591</v>
      </c>
      <c r="C2567" s="16" t="s">
        <v>7129</v>
      </c>
      <c r="D2567" s="16" t="s">
        <v>7130</v>
      </c>
      <c r="E2567" s="16" t="s">
        <v>7579</v>
      </c>
      <c r="F2567" s="16"/>
      <c r="G2567" s="16"/>
      <c r="H2567" s="18"/>
      <c r="I2567" s="18"/>
      <c r="J2567" s="18"/>
      <c r="K2567" s="18"/>
      <c r="L2567" s="18"/>
      <c r="M2567" s="18"/>
      <c r="N2567" s="18"/>
      <c r="O2567" s="18"/>
      <c r="P2567" s="18"/>
      <c r="Q2567" s="19"/>
      <c r="R2567" s="19"/>
      <c r="S2567" s="19"/>
    </row>
    <row r="2568" ht="15.75" customHeight="1">
      <c r="A2568" s="15">
        <v>45823.311273148145</v>
      </c>
      <c r="B2568" s="16" t="s">
        <v>6591</v>
      </c>
      <c r="C2568" s="16" t="s">
        <v>7129</v>
      </c>
      <c r="D2568" s="16" t="s">
        <v>7130</v>
      </c>
      <c r="E2568" s="16" t="s">
        <v>7580</v>
      </c>
      <c r="F2568" s="16"/>
      <c r="G2568" s="16"/>
      <c r="H2568" s="18"/>
      <c r="I2568" s="18"/>
      <c r="J2568" s="18"/>
      <c r="K2568" s="18"/>
      <c r="L2568" s="18"/>
      <c r="M2568" s="18"/>
      <c r="N2568" s="18"/>
      <c r="O2568" s="18"/>
      <c r="P2568" s="18"/>
      <c r="Q2568" s="19"/>
      <c r="R2568" s="19"/>
      <c r="S2568" s="19"/>
    </row>
    <row r="2569" ht="15.75" customHeight="1">
      <c r="A2569" s="15">
        <v>45823.312418981484</v>
      </c>
      <c r="B2569" s="16" t="s">
        <v>6591</v>
      </c>
      <c r="C2569" s="16" t="s">
        <v>7129</v>
      </c>
      <c r="D2569" s="16" t="s">
        <v>7130</v>
      </c>
      <c r="E2569" s="16" t="s">
        <v>7581</v>
      </c>
      <c r="F2569" s="16"/>
      <c r="G2569" s="16"/>
      <c r="H2569" s="18"/>
      <c r="I2569" s="18"/>
      <c r="J2569" s="18"/>
      <c r="K2569" s="18"/>
      <c r="L2569" s="18"/>
      <c r="M2569" s="18"/>
      <c r="N2569" s="18"/>
      <c r="O2569" s="18"/>
      <c r="P2569" s="18"/>
      <c r="Q2569" s="19"/>
      <c r="R2569" s="19"/>
      <c r="S2569" s="19"/>
    </row>
    <row r="2570" ht="15.75" customHeight="1">
      <c r="A2570" s="15">
        <v>45823.31693287037</v>
      </c>
      <c r="B2570" s="16" t="s">
        <v>6591</v>
      </c>
      <c r="C2570" s="16" t="s">
        <v>7129</v>
      </c>
      <c r="D2570" s="16" t="s">
        <v>7130</v>
      </c>
      <c r="E2570" s="16" t="s">
        <v>7582</v>
      </c>
      <c r="F2570" s="16"/>
      <c r="G2570" s="16"/>
      <c r="H2570" s="18"/>
      <c r="I2570" s="18"/>
      <c r="J2570" s="18"/>
      <c r="K2570" s="18"/>
      <c r="L2570" s="18"/>
      <c r="M2570" s="18"/>
      <c r="N2570" s="18"/>
      <c r="O2570" s="18"/>
      <c r="P2570" s="18"/>
      <c r="Q2570" s="19"/>
      <c r="R2570" s="19"/>
      <c r="S2570" s="19"/>
    </row>
    <row r="2571" ht="15.75" customHeight="1">
      <c r="A2571" s="15">
        <v>45823.39334490741</v>
      </c>
      <c r="B2571" s="16" t="s">
        <v>6591</v>
      </c>
      <c r="C2571" s="16" t="s">
        <v>7129</v>
      </c>
      <c r="D2571" s="16" t="s">
        <v>7130</v>
      </c>
      <c r="E2571" s="16" t="s">
        <v>7583</v>
      </c>
      <c r="F2571" s="16"/>
      <c r="G2571" s="16"/>
      <c r="H2571" s="18"/>
      <c r="I2571" s="18"/>
      <c r="J2571" s="18"/>
      <c r="K2571" s="18"/>
      <c r="L2571" s="18"/>
      <c r="M2571" s="18"/>
      <c r="N2571" s="18"/>
      <c r="O2571" s="18"/>
      <c r="P2571" s="18"/>
      <c r="Q2571" s="19"/>
      <c r="R2571" s="19"/>
      <c r="S2571" s="19"/>
    </row>
    <row r="2572" ht="15.75" customHeight="1">
      <c r="A2572" s="15">
        <v>45823.39462962963</v>
      </c>
      <c r="B2572" s="16" t="s">
        <v>6591</v>
      </c>
      <c r="C2572" s="16" t="s">
        <v>7129</v>
      </c>
      <c r="D2572" s="16" t="s">
        <v>7130</v>
      </c>
      <c r="E2572" s="16" t="s">
        <v>7584</v>
      </c>
      <c r="F2572" s="16"/>
      <c r="G2572" s="16"/>
      <c r="H2572" s="18"/>
      <c r="I2572" s="18"/>
      <c r="J2572" s="18"/>
      <c r="K2572" s="18"/>
      <c r="L2572" s="18"/>
      <c r="M2572" s="18"/>
      <c r="N2572" s="18"/>
      <c r="O2572" s="18"/>
      <c r="P2572" s="18"/>
      <c r="Q2572" s="19"/>
      <c r="R2572" s="19"/>
      <c r="S2572" s="19"/>
    </row>
    <row r="2573" ht="15.75" customHeight="1">
      <c r="A2573" s="15">
        <v>45824.40045138889</v>
      </c>
      <c r="B2573" s="16" t="s">
        <v>6591</v>
      </c>
      <c r="C2573" s="16" t="s">
        <v>7129</v>
      </c>
      <c r="D2573" s="16" t="s">
        <v>7585</v>
      </c>
      <c r="E2573" s="16" t="s">
        <v>7586</v>
      </c>
      <c r="F2573" s="16"/>
      <c r="G2573" s="16"/>
      <c r="H2573" s="18"/>
      <c r="I2573" s="18"/>
      <c r="J2573" s="18"/>
      <c r="K2573" s="18"/>
      <c r="L2573" s="18"/>
      <c r="M2573" s="18"/>
      <c r="N2573" s="18"/>
      <c r="O2573" s="18"/>
      <c r="P2573" s="18"/>
      <c r="Q2573" s="19"/>
      <c r="R2573" s="19"/>
      <c r="S2573" s="19"/>
    </row>
    <row r="2574" ht="15.75" customHeight="1">
      <c r="A2574" s="15">
        <v>45824.458020833335</v>
      </c>
      <c r="B2574" s="16" t="s">
        <v>6591</v>
      </c>
      <c r="C2574" s="16" t="s">
        <v>7129</v>
      </c>
      <c r="D2574" s="16"/>
      <c r="E2574" s="16" t="s">
        <v>7587</v>
      </c>
      <c r="F2574" s="16"/>
      <c r="G2574" s="16"/>
      <c r="H2574" s="18"/>
      <c r="I2574" s="18"/>
      <c r="J2574" s="18"/>
      <c r="K2574" s="18"/>
      <c r="L2574" s="18"/>
      <c r="M2574" s="18"/>
      <c r="N2574" s="18"/>
      <c r="O2574" s="18"/>
      <c r="P2574" s="18"/>
      <c r="Q2574" s="19"/>
      <c r="R2574" s="19"/>
      <c r="S2574" s="19"/>
    </row>
    <row r="2575" ht="15.75" customHeight="1">
      <c r="A2575" s="15">
        <v>45826.363657407404</v>
      </c>
      <c r="B2575" s="16" t="s">
        <v>6591</v>
      </c>
      <c r="C2575" s="16" t="s">
        <v>7129</v>
      </c>
      <c r="D2575" s="16" t="s">
        <v>7588</v>
      </c>
      <c r="E2575" s="16" t="s">
        <v>7589</v>
      </c>
      <c r="F2575" s="16"/>
      <c r="G2575" s="16"/>
      <c r="H2575" s="18"/>
      <c r="I2575" s="18"/>
      <c r="J2575" s="18"/>
      <c r="K2575" s="18"/>
      <c r="L2575" s="18"/>
      <c r="M2575" s="18"/>
      <c r="N2575" s="18"/>
      <c r="O2575" s="18"/>
      <c r="P2575" s="18"/>
      <c r="Q2575" s="19"/>
      <c r="R2575" s="19"/>
      <c r="S2575" s="19"/>
    </row>
    <row r="2576" ht="15.75" customHeight="1">
      <c r="A2576" s="15">
        <v>45826.42178240741</v>
      </c>
      <c r="B2576" s="16" t="s">
        <v>6591</v>
      </c>
      <c r="C2576" s="16" t="s">
        <v>7129</v>
      </c>
      <c r="D2576" s="16"/>
      <c r="E2576" s="16" t="s">
        <v>7590</v>
      </c>
      <c r="F2576" s="16"/>
      <c r="G2576" s="16"/>
      <c r="H2576" s="18"/>
      <c r="I2576" s="18"/>
      <c r="J2576" s="18"/>
      <c r="K2576" s="18"/>
      <c r="L2576" s="18"/>
      <c r="M2576" s="18"/>
      <c r="N2576" s="18"/>
      <c r="O2576" s="18"/>
      <c r="P2576" s="18"/>
      <c r="Q2576" s="19"/>
      <c r="R2576" s="19"/>
      <c r="S2576" s="19"/>
    </row>
    <row r="2577" ht="15.75" customHeight="1">
      <c r="A2577" s="15">
        <v>45826.45491898148</v>
      </c>
      <c r="B2577" s="16" t="s">
        <v>6591</v>
      </c>
      <c r="C2577" s="16" t="s">
        <v>7129</v>
      </c>
      <c r="D2577" s="16" t="s">
        <v>7130</v>
      </c>
      <c r="E2577" s="16" t="s">
        <v>7591</v>
      </c>
      <c r="F2577" s="16"/>
      <c r="G2577" s="16"/>
      <c r="H2577" s="18"/>
      <c r="I2577" s="18"/>
      <c r="J2577" s="18"/>
      <c r="K2577" s="18"/>
      <c r="L2577" s="18"/>
      <c r="M2577" s="18"/>
      <c r="N2577" s="18"/>
      <c r="O2577" s="18"/>
      <c r="P2577" s="18"/>
      <c r="Q2577" s="19"/>
      <c r="R2577" s="19"/>
      <c r="S2577" s="19"/>
    </row>
    <row r="2578" ht="15.75" customHeight="1">
      <c r="A2578" s="15">
        <v>45826.455243055556</v>
      </c>
      <c r="B2578" s="16" t="s">
        <v>6591</v>
      </c>
      <c r="C2578" s="16" t="s">
        <v>7129</v>
      </c>
      <c r="D2578" s="16" t="s">
        <v>7130</v>
      </c>
      <c r="E2578" s="16" t="s">
        <v>7592</v>
      </c>
      <c r="F2578" s="16"/>
      <c r="G2578" s="16"/>
      <c r="H2578" s="18"/>
      <c r="I2578" s="18"/>
      <c r="J2578" s="18"/>
      <c r="K2578" s="18"/>
      <c r="L2578" s="18"/>
      <c r="M2578" s="18"/>
      <c r="N2578" s="18"/>
      <c r="O2578" s="18"/>
      <c r="P2578" s="18"/>
      <c r="Q2578" s="19"/>
      <c r="R2578" s="19"/>
      <c r="S2578" s="19"/>
    </row>
    <row r="2579" ht="15.75" customHeight="1">
      <c r="A2579" s="15">
        <v>45826.45548611111</v>
      </c>
      <c r="B2579" s="16" t="s">
        <v>6591</v>
      </c>
      <c r="C2579" s="16" t="s">
        <v>7129</v>
      </c>
      <c r="D2579" s="16" t="s">
        <v>7130</v>
      </c>
      <c r="E2579" s="16" t="s">
        <v>7593</v>
      </c>
      <c r="F2579" s="16"/>
      <c r="G2579" s="16"/>
      <c r="H2579" s="18"/>
      <c r="I2579" s="18"/>
      <c r="J2579" s="18"/>
      <c r="K2579" s="18"/>
      <c r="L2579" s="18"/>
      <c r="M2579" s="18"/>
      <c r="N2579" s="18"/>
      <c r="O2579" s="18"/>
      <c r="P2579" s="18"/>
      <c r="Q2579" s="19"/>
      <c r="R2579" s="19"/>
      <c r="S2579" s="19"/>
    </row>
    <row r="2580" ht="15.75" customHeight="1">
      <c r="A2580" s="15">
        <v>45826.457349537035</v>
      </c>
      <c r="B2580" s="16" t="s">
        <v>6591</v>
      </c>
      <c r="C2580" s="16" t="s">
        <v>7129</v>
      </c>
      <c r="D2580" s="16" t="s">
        <v>7130</v>
      </c>
      <c r="E2580" s="16" t="s">
        <v>7594</v>
      </c>
      <c r="F2580" s="16"/>
      <c r="G2580" s="16"/>
      <c r="H2580" s="18"/>
      <c r="I2580" s="18"/>
      <c r="J2580" s="18"/>
      <c r="K2580" s="18"/>
      <c r="L2580" s="18"/>
      <c r="M2580" s="18"/>
      <c r="N2580" s="18"/>
      <c r="O2580" s="18"/>
      <c r="P2580" s="18"/>
      <c r="Q2580" s="19"/>
      <c r="R2580" s="19"/>
      <c r="S2580" s="19"/>
    </row>
    <row r="2581" ht="15.75" customHeight="1">
      <c r="A2581" s="15">
        <v>45826.458136574074</v>
      </c>
      <c r="B2581" s="16" t="s">
        <v>6591</v>
      </c>
      <c r="C2581" s="16" t="s">
        <v>7129</v>
      </c>
      <c r="D2581" s="16" t="s">
        <v>7130</v>
      </c>
      <c r="E2581" s="16" t="s">
        <v>7595</v>
      </c>
      <c r="F2581" s="16"/>
      <c r="G2581" s="16"/>
      <c r="H2581" s="18"/>
      <c r="I2581" s="18"/>
      <c r="J2581" s="18"/>
      <c r="K2581" s="18"/>
      <c r="L2581" s="18"/>
      <c r="M2581" s="18"/>
      <c r="N2581" s="18"/>
      <c r="O2581" s="18"/>
      <c r="P2581" s="18"/>
      <c r="Q2581" s="19"/>
      <c r="R2581" s="19"/>
      <c r="S2581" s="19"/>
    </row>
    <row r="2582" ht="15.75" customHeight="1">
      <c r="A2582" s="15">
        <v>45826.460486111115</v>
      </c>
      <c r="B2582" s="16" t="s">
        <v>6591</v>
      </c>
      <c r="C2582" s="16" t="s">
        <v>7129</v>
      </c>
      <c r="D2582" s="16" t="s">
        <v>7130</v>
      </c>
      <c r="E2582" s="16" t="s">
        <v>7596</v>
      </c>
      <c r="F2582" s="16"/>
      <c r="G2582" s="16"/>
      <c r="H2582" s="18"/>
      <c r="I2582" s="18"/>
      <c r="J2582" s="18"/>
      <c r="K2582" s="18"/>
      <c r="L2582" s="18"/>
      <c r="M2582" s="18"/>
      <c r="N2582" s="18"/>
      <c r="O2582" s="18"/>
      <c r="P2582" s="18"/>
      <c r="Q2582" s="19"/>
      <c r="R2582" s="19"/>
      <c r="S2582" s="19"/>
    </row>
    <row r="2583" ht="15.75" customHeight="1">
      <c r="A2583" s="15">
        <v>45826.461180555554</v>
      </c>
      <c r="B2583" s="16" t="s">
        <v>6591</v>
      </c>
      <c r="C2583" s="16" t="s">
        <v>7129</v>
      </c>
      <c r="D2583" s="16" t="s">
        <v>7130</v>
      </c>
      <c r="E2583" s="16" t="s">
        <v>7597</v>
      </c>
      <c r="F2583" s="16"/>
      <c r="G2583" s="16"/>
      <c r="H2583" s="18"/>
      <c r="I2583" s="18"/>
      <c r="J2583" s="18"/>
      <c r="K2583" s="18"/>
      <c r="L2583" s="18"/>
      <c r="M2583" s="18"/>
      <c r="N2583" s="18"/>
      <c r="O2583" s="18"/>
      <c r="P2583" s="18"/>
      <c r="Q2583" s="19"/>
      <c r="R2583" s="19"/>
      <c r="S2583" s="19"/>
    </row>
    <row r="2584" ht="15.75" customHeight="1">
      <c r="A2584" s="15">
        <v>45826.4799537037</v>
      </c>
      <c r="B2584" s="16" t="s">
        <v>6591</v>
      </c>
      <c r="C2584" s="16" t="s">
        <v>7129</v>
      </c>
      <c r="D2584" s="16" t="s">
        <v>7198</v>
      </c>
      <c r="E2584" s="16" t="s">
        <v>7598</v>
      </c>
      <c r="F2584" s="16"/>
      <c r="G2584" s="16"/>
      <c r="H2584" s="18"/>
      <c r="I2584" s="18"/>
      <c r="J2584" s="18"/>
      <c r="K2584" s="18"/>
      <c r="L2584" s="18"/>
      <c r="M2584" s="18"/>
      <c r="N2584" s="18"/>
      <c r="O2584" s="18"/>
      <c r="P2584" s="18"/>
      <c r="Q2584" s="19"/>
      <c r="R2584" s="19"/>
      <c r="S2584" s="19"/>
    </row>
    <row r="2585" ht="15.75" customHeight="1">
      <c r="A2585" s="15">
        <v>45826.48131944444</v>
      </c>
      <c r="B2585" s="16" t="s">
        <v>6591</v>
      </c>
      <c r="C2585" s="16" t="s">
        <v>7129</v>
      </c>
      <c r="D2585" s="16" t="s">
        <v>7198</v>
      </c>
      <c r="E2585" s="16" t="s">
        <v>7599</v>
      </c>
      <c r="F2585" s="16"/>
      <c r="G2585" s="16"/>
      <c r="H2585" s="18"/>
      <c r="I2585" s="18"/>
      <c r="J2585" s="18"/>
      <c r="K2585" s="18"/>
      <c r="L2585" s="18"/>
      <c r="M2585" s="18"/>
      <c r="N2585" s="18"/>
      <c r="O2585" s="18"/>
      <c r="P2585" s="18"/>
      <c r="Q2585" s="19"/>
      <c r="R2585" s="19"/>
      <c r="S2585" s="19"/>
    </row>
    <row r="2586" ht="15.75" customHeight="1">
      <c r="A2586" s="15">
        <v>45826.48855324074</v>
      </c>
      <c r="B2586" s="16" t="s">
        <v>6591</v>
      </c>
      <c r="C2586" s="16" t="s">
        <v>7129</v>
      </c>
      <c r="D2586" s="16" t="s">
        <v>7600</v>
      </c>
      <c r="E2586" s="16" t="s">
        <v>7601</v>
      </c>
      <c r="F2586" s="16"/>
      <c r="G2586" s="16"/>
      <c r="H2586" s="18"/>
      <c r="I2586" s="18"/>
      <c r="J2586" s="18"/>
      <c r="K2586" s="18"/>
      <c r="L2586" s="18"/>
      <c r="M2586" s="18"/>
      <c r="N2586" s="18"/>
      <c r="O2586" s="18"/>
      <c r="P2586" s="18"/>
      <c r="Q2586" s="19"/>
      <c r="R2586" s="19"/>
      <c r="S2586" s="19"/>
    </row>
    <row r="2587" ht="15.75" customHeight="1">
      <c r="A2587" s="15">
        <v>45826.5284375</v>
      </c>
      <c r="B2587" s="16" t="s">
        <v>6591</v>
      </c>
      <c r="C2587" s="16" t="s">
        <v>7129</v>
      </c>
      <c r="D2587" s="16" t="s">
        <v>7209</v>
      </c>
      <c r="E2587" s="16" t="s">
        <v>7602</v>
      </c>
      <c r="F2587" s="16"/>
      <c r="G2587" s="16"/>
      <c r="H2587" s="18"/>
      <c r="I2587" s="18"/>
      <c r="J2587" s="18"/>
      <c r="K2587" s="18"/>
      <c r="L2587" s="18"/>
      <c r="M2587" s="18"/>
      <c r="N2587" s="18"/>
      <c r="O2587" s="18"/>
      <c r="P2587" s="18"/>
      <c r="Q2587" s="19"/>
      <c r="R2587" s="19"/>
      <c r="S2587" s="19"/>
    </row>
    <row r="2588" ht="15.75" customHeight="1">
      <c r="A2588" s="15">
        <v>45826.528958333336</v>
      </c>
      <c r="B2588" s="16" t="s">
        <v>6591</v>
      </c>
      <c r="C2588" s="16" t="s">
        <v>7129</v>
      </c>
      <c r="D2588" s="16" t="s">
        <v>7209</v>
      </c>
      <c r="E2588" s="16" t="s">
        <v>7603</v>
      </c>
      <c r="F2588" s="16"/>
      <c r="G2588" s="16"/>
      <c r="H2588" s="18"/>
      <c r="I2588" s="18"/>
      <c r="J2588" s="18"/>
      <c r="K2588" s="18"/>
      <c r="L2588" s="18"/>
      <c r="M2588" s="18"/>
      <c r="N2588" s="18"/>
      <c r="O2588" s="18"/>
      <c r="P2588" s="18"/>
      <c r="Q2588" s="19"/>
      <c r="R2588" s="19"/>
      <c r="S2588" s="19"/>
    </row>
    <row r="2589" ht="15.75" customHeight="1">
      <c r="A2589" s="15">
        <v>45826.53333333333</v>
      </c>
      <c r="B2589" s="16" t="s">
        <v>6591</v>
      </c>
      <c r="C2589" s="16" t="s">
        <v>7129</v>
      </c>
      <c r="D2589" s="16" t="s">
        <v>7198</v>
      </c>
      <c r="E2589" s="16" t="s">
        <v>7604</v>
      </c>
      <c r="F2589" s="16"/>
      <c r="G2589" s="16"/>
      <c r="H2589" s="18"/>
      <c r="I2589" s="18"/>
      <c r="J2589" s="18"/>
      <c r="K2589" s="18"/>
      <c r="L2589" s="18"/>
      <c r="M2589" s="18"/>
      <c r="N2589" s="18"/>
      <c r="O2589" s="18"/>
      <c r="P2589" s="18"/>
      <c r="Q2589" s="19"/>
      <c r="R2589" s="19"/>
      <c r="S2589" s="19"/>
    </row>
    <row r="2590" ht="15.75" customHeight="1">
      <c r="A2590" s="15">
        <v>45826.70364583333</v>
      </c>
      <c r="B2590" s="16" t="s">
        <v>6591</v>
      </c>
      <c r="C2590" s="16" t="s">
        <v>7129</v>
      </c>
      <c r="D2590" s="16" t="s">
        <v>7209</v>
      </c>
      <c r="E2590" s="16" t="s">
        <v>7605</v>
      </c>
      <c r="F2590" s="16"/>
      <c r="G2590" s="16"/>
      <c r="H2590" s="18"/>
      <c r="I2590" s="18"/>
      <c r="J2590" s="18"/>
      <c r="K2590" s="18"/>
      <c r="L2590" s="18"/>
      <c r="M2590" s="18"/>
      <c r="N2590" s="18"/>
      <c r="O2590" s="18"/>
      <c r="P2590" s="18"/>
      <c r="Q2590" s="19"/>
      <c r="R2590" s="19"/>
      <c r="S2590" s="19"/>
    </row>
    <row r="2591" ht="15.75" customHeight="1">
      <c r="A2591" s="15">
        <v>45826.703888888886</v>
      </c>
      <c r="B2591" s="16" t="s">
        <v>6591</v>
      </c>
      <c r="C2591" s="16" t="s">
        <v>7129</v>
      </c>
      <c r="D2591" s="16" t="s">
        <v>7209</v>
      </c>
      <c r="E2591" s="16" t="s">
        <v>7606</v>
      </c>
      <c r="F2591" s="16"/>
      <c r="G2591" s="16"/>
      <c r="H2591" s="18"/>
      <c r="I2591" s="18"/>
      <c r="J2591" s="18"/>
      <c r="K2591" s="18"/>
      <c r="L2591" s="18"/>
      <c r="M2591" s="18"/>
      <c r="N2591" s="18"/>
      <c r="O2591" s="18"/>
      <c r="P2591" s="18"/>
      <c r="Q2591" s="19"/>
      <c r="R2591" s="19"/>
      <c r="S2591" s="19"/>
    </row>
    <row r="2592" ht="15.75" customHeight="1">
      <c r="A2592" s="15">
        <v>45827.382256944446</v>
      </c>
      <c r="B2592" s="16" t="s">
        <v>6591</v>
      </c>
      <c r="C2592" s="16" t="s">
        <v>7129</v>
      </c>
      <c r="D2592" s="16" t="s">
        <v>7607</v>
      </c>
      <c r="E2592" s="16" t="s">
        <v>7608</v>
      </c>
      <c r="F2592" s="16"/>
      <c r="G2592" s="16"/>
      <c r="H2592" s="18"/>
      <c r="I2592" s="18"/>
      <c r="J2592" s="18"/>
      <c r="K2592" s="18"/>
      <c r="L2592" s="18"/>
      <c r="M2592" s="18"/>
      <c r="N2592" s="18"/>
      <c r="O2592" s="18"/>
      <c r="P2592" s="18"/>
      <c r="Q2592" s="19"/>
      <c r="R2592" s="19"/>
      <c r="S2592" s="19"/>
    </row>
    <row r="2593" ht="15.75" customHeight="1">
      <c r="A2593" s="15">
        <v>45832.3953125</v>
      </c>
      <c r="B2593" s="16" t="s">
        <v>6591</v>
      </c>
      <c r="C2593" s="16" t="s">
        <v>7129</v>
      </c>
      <c r="D2593" s="16" t="s">
        <v>7236</v>
      </c>
      <c r="E2593" s="16" t="s">
        <v>7609</v>
      </c>
      <c r="F2593" s="16"/>
      <c r="G2593" s="16"/>
      <c r="H2593" s="18"/>
      <c r="I2593" s="18"/>
      <c r="J2593" s="18"/>
      <c r="K2593" s="18"/>
      <c r="L2593" s="18"/>
      <c r="M2593" s="18"/>
      <c r="N2593" s="18"/>
      <c r="O2593" s="18"/>
      <c r="P2593" s="18"/>
      <c r="Q2593" s="19"/>
      <c r="R2593" s="19"/>
      <c r="S2593" s="19"/>
    </row>
    <row r="2594" ht="15.75" customHeight="1">
      <c r="A2594" s="15">
        <v>45832.59787037037</v>
      </c>
      <c r="B2594" s="16" t="s">
        <v>6591</v>
      </c>
      <c r="C2594" s="16" t="s">
        <v>7129</v>
      </c>
      <c r="D2594" s="16" t="s">
        <v>7236</v>
      </c>
      <c r="E2594" s="16" t="s">
        <v>7610</v>
      </c>
      <c r="F2594" s="16"/>
      <c r="G2594" s="16"/>
      <c r="H2594" s="18"/>
      <c r="I2594" s="18"/>
      <c r="J2594" s="18"/>
      <c r="K2594" s="18"/>
      <c r="L2594" s="18"/>
      <c r="M2594" s="18"/>
      <c r="N2594" s="18"/>
      <c r="O2594" s="18"/>
      <c r="P2594" s="18"/>
      <c r="Q2594" s="19"/>
      <c r="R2594" s="19"/>
      <c r="S2594" s="19"/>
    </row>
    <row r="2595" ht="15.75" customHeight="1">
      <c r="A2595" s="15">
        <v>45832.78450231482</v>
      </c>
      <c r="B2595" s="16" t="s">
        <v>6591</v>
      </c>
      <c r="C2595" s="16" t="s">
        <v>7129</v>
      </c>
      <c r="D2595" s="16" t="s">
        <v>7236</v>
      </c>
      <c r="E2595" s="16" t="s">
        <v>7611</v>
      </c>
      <c r="F2595" s="16"/>
      <c r="G2595" s="16"/>
      <c r="H2595" s="18"/>
      <c r="I2595" s="18"/>
      <c r="J2595" s="18"/>
      <c r="K2595" s="18"/>
      <c r="L2595" s="18"/>
      <c r="M2595" s="18"/>
      <c r="N2595" s="18"/>
      <c r="O2595" s="18"/>
      <c r="P2595" s="18"/>
      <c r="Q2595" s="19"/>
      <c r="R2595" s="19"/>
      <c r="S2595" s="19"/>
    </row>
    <row r="2596" ht="15.75" customHeight="1">
      <c r="A2596" s="15">
        <v>45832.85128472222</v>
      </c>
      <c r="B2596" s="16" t="s">
        <v>6591</v>
      </c>
      <c r="C2596" s="16" t="s">
        <v>7129</v>
      </c>
      <c r="D2596" s="16" t="s">
        <v>7236</v>
      </c>
      <c r="E2596" s="16" t="s">
        <v>7612</v>
      </c>
      <c r="F2596" s="16"/>
      <c r="G2596" s="16"/>
      <c r="H2596" s="18"/>
      <c r="I2596" s="18"/>
      <c r="J2596" s="18"/>
      <c r="K2596" s="18"/>
      <c r="L2596" s="18"/>
      <c r="M2596" s="18"/>
      <c r="N2596" s="18"/>
      <c r="O2596" s="18"/>
      <c r="P2596" s="18"/>
      <c r="Q2596" s="19"/>
      <c r="R2596" s="19"/>
      <c r="S2596" s="19"/>
    </row>
    <row r="2597" ht="15.75" customHeight="1">
      <c r="A2597" s="15">
        <v>45832.86516203704</v>
      </c>
      <c r="B2597" s="16" t="s">
        <v>6591</v>
      </c>
      <c r="C2597" s="16" t="s">
        <v>7129</v>
      </c>
      <c r="D2597" s="16" t="s">
        <v>7236</v>
      </c>
      <c r="E2597" s="16" t="s">
        <v>7613</v>
      </c>
      <c r="F2597" s="16"/>
      <c r="G2597" s="16"/>
      <c r="H2597" s="18"/>
      <c r="I2597" s="18"/>
      <c r="J2597" s="18"/>
      <c r="K2597" s="18"/>
      <c r="L2597" s="18"/>
      <c r="M2597" s="18"/>
      <c r="N2597" s="18"/>
      <c r="O2597" s="18"/>
      <c r="P2597" s="18"/>
      <c r="Q2597" s="19"/>
      <c r="R2597" s="19"/>
      <c r="S2597" s="19"/>
    </row>
    <row r="2598" ht="15.75" customHeight="1">
      <c r="A2598" s="15">
        <v>45833.52612268519</v>
      </c>
      <c r="B2598" s="16" t="s">
        <v>6591</v>
      </c>
      <c r="C2598" s="16" t="s">
        <v>7129</v>
      </c>
      <c r="D2598" s="16" t="s">
        <v>7236</v>
      </c>
      <c r="E2598" s="16" t="s">
        <v>7614</v>
      </c>
      <c r="F2598" s="16"/>
      <c r="G2598" s="16"/>
      <c r="H2598" s="18"/>
      <c r="I2598" s="18"/>
      <c r="J2598" s="18"/>
      <c r="K2598" s="18"/>
      <c r="L2598" s="18"/>
      <c r="M2598" s="18"/>
      <c r="N2598" s="18"/>
      <c r="O2598" s="18"/>
      <c r="P2598" s="18"/>
      <c r="Q2598" s="19"/>
      <c r="R2598" s="19"/>
      <c r="S2598" s="19"/>
    </row>
    <row r="2599" ht="15.75" customHeight="1">
      <c r="A2599" s="15">
        <v>45833.72619212963</v>
      </c>
      <c r="B2599" s="16" t="s">
        <v>6591</v>
      </c>
      <c r="C2599" s="16" t="s">
        <v>7129</v>
      </c>
      <c r="D2599" s="16" t="s">
        <v>7236</v>
      </c>
      <c r="E2599" s="16" t="s">
        <v>7615</v>
      </c>
      <c r="F2599" s="16"/>
      <c r="G2599" s="16"/>
      <c r="H2599" s="18"/>
      <c r="I2599" s="18"/>
      <c r="J2599" s="18"/>
      <c r="K2599" s="18"/>
      <c r="L2599" s="18"/>
      <c r="M2599" s="18"/>
      <c r="N2599" s="18"/>
      <c r="O2599" s="18"/>
      <c r="P2599" s="18"/>
      <c r="Q2599" s="19"/>
      <c r="R2599" s="19"/>
      <c r="S2599" s="19"/>
    </row>
    <row r="2600" ht="15.75" customHeight="1">
      <c r="A2600" s="15">
        <v>45833.93733796296</v>
      </c>
      <c r="B2600" s="16" t="s">
        <v>6591</v>
      </c>
      <c r="C2600" s="16" t="s">
        <v>7129</v>
      </c>
      <c r="D2600" s="16" t="s">
        <v>7236</v>
      </c>
      <c r="E2600" s="16" t="s">
        <v>7616</v>
      </c>
      <c r="F2600" s="16"/>
      <c r="G2600" s="16"/>
      <c r="H2600" s="18"/>
      <c r="I2600" s="18"/>
      <c r="J2600" s="18"/>
      <c r="K2600" s="18"/>
      <c r="L2600" s="18"/>
      <c r="M2600" s="18"/>
      <c r="N2600" s="18"/>
      <c r="O2600" s="18"/>
      <c r="P2600" s="18"/>
      <c r="Q2600" s="19"/>
      <c r="R2600" s="19"/>
      <c r="S2600" s="19"/>
    </row>
    <row r="2601" ht="15.75" customHeight="1">
      <c r="A2601" s="15">
        <v>45834.36767361111</v>
      </c>
      <c r="B2601" s="16" t="s">
        <v>6591</v>
      </c>
      <c r="C2601" s="16" t="s">
        <v>7129</v>
      </c>
      <c r="D2601" s="16" t="s">
        <v>7245</v>
      </c>
      <c r="E2601" s="16" t="s">
        <v>7617</v>
      </c>
      <c r="F2601" s="16"/>
      <c r="G2601" s="16"/>
      <c r="H2601" s="18"/>
      <c r="I2601" s="18"/>
      <c r="J2601" s="18"/>
      <c r="K2601" s="18"/>
      <c r="L2601" s="18"/>
      <c r="M2601" s="18"/>
      <c r="N2601" s="18"/>
      <c r="O2601" s="18"/>
      <c r="P2601" s="18"/>
      <c r="Q2601" s="19"/>
      <c r="R2601" s="19"/>
      <c r="S2601" s="19"/>
    </row>
    <row r="2602" ht="15.75" customHeight="1">
      <c r="A2602" s="15">
        <v>45834.36912037037</v>
      </c>
      <c r="B2602" s="16" t="s">
        <v>6591</v>
      </c>
      <c r="C2602" s="16" t="s">
        <v>7129</v>
      </c>
      <c r="D2602" s="16" t="s">
        <v>7245</v>
      </c>
      <c r="E2602" s="16" t="s">
        <v>7618</v>
      </c>
      <c r="F2602" s="16"/>
      <c r="G2602" s="16"/>
      <c r="H2602" s="18"/>
      <c r="I2602" s="18"/>
      <c r="J2602" s="18"/>
      <c r="K2602" s="18"/>
      <c r="L2602" s="18"/>
      <c r="M2602" s="18"/>
      <c r="N2602" s="18"/>
      <c r="O2602" s="18"/>
      <c r="P2602" s="18"/>
      <c r="Q2602" s="19"/>
      <c r="R2602" s="19"/>
      <c r="S2602" s="19"/>
    </row>
    <row r="2603" ht="15.75" customHeight="1">
      <c r="A2603" s="15">
        <v>45834.37018518519</v>
      </c>
      <c r="B2603" s="16" t="s">
        <v>6591</v>
      </c>
      <c r="C2603" s="16" t="s">
        <v>7129</v>
      </c>
      <c r="D2603" s="16" t="s">
        <v>7245</v>
      </c>
      <c r="E2603" s="16" t="s">
        <v>7619</v>
      </c>
      <c r="F2603" s="16"/>
      <c r="G2603" s="16"/>
      <c r="H2603" s="18"/>
      <c r="I2603" s="18"/>
      <c r="J2603" s="18"/>
      <c r="K2603" s="18"/>
      <c r="L2603" s="18"/>
      <c r="M2603" s="18"/>
      <c r="N2603" s="18"/>
      <c r="O2603" s="18"/>
      <c r="P2603" s="18"/>
      <c r="Q2603" s="19"/>
      <c r="R2603" s="19"/>
      <c r="S2603" s="19"/>
    </row>
    <row r="2604" ht="15.75" customHeight="1">
      <c r="A2604" s="15">
        <v>45834.382256944446</v>
      </c>
      <c r="B2604" s="16" t="s">
        <v>6591</v>
      </c>
      <c r="C2604" s="16" t="s">
        <v>7129</v>
      </c>
      <c r="D2604" s="16" t="s">
        <v>7245</v>
      </c>
      <c r="E2604" s="16" t="s">
        <v>7620</v>
      </c>
      <c r="F2604" s="16"/>
      <c r="G2604" s="16"/>
      <c r="H2604" s="18"/>
      <c r="I2604" s="18"/>
      <c r="J2604" s="18"/>
      <c r="K2604" s="18"/>
      <c r="L2604" s="18"/>
      <c r="M2604" s="18"/>
      <c r="N2604" s="18"/>
      <c r="O2604" s="18"/>
      <c r="P2604" s="18"/>
      <c r="Q2604" s="19"/>
      <c r="R2604" s="19"/>
      <c r="S2604" s="19"/>
    </row>
    <row r="2605" ht="15.75" customHeight="1">
      <c r="A2605" s="15">
        <v>45834.40415509259</v>
      </c>
      <c r="B2605" s="16" t="s">
        <v>6591</v>
      </c>
      <c r="C2605" s="16" t="s">
        <v>7129</v>
      </c>
      <c r="D2605" s="16" t="s">
        <v>7245</v>
      </c>
      <c r="E2605" s="16" t="s">
        <v>7621</v>
      </c>
      <c r="F2605" s="16"/>
      <c r="G2605" s="16"/>
      <c r="H2605" s="18"/>
      <c r="I2605" s="18"/>
      <c r="J2605" s="18"/>
      <c r="K2605" s="18"/>
      <c r="L2605" s="18"/>
      <c r="M2605" s="18"/>
      <c r="N2605" s="18"/>
      <c r="O2605" s="18"/>
      <c r="P2605" s="18"/>
      <c r="Q2605" s="19"/>
      <c r="R2605" s="19"/>
      <c r="S2605" s="19"/>
    </row>
    <row r="2606" ht="15.75" customHeight="1">
      <c r="A2606" s="15">
        <v>45834.557800925926</v>
      </c>
      <c r="B2606" s="16" t="s">
        <v>6591</v>
      </c>
      <c r="C2606" s="16" t="s">
        <v>7129</v>
      </c>
      <c r="D2606" s="16" t="s">
        <v>7245</v>
      </c>
      <c r="E2606" s="16" t="s">
        <v>7622</v>
      </c>
      <c r="F2606" s="16"/>
      <c r="G2606" s="16"/>
      <c r="H2606" s="18"/>
      <c r="I2606" s="18"/>
      <c r="J2606" s="18"/>
      <c r="K2606" s="18"/>
      <c r="L2606" s="18"/>
      <c r="M2606" s="18"/>
      <c r="N2606" s="18"/>
      <c r="O2606" s="18"/>
      <c r="P2606" s="18"/>
      <c r="Q2606" s="19"/>
      <c r="R2606" s="19"/>
      <c r="S2606" s="19"/>
    </row>
    <row r="2607" ht="15.75" customHeight="1">
      <c r="A2607" s="15">
        <v>45835.2416087963</v>
      </c>
      <c r="B2607" s="16" t="s">
        <v>6591</v>
      </c>
      <c r="C2607" s="16" t="s">
        <v>7129</v>
      </c>
      <c r="D2607" s="16"/>
      <c r="E2607" s="16" t="s">
        <v>7623</v>
      </c>
      <c r="F2607" s="16"/>
      <c r="G2607" s="16"/>
      <c r="H2607" s="18"/>
      <c r="I2607" s="18"/>
      <c r="J2607" s="18"/>
      <c r="K2607" s="18"/>
      <c r="L2607" s="18"/>
      <c r="M2607" s="18"/>
      <c r="N2607" s="18"/>
      <c r="O2607" s="18"/>
      <c r="P2607" s="18"/>
      <c r="Q2607" s="19"/>
      <c r="R2607" s="19"/>
      <c r="S2607" s="19"/>
    </row>
    <row r="2608" ht="15.75" customHeight="1">
      <c r="A2608" s="15">
        <v>45835.25105324074</v>
      </c>
      <c r="B2608" s="16" t="s">
        <v>6591</v>
      </c>
      <c r="C2608" s="16" t="s">
        <v>7129</v>
      </c>
      <c r="D2608" s="16" t="s">
        <v>7624</v>
      </c>
      <c r="E2608" s="16" t="s">
        <v>7277</v>
      </c>
      <c r="F2608" s="16"/>
      <c r="G2608" s="16"/>
      <c r="H2608" s="18"/>
      <c r="I2608" s="18"/>
      <c r="J2608" s="18"/>
      <c r="K2608" s="18"/>
      <c r="L2608" s="18"/>
      <c r="M2608" s="18"/>
      <c r="N2608" s="18"/>
      <c r="O2608" s="18"/>
      <c r="P2608" s="18"/>
      <c r="Q2608" s="19"/>
      <c r="R2608" s="19"/>
      <c r="S2608" s="19"/>
    </row>
    <row r="2609" ht="15.75" customHeight="1">
      <c r="A2609" s="15">
        <v>45835.25679398148</v>
      </c>
      <c r="B2609" s="16" t="s">
        <v>6591</v>
      </c>
      <c r="C2609" s="16" t="s">
        <v>7129</v>
      </c>
      <c r="D2609" s="16"/>
      <c r="E2609" s="16" t="s">
        <v>7625</v>
      </c>
      <c r="F2609" s="16"/>
      <c r="G2609" s="16"/>
      <c r="H2609" s="18"/>
      <c r="I2609" s="18"/>
      <c r="J2609" s="18"/>
      <c r="K2609" s="18"/>
      <c r="L2609" s="18"/>
      <c r="M2609" s="18"/>
      <c r="N2609" s="18"/>
      <c r="O2609" s="18"/>
      <c r="P2609" s="18"/>
      <c r="Q2609" s="19"/>
      <c r="R2609" s="19"/>
      <c r="S2609" s="19"/>
    </row>
    <row r="2610" ht="15.75" customHeight="1">
      <c r="A2610" s="15">
        <v>45842.6028125</v>
      </c>
      <c r="B2610" s="16" t="s">
        <v>6591</v>
      </c>
      <c r="C2610" s="16" t="s">
        <v>7129</v>
      </c>
      <c r="D2610" s="16" t="s">
        <v>7266</v>
      </c>
      <c r="E2610" s="16" t="s">
        <v>7626</v>
      </c>
      <c r="F2610" s="16"/>
      <c r="G2610" s="16"/>
      <c r="H2610" s="18"/>
      <c r="I2610" s="18"/>
      <c r="J2610" s="18"/>
      <c r="K2610" s="18"/>
      <c r="L2610" s="18"/>
      <c r="M2610" s="18"/>
      <c r="N2610" s="18"/>
      <c r="O2610" s="18"/>
      <c r="P2610" s="18"/>
      <c r="Q2610" s="19"/>
      <c r="R2610" s="19"/>
      <c r="S2610" s="19"/>
    </row>
    <row r="2611" ht="15.75" customHeight="1">
      <c r="A2611" s="15">
        <v>45842.60517361111</v>
      </c>
      <c r="B2611" s="16" t="s">
        <v>6591</v>
      </c>
      <c r="C2611" s="16" t="s">
        <v>7129</v>
      </c>
      <c r="D2611" s="16" t="s">
        <v>7266</v>
      </c>
      <c r="E2611" s="16" t="s">
        <v>7627</v>
      </c>
      <c r="F2611" s="16"/>
      <c r="G2611" s="16"/>
      <c r="H2611" s="18"/>
      <c r="I2611" s="18"/>
      <c r="J2611" s="18"/>
      <c r="K2611" s="18"/>
      <c r="L2611" s="18"/>
      <c r="M2611" s="18"/>
      <c r="N2611" s="18"/>
      <c r="O2611" s="18"/>
      <c r="P2611" s="18"/>
      <c r="Q2611" s="19"/>
      <c r="R2611" s="19"/>
      <c r="S2611" s="19"/>
    </row>
    <row r="2612" ht="15.75" customHeight="1">
      <c r="A2612" s="15">
        <v>45842.61219907407</v>
      </c>
      <c r="B2612" s="16" t="s">
        <v>6591</v>
      </c>
      <c r="C2612" s="16" t="s">
        <v>7129</v>
      </c>
      <c r="D2612" s="16" t="s">
        <v>7266</v>
      </c>
      <c r="E2612" s="16" t="s">
        <v>7628</v>
      </c>
      <c r="F2612" s="16"/>
      <c r="G2612" s="16"/>
      <c r="H2612" s="18"/>
      <c r="I2612" s="18"/>
      <c r="J2612" s="18"/>
      <c r="K2612" s="18"/>
      <c r="L2612" s="18"/>
      <c r="M2612" s="18"/>
      <c r="N2612" s="18"/>
      <c r="O2612" s="18"/>
      <c r="P2612" s="18"/>
      <c r="Q2612" s="19"/>
      <c r="R2612" s="19"/>
      <c r="S2612" s="19"/>
    </row>
    <row r="2613" ht="15.75" customHeight="1">
      <c r="A2613" s="15">
        <v>45842.61456018518</v>
      </c>
      <c r="B2613" s="16" t="s">
        <v>6591</v>
      </c>
      <c r="C2613" s="16" t="s">
        <v>7129</v>
      </c>
      <c r="D2613" s="16" t="s">
        <v>7266</v>
      </c>
      <c r="E2613" s="16" t="s">
        <v>7272</v>
      </c>
      <c r="F2613" s="16"/>
      <c r="G2613" s="16"/>
      <c r="H2613" s="18"/>
      <c r="I2613" s="18"/>
      <c r="J2613" s="18"/>
      <c r="K2613" s="18"/>
      <c r="L2613" s="18"/>
      <c r="M2613" s="18"/>
      <c r="N2613" s="18"/>
      <c r="O2613" s="18"/>
      <c r="P2613" s="18"/>
      <c r="Q2613" s="19"/>
      <c r="R2613" s="19"/>
      <c r="S2613" s="19"/>
    </row>
    <row r="2614" ht="15.75" customHeight="1">
      <c r="A2614" s="15">
        <v>45842.680925925924</v>
      </c>
      <c r="B2614" s="16" t="s">
        <v>6591</v>
      </c>
      <c r="C2614" s="16" t="s">
        <v>7129</v>
      </c>
      <c r="D2614" s="16" t="s">
        <v>7266</v>
      </c>
      <c r="E2614" s="16" t="s">
        <v>7629</v>
      </c>
      <c r="F2614" s="16"/>
      <c r="G2614" s="16"/>
      <c r="H2614" s="18"/>
      <c r="I2614" s="18"/>
      <c r="J2614" s="18"/>
      <c r="K2614" s="18"/>
      <c r="L2614" s="18"/>
      <c r="M2614" s="18"/>
      <c r="N2614" s="18"/>
      <c r="O2614" s="18"/>
      <c r="P2614" s="18"/>
      <c r="Q2614" s="19"/>
      <c r="R2614" s="19"/>
      <c r="S2614" s="19"/>
    </row>
    <row r="2615" ht="15.75" customHeight="1">
      <c r="A2615" s="15">
        <v>45843.033472222225</v>
      </c>
      <c r="B2615" s="16" t="s">
        <v>6591</v>
      </c>
      <c r="C2615" s="16" t="s">
        <v>7129</v>
      </c>
      <c r="D2615" s="16" t="s">
        <v>7266</v>
      </c>
      <c r="E2615" s="16" t="s">
        <v>7630</v>
      </c>
      <c r="F2615" s="16"/>
      <c r="G2615" s="16"/>
      <c r="H2615" s="18"/>
      <c r="I2615" s="18"/>
      <c r="J2615" s="18"/>
      <c r="K2615" s="18"/>
      <c r="L2615" s="18"/>
      <c r="M2615" s="18"/>
      <c r="N2615" s="18"/>
      <c r="O2615" s="18"/>
      <c r="P2615" s="18"/>
      <c r="Q2615" s="19"/>
      <c r="R2615" s="19"/>
      <c r="S2615" s="19"/>
    </row>
    <row r="2616" ht="15.75" customHeight="1">
      <c r="A2616" s="15">
        <v>45843.47175925926</v>
      </c>
      <c r="B2616" s="16" t="s">
        <v>6591</v>
      </c>
      <c r="C2616" s="16" t="s">
        <v>7129</v>
      </c>
      <c r="D2616" s="16" t="s">
        <v>7266</v>
      </c>
      <c r="E2616" s="16" t="s">
        <v>7631</v>
      </c>
      <c r="F2616" s="16"/>
      <c r="G2616" s="16"/>
      <c r="H2616" s="18"/>
      <c r="I2616" s="18"/>
      <c r="J2616" s="18"/>
      <c r="K2616" s="18"/>
      <c r="L2616" s="18"/>
      <c r="M2616" s="18"/>
      <c r="N2616" s="18"/>
      <c r="O2616" s="18"/>
      <c r="P2616" s="18"/>
      <c r="Q2616" s="19"/>
      <c r="R2616" s="19"/>
      <c r="S2616" s="19"/>
    </row>
    <row r="2617" ht="15.75" customHeight="1">
      <c r="A2617" s="15">
        <v>45843.48142361111</v>
      </c>
      <c r="B2617" s="16" t="s">
        <v>6591</v>
      </c>
      <c r="C2617" s="16" t="s">
        <v>7129</v>
      </c>
      <c r="D2617" s="16" t="s">
        <v>7266</v>
      </c>
      <c r="E2617" s="16" t="s">
        <v>7632</v>
      </c>
      <c r="F2617" s="16"/>
      <c r="G2617" s="16"/>
      <c r="H2617" s="18"/>
      <c r="I2617" s="18"/>
      <c r="J2617" s="18"/>
      <c r="K2617" s="18"/>
      <c r="L2617" s="18"/>
      <c r="M2617" s="18"/>
      <c r="N2617" s="18"/>
      <c r="O2617" s="18"/>
      <c r="P2617" s="18"/>
      <c r="Q2617" s="19"/>
      <c r="R2617" s="19"/>
      <c r="S2617" s="19"/>
    </row>
    <row r="2618" ht="15.75" customHeight="1">
      <c r="A2618" s="15">
        <v>45850.86283564815</v>
      </c>
      <c r="B2618" s="16" t="s">
        <v>6591</v>
      </c>
      <c r="C2618" s="16" t="s">
        <v>7129</v>
      </c>
      <c r="D2618" s="16" t="s">
        <v>7633</v>
      </c>
      <c r="E2618" s="16" t="s">
        <v>7634</v>
      </c>
      <c r="F2618" s="16"/>
      <c r="G2618" s="16"/>
      <c r="H2618" s="18"/>
      <c r="I2618" s="18"/>
      <c r="J2618" s="18"/>
      <c r="K2618" s="18"/>
      <c r="L2618" s="18"/>
      <c r="M2618" s="18"/>
      <c r="N2618" s="18"/>
      <c r="O2618" s="18"/>
      <c r="P2618" s="18"/>
      <c r="Q2618" s="19"/>
      <c r="R2618" s="19"/>
      <c r="S2618" s="19"/>
    </row>
    <row r="2619" ht="15.75" customHeight="1">
      <c r="A2619" s="15">
        <v>45851.60967592592</v>
      </c>
      <c r="B2619" s="16" t="s">
        <v>6591</v>
      </c>
      <c r="C2619" s="16" t="s">
        <v>7129</v>
      </c>
      <c r="D2619" s="16" t="s">
        <v>7635</v>
      </c>
      <c r="E2619" s="16" t="s">
        <v>7636</v>
      </c>
      <c r="F2619" s="16"/>
      <c r="G2619" s="16"/>
      <c r="H2619" s="18"/>
      <c r="I2619" s="18"/>
      <c r="J2619" s="18"/>
      <c r="K2619" s="18"/>
      <c r="L2619" s="18"/>
      <c r="M2619" s="18"/>
      <c r="N2619" s="18"/>
      <c r="O2619" s="18"/>
      <c r="P2619" s="18"/>
      <c r="Q2619" s="19"/>
      <c r="R2619" s="19"/>
      <c r="S2619" s="19"/>
    </row>
    <row r="2620" ht="15.75" customHeight="1">
      <c r="A2620" s="15">
        <v>45852.49721064815</v>
      </c>
      <c r="B2620" s="16" t="s">
        <v>6591</v>
      </c>
      <c r="C2620" s="16" t="s">
        <v>7129</v>
      </c>
      <c r="D2620" s="16" t="s">
        <v>7294</v>
      </c>
      <c r="E2620" s="16" t="s">
        <v>7637</v>
      </c>
      <c r="F2620" s="16"/>
      <c r="G2620" s="16"/>
      <c r="H2620" s="18"/>
      <c r="I2620" s="18"/>
      <c r="J2620" s="18"/>
      <c r="K2620" s="18"/>
      <c r="L2620" s="18"/>
      <c r="M2620" s="18"/>
      <c r="N2620" s="18"/>
      <c r="O2620" s="18"/>
      <c r="P2620" s="18"/>
      <c r="Q2620" s="19"/>
      <c r="R2620" s="19"/>
      <c r="S2620" s="19"/>
    </row>
    <row r="2621" ht="15.75" customHeight="1">
      <c r="A2621" s="15">
        <v>45852.49884259259</v>
      </c>
      <c r="B2621" s="16" t="s">
        <v>6591</v>
      </c>
      <c r="C2621" s="16" t="s">
        <v>7129</v>
      </c>
      <c r="D2621" s="16" t="s">
        <v>7294</v>
      </c>
      <c r="E2621" s="16" t="s">
        <v>7638</v>
      </c>
      <c r="F2621" s="16"/>
      <c r="G2621" s="16"/>
      <c r="H2621" s="18"/>
      <c r="I2621" s="18"/>
      <c r="J2621" s="18"/>
      <c r="K2621" s="18"/>
      <c r="L2621" s="18"/>
      <c r="M2621" s="18"/>
      <c r="N2621" s="18"/>
      <c r="O2621" s="18"/>
      <c r="P2621" s="18"/>
      <c r="Q2621" s="19"/>
      <c r="R2621" s="19"/>
      <c r="S2621" s="19"/>
    </row>
    <row r="2622" ht="15.75" customHeight="1">
      <c r="A2622" s="15">
        <v>45855.135983796295</v>
      </c>
      <c r="B2622" s="16" t="s">
        <v>6591</v>
      </c>
      <c r="C2622" s="16" t="s">
        <v>7129</v>
      </c>
      <c r="D2622" s="16" t="s">
        <v>7639</v>
      </c>
      <c r="E2622" s="16" t="s">
        <v>7640</v>
      </c>
      <c r="F2622" s="16"/>
      <c r="G2622" s="16"/>
      <c r="H2622" s="18"/>
      <c r="I2622" s="18"/>
      <c r="J2622" s="18"/>
      <c r="K2622" s="18"/>
      <c r="L2622" s="18"/>
      <c r="M2622" s="18"/>
      <c r="N2622" s="18"/>
      <c r="O2622" s="18"/>
      <c r="P2622" s="18"/>
      <c r="Q2622" s="19"/>
      <c r="R2622" s="19"/>
      <c r="S2622" s="19"/>
    </row>
    <row r="2623" ht="15.75" customHeight="1">
      <c r="A2623" s="15">
        <v>45857.10361111111</v>
      </c>
      <c r="B2623" s="16" t="s">
        <v>6591</v>
      </c>
      <c r="C2623" s="16" t="s">
        <v>7129</v>
      </c>
      <c r="D2623" s="16"/>
      <c r="E2623" s="16" t="s">
        <v>7641</v>
      </c>
      <c r="F2623" s="16"/>
      <c r="G2623" s="16"/>
      <c r="H2623" s="18"/>
      <c r="I2623" s="18"/>
      <c r="J2623" s="18"/>
      <c r="K2623" s="18"/>
      <c r="L2623" s="18"/>
      <c r="M2623" s="18"/>
      <c r="N2623" s="18"/>
      <c r="O2623" s="18"/>
      <c r="P2623" s="18"/>
      <c r="Q2623" s="19"/>
      <c r="R2623" s="19"/>
      <c r="S2623" s="19"/>
    </row>
    <row r="2624" ht="15.75" customHeight="1">
      <c r="A2624" s="15">
        <v>45864.31266203704</v>
      </c>
      <c r="B2624" s="16" t="s">
        <v>6591</v>
      </c>
      <c r="C2624" s="16" t="s">
        <v>7129</v>
      </c>
      <c r="D2624" s="16" t="s">
        <v>7642</v>
      </c>
      <c r="E2624" s="16" t="s">
        <v>7643</v>
      </c>
      <c r="F2624" s="16"/>
      <c r="G2624" s="16"/>
      <c r="H2624" s="18"/>
      <c r="I2624" s="18"/>
      <c r="J2624" s="18"/>
      <c r="K2624" s="18"/>
      <c r="L2624" s="18"/>
      <c r="M2624" s="18"/>
      <c r="N2624" s="18"/>
      <c r="O2624" s="18"/>
      <c r="P2624" s="18"/>
      <c r="Q2624" s="19"/>
      <c r="R2624" s="19"/>
      <c r="S2624" s="19"/>
    </row>
    <row r="2625" ht="15.75" customHeight="1">
      <c r="A2625" s="15">
        <v>45864.74690972222</v>
      </c>
      <c r="B2625" s="16" t="s">
        <v>6591</v>
      </c>
      <c r="C2625" s="16" t="s">
        <v>7129</v>
      </c>
      <c r="D2625" s="16" t="s">
        <v>7301</v>
      </c>
      <c r="E2625" s="16" t="s">
        <v>7644</v>
      </c>
      <c r="F2625" s="16"/>
      <c r="G2625" s="16"/>
      <c r="H2625" s="18"/>
      <c r="I2625" s="18"/>
      <c r="J2625" s="18"/>
      <c r="K2625" s="18"/>
      <c r="L2625" s="18"/>
      <c r="M2625" s="18"/>
      <c r="N2625" s="18"/>
      <c r="O2625" s="18"/>
      <c r="P2625" s="18"/>
      <c r="Q2625" s="19"/>
      <c r="R2625" s="19"/>
      <c r="S2625" s="19"/>
    </row>
    <row r="2626" ht="15.75" customHeight="1">
      <c r="A2626" s="15">
        <v>45869.44697916666</v>
      </c>
      <c r="B2626" s="16" t="s">
        <v>6591</v>
      </c>
      <c r="C2626" s="16" t="s">
        <v>7129</v>
      </c>
      <c r="D2626" s="16" t="s">
        <v>7645</v>
      </c>
      <c r="E2626" s="16" t="s">
        <v>7646</v>
      </c>
      <c r="F2626" s="16"/>
      <c r="G2626" s="16"/>
      <c r="H2626" s="18"/>
      <c r="I2626" s="18"/>
      <c r="J2626" s="18"/>
      <c r="K2626" s="18"/>
      <c r="L2626" s="18"/>
      <c r="M2626" s="18"/>
      <c r="N2626" s="18"/>
      <c r="O2626" s="18"/>
      <c r="P2626" s="18"/>
      <c r="Q2626" s="19"/>
      <c r="R2626" s="19"/>
      <c r="S2626" s="19"/>
    </row>
    <row r="2627" ht="15.75" customHeight="1">
      <c r="A2627" s="15">
        <v>45870.93917824074</v>
      </c>
      <c r="B2627" s="16" t="s">
        <v>6591</v>
      </c>
      <c r="C2627" s="16" t="s">
        <v>7129</v>
      </c>
      <c r="D2627" s="16" t="s">
        <v>7647</v>
      </c>
      <c r="E2627" s="16" t="s">
        <v>7648</v>
      </c>
      <c r="F2627" s="16"/>
      <c r="G2627" s="16"/>
      <c r="H2627" s="18"/>
      <c r="I2627" s="18"/>
      <c r="J2627" s="18"/>
      <c r="K2627" s="18"/>
      <c r="L2627" s="18"/>
      <c r="M2627" s="18"/>
      <c r="N2627" s="18"/>
      <c r="O2627" s="18"/>
      <c r="P2627" s="18"/>
      <c r="Q2627" s="19"/>
      <c r="R2627" s="19"/>
      <c r="S2627" s="19"/>
    </row>
    <row r="2628" ht="15.75" customHeight="1">
      <c r="A2628" s="15">
        <v>45871.09998842593</v>
      </c>
      <c r="B2628" s="16" t="s">
        <v>6591</v>
      </c>
      <c r="C2628" s="16" t="s">
        <v>7129</v>
      </c>
      <c r="D2628" s="16" t="s">
        <v>7303</v>
      </c>
      <c r="E2628" s="16" t="s">
        <v>7649</v>
      </c>
      <c r="F2628" s="16"/>
      <c r="G2628" s="16"/>
      <c r="H2628" s="18"/>
      <c r="I2628" s="18"/>
      <c r="J2628" s="18"/>
      <c r="K2628" s="18"/>
      <c r="L2628" s="18"/>
      <c r="M2628" s="18"/>
      <c r="N2628" s="18"/>
      <c r="O2628" s="18"/>
      <c r="P2628" s="18"/>
      <c r="Q2628" s="19"/>
      <c r="R2628" s="19"/>
      <c r="S2628" s="19"/>
    </row>
    <row r="2629" ht="15.75" customHeight="1">
      <c r="A2629" s="15">
        <v>45871.1141087963</v>
      </c>
      <c r="B2629" s="16" t="s">
        <v>6591</v>
      </c>
      <c r="C2629" s="16" t="s">
        <v>7129</v>
      </c>
      <c r="D2629" s="16" t="s">
        <v>7303</v>
      </c>
      <c r="E2629" s="16" t="s">
        <v>7650</v>
      </c>
      <c r="F2629" s="16"/>
      <c r="G2629" s="16"/>
      <c r="H2629" s="18"/>
      <c r="I2629" s="18"/>
      <c r="J2629" s="18"/>
      <c r="K2629" s="18"/>
      <c r="L2629" s="18"/>
      <c r="M2629" s="18"/>
      <c r="N2629" s="18"/>
      <c r="O2629" s="18"/>
      <c r="P2629" s="18"/>
      <c r="Q2629" s="19"/>
      <c r="R2629" s="19"/>
      <c r="S2629" s="19"/>
    </row>
    <row r="2630" ht="15.75" customHeight="1">
      <c r="A2630" s="15">
        <v>45871.61623842592</v>
      </c>
      <c r="B2630" s="16" t="s">
        <v>6591</v>
      </c>
      <c r="C2630" s="16" t="s">
        <v>7129</v>
      </c>
      <c r="D2630" s="16" t="s">
        <v>7651</v>
      </c>
      <c r="E2630" s="16" t="s">
        <v>7652</v>
      </c>
      <c r="F2630" s="16"/>
      <c r="G2630" s="16"/>
      <c r="H2630" s="18"/>
      <c r="I2630" s="18"/>
      <c r="J2630" s="18"/>
      <c r="K2630" s="18"/>
      <c r="L2630" s="18"/>
      <c r="M2630" s="18"/>
      <c r="N2630" s="18"/>
      <c r="O2630" s="18"/>
      <c r="P2630" s="18"/>
      <c r="Q2630" s="19"/>
      <c r="R2630" s="19"/>
      <c r="S2630" s="19"/>
    </row>
    <row r="2631" ht="15.75" customHeight="1">
      <c r="A2631" s="15">
        <v>45871.64890046296</v>
      </c>
      <c r="B2631" s="16" t="s">
        <v>6591</v>
      </c>
      <c r="C2631" s="16" t="s">
        <v>7129</v>
      </c>
      <c r="D2631" s="16" t="s">
        <v>7305</v>
      </c>
      <c r="E2631" s="16" t="s">
        <v>7653</v>
      </c>
      <c r="F2631" s="16"/>
      <c r="G2631" s="16"/>
      <c r="H2631" s="18"/>
      <c r="I2631" s="18"/>
      <c r="J2631" s="18"/>
      <c r="K2631" s="18"/>
      <c r="L2631" s="18"/>
      <c r="M2631" s="18"/>
      <c r="N2631" s="18"/>
      <c r="O2631" s="18"/>
      <c r="P2631" s="18"/>
      <c r="Q2631" s="19"/>
      <c r="R2631" s="19"/>
      <c r="S2631" s="19"/>
    </row>
    <row r="2632" ht="15.75" customHeight="1">
      <c r="A2632" s="15">
        <v>45871.64952546296</v>
      </c>
      <c r="B2632" s="16" t="s">
        <v>6591</v>
      </c>
      <c r="C2632" s="16" t="s">
        <v>7129</v>
      </c>
      <c r="D2632" s="16" t="s">
        <v>7305</v>
      </c>
      <c r="E2632" s="16" t="s">
        <v>7654</v>
      </c>
      <c r="F2632" s="16"/>
      <c r="G2632" s="16"/>
      <c r="H2632" s="18"/>
      <c r="I2632" s="18"/>
      <c r="J2632" s="18"/>
      <c r="K2632" s="18"/>
      <c r="L2632" s="18"/>
      <c r="M2632" s="18"/>
      <c r="N2632" s="18"/>
      <c r="O2632" s="18"/>
      <c r="P2632" s="18"/>
      <c r="Q2632" s="19"/>
      <c r="R2632" s="19"/>
      <c r="S2632" s="19"/>
    </row>
    <row r="2633" ht="15.75" customHeight="1">
      <c r="A2633" s="15">
        <v>45871.94724537037</v>
      </c>
      <c r="B2633" s="16" t="s">
        <v>6591</v>
      </c>
      <c r="C2633" s="16" t="s">
        <v>7129</v>
      </c>
      <c r="D2633" s="16" t="s">
        <v>7305</v>
      </c>
      <c r="E2633" s="16" t="s">
        <v>7655</v>
      </c>
      <c r="F2633" s="16"/>
      <c r="G2633" s="16"/>
      <c r="H2633" s="18"/>
      <c r="I2633" s="18"/>
      <c r="J2633" s="18"/>
      <c r="K2633" s="18"/>
      <c r="L2633" s="18"/>
      <c r="M2633" s="18"/>
      <c r="N2633" s="18"/>
      <c r="O2633" s="18"/>
      <c r="P2633" s="18"/>
      <c r="Q2633" s="19"/>
      <c r="R2633" s="19"/>
      <c r="S2633" s="19"/>
    </row>
    <row r="2634" ht="15.75" customHeight="1">
      <c r="A2634" s="15">
        <v>45871.947916666664</v>
      </c>
      <c r="B2634" s="16" t="s">
        <v>6591</v>
      </c>
      <c r="C2634" s="16" t="s">
        <v>7129</v>
      </c>
      <c r="D2634" s="16" t="s">
        <v>7305</v>
      </c>
      <c r="E2634" s="16" t="s">
        <v>7656</v>
      </c>
      <c r="F2634" s="16"/>
      <c r="G2634" s="16"/>
      <c r="H2634" s="18"/>
      <c r="I2634" s="18"/>
      <c r="J2634" s="18"/>
      <c r="K2634" s="18"/>
      <c r="L2634" s="18"/>
      <c r="M2634" s="18"/>
      <c r="N2634" s="18"/>
      <c r="O2634" s="18"/>
      <c r="P2634" s="18"/>
      <c r="Q2634" s="19"/>
      <c r="R2634" s="19"/>
      <c r="S2634" s="19"/>
    </row>
    <row r="2635" ht="15.75" customHeight="1">
      <c r="A2635" s="15">
        <v>45871.98189814815</v>
      </c>
      <c r="B2635" s="16" t="s">
        <v>6591</v>
      </c>
      <c r="C2635" s="16" t="s">
        <v>7129</v>
      </c>
      <c r="D2635" s="16" t="s">
        <v>7305</v>
      </c>
      <c r="E2635" s="16" t="s">
        <v>7657</v>
      </c>
      <c r="F2635" s="16"/>
      <c r="G2635" s="16"/>
      <c r="H2635" s="18"/>
      <c r="I2635" s="18"/>
      <c r="J2635" s="18"/>
      <c r="K2635" s="18"/>
      <c r="L2635" s="18"/>
      <c r="M2635" s="18"/>
      <c r="N2635" s="18"/>
      <c r="O2635" s="18"/>
      <c r="P2635" s="18"/>
      <c r="Q2635" s="19"/>
      <c r="R2635" s="19"/>
      <c r="S2635" s="19"/>
    </row>
    <row r="2636" ht="15.75" customHeight="1">
      <c r="A2636" s="15">
        <v>45871.98730324074</v>
      </c>
      <c r="B2636" s="16" t="s">
        <v>6591</v>
      </c>
      <c r="C2636" s="16" t="s">
        <v>7129</v>
      </c>
      <c r="D2636" s="16" t="s">
        <v>7305</v>
      </c>
      <c r="E2636" s="16" t="s">
        <v>7658</v>
      </c>
      <c r="F2636" s="16"/>
      <c r="G2636" s="16"/>
      <c r="H2636" s="18"/>
      <c r="I2636" s="18"/>
      <c r="J2636" s="18"/>
      <c r="K2636" s="18"/>
      <c r="L2636" s="18"/>
      <c r="M2636" s="18"/>
      <c r="N2636" s="18"/>
      <c r="O2636" s="18"/>
      <c r="P2636" s="18"/>
      <c r="Q2636" s="19"/>
      <c r="R2636" s="19"/>
      <c r="S2636" s="19"/>
    </row>
    <row r="2637" ht="15.75" customHeight="1">
      <c r="A2637" s="15">
        <v>45872.41940972222</v>
      </c>
      <c r="B2637" s="16" t="s">
        <v>6591</v>
      </c>
      <c r="C2637" s="16" t="s">
        <v>7129</v>
      </c>
      <c r="D2637" s="16" t="s">
        <v>7305</v>
      </c>
      <c r="E2637" s="16" t="s">
        <v>7659</v>
      </c>
      <c r="F2637" s="16"/>
      <c r="G2637" s="16"/>
      <c r="H2637" s="18"/>
      <c r="I2637" s="18"/>
      <c r="J2637" s="18"/>
      <c r="K2637" s="18"/>
      <c r="L2637" s="18"/>
      <c r="M2637" s="18"/>
      <c r="N2637" s="18"/>
      <c r="O2637" s="18"/>
      <c r="P2637" s="18"/>
      <c r="Q2637" s="19"/>
      <c r="R2637" s="19"/>
      <c r="S2637" s="19"/>
    </row>
    <row r="2638" ht="15.75" customHeight="1">
      <c r="A2638" s="15">
        <v>45872.476273148146</v>
      </c>
      <c r="B2638" s="16" t="s">
        <v>6591</v>
      </c>
      <c r="C2638" s="16" t="s">
        <v>7129</v>
      </c>
      <c r="D2638" s="16" t="s">
        <v>7305</v>
      </c>
      <c r="E2638" s="16" t="s">
        <v>7660</v>
      </c>
      <c r="F2638" s="16"/>
      <c r="G2638" s="16"/>
      <c r="H2638" s="18"/>
      <c r="I2638" s="18"/>
      <c r="J2638" s="18"/>
      <c r="K2638" s="18"/>
      <c r="L2638" s="18"/>
      <c r="M2638" s="18"/>
      <c r="N2638" s="18"/>
      <c r="O2638" s="18"/>
      <c r="P2638" s="18"/>
      <c r="Q2638" s="19"/>
      <c r="R2638" s="19"/>
      <c r="S2638" s="19"/>
    </row>
    <row r="2639" ht="15.75" customHeight="1">
      <c r="A2639" s="15">
        <v>45872.6025</v>
      </c>
      <c r="B2639" s="16" t="s">
        <v>6591</v>
      </c>
      <c r="C2639" s="16" t="s">
        <v>7129</v>
      </c>
      <c r="D2639" s="16" t="s">
        <v>7305</v>
      </c>
      <c r="E2639" s="16" t="s">
        <v>7661</v>
      </c>
      <c r="F2639" s="16"/>
      <c r="G2639" s="16"/>
      <c r="H2639" s="18"/>
      <c r="I2639" s="18"/>
      <c r="J2639" s="18"/>
      <c r="K2639" s="18"/>
      <c r="L2639" s="18"/>
      <c r="M2639" s="18"/>
      <c r="N2639" s="18"/>
      <c r="O2639" s="18"/>
      <c r="P2639" s="18"/>
      <c r="Q2639" s="19"/>
      <c r="R2639" s="19"/>
      <c r="S2639" s="19"/>
    </row>
    <row r="2640" ht="15.75" customHeight="1">
      <c r="A2640" s="15">
        <v>45872.610972222225</v>
      </c>
      <c r="B2640" s="16" t="s">
        <v>6591</v>
      </c>
      <c r="C2640" s="16" t="s">
        <v>7129</v>
      </c>
      <c r="D2640" s="16" t="s">
        <v>7305</v>
      </c>
      <c r="E2640" s="16" t="s">
        <v>7662</v>
      </c>
      <c r="F2640" s="16"/>
      <c r="G2640" s="16"/>
      <c r="H2640" s="18"/>
      <c r="I2640" s="18"/>
      <c r="J2640" s="18"/>
      <c r="K2640" s="18"/>
      <c r="L2640" s="18"/>
      <c r="M2640" s="18"/>
      <c r="N2640" s="18"/>
      <c r="O2640" s="18"/>
      <c r="P2640" s="18"/>
      <c r="Q2640" s="19"/>
      <c r="R2640" s="19"/>
      <c r="S2640" s="19"/>
    </row>
    <row r="2641" ht="15.75" customHeight="1">
      <c r="A2641" s="15">
        <v>45875.00896990741</v>
      </c>
      <c r="B2641" s="16" t="s">
        <v>6591</v>
      </c>
      <c r="C2641" s="16" t="s">
        <v>7129</v>
      </c>
      <c r="D2641" s="16" t="s">
        <v>7663</v>
      </c>
      <c r="E2641" s="16" t="s">
        <v>7664</v>
      </c>
      <c r="F2641" s="16"/>
      <c r="G2641" s="16"/>
      <c r="H2641" s="18"/>
      <c r="I2641" s="18"/>
      <c r="J2641" s="18"/>
      <c r="K2641" s="18"/>
      <c r="L2641" s="18"/>
      <c r="M2641" s="18"/>
      <c r="N2641" s="18"/>
      <c r="O2641" s="18"/>
      <c r="P2641" s="18"/>
      <c r="Q2641" s="19"/>
      <c r="R2641" s="19"/>
      <c r="S2641" s="19"/>
    </row>
    <row r="2642" ht="15.75" customHeight="1">
      <c r="A2642" s="15">
        <v>45877.33967592593</v>
      </c>
      <c r="B2642" s="16" t="s">
        <v>6591</v>
      </c>
      <c r="C2642" s="16" t="s">
        <v>7129</v>
      </c>
      <c r="D2642" s="16" t="s">
        <v>7665</v>
      </c>
      <c r="E2642" s="16" t="s">
        <v>7666</v>
      </c>
      <c r="F2642" s="16"/>
      <c r="G2642" s="16"/>
      <c r="H2642" s="18"/>
      <c r="I2642" s="18"/>
      <c r="J2642" s="18"/>
      <c r="K2642" s="18"/>
      <c r="L2642" s="18"/>
      <c r="M2642" s="18"/>
      <c r="N2642" s="18"/>
      <c r="O2642" s="18"/>
      <c r="P2642" s="18"/>
      <c r="Q2642" s="19"/>
      <c r="R2642" s="19"/>
      <c r="S2642" s="19"/>
    </row>
    <row r="2643" ht="15.75" customHeight="1">
      <c r="A2643" s="15">
        <v>45878.892175925925</v>
      </c>
      <c r="B2643" s="16" t="s">
        <v>6591</v>
      </c>
      <c r="C2643" s="16" t="s">
        <v>7129</v>
      </c>
      <c r="D2643" s="16" t="s">
        <v>7667</v>
      </c>
      <c r="E2643" s="16" t="s">
        <v>7668</v>
      </c>
      <c r="F2643" s="16"/>
      <c r="G2643" s="16"/>
      <c r="H2643" s="18"/>
      <c r="I2643" s="18"/>
      <c r="J2643" s="18"/>
      <c r="K2643" s="18"/>
      <c r="L2643" s="18"/>
      <c r="M2643" s="18"/>
      <c r="N2643" s="18"/>
      <c r="O2643" s="18"/>
      <c r="P2643" s="18"/>
      <c r="Q2643" s="19"/>
      <c r="R2643" s="19"/>
      <c r="S2643" s="19"/>
    </row>
    <row r="2644" ht="15.75" customHeight="1">
      <c r="A2644" s="15">
        <v>45879.38543981482</v>
      </c>
      <c r="B2644" s="16" t="s">
        <v>6591</v>
      </c>
      <c r="C2644" s="16" t="s">
        <v>7129</v>
      </c>
      <c r="D2644" s="16" t="s">
        <v>7645</v>
      </c>
      <c r="E2644" s="16" t="s">
        <v>7669</v>
      </c>
      <c r="F2644" s="16"/>
      <c r="G2644" s="16"/>
      <c r="H2644" s="18"/>
      <c r="I2644" s="18"/>
      <c r="J2644" s="18"/>
      <c r="K2644" s="18"/>
      <c r="L2644" s="18"/>
      <c r="M2644" s="18"/>
      <c r="N2644" s="18"/>
      <c r="O2644" s="18"/>
      <c r="P2644" s="18"/>
      <c r="Q2644" s="19"/>
      <c r="R2644" s="19"/>
      <c r="S2644" s="19"/>
    </row>
    <row r="2645" ht="15.75" customHeight="1">
      <c r="A2645" s="15">
        <v>45881.91075231481</v>
      </c>
      <c r="B2645" s="16" t="s">
        <v>6591</v>
      </c>
      <c r="C2645" s="16" t="s">
        <v>7129</v>
      </c>
      <c r="D2645" s="16" t="s">
        <v>7313</v>
      </c>
      <c r="E2645" s="16" t="s">
        <v>7670</v>
      </c>
      <c r="F2645" s="16"/>
      <c r="G2645" s="16"/>
      <c r="H2645" s="18"/>
      <c r="I2645" s="18"/>
      <c r="J2645" s="18"/>
      <c r="K2645" s="18"/>
      <c r="L2645" s="18"/>
      <c r="M2645" s="18"/>
      <c r="N2645" s="18"/>
      <c r="O2645" s="18"/>
      <c r="P2645" s="18"/>
      <c r="Q2645" s="19"/>
      <c r="R2645" s="19"/>
      <c r="S2645" s="19"/>
    </row>
    <row r="2646" ht="15.75" customHeight="1">
      <c r="A2646" s="15">
        <v>45881.91222222222</v>
      </c>
      <c r="B2646" s="16" t="s">
        <v>6591</v>
      </c>
      <c r="C2646" s="16" t="s">
        <v>7129</v>
      </c>
      <c r="D2646" s="16" t="s">
        <v>7313</v>
      </c>
      <c r="E2646" s="16" t="s">
        <v>7671</v>
      </c>
      <c r="F2646" s="16"/>
      <c r="G2646" s="16"/>
      <c r="H2646" s="18"/>
      <c r="I2646" s="18"/>
      <c r="J2646" s="18"/>
      <c r="K2646" s="18"/>
      <c r="L2646" s="18"/>
      <c r="M2646" s="18"/>
      <c r="N2646" s="18"/>
      <c r="O2646" s="18"/>
      <c r="P2646" s="18"/>
      <c r="Q2646" s="19"/>
      <c r="R2646" s="19"/>
      <c r="S2646" s="19"/>
    </row>
    <row r="2647" ht="15.75" customHeight="1">
      <c r="A2647" s="15">
        <v>45881.945543981485</v>
      </c>
      <c r="B2647" s="16" t="s">
        <v>6591</v>
      </c>
      <c r="C2647" s="16" t="s">
        <v>7129</v>
      </c>
      <c r="D2647" s="16" t="s">
        <v>7313</v>
      </c>
      <c r="E2647" s="16" t="s">
        <v>7672</v>
      </c>
      <c r="F2647" s="16"/>
      <c r="G2647" s="16"/>
      <c r="H2647" s="18"/>
      <c r="I2647" s="18"/>
      <c r="J2647" s="18"/>
      <c r="K2647" s="18"/>
      <c r="L2647" s="18"/>
      <c r="M2647" s="18"/>
      <c r="N2647" s="18"/>
      <c r="O2647" s="18"/>
      <c r="P2647" s="18"/>
      <c r="Q2647" s="19"/>
      <c r="R2647" s="19"/>
      <c r="S2647" s="19"/>
    </row>
    <row r="2648" ht="15.75" customHeight="1">
      <c r="A2648" s="15">
        <v>45882.79715277778</v>
      </c>
      <c r="B2648" s="16" t="s">
        <v>6591</v>
      </c>
      <c r="C2648" s="16" t="s">
        <v>7129</v>
      </c>
      <c r="D2648" s="16" t="s">
        <v>7673</v>
      </c>
      <c r="E2648" s="16" t="s">
        <v>7674</v>
      </c>
      <c r="F2648" s="16"/>
      <c r="G2648" s="16"/>
      <c r="H2648" s="18"/>
      <c r="I2648" s="18"/>
      <c r="J2648" s="18"/>
      <c r="K2648" s="18"/>
      <c r="L2648" s="18"/>
      <c r="M2648" s="18"/>
      <c r="N2648" s="18"/>
      <c r="O2648" s="18"/>
      <c r="P2648" s="18"/>
      <c r="Q2648" s="19"/>
      <c r="R2648" s="19"/>
      <c r="S2648" s="19"/>
    </row>
    <row r="2649" ht="15.75" customHeight="1">
      <c r="A2649" s="15">
        <v>45882.82021990741</v>
      </c>
      <c r="B2649" s="16" t="s">
        <v>6591</v>
      </c>
      <c r="C2649" s="16" t="s">
        <v>7129</v>
      </c>
      <c r="D2649" s="16" t="s">
        <v>7673</v>
      </c>
      <c r="E2649" s="16" t="s">
        <v>7675</v>
      </c>
      <c r="F2649" s="16"/>
      <c r="G2649" s="16"/>
      <c r="H2649" s="18"/>
      <c r="I2649" s="18"/>
      <c r="J2649" s="18"/>
      <c r="K2649" s="18"/>
      <c r="L2649" s="18"/>
      <c r="M2649" s="18"/>
      <c r="N2649" s="18"/>
      <c r="O2649" s="18"/>
      <c r="P2649" s="18"/>
      <c r="Q2649" s="19"/>
      <c r="R2649" s="19"/>
      <c r="S2649" s="19"/>
    </row>
    <row r="2650" ht="15.75" customHeight="1">
      <c r="A2650" s="15">
        <v>45882.82800925926</v>
      </c>
      <c r="B2650" s="16" t="s">
        <v>6591</v>
      </c>
      <c r="C2650" s="16" t="s">
        <v>7129</v>
      </c>
      <c r="D2650" s="16" t="s">
        <v>7673</v>
      </c>
      <c r="E2650" s="16" t="s">
        <v>7676</v>
      </c>
      <c r="F2650" s="16"/>
      <c r="G2650" s="16"/>
      <c r="H2650" s="18"/>
      <c r="I2650" s="18"/>
      <c r="J2650" s="18"/>
      <c r="K2650" s="18"/>
      <c r="L2650" s="18"/>
      <c r="M2650" s="18"/>
      <c r="N2650" s="18"/>
      <c r="O2650" s="18"/>
      <c r="P2650" s="18"/>
      <c r="Q2650" s="19"/>
      <c r="R2650" s="19"/>
      <c r="S2650" s="19"/>
    </row>
    <row r="2651" ht="15.75" customHeight="1">
      <c r="A2651" s="15">
        <v>45888.46158564815</v>
      </c>
      <c r="B2651" s="16" t="s">
        <v>6591</v>
      </c>
      <c r="C2651" s="16" t="s">
        <v>7129</v>
      </c>
      <c r="D2651" s="16" t="s">
        <v>7677</v>
      </c>
      <c r="E2651" s="16" t="s">
        <v>7678</v>
      </c>
      <c r="F2651" s="16"/>
      <c r="G2651" s="16"/>
      <c r="H2651" s="18"/>
      <c r="I2651" s="18"/>
      <c r="J2651" s="18"/>
      <c r="K2651" s="18"/>
      <c r="L2651" s="18"/>
      <c r="M2651" s="18"/>
      <c r="N2651" s="18"/>
      <c r="O2651" s="18"/>
      <c r="P2651" s="18"/>
      <c r="Q2651" s="19"/>
      <c r="R2651" s="19"/>
      <c r="S2651" s="19"/>
    </row>
    <row r="2652" ht="15.75" customHeight="1">
      <c r="A2652" s="15">
        <v>45888.576516203706</v>
      </c>
      <c r="B2652" s="16" t="s">
        <v>6591</v>
      </c>
      <c r="C2652" s="16" t="s">
        <v>7129</v>
      </c>
      <c r="D2652" s="16" t="s">
        <v>7315</v>
      </c>
      <c r="E2652" s="16" t="s">
        <v>7679</v>
      </c>
      <c r="F2652" s="16"/>
      <c r="G2652" s="16"/>
      <c r="H2652" s="18"/>
      <c r="I2652" s="18"/>
      <c r="J2652" s="18"/>
      <c r="K2652" s="18"/>
      <c r="L2652" s="18"/>
      <c r="M2652" s="18"/>
      <c r="N2652" s="18"/>
      <c r="O2652" s="18"/>
      <c r="P2652" s="18"/>
      <c r="Q2652" s="19"/>
      <c r="R2652" s="19"/>
      <c r="S2652" s="19"/>
    </row>
    <row r="2653" ht="15.75" customHeight="1">
      <c r="A2653" s="15">
        <v>45888.73553240741</v>
      </c>
      <c r="B2653" s="16" t="s">
        <v>6591</v>
      </c>
      <c r="C2653" s="16" t="s">
        <v>7129</v>
      </c>
      <c r="D2653" s="16"/>
      <c r="E2653" s="16" t="s">
        <v>7680</v>
      </c>
      <c r="F2653" s="16"/>
      <c r="G2653" s="16"/>
      <c r="H2653" s="18"/>
      <c r="I2653" s="18"/>
      <c r="J2653" s="18"/>
      <c r="K2653" s="18"/>
      <c r="L2653" s="18"/>
      <c r="M2653" s="18"/>
      <c r="N2653" s="18"/>
      <c r="O2653" s="18"/>
      <c r="P2653" s="18"/>
      <c r="Q2653" s="19"/>
      <c r="R2653" s="19"/>
      <c r="S2653" s="19"/>
    </row>
    <row r="2654" ht="15.75" customHeight="1">
      <c r="A2654" s="15">
        <v>45888.8921412037</v>
      </c>
      <c r="B2654" s="16" t="s">
        <v>6591</v>
      </c>
      <c r="C2654" s="16" t="s">
        <v>7129</v>
      </c>
      <c r="D2654" s="16" t="s">
        <v>7315</v>
      </c>
      <c r="E2654" s="16" t="s">
        <v>7681</v>
      </c>
      <c r="F2654" s="16"/>
      <c r="G2654" s="16"/>
      <c r="H2654" s="18"/>
      <c r="I2654" s="18"/>
      <c r="J2654" s="18"/>
      <c r="K2654" s="18"/>
      <c r="L2654" s="18"/>
      <c r="M2654" s="18"/>
      <c r="N2654" s="18"/>
      <c r="O2654" s="18"/>
      <c r="P2654" s="18"/>
      <c r="Q2654" s="19"/>
      <c r="R2654" s="19"/>
      <c r="S2654" s="19"/>
    </row>
    <row r="2655" ht="15.75" customHeight="1">
      <c r="A2655" s="15">
        <v>45890.83744212963</v>
      </c>
      <c r="B2655" s="16" t="s">
        <v>6591</v>
      </c>
      <c r="C2655" s="16" t="s">
        <v>7129</v>
      </c>
      <c r="D2655" s="16" t="s">
        <v>7682</v>
      </c>
      <c r="E2655" s="16" t="s">
        <v>7683</v>
      </c>
      <c r="F2655" s="16"/>
      <c r="G2655" s="16"/>
      <c r="H2655" s="18"/>
      <c r="I2655" s="18"/>
      <c r="J2655" s="18"/>
      <c r="K2655" s="18"/>
      <c r="L2655" s="18"/>
      <c r="M2655" s="18"/>
      <c r="N2655" s="18"/>
      <c r="O2655" s="18"/>
      <c r="P2655" s="18"/>
      <c r="Q2655" s="19"/>
      <c r="R2655" s="19"/>
      <c r="S2655" s="19"/>
    </row>
    <row r="2656" ht="15.75" customHeight="1">
      <c r="A2656" s="15">
        <v>45891.59612268519</v>
      </c>
      <c r="B2656" s="16" t="s">
        <v>6591</v>
      </c>
      <c r="C2656" s="16" t="s">
        <v>7129</v>
      </c>
      <c r="D2656" s="16" t="s">
        <v>7684</v>
      </c>
      <c r="E2656" s="16" t="s">
        <v>7685</v>
      </c>
      <c r="F2656" s="16"/>
      <c r="G2656" s="16"/>
      <c r="H2656" s="18"/>
      <c r="I2656" s="18"/>
      <c r="J2656" s="18"/>
      <c r="K2656" s="18"/>
      <c r="L2656" s="18"/>
      <c r="M2656" s="18"/>
      <c r="N2656" s="18"/>
      <c r="O2656" s="18"/>
      <c r="P2656" s="18"/>
      <c r="Q2656" s="19"/>
      <c r="R2656" s="19"/>
      <c r="S2656" s="19"/>
    </row>
    <row r="2657" ht="15.75" customHeight="1">
      <c r="A2657" s="15">
        <v>45891.743935185186</v>
      </c>
      <c r="B2657" s="16" t="s">
        <v>6591</v>
      </c>
      <c r="C2657" s="16" t="s">
        <v>7129</v>
      </c>
      <c r="D2657" s="16" t="s">
        <v>7686</v>
      </c>
      <c r="E2657" s="16" t="s">
        <v>7687</v>
      </c>
      <c r="F2657" s="16"/>
      <c r="G2657" s="16"/>
      <c r="H2657" s="18"/>
      <c r="I2657" s="18"/>
      <c r="J2657" s="18"/>
      <c r="K2657" s="18"/>
      <c r="L2657" s="18"/>
      <c r="M2657" s="18"/>
      <c r="N2657" s="18"/>
      <c r="O2657" s="18"/>
      <c r="P2657" s="18"/>
      <c r="Q2657" s="19"/>
      <c r="R2657" s="19"/>
      <c r="S2657" s="19"/>
    </row>
    <row r="2658" ht="15.75" customHeight="1">
      <c r="A2658" s="15">
        <v>45891.857615740744</v>
      </c>
      <c r="B2658" s="16" t="s">
        <v>6591</v>
      </c>
      <c r="C2658" s="16" t="s">
        <v>7129</v>
      </c>
      <c r="D2658" s="16" t="s">
        <v>7688</v>
      </c>
      <c r="E2658" s="16" t="s">
        <v>7689</v>
      </c>
      <c r="F2658" s="16"/>
      <c r="G2658" s="16"/>
      <c r="H2658" s="18"/>
      <c r="I2658" s="18"/>
      <c r="J2658" s="18"/>
      <c r="K2658" s="18"/>
      <c r="L2658" s="18"/>
      <c r="M2658" s="18"/>
      <c r="N2658" s="18"/>
      <c r="O2658" s="18"/>
      <c r="P2658" s="18"/>
      <c r="Q2658" s="19"/>
      <c r="R2658" s="19"/>
      <c r="S2658" s="19"/>
    </row>
    <row r="2659" ht="15.75" customHeight="1">
      <c r="A2659" s="15">
        <v>45892.364641203705</v>
      </c>
      <c r="B2659" s="16" t="s">
        <v>6591</v>
      </c>
      <c r="C2659" s="16" t="s">
        <v>7129</v>
      </c>
      <c r="D2659" s="16" t="s">
        <v>7690</v>
      </c>
      <c r="E2659" s="16" t="s">
        <v>7691</v>
      </c>
      <c r="F2659" s="16"/>
      <c r="G2659" s="16"/>
      <c r="H2659" s="18"/>
      <c r="I2659" s="18"/>
      <c r="J2659" s="18"/>
      <c r="K2659" s="18"/>
      <c r="L2659" s="18"/>
      <c r="M2659" s="18"/>
      <c r="N2659" s="18"/>
      <c r="O2659" s="18"/>
      <c r="P2659" s="18"/>
      <c r="Q2659" s="19"/>
      <c r="R2659" s="19"/>
      <c r="S2659" s="19"/>
    </row>
    <row r="2660" ht="15.75" customHeight="1">
      <c r="A2660" s="15">
        <v>45899.4906712963</v>
      </c>
      <c r="B2660" s="16" t="s">
        <v>6591</v>
      </c>
      <c r="C2660" s="16" t="s">
        <v>7129</v>
      </c>
      <c r="D2660" s="16" t="s">
        <v>7335</v>
      </c>
      <c r="E2660" s="16" t="s">
        <v>7692</v>
      </c>
      <c r="F2660" s="16"/>
      <c r="G2660" s="16"/>
      <c r="H2660" s="18"/>
      <c r="I2660" s="18"/>
      <c r="J2660" s="18"/>
      <c r="K2660" s="18"/>
      <c r="L2660" s="18"/>
      <c r="M2660" s="18"/>
      <c r="N2660" s="18"/>
      <c r="O2660" s="18"/>
      <c r="P2660" s="18"/>
      <c r="Q2660" s="19"/>
      <c r="R2660" s="19"/>
      <c r="S2660" s="19"/>
    </row>
    <row r="2661" ht="15.75" customHeight="1">
      <c r="A2661" s="15">
        <v>45899.57716435185</v>
      </c>
      <c r="B2661" s="16" t="s">
        <v>6591</v>
      </c>
      <c r="C2661" s="16" t="s">
        <v>7129</v>
      </c>
      <c r="D2661" s="16" t="s">
        <v>7335</v>
      </c>
      <c r="E2661" s="16" t="s">
        <v>7693</v>
      </c>
      <c r="F2661" s="16"/>
      <c r="G2661" s="16"/>
      <c r="H2661" s="18"/>
      <c r="I2661" s="18"/>
      <c r="J2661" s="18"/>
      <c r="K2661" s="18"/>
      <c r="L2661" s="18"/>
      <c r="M2661" s="18"/>
      <c r="N2661" s="18"/>
      <c r="O2661" s="18"/>
      <c r="P2661" s="18"/>
      <c r="Q2661" s="19"/>
      <c r="R2661" s="19"/>
      <c r="S2661" s="19"/>
    </row>
    <row r="2662" ht="15.75" customHeight="1">
      <c r="A2662" s="15">
        <v>45899.67642361111</v>
      </c>
      <c r="B2662" s="16" t="s">
        <v>6591</v>
      </c>
      <c r="C2662" s="16" t="s">
        <v>7129</v>
      </c>
      <c r="D2662" s="16" t="s">
        <v>7344</v>
      </c>
      <c r="E2662" s="16" t="s">
        <v>7694</v>
      </c>
      <c r="F2662" s="16"/>
      <c r="G2662" s="16"/>
      <c r="H2662" s="18"/>
      <c r="I2662" s="18"/>
      <c r="J2662" s="18"/>
      <c r="K2662" s="18"/>
      <c r="L2662" s="18"/>
      <c r="M2662" s="18"/>
      <c r="N2662" s="18"/>
      <c r="O2662" s="18"/>
      <c r="P2662" s="18"/>
      <c r="Q2662" s="19"/>
      <c r="R2662" s="19"/>
      <c r="S2662" s="19"/>
    </row>
    <row r="2663" ht="15.75" customHeight="1">
      <c r="A2663" s="15">
        <v>45899.811203703706</v>
      </c>
      <c r="B2663" s="16" t="s">
        <v>6591</v>
      </c>
      <c r="C2663" s="16" t="s">
        <v>7129</v>
      </c>
      <c r="D2663" s="16" t="s">
        <v>7335</v>
      </c>
      <c r="E2663" s="16" t="s">
        <v>7695</v>
      </c>
      <c r="F2663" s="16"/>
      <c r="G2663" s="16"/>
      <c r="H2663" s="18"/>
      <c r="I2663" s="18"/>
      <c r="J2663" s="18"/>
      <c r="K2663" s="18"/>
      <c r="L2663" s="18"/>
      <c r="M2663" s="18"/>
      <c r="N2663" s="18"/>
      <c r="O2663" s="18"/>
      <c r="P2663" s="18"/>
      <c r="Q2663" s="19"/>
      <c r="R2663" s="19"/>
      <c r="S2663" s="19"/>
    </row>
    <row r="2664" ht="15.75" customHeight="1">
      <c r="A2664" s="15">
        <v>45899.81689814815</v>
      </c>
      <c r="B2664" s="16" t="s">
        <v>6591</v>
      </c>
      <c r="C2664" s="16" t="s">
        <v>7129</v>
      </c>
      <c r="D2664" s="16" t="s">
        <v>7335</v>
      </c>
      <c r="E2664" s="16" t="s">
        <v>7696</v>
      </c>
      <c r="F2664" s="16"/>
      <c r="G2664" s="16"/>
      <c r="H2664" s="18"/>
      <c r="I2664" s="18"/>
      <c r="J2664" s="18"/>
      <c r="K2664" s="18"/>
      <c r="L2664" s="18"/>
      <c r="M2664" s="18"/>
      <c r="N2664" s="18"/>
      <c r="O2664" s="18"/>
      <c r="P2664" s="18"/>
      <c r="Q2664" s="19"/>
      <c r="R2664" s="19"/>
      <c r="S2664" s="19"/>
    </row>
    <row r="2665" ht="15.75" customHeight="1">
      <c r="A2665" s="15">
        <v>45900.37976851852</v>
      </c>
      <c r="B2665" s="16" t="s">
        <v>6591</v>
      </c>
      <c r="C2665" s="16" t="s">
        <v>7129</v>
      </c>
      <c r="D2665" s="16" t="s">
        <v>7344</v>
      </c>
      <c r="E2665" s="16" t="s">
        <v>7697</v>
      </c>
      <c r="F2665" s="16"/>
      <c r="G2665" s="16"/>
      <c r="H2665" s="18"/>
      <c r="I2665" s="18"/>
      <c r="J2665" s="18"/>
      <c r="K2665" s="18"/>
      <c r="L2665" s="18"/>
      <c r="M2665" s="18"/>
      <c r="N2665" s="18"/>
      <c r="O2665" s="18"/>
      <c r="P2665" s="18"/>
      <c r="Q2665" s="19"/>
      <c r="R2665" s="19"/>
      <c r="S2665" s="19"/>
    </row>
    <row r="2666" ht="15.75" customHeight="1">
      <c r="A2666" s="15">
        <v>45900.41405092592</v>
      </c>
      <c r="B2666" s="16" t="s">
        <v>6591</v>
      </c>
      <c r="C2666" s="16" t="s">
        <v>7129</v>
      </c>
      <c r="D2666" s="16" t="s">
        <v>7335</v>
      </c>
      <c r="E2666" s="16" t="s">
        <v>7698</v>
      </c>
      <c r="F2666" s="16"/>
      <c r="G2666" s="16"/>
      <c r="H2666" s="18"/>
      <c r="I2666" s="18"/>
      <c r="J2666" s="18"/>
      <c r="K2666" s="18"/>
      <c r="L2666" s="18"/>
      <c r="M2666" s="18"/>
      <c r="N2666" s="18"/>
      <c r="O2666" s="18"/>
      <c r="P2666" s="18"/>
      <c r="Q2666" s="19"/>
      <c r="R2666" s="19"/>
      <c r="S2666" s="19"/>
    </row>
    <row r="2667" ht="15.75" customHeight="1">
      <c r="A2667" s="15">
        <v>45900.42329861111</v>
      </c>
      <c r="B2667" s="16" t="s">
        <v>6591</v>
      </c>
      <c r="C2667" s="16" t="s">
        <v>7129</v>
      </c>
      <c r="D2667" s="16" t="s">
        <v>7335</v>
      </c>
      <c r="E2667" s="16" t="s">
        <v>7699</v>
      </c>
      <c r="F2667" s="16"/>
      <c r="G2667" s="16"/>
      <c r="H2667" s="18"/>
      <c r="I2667" s="18"/>
      <c r="J2667" s="18"/>
      <c r="K2667" s="18"/>
      <c r="L2667" s="18"/>
      <c r="M2667" s="18"/>
      <c r="N2667" s="18"/>
      <c r="O2667" s="18"/>
      <c r="P2667" s="18"/>
      <c r="Q2667" s="19"/>
      <c r="R2667" s="19"/>
      <c r="S2667" s="19"/>
    </row>
    <row r="2668" ht="15.75" customHeight="1">
      <c r="A2668" s="15">
        <v>45900.59100694444</v>
      </c>
      <c r="B2668" s="16" t="s">
        <v>6591</v>
      </c>
      <c r="C2668" s="16" t="s">
        <v>7129</v>
      </c>
      <c r="D2668" s="16" t="s">
        <v>7335</v>
      </c>
      <c r="E2668" s="16" t="s">
        <v>7700</v>
      </c>
      <c r="F2668" s="16"/>
      <c r="G2668" s="16"/>
      <c r="H2668" s="18"/>
      <c r="I2668" s="18"/>
      <c r="J2668" s="18"/>
      <c r="K2668" s="18"/>
      <c r="L2668" s="18"/>
      <c r="M2668" s="18"/>
      <c r="N2668" s="18"/>
      <c r="O2668" s="18"/>
      <c r="P2668" s="18"/>
      <c r="Q2668" s="19"/>
      <c r="R2668" s="19"/>
      <c r="S2668" s="19"/>
    </row>
    <row r="2669" ht="15.75" customHeight="1">
      <c r="A2669" s="15">
        <v>45901.47318287037</v>
      </c>
      <c r="B2669" s="16" t="s">
        <v>6591</v>
      </c>
      <c r="C2669" s="16" t="s">
        <v>7129</v>
      </c>
      <c r="D2669" s="16" t="s">
        <v>7335</v>
      </c>
      <c r="E2669" s="16" t="s">
        <v>7701</v>
      </c>
      <c r="F2669" s="16"/>
      <c r="G2669" s="16"/>
      <c r="H2669" s="18"/>
      <c r="I2669" s="18"/>
      <c r="J2669" s="18"/>
      <c r="K2669" s="18"/>
      <c r="L2669" s="18"/>
      <c r="M2669" s="18"/>
      <c r="N2669" s="18"/>
      <c r="O2669" s="18"/>
      <c r="P2669" s="18"/>
      <c r="Q2669" s="19"/>
      <c r="R2669" s="19"/>
      <c r="S2669" s="19"/>
    </row>
    <row r="2670" ht="15.75" customHeight="1">
      <c r="A2670" s="15">
        <v>45901.47399305556</v>
      </c>
      <c r="B2670" s="16" t="s">
        <v>6591</v>
      </c>
      <c r="C2670" s="16" t="s">
        <v>7129</v>
      </c>
      <c r="D2670" s="16" t="s">
        <v>7335</v>
      </c>
      <c r="E2670" s="16" t="s">
        <v>7702</v>
      </c>
      <c r="F2670" s="16"/>
      <c r="G2670" s="16"/>
      <c r="H2670" s="18"/>
      <c r="I2670" s="18"/>
      <c r="J2670" s="18"/>
      <c r="K2670" s="18"/>
      <c r="L2670" s="18"/>
      <c r="M2670" s="18"/>
      <c r="N2670" s="18"/>
      <c r="O2670" s="18"/>
      <c r="P2670" s="18"/>
      <c r="Q2670" s="19"/>
      <c r="R2670" s="19"/>
      <c r="S2670" s="19"/>
    </row>
    <row r="2671" ht="15.75" customHeight="1">
      <c r="A2671" s="15">
        <v>45901.47577546296</v>
      </c>
      <c r="B2671" s="16" t="s">
        <v>6591</v>
      </c>
      <c r="C2671" s="16" t="s">
        <v>7129</v>
      </c>
      <c r="D2671" s="16" t="s">
        <v>7335</v>
      </c>
      <c r="E2671" s="16" t="s">
        <v>7703</v>
      </c>
      <c r="F2671" s="16"/>
      <c r="G2671" s="16"/>
      <c r="H2671" s="18"/>
      <c r="I2671" s="18"/>
      <c r="J2671" s="18"/>
      <c r="K2671" s="18"/>
      <c r="L2671" s="18"/>
      <c r="M2671" s="18"/>
      <c r="N2671" s="18"/>
      <c r="O2671" s="18"/>
      <c r="P2671" s="18"/>
      <c r="Q2671" s="19"/>
      <c r="R2671" s="19"/>
      <c r="S2671" s="19"/>
    </row>
    <row r="2672" ht="15.75" customHeight="1">
      <c r="A2672" s="15">
        <v>45901.47791666666</v>
      </c>
      <c r="B2672" s="16" t="s">
        <v>6591</v>
      </c>
      <c r="C2672" s="16" t="s">
        <v>7129</v>
      </c>
      <c r="D2672" s="16" t="s">
        <v>7335</v>
      </c>
      <c r="E2672" s="16" t="s">
        <v>7704</v>
      </c>
      <c r="F2672" s="16"/>
      <c r="G2672" s="16"/>
      <c r="H2672" s="18"/>
      <c r="I2672" s="18"/>
      <c r="J2672" s="18"/>
      <c r="K2672" s="18"/>
      <c r="L2672" s="18"/>
      <c r="M2672" s="18"/>
      <c r="N2672" s="18"/>
      <c r="O2672" s="18"/>
      <c r="P2672" s="18"/>
      <c r="Q2672" s="19"/>
      <c r="R2672" s="19"/>
      <c r="S2672" s="19"/>
    </row>
    <row r="2673" ht="15.75" customHeight="1">
      <c r="A2673" s="15">
        <v>45901.529641203706</v>
      </c>
      <c r="B2673" s="16" t="s">
        <v>6591</v>
      </c>
      <c r="C2673" s="16" t="s">
        <v>7129</v>
      </c>
      <c r="D2673" s="16" t="s">
        <v>7335</v>
      </c>
      <c r="E2673" s="16" t="s">
        <v>7705</v>
      </c>
      <c r="F2673" s="16"/>
      <c r="G2673" s="16"/>
      <c r="H2673" s="18"/>
      <c r="I2673" s="18"/>
      <c r="J2673" s="18"/>
      <c r="K2673" s="18"/>
      <c r="L2673" s="18"/>
      <c r="M2673" s="18"/>
      <c r="N2673" s="18"/>
      <c r="O2673" s="18"/>
      <c r="P2673" s="18"/>
      <c r="Q2673" s="19"/>
      <c r="R2673" s="19"/>
      <c r="S2673" s="19"/>
    </row>
    <row r="2674" ht="15.75" customHeight="1">
      <c r="A2674" s="15">
        <v>45901.60194444445</v>
      </c>
      <c r="B2674" s="16" t="s">
        <v>6591</v>
      </c>
      <c r="C2674" s="16" t="s">
        <v>7129</v>
      </c>
      <c r="D2674" s="16" t="s">
        <v>7335</v>
      </c>
      <c r="E2674" s="16" t="s">
        <v>7706</v>
      </c>
      <c r="F2674" s="16"/>
      <c r="G2674" s="16"/>
      <c r="H2674" s="18"/>
      <c r="I2674" s="18"/>
      <c r="J2674" s="18"/>
      <c r="K2674" s="18"/>
      <c r="L2674" s="18"/>
      <c r="M2674" s="18"/>
      <c r="N2674" s="18"/>
      <c r="O2674" s="18"/>
      <c r="P2674" s="18"/>
      <c r="Q2674" s="19"/>
      <c r="R2674" s="19"/>
      <c r="S2674" s="19"/>
    </row>
    <row r="2675" ht="15.75" customHeight="1">
      <c r="A2675" s="15">
        <v>45901.60340277778</v>
      </c>
      <c r="B2675" s="16" t="s">
        <v>6591</v>
      </c>
      <c r="C2675" s="16" t="s">
        <v>7129</v>
      </c>
      <c r="D2675" s="16" t="s">
        <v>7335</v>
      </c>
      <c r="E2675" s="16" t="s">
        <v>7707</v>
      </c>
      <c r="F2675" s="16"/>
      <c r="G2675" s="16"/>
      <c r="H2675" s="18"/>
      <c r="I2675" s="18"/>
      <c r="J2675" s="18"/>
      <c r="K2675" s="18"/>
      <c r="L2675" s="18"/>
      <c r="M2675" s="18"/>
      <c r="N2675" s="18"/>
      <c r="O2675" s="18"/>
      <c r="P2675" s="18"/>
      <c r="Q2675" s="19"/>
      <c r="R2675" s="19"/>
      <c r="S2675" s="19"/>
    </row>
    <row r="2676" ht="15.75" customHeight="1">
      <c r="A2676" s="15">
        <v>45901.711539351854</v>
      </c>
      <c r="B2676" s="16" t="s">
        <v>6591</v>
      </c>
      <c r="C2676" s="16" t="s">
        <v>7129</v>
      </c>
      <c r="D2676" s="16" t="s">
        <v>7335</v>
      </c>
      <c r="E2676" s="16" t="s">
        <v>7708</v>
      </c>
      <c r="F2676" s="16"/>
      <c r="G2676" s="16"/>
      <c r="H2676" s="18"/>
      <c r="I2676" s="18"/>
      <c r="J2676" s="18"/>
      <c r="K2676" s="18"/>
      <c r="L2676" s="18"/>
      <c r="M2676" s="18"/>
      <c r="N2676" s="18"/>
      <c r="O2676" s="18"/>
      <c r="P2676" s="18"/>
      <c r="Q2676" s="19"/>
      <c r="R2676" s="19"/>
      <c r="S2676" s="19"/>
    </row>
    <row r="2677" ht="15.75" customHeight="1">
      <c r="A2677" s="15">
        <v>45901.71528935185</v>
      </c>
      <c r="B2677" s="16" t="s">
        <v>6591</v>
      </c>
      <c r="C2677" s="16" t="s">
        <v>7129</v>
      </c>
      <c r="D2677" s="16" t="s">
        <v>7335</v>
      </c>
      <c r="E2677" s="16" t="s">
        <v>7709</v>
      </c>
      <c r="F2677" s="16"/>
      <c r="G2677" s="16"/>
      <c r="H2677" s="18"/>
      <c r="I2677" s="18"/>
      <c r="J2677" s="18"/>
      <c r="K2677" s="18"/>
      <c r="L2677" s="18"/>
      <c r="M2677" s="18"/>
      <c r="N2677" s="18"/>
      <c r="O2677" s="18"/>
      <c r="P2677" s="18"/>
      <c r="Q2677" s="19"/>
      <c r="R2677" s="19"/>
      <c r="S2677" s="19"/>
    </row>
    <row r="2678" ht="15.75" customHeight="1">
      <c r="A2678" s="15">
        <v>45901.715625</v>
      </c>
      <c r="B2678" s="16" t="s">
        <v>6591</v>
      </c>
      <c r="C2678" s="16" t="s">
        <v>7129</v>
      </c>
      <c r="D2678" s="16" t="s">
        <v>7335</v>
      </c>
      <c r="E2678" s="16" t="s">
        <v>7710</v>
      </c>
      <c r="F2678" s="16"/>
      <c r="G2678" s="16"/>
      <c r="H2678" s="18"/>
      <c r="I2678" s="18"/>
      <c r="J2678" s="18"/>
      <c r="K2678" s="18"/>
      <c r="L2678" s="18"/>
      <c r="M2678" s="18"/>
      <c r="N2678" s="18"/>
      <c r="O2678" s="18"/>
      <c r="P2678" s="18"/>
      <c r="Q2678" s="19"/>
      <c r="R2678" s="19"/>
      <c r="S2678" s="19"/>
    </row>
    <row r="2679" ht="15.75" customHeight="1">
      <c r="A2679" s="15">
        <v>45901.728784722225</v>
      </c>
      <c r="B2679" s="16" t="s">
        <v>6591</v>
      </c>
      <c r="C2679" s="16" t="s">
        <v>7129</v>
      </c>
      <c r="D2679" s="16" t="s">
        <v>7335</v>
      </c>
      <c r="E2679" s="16" t="s">
        <v>7711</v>
      </c>
      <c r="F2679" s="16"/>
      <c r="G2679" s="16"/>
      <c r="H2679" s="18"/>
      <c r="I2679" s="18"/>
      <c r="J2679" s="18"/>
      <c r="K2679" s="18"/>
      <c r="L2679" s="18"/>
      <c r="M2679" s="18"/>
      <c r="N2679" s="18"/>
      <c r="O2679" s="18"/>
      <c r="P2679" s="18"/>
      <c r="Q2679" s="19"/>
      <c r="R2679" s="19"/>
      <c r="S2679" s="19"/>
    </row>
    <row r="2680" ht="15.75" customHeight="1">
      <c r="A2680" s="15">
        <v>45901.79152777778</v>
      </c>
      <c r="B2680" s="16" t="s">
        <v>6591</v>
      </c>
      <c r="C2680" s="16" t="s">
        <v>7129</v>
      </c>
      <c r="D2680" s="16" t="s">
        <v>7335</v>
      </c>
      <c r="E2680" s="16" t="s">
        <v>7712</v>
      </c>
      <c r="F2680" s="16"/>
      <c r="G2680" s="16"/>
      <c r="H2680" s="18"/>
      <c r="I2680" s="18"/>
      <c r="J2680" s="18"/>
      <c r="K2680" s="18"/>
      <c r="L2680" s="18"/>
      <c r="M2680" s="18"/>
      <c r="N2680" s="18"/>
      <c r="O2680" s="18"/>
      <c r="P2680" s="18"/>
      <c r="Q2680" s="19"/>
      <c r="R2680" s="19"/>
      <c r="S2680" s="19"/>
    </row>
    <row r="2681" ht="15.75" customHeight="1">
      <c r="A2681" s="15">
        <v>45921.01144675926</v>
      </c>
      <c r="B2681" s="16" t="s">
        <v>6591</v>
      </c>
      <c r="C2681" s="16" t="s">
        <v>7129</v>
      </c>
      <c r="D2681" s="16" t="s">
        <v>7645</v>
      </c>
      <c r="E2681" s="16" t="s">
        <v>7713</v>
      </c>
      <c r="F2681" s="16"/>
      <c r="G2681" s="16"/>
      <c r="H2681" s="18"/>
      <c r="I2681" s="18"/>
      <c r="J2681" s="18"/>
      <c r="K2681" s="18"/>
      <c r="L2681" s="18"/>
      <c r="M2681" s="18"/>
      <c r="N2681" s="18"/>
      <c r="O2681" s="18"/>
      <c r="P2681" s="18"/>
      <c r="Q2681" s="19"/>
      <c r="R2681" s="19"/>
      <c r="S2681" s="19"/>
    </row>
    <row r="2682" ht="15.75" customHeight="1">
      <c r="A2682" s="15">
        <v>45933.139375</v>
      </c>
      <c r="B2682" s="16" t="s">
        <v>6591</v>
      </c>
      <c r="C2682" s="16" t="s">
        <v>7129</v>
      </c>
      <c r="D2682" s="16" t="s">
        <v>7714</v>
      </c>
      <c r="E2682" s="16" t="s">
        <v>7715</v>
      </c>
      <c r="F2682" s="16"/>
      <c r="G2682" s="16"/>
      <c r="H2682" s="18"/>
      <c r="I2682" s="18"/>
      <c r="J2682" s="18"/>
      <c r="K2682" s="18"/>
      <c r="L2682" s="18"/>
      <c r="M2682" s="18"/>
      <c r="N2682" s="18"/>
      <c r="O2682" s="18"/>
      <c r="P2682" s="18"/>
      <c r="Q2682" s="19"/>
      <c r="R2682" s="19"/>
      <c r="S2682" s="19"/>
    </row>
    <row r="2683" ht="15.75" customHeight="1">
      <c r="A2683" s="15">
        <v>45948.02309027778</v>
      </c>
      <c r="B2683" s="16" t="s">
        <v>6591</v>
      </c>
      <c r="C2683" s="16" t="s">
        <v>7129</v>
      </c>
      <c r="D2683" s="16" t="s">
        <v>7645</v>
      </c>
      <c r="E2683" s="16" t="s">
        <v>7716</v>
      </c>
      <c r="F2683" s="16"/>
      <c r="G2683" s="16"/>
      <c r="H2683" s="18"/>
      <c r="I2683" s="18"/>
      <c r="J2683" s="18"/>
      <c r="K2683" s="18"/>
      <c r="L2683" s="18"/>
      <c r="M2683" s="18"/>
      <c r="N2683" s="18"/>
      <c r="O2683" s="18"/>
      <c r="P2683" s="18"/>
      <c r="Q2683" s="19"/>
      <c r="R2683" s="19"/>
      <c r="S2683" s="19"/>
    </row>
    <row r="2684" ht="15.75" customHeight="1">
      <c r="A2684" s="15">
        <v>45948.16799768519</v>
      </c>
      <c r="B2684" s="16" t="s">
        <v>6591</v>
      </c>
      <c r="C2684" s="16" t="s">
        <v>7129</v>
      </c>
      <c r="D2684" s="16" t="s">
        <v>7645</v>
      </c>
      <c r="E2684" s="16" t="s">
        <v>7717</v>
      </c>
      <c r="F2684" s="16"/>
      <c r="G2684" s="16"/>
      <c r="H2684" s="18"/>
      <c r="I2684" s="18"/>
      <c r="J2684" s="18"/>
      <c r="K2684" s="18"/>
      <c r="L2684" s="18"/>
      <c r="M2684" s="18"/>
      <c r="N2684" s="18"/>
      <c r="O2684" s="18"/>
      <c r="P2684" s="18"/>
      <c r="Q2684" s="19"/>
      <c r="R2684" s="19"/>
      <c r="S2684" s="19"/>
    </row>
    <row r="2685" ht="15.75" customHeight="1">
      <c r="A2685" s="15">
        <v>45889.956342592595</v>
      </c>
      <c r="B2685" s="16" t="s">
        <v>6591</v>
      </c>
      <c r="C2685" s="16" t="s">
        <v>7718</v>
      </c>
      <c r="D2685" s="16" t="s">
        <v>7719</v>
      </c>
      <c r="E2685" s="16" t="s">
        <v>7720</v>
      </c>
      <c r="F2685" s="16"/>
      <c r="G2685" s="16"/>
      <c r="H2685" s="18"/>
      <c r="I2685" s="18"/>
      <c r="J2685" s="18"/>
      <c r="K2685" s="18"/>
      <c r="L2685" s="18"/>
      <c r="M2685" s="18"/>
      <c r="N2685" s="18"/>
      <c r="O2685" s="18"/>
      <c r="P2685" s="18"/>
      <c r="Q2685" s="19"/>
      <c r="R2685" s="19"/>
      <c r="S2685" s="19"/>
    </row>
    <row r="2686" ht="15.75" customHeight="1">
      <c r="A2686" s="15">
        <v>45802.991631944446</v>
      </c>
      <c r="B2686" s="16" t="s">
        <v>6591</v>
      </c>
      <c r="C2686" s="16" t="s">
        <v>7721</v>
      </c>
      <c r="D2686" s="16"/>
      <c r="E2686" s="16" t="s">
        <v>7722</v>
      </c>
      <c r="F2686" s="16"/>
      <c r="G2686" s="16"/>
      <c r="H2686" s="18"/>
      <c r="I2686" s="18"/>
      <c r="J2686" s="18"/>
      <c r="K2686" s="18"/>
      <c r="L2686" s="18"/>
      <c r="M2686" s="18"/>
      <c r="N2686" s="18"/>
      <c r="O2686" s="18"/>
      <c r="P2686" s="18"/>
      <c r="Q2686" s="19"/>
      <c r="R2686" s="19"/>
      <c r="S2686" s="19"/>
    </row>
    <row r="2687" ht="15.75" customHeight="1">
      <c r="A2687" s="15">
        <v>45814.612916666665</v>
      </c>
      <c r="B2687" s="16" t="s">
        <v>6591</v>
      </c>
      <c r="C2687" s="16" t="s">
        <v>7721</v>
      </c>
      <c r="D2687" s="16"/>
      <c r="E2687" s="16" t="s">
        <v>7723</v>
      </c>
      <c r="F2687" s="16"/>
      <c r="G2687" s="16"/>
      <c r="H2687" s="18"/>
      <c r="I2687" s="18"/>
      <c r="J2687" s="18"/>
      <c r="K2687" s="18"/>
      <c r="L2687" s="18"/>
      <c r="M2687" s="18"/>
      <c r="N2687" s="18"/>
      <c r="O2687" s="18"/>
      <c r="P2687" s="18"/>
      <c r="Q2687" s="19"/>
      <c r="R2687" s="19"/>
      <c r="S2687" s="19"/>
    </row>
    <row r="2688" ht="15.75" customHeight="1">
      <c r="A2688" s="15">
        <v>45824.439305555556</v>
      </c>
      <c r="B2688" s="16" t="s">
        <v>7724</v>
      </c>
      <c r="C2688" s="16" t="s">
        <v>7721</v>
      </c>
      <c r="D2688" s="16" t="s">
        <v>7725</v>
      </c>
      <c r="E2688" s="16" t="s">
        <v>7586</v>
      </c>
      <c r="F2688" s="16"/>
      <c r="G2688" s="16"/>
      <c r="H2688" s="18"/>
      <c r="I2688" s="18"/>
      <c r="J2688" s="18"/>
      <c r="K2688" s="18"/>
      <c r="L2688" s="18"/>
      <c r="M2688" s="18"/>
      <c r="N2688" s="18"/>
      <c r="O2688" s="18"/>
      <c r="P2688" s="18"/>
      <c r="Q2688" s="19"/>
      <c r="R2688" s="19"/>
      <c r="S2688" s="19"/>
    </row>
    <row r="2689" ht="15.75" customHeight="1">
      <c r="A2689" s="15">
        <v>45827.7184837963</v>
      </c>
      <c r="B2689" s="16" t="s">
        <v>6591</v>
      </c>
      <c r="C2689" s="16" t="s">
        <v>7721</v>
      </c>
      <c r="D2689" s="16" t="s">
        <v>7726</v>
      </c>
      <c r="E2689" s="16" t="s">
        <v>7727</v>
      </c>
      <c r="F2689" s="16"/>
      <c r="G2689" s="16"/>
      <c r="H2689" s="18"/>
      <c r="I2689" s="18"/>
      <c r="J2689" s="18"/>
      <c r="K2689" s="18"/>
      <c r="L2689" s="18"/>
      <c r="M2689" s="18"/>
      <c r="N2689" s="18"/>
      <c r="O2689" s="18"/>
      <c r="P2689" s="18"/>
      <c r="Q2689" s="19"/>
      <c r="R2689" s="19"/>
      <c r="S2689" s="19"/>
    </row>
    <row r="2690" ht="15.75" customHeight="1">
      <c r="A2690" s="15">
        <v>45834.338900462964</v>
      </c>
      <c r="B2690" s="16" t="s">
        <v>6591</v>
      </c>
      <c r="C2690" s="16" t="s">
        <v>7721</v>
      </c>
      <c r="D2690" s="16" t="s">
        <v>7728</v>
      </c>
      <c r="E2690" s="16" t="s">
        <v>7729</v>
      </c>
      <c r="F2690" s="16"/>
      <c r="G2690" s="16"/>
      <c r="H2690" s="18"/>
      <c r="I2690" s="18"/>
      <c r="J2690" s="18"/>
      <c r="K2690" s="18"/>
      <c r="L2690" s="18"/>
      <c r="M2690" s="18"/>
      <c r="N2690" s="18"/>
      <c r="O2690" s="18"/>
      <c r="P2690" s="18"/>
      <c r="Q2690" s="19"/>
      <c r="R2690" s="19"/>
      <c r="S2690" s="19"/>
    </row>
    <row r="2691" ht="15.75" customHeight="1">
      <c r="A2691" s="15">
        <v>45836.805138888885</v>
      </c>
      <c r="B2691" s="16" t="s">
        <v>6591</v>
      </c>
      <c r="C2691" s="16" t="s">
        <v>7721</v>
      </c>
      <c r="D2691" s="16" t="s">
        <v>7730</v>
      </c>
      <c r="E2691" s="16" t="s">
        <v>7731</v>
      </c>
      <c r="F2691" s="16"/>
      <c r="G2691" s="16"/>
      <c r="H2691" s="18"/>
      <c r="I2691" s="18"/>
      <c r="J2691" s="18"/>
      <c r="K2691" s="18"/>
      <c r="L2691" s="18"/>
      <c r="M2691" s="18"/>
      <c r="N2691" s="18"/>
      <c r="O2691" s="18"/>
      <c r="P2691" s="18"/>
      <c r="Q2691" s="19"/>
      <c r="R2691" s="19"/>
      <c r="S2691" s="19"/>
    </row>
    <row r="2692" ht="15.75" customHeight="1">
      <c r="A2692" s="15">
        <v>45838.89357638889</v>
      </c>
      <c r="B2692" s="16" t="s">
        <v>6591</v>
      </c>
      <c r="C2692" s="16" t="s">
        <v>7721</v>
      </c>
      <c r="D2692" s="16" t="s">
        <v>7732</v>
      </c>
      <c r="E2692" s="16" t="s">
        <v>7733</v>
      </c>
      <c r="F2692" s="16"/>
      <c r="G2692" s="16"/>
      <c r="H2692" s="18"/>
      <c r="I2692" s="18"/>
      <c r="J2692" s="18"/>
      <c r="K2692" s="18"/>
      <c r="L2692" s="18"/>
      <c r="M2692" s="18"/>
      <c r="N2692" s="18"/>
      <c r="O2692" s="18"/>
      <c r="P2692" s="18"/>
      <c r="Q2692" s="19"/>
      <c r="R2692" s="19"/>
      <c r="S2692" s="19"/>
    </row>
    <row r="2693" ht="15.75" customHeight="1">
      <c r="A2693" s="15">
        <v>45844.62693287037</v>
      </c>
      <c r="B2693" s="16" t="s">
        <v>6591</v>
      </c>
      <c r="C2693" s="16" t="s">
        <v>7721</v>
      </c>
      <c r="D2693" s="16" t="s">
        <v>7645</v>
      </c>
      <c r="E2693" s="16" t="s">
        <v>7734</v>
      </c>
      <c r="F2693" s="16"/>
      <c r="G2693" s="16"/>
      <c r="H2693" s="18"/>
      <c r="I2693" s="18"/>
      <c r="J2693" s="18"/>
      <c r="K2693" s="18"/>
      <c r="L2693" s="18"/>
      <c r="M2693" s="18"/>
      <c r="N2693" s="18"/>
      <c r="O2693" s="18"/>
      <c r="P2693" s="18"/>
      <c r="Q2693" s="19"/>
      <c r="R2693" s="19"/>
      <c r="S2693" s="19"/>
    </row>
    <row r="2694" ht="15.75" customHeight="1">
      <c r="A2694" s="15">
        <v>45850.76082175926</v>
      </c>
      <c r="B2694" s="16" t="s">
        <v>6591</v>
      </c>
      <c r="C2694" s="16" t="s">
        <v>7721</v>
      </c>
      <c r="D2694" s="16" t="s">
        <v>7735</v>
      </c>
      <c r="E2694" s="16" t="s">
        <v>7736</v>
      </c>
      <c r="F2694" s="16"/>
      <c r="G2694" s="16"/>
      <c r="H2694" s="18"/>
      <c r="I2694" s="18"/>
      <c r="J2694" s="18"/>
      <c r="K2694" s="18"/>
      <c r="L2694" s="18"/>
      <c r="M2694" s="18"/>
      <c r="N2694" s="18"/>
      <c r="O2694" s="18"/>
      <c r="P2694" s="18"/>
      <c r="Q2694" s="19"/>
      <c r="R2694" s="19"/>
      <c r="S2694" s="19"/>
    </row>
    <row r="2695" ht="15.75" customHeight="1">
      <c r="A2695" s="15">
        <v>45850.90347222222</v>
      </c>
      <c r="B2695" s="16" t="s">
        <v>6591</v>
      </c>
      <c r="C2695" s="16" t="s">
        <v>7721</v>
      </c>
      <c r="D2695" s="16" t="s">
        <v>7737</v>
      </c>
      <c r="E2695" s="16" t="s">
        <v>7738</v>
      </c>
      <c r="F2695" s="16"/>
      <c r="G2695" s="16"/>
      <c r="H2695" s="18"/>
      <c r="I2695" s="18"/>
      <c r="J2695" s="18"/>
      <c r="K2695" s="18"/>
      <c r="L2695" s="18"/>
      <c r="M2695" s="18"/>
      <c r="N2695" s="18"/>
      <c r="O2695" s="18"/>
      <c r="P2695" s="18"/>
      <c r="Q2695" s="19"/>
      <c r="R2695" s="19"/>
      <c r="S2695" s="19"/>
    </row>
    <row r="2696" ht="15.75" customHeight="1">
      <c r="A2696" s="15">
        <v>45865.33756944445</v>
      </c>
      <c r="B2696" s="16" t="s">
        <v>6591</v>
      </c>
      <c r="C2696" s="16" t="s">
        <v>7721</v>
      </c>
      <c r="D2696" s="16" t="s">
        <v>7739</v>
      </c>
      <c r="E2696" s="16" t="s">
        <v>7740</v>
      </c>
      <c r="F2696" s="16"/>
      <c r="G2696" s="16"/>
      <c r="H2696" s="18"/>
      <c r="I2696" s="18"/>
      <c r="J2696" s="18"/>
      <c r="K2696" s="18"/>
      <c r="L2696" s="18"/>
      <c r="M2696" s="18"/>
      <c r="N2696" s="18"/>
      <c r="O2696" s="18"/>
      <c r="P2696" s="18"/>
      <c r="Q2696" s="19"/>
      <c r="R2696" s="19"/>
      <c r="S2696" s="19"/>
    </row>
    <row r="2697" ht="15.75" customHeight="1">
      <c r="A2697" s="15">
        <v>45880.05902777778</v>
      </c>
      <c r="B2697" s="16" t="s">
        <v>6591</v>
      </c>
      <c r="C2697" s="16" t="s">
        <v>7721</v>
      </c>
      <c r="D2697" s="16" t="s">
        <v>7741</v>
      </c>
      <c r="E2697" s="16" t="s">
        <v>7742</v>
      </c>
      <c r="F2697" s="16"/>
      <c r="G2697" s="16"/>
      <c r="H2697" s="18"/>
      <c r="I2697" s="18"/>
      <c r="J2697" s="18"/>
      <c r="K2697" s="18"/>
      <c r="L2697" s="18"/>
      <c r="M2697" s="18"/>
      <c r="N2697" s="18"/>
      <c r="O2697" s="18"/>
      <c r="P2697" s="18"/>
      <c r="Q2697" s="19"/>
      <c r="R2697" s="19"/>
      <c r="S2697" s="19"/>
    </row>
    <row r="2698" ht="15.75" customHeight="1">
      <c r="A2698" s="15">
        <v>45880.53653935185</v>
      </c>
      <c r="B2698" s="16" t="s">
        <v>6591</v>
      </c>
      <c r="C2698" s="16" t="s">
        <v>7721</v>
      </c>
      <c r="D2698" s="16" t="s">
        <v>7743</v>
      </c>
      <c r="E2698" s="16" t="s">
        <v>7744</v>
      </c>
      <c r="F2698" s="16"/>
      <c r="G2698" s="16"/>
      <c r="H2698" s="18"/>
      <c r="I2698" s="18"/>
      <c r="J2698" s="18"/>
      <c r="K2698" s="18"/>
      <c r="L2698" s="18"/>
      <c r="M2698" s="18"/>
      <c r="N2698" s="18"/>
      <c r="O2698" s="18"/>
      <c r="P2698" s="18"/>
      <c r="Q2698" s="19"/>
      <c r="R2698" s="19"/>
      <c r="S2698" s="19"/>
    </row>
    <row r="2699" ht="15.75" customHeight="1">
      <c r="A2699" s="15">
        <v>45891.994155092594</v>
      </c>
      <c r="B2699" s="16" t="s">
        <v>6591</v>
      </c>
      <c r="C2699" s="16" t="s">
        <v>7721</v>
      </c>
      <c r="D2699" s="16" t="s">
        <v>7745</v>
      </c>
      <c r="E2699" s="16" t="s">
        <v>7746</v>
      </c>
      <c r="F2699" s="16"/>
      <c r="G2699" s="16"/>
      <c r="H2699" s="18"/>
      <c r="I2699" s="18"/>
      <c r="J2699" s="18"/>
      <c r="K2699" s="18"/>
      <c r="L2699" s="18"/>
      <c r="M2699" s="18"/>
      <c r="N2699" s="18"/>
      <c r="O2699" s="18"/>
      <c r="P2699" s="18"/>
      <c r="Q2699" s="19"/>
      <c r="R2699" s="19"/>
      <c r="S2699" s="19"/>
    </row>
    <row r="2700" ht="15.75" customHeight="1">
      <c r="A2700" s="15">
        <v>45892.360289351855</v>
      </c>
      <c r="B2700" s="16" t="s">
        <v>6591</v>
      </c>
      <c r="C2700" s="16" t="s">
        <v>7721</v>
      </c>
      <c r="D2700" s="16" t="s">
        <v>7747</v>
      </c>
      <c r="E2700" s="16" t="s">
        <v>7748</v>
      </c>
      <c r="F2700" s="16"/>
      <c r="G2700" s="16"/>
      <c r="H2700" s="18"/>
      <c r="I2700" s="18"/>
      <c r="J2700" s="18"/>
      <c r="K2700" s="18"/>
      <c r="L2700" s="18"/>
      <c r="M2700" s="18"/>
      <c r="N2700" s="18"/>
      <c r="O2700" s="18"/>
      <c r="P2700" s="18"/>
      <c r="Q2700" s="19"/>
      <c r="R2700" s="19"/>
      <c r="S2700" s="19"/>
    </row>
    <row r="2701" ht="15.75" customHeight="1">
      <c r="A2701" s="15">
        <v>45892.363703703704</v>
      </c>
      <c r="B2701" s="16" t="s">
        <v>6591</v>
      </c>
      <c r="C2701" s="16" t="s">
        <v>7721</v>
      </c>
      <c r="D2701" s="16" t="s">
        <v>7749</v>
      </c>
      <c r="E2701" s="16" t="s">
        <v>7750</v>
      </c>
      <c r="F2701" s="16"/>
      <c r="G2701" s="16"/>
      <c r="H2701" s="18"/>
      <c r="I2701" s="18"/>
      <c r="J2701" s="18"/>
      <c r="K2701" s="18"/>
      <c r="L2701" s="18"/>
      <c r="M2701" s="18"/>
      <c r="N2701" s="18"/>
      <c r="O2701" s="18"/>
      <c r="P2701" s="18"/>
      <c r="Q2701" s="19"/>
      <c r="R2701" s="19"/>
      <c r="S2701" s="19"/>
    </row>
    <row r="2702" ht="15.75" customHeight="1">
      <c r="A2702" s="15">
        <v>45894.333333333336</v>
      </c>
      <c r="B2702" s="16" t="s">
        <v>6591</v>
      </c>
      <c r="C2702" s="16" t="s">
        <v>7721</v>
      </c>
      <c r="D2702" s="16" t="s">
        <v>7751</v>
      </c>
      <c r="E2702" s="16" t="s">
        <v>7752</v>
      </c>
      <c r="F2702" s="16"/>
      <c r="G2702" s="16"/>
      <c r="H2702" s="18"/>
      <c r="I2702" s="18"/>
      <c r="J2702" s="18"/>
      <c r="K2702" s="18"/>
      <c r="L2702" s="18"/>
      <c r="M2702" s="18"/>
      <c r="N2702" s="18"/>
      <c r="O2702" s="18"/>
      <c r="P2702" s="18"/>
      <c r="Q2702" s="19"/>
      <c r="R2702" s="19"/>
      <c r="S2702" s="19"/>
    </row>
    <row r="2703" ht="15.75" customHeight="1">
      <c r="A2703" s="15">
        <v>45899.40835648148</v>
      </c>
      <c r="B2703" s="16" t="s">
        <v>6591</v>
      </c>
      <c r="C2703" s="16" t="s">
        <v>7721</v>
      </c>
      <c r="D2703" s="16" t="s">
        <v>7645</v>
      </c>
      <c r="E2703" s="16" t="s">
        <v>7753</v>
      </c>
      <c r="F2703" s="16"/>
      <c r="G2703" s="16"/>
      <c r="H2703" s="18"/>
      <c r="I2703" s="18"/>
      <c r="J2703" s="18"/>
      <c r="K2703" s="18"/>
      <c r="L2703" s="18"/>
      <c r="M2703" s="18"/>
      <c r="N2703" s="18"/>
      <c r="O2703" s="18"/>
      <c r="P2703" s="18"/>
      <c r="Q2703" s="19"/>
      <c r="R2703" s="19"/>
      <c r="S2703" s="19"/>
    </row>
    <row r="2704" ht="15.75" customHeight="1">
      <c r="A2704" s="15">
        <v>45912.586851851855</v>
      </c>
      <c r="B2704" s="16" t="s">
        <v>6591</v>
      </c>
      <c r="C2704" s="16" t="s">
        <v>7721</v>
      </c>
      <c r="D2704" s="16" t="s">
        <v>7754</v>
      </c>
      <c r="E2704" s="16" t="s">
        <v>7755</v>
      </c>
      <c r="F2704" s="16"/>
      <c r="G2704" s="16"/>
      <c r="H2704" s="18"/>
      <c r="I2704" s="18"/>
      <c r="J2704" s="18"/>
      <c r="K2704" s="18"/>
      <c r="L2704" s="18"/>
      <c r="M2704" s="18"/>
      <c r="N2704" s="18"/>
      <c r="O2704" s="18"/>
      <c r="P2704" s="18"/>
      <c r="Q2704" s="19"/>
      <c r="R2704" s="19"/>
      <c r="S2704" s="19"/>
    </row>
    <row r="2705" ht="15.75" customHeight="1">
      <c r="A2705" s="15">
        <v>45913.42737268518</v>
      </c>
      <c r="B2705" s="16" t="s">
        <v>6591</v>
      </c>
      <c r="C2705" s="16" t="s">
        <v>7721</v>
      </c>
      <c r="D2705" s="16" t="s">
        <v>7756</v>
      </c>
      <c r="E2705" s="16" t="s">
        <v>7757</v>
      </c>
      <c r="F2705" s="16"/>
      <c r="G2705" s="16"/>
      <c r="H2705" s="18"/>
      <c r="I2705" s="18"/>
      <c r="J2705" s="18"/>
      <c r="K2705" s="18"/>
      <c r="L2705" s="18"/>
      <c r="M2705" s="18"/>
      <c r="N2705" s="18"/>
      <c r="O2705" s="18"/>
      <c r="P2705" s="18"/>
      <c r="Q2705" s="19"/>
      <c r="R2705" s="19"/>
      <c r="S2705" s="19"/>
    </row>
    <row r="2706" ht="15.75" customHeight="1">
      <c r="A2706" s="15">
        <v>45914.901921296296</v>
      </c>
      <c r="B2706" s="16" t="s">
        <v>6591</v>
      </c>
      <c r="C2706" s="16" t="s">
        <v>7721</v>
      </c>
      <c r="D2706" s="16" t="s">
        <v>7645</v>
      </c>
      <c r="E2706" s="16" t="s">
        <v>7758</v>
      </c>
      <c r="F2706" s="16"/>
      <c r="G2706" s="16"/>
      <c r="H2706" s="18"/>
      <c r="I2706" s="18"/>
      <c r="J2706" s="18"/>
      <c r="K2706" s="18"/>
      <c r="L2706" s="18"/>
      <c r="M2706" s="18"/>
      <c r="N2706" s="18"/>
      <c r="O2706" s="18"/>
      <c r="P2706" s="18"/>
      <c r="Q2706" s="19"/>
      <c r="R2706" s="19"/>
      <c r="S2706" s="19"/>
    </row>
    <row r="2707" ht="15.75" customHeight="1">
      <c r="A2707" s="15">
        <v>45919.9119212963</v>
      </c>
      <c r="B2707" s="16" t="s">
        <v>6591</v>
      </c>
      <c r="C2707" s="16" t="s">
        <v>7721</v>
      </c>
      <c r="D2707" s="16" t="s">
        <v>7645</v>
      </c>
      <c r="E2707" s="16" t="s">
        <v>7759</v>
      </c>
      <c r="F2707" s="16"/>
      <c r="G2707" s="16"/>
      <c r="H2707" s="18"/>
      <c r="I2707" s="18"/>
      <c r="J2707" s="18"/>
      <c r="K2707" s="18"/>
      <c r="L2707" s="18"/>
      <c r="M2707" s="18"/>
      <c r="N2707" s="18"/>
      <c r="O2707" s="18"/>
      <c r="P2707" s="18"/>
      <c r="Q2707" s="19"/>
      <c r="R2707" s="19"/>
      <c r="S2707" s="19"/>
    </row>
    <row r="2708" ht="15.75" customHeight="1">
      <c r="A2708" s="15">
        <v>45925.38564814815</v>
      </c>
      <c r="B2708" s="16" t="s">
        <v>6591</v>
      </c>
      <c r="C2708" s="16" t="s">
        <v>7721</v>
      </c>
      <c r="D2708" s="16"/>
      <c r="E2708" s="16" t="s">
        <v>7760</v>
      </c>
      <c r="F2708" s="16"/>
      <c r="G2708" s="16"/>
      <c r="H2708" s="18"/>
      <c r="I2708" s="18"/>
      <c r="J2708" s="18"/>
      <c r="K2708" s="18"/>
      <c r="L2708" s="18"/>
      <c r="M2708" s="18"/>
      <c r="N2708" s="18"/>
      <c r="O2708" s="18"/>
      <c r="P2708" s="18"/>
      <c r="Q2708" s="19"/>
      <c r="R2708" s="19"/>
      <c r="S2708" s="19"/>
    </row>
    <row r="2709" ht="15.75" customHeight="1">
      <c r="A2709" s="15">
        <v>45926.333333333336</v>
      </c>
      <c r="B2709" s="16" t="s">
        <v>6591</v>
      </c>
      <c r="C2709" s="16" t="s">
        <v>7721</v>
      </c>
      <c r="D2709" s="16" t="s">
        <v>7761</v>
      </c>
      <c r="E2709" s="16" t="s">
        <v>7762</v>
      </c>
      <c r="F2709" s="16"/>
      <c r="G2709" s="16"/>
      <c r="H2709" s="18"/>
      <c r="I2709" s="18"/>
      <c r="J2709" s="18"/>
      <c r="K2709" s="18"/>
      <c r="L2709" s="18"/>
      <c r="M2709" s="18"/>
      <c r="N2709" s="18"/>
      <c r="O2709" s="18"/>
      <c r="P2709" s="18"/>
      <c r="Q2709" s="19"/>
      <c r="R2709" s="19"/>
      <c r="S2709" s="19"/>
    </row>
    <row r="2710" ht="15.75" customHeight="1">
      <c r="A2710" s="15">
        <v>45933.333333333336</v>
      </c>
      <c r="B2710" s="16" t="s">
        <v>6591</v>
      </c>
      <c r="C2710" s="16" t="s">
        <v>7721</v>
      </c>
      <c r="D2710" s="16" t="s">
        <v>7763</v>
      </c>
      <c r="E2710" s="16" t="s">
        <v>7764</v>
      </c>
      <c r="F2710" s="16"/>
      <c r="G2710" s="16"/>
      <c r="H2710" s="18"/>
      <c r="I2710" s="18"/>
      <c r="J2710" s="18"/>
      <c r="K2710" s="18"/>
      <c r="L2710" s="18"/>
      <c r="M2710" s="18"/>
      <c r="N2710" s="18"/>
      <c r="O2710" s="18"/>
      <c r="P2710" s="18"/>
      <c r="Q2710" s="19"/>
      <c r="R2710" s="19"/>
      <c r="S2710" s="19"/>
    </row>
    <row r="2711" ht="15.75" customHeight="1">
      <c r="A2711" s="15">
        <v>45891.90662037037</v>
      </c>
      <c r="B2711" s="16" t="s">
        <v>6591</v>
      </c>
      <c r="C2711" s="16" t="s">
        <v>7765</v>
      </c>
      <c r="D2711" s="16" t="s">
        <v>7686</v>
      </c>
      <c r="E2711" s="16" t="s">
        <v>7766</v>
      </c>
      <c r="F2711" s="16"/>
      <c r="G2711" s="16"/>
      <c r="H2711" s="18"/>
      <c r="I2711" s="18"/>
      <c r="J2711" s="18"/>
      <c r="K2711" s="18"/>
      <c r="L2711" s="18"/>
      <c r="M2711" s="18"/>
      <c r="N2711" s="18"/>
      <c r="O2711" s="18"/>
      <c r="P2711" s="18"/>
      <c r="Q2711" s="19"/>
      <c r="R2711" s="19"/>
      <c r="S2711" s="19"/>
    </row>
    <row r="2712" ht="15.75" customHeight="1">
      <c r="A2712" s="15">
        <v>45823.31327546296</v>
      </c>
      <c r="B2712" s="16" t="s">
        <v>6591</v>
      </c>
      <c r="C2712" s="16" t="s">
        <v>7157</v>
      </c>
      <c r="D2712" s="16" t="s">
        <v>7767</v>
      </c>
      <c r="E2712" s="16" t="s">
        <v>7768</v>
      </c>
      <c r="F2712" s="16"/>
      <c r="G2712" s="16"/>
      <c r="H2712" s="18"/>
      <c r="I2712" s="18"/>
      <c r="J2712" s="18"/>
      <c r="K2712" s="18"/>
      <c r="L2712" s="18"/>
      <c r="M2712" s="18"/>
      <c r="N2712" s="18"/>
      <c r="O2712" s="18"/>
      <c r="P2712" s="18"/>
      <c r="Q2712" s="19"/>
      <c r="R2712" s="19"/>
      <c r="S2712" s="19"/>
    </row>
    <row r="2713" ht="15.75" customHeight="1">
      <c r="A2713" s="15">
        <v>45827.768541666665</v>
      </c>
      <c r="B2713" s="16" t="s">
        <v>6591</v>
      </c>
      <c r="C2713" s="16" t="s">
        <v>7157</v>
      </c>
      <c r="D2713" s="16" t="s">
        <v>7215</v>
      </c>
      <c r="E2713" s="16" t="s">
        <v>7769</v>
      </c>
      <c r="F2713" s="16"/>
      <c r="G2713" s="16"/>
      <c r="H2713" s="18"/>
      <c r="I2713" s="18"/>
      <c r="J2713" s="18"/>
      <c r="K2713" s="18"/>
      <c r="L2713" s="18"/>
      <c r="M2713" s="18"/>
      <c r="N2713" s="18"/>
      <c r="O2713" s="18"/>
      <c r="P2713" s="18"/>
      <c r="Q2713" s="19"/>
      <c r="R2713" s="19"/>
      <c r="S2713" s="19"/>
    </row>
    <row r="2714" ht="15.75" customHeight="1">
      <c r="A2714" s="15">
        <v>45827.94122685185</v>
      </c>
      <c r="B2714" s="16" t="s">
        <v>6591</v>
      </c>
      <c r="C2714" s="16" t="s">
        <v>7157</v>
      </c>
      <c r="D2714" s="16" t="s">
        <v>7215</v>
      </c>
      <c r="E2714" s="16" t="s">
        <v>7770</v>
      </c>
      <c r="F2714" s="16"/>
      <c r="G2714" s="16"/>
      <c r="H2714" s="18"/>
      <c r="I2714" s="18"/>
      <c r="J2714" s="18"/>
      <c r="K2714" s="18"/>
      <c r="L2714" s="18"/>
      <c r="M2714" s="18"/>
      <c r="N2714" s="18"/>
      <c r="O2714" s="18"/>
      <c r="P2714" s="18"/>
      <c r="Q2714" s="19"/>
      <c r="R2714" s="19"/>
      <c r="S2714" s="19"/>
    </row>
    <row r="2715" ht="15.75" customHeight="1">
      <c r="A2715" s="15">
        <v>45830.399305555555</v>
      </c>
      <c r="B2715" s="16" t="s">
        <v>6591</v>
      </c>
      <c r="C2715" s="16" t="s">
        <v>7157</v>
      </c>
      <c r="D2715" s="16" t="s">
        <v>7215</v>
      </c>
      <c r="E2715" s="16" t="s">
        <v>7771</v>
      </c>
      <c r="F2715" s="16"/>
      <c r="G2715" s="16"/>
      <c r="H2715" s="18"/>
      <c r="I2715" s="18"/>
      <c r="J2715" s="18"/>
      <c r="K2715" s="18"/>
      <c r="L2715" s="18"/>
      <c r="M2715" s="18"/>
      <c r="N2715" s="18"/>
      <c r="O2715" s="18"/>
      <c r="P2715" s="18"/>
      <c r="Q2715" s="19"/>
      <c r="R2715" s="19"/>
      <c r="S2715" s="19"/>
    </row>
    <row r="2716" ht="15.75" customHeight="1">
      <c r="A2716" s="15">
        <v>45842.61287037037</v>
      </c>
      <c r="B2716" s="16" t="s">
        <v>6591</v>
      </c>
      <c r="C2716" s="16" t="s">
        <v>7157</v>
      </c>
      <c r="D2716" s="16" t="s">
        <v>7198</v>
      </c>
      <c r="E2716" s="16" t="s">
        <v>7772</v>
      </c>
      <c r="F2716" s="16"/>
      <c r="G2716" s="16"/>
      <c r="H2716" s="18"/>
      <c r="I2716" s="18"/>
      <c r="J2716" s="18"/>
      <c r="K2716" s="18"/>
      <c r="L2716" s="18"/>
      <c r="M2716" s="18"/>
      <c r="N2716" s="18"/>
      <c r="O2716" s="18"/>
      <c r="P2716" s="18"/>
      <c r="Q2716" s="19"/>
      <c r="R2716" s="19"/>
      <c r="S2716" s="19"/>
    </row>
    <row r="2717" ht="15.75" customHeight="1">
      <c r="A2717" s="15">
        <v>45896.39283564815</v>
      </c>
      <c r="B2717" s="16" t="s">
        <v>6591</v>
      </c>
      <c r="C2717" s="16" t="s">
        <v>7157</v>
      </c>
      <c r="D2717" s="16" t="s">
        <v>7320</v>
      </c>
      <c r="E2717" s="16" t="s">
        <v>7773</v>
      </c>
      <c r="F2717" s="16"/>
      <c r="G2717" s="16"/>
      <c r="H2717" s="18"/>
      <c r="I2717" s="18"/>
      <c r="J2717" s="18"/>
      <c r="K2717" s="18"/>
      <c r="L2717" s="18"/>
      <c r="M2717" s="18"/>
      <c r="N2717" s="18"/>
      <c r="O2717" s="18"/>
      <c r="P2717" s="18"/>
      <c r="Q2717" s="19"/>
      <c r="R2717" s="19"/>
      <c r="S2717" s="19"/>
    </row>
    <row r="2718" ht="15.75" customHeight="1">
      <c r="A2718" s="15">
        <v>45896.521365740744</v>
      </c>
      <c r="B2718" s="16" t="s">
        <v>6591</v>
      </c>
      <c r="C2718" s="16" t="s">
        <v>7157</v>
      </c>
      <c r="D2718" s="16" t="s">
        <v>7320</v>
      </c>
      <c r="E2718" s="16" t="s">
        <v>7774</v>
      </c>
      <c r="F2718" s="16"/>
      <c r="G2718" s="16"/>
      <c r="H2718" s="18"/>
      <c r="I2718" s="18"/>
      <c r="J2718" s="18"/>
      <c r="K2718" s="18"/>
      <c r="L2718" s="18"/>
      <c r="M2718" s="18"/>
      <c r="N2718" s="18"/>
      <c r="O2718" s="18"/>
      <c r="P2718" s="18"/>
      <c r="Q2718" s="19"/>
      <c r="R2718" s="19"/>
      <c r="S2718" s="19"/>
    </row>
    <row r="2719" ht="15.75" customHeight="1">
      <c r="A2719" s="15">
        <v>45896.53094907408</v>
      </c>
      <c r="B2719" s="16" t="s">
        <v>6591</v>
      </c>
      <c r="C2719" s="16" t="s">
        <v>7157</v>
      </c>
      <c r="D2719" s="16" t="s">
        <v>7320</v>
      </c>
      <c r="E2719" s="16" t="s">
        <v>7775</v>
      </c>
      <c r="F2719" s="16"/>
      <c r="G2719" s="16"/>
      <c r="H2719" s="18"/>
      <c r="I2719" s="18"/>
      <c r="J2719" s="18"/>
      <c r="K2719" s="18"/>
      <c r="L2719" s="18"/>
      <c r="M2719" s="18"/>
      <c r="N2719" s="18"/>
      <c r="O2719" s="18"/>
      <c r="P2719" s="18"/>
      <c r="Q2719" s="19"/>
      <c r="R2719" s="19"/>
      <c r="S2719" s="19"/>
    </row>
    <row r="2720" ht="15.75" customHeight="1">
      <c r="A2720" s="15">
        <v>45896.53631944444</v>
      </c>
      <c r="B2720" s="16" t="s">
        <v>6591</v>
      </c>
      <c r="C2720" s="16" t="s">
        <v>7157</v>
      </c>
      <c r="D2720" s="16" t="s">
        <v>7320</v>
      </c>
      <c r="E2720" s="16" t="s">
        <v>7776</v>
      </c>
      <c r="F2720" s="16"/>
      <c r="G2720" s="16"/>
      <c r="H2720" s="18"/>
      <c r="I2720" s="18"/>
      <c r="J2720" s="18"/>
      <c r="K2720" s="18"/>
      <c r="L2720" s="18"/>
      <c r="M2720" s="18"/>
      <c r="N2720" s="18"/>
      <c r="O2720" s="18"/>
      <c r="P2720" s="18"/>
      <c r="Q2720" s="19"/>
      <c r="R2720" s="19"/>
      <c r="S2720" s="19"/>
    </row>
    <row r="2721" ht="15.75" customHeight="1">
      <c r="A2721" s="15">
        <v>45896.53693287037</v>
      </c>
      <c r="B2721" s="16" t="s">
        <v>6591</v>
      </c>
      <c r="C2721" s="16" t="s">
        <v>7157</v>
      </c>
      <c r="D2721" s="16" t="s">
        <v>7320</v>
      </c>
      <c r="E2721" s="16" t="s">
        <v>7777</v>
      </c>
      <c r="F2721" s="16"/>
      <c r="G2721" s="16"/>
      <c r="H2721" s="18"/>
      <c r="I2721" s="18"/>
      <c r="J2721" s="18"/>
      <c r="K2721" s="18"/>
      <c r="L2721" s="18"/>
      <c r="M2721" s="18"/>
      <c r="N2721" s="18"/>
      <c r="O2721" s="18"/>
      <c r="P2721" s="18"/>
      <c r="Q2721" s="19"/>
      <c r="R2721" s="19"/>
      <c r="S2721" s="19"/>
    </row>
    <row r="2722" ht="15.75" customHeight="1">
      <c r="A2722" s="15">
        <v>45896.53803240741</v>
      </c>
      <c r="B2722" s="16" t="s">
        <v>6591</v>
      </c>
      <c r="C2722" s="16" t="s">
        <v>7157</v>
      </c>
      <c r="D2722" s="16" t="s">
        <v>7320</v>
      </c>
      <c r="E2722" s="16" t="s">
        <v>7778</v>
      </c>
      <c r="F2722" s="16"/>
      <c r="G2722" s="16"/>
      <c r="H2722" s="18"/>
      <c r="I2722" s="18"/>
      <c r="J2722" s="18"/>
      <c r="K2722" s="18"/>
      <c r="L2722" s="18"/>
      <c r="M2722" s="18"/>
      <c r="N2722" s="18"/>
      <c r="O2722" s="18"/>
      <c r="P2722" s="18"/>
      <c r="Q2722" s="19"/>
      <c r="R2722" s="19"/>
      <c r="S2722" s="19"/>
    </row>
    <row r="2723" ht="15.75" customHeight="1">
      <c r="A2723" s="15">
        <v>45896.54215277778</v>
      </c>
      <c r="B2723" s="16" t="s">
        <v>6591</v>
      </c>
      <c r="C2723" s="16" t="s">
        <v>7157</v>
      </c>
      <c r="D2723" s="16" t="s">
        <v>7320</v>
      </c>
      <c r="E2723" s="16" t="s">
        <v>7779</v>
      </c>
      <c r="F2723" s="16"/>
      <c r="G2723" s="16"/>
      <c r="H2723" s="18"/>
      <c r="I2723" s="18"/>
      <c r="J2723" s="18"/>
      <c r="K2723" s="18"/>
      <c r="L2723" s="18"/>
      <c r="M2723" s="18"/>
      <c r="N2723" s="18"/>
      <c r="O2723" s="18"/>
      <c r="P2723" s="18"/>
      <c r="Q2723" s="19"/>
      <c r="R2723" s="19"/>
      <c r="S2723" s="19"/>
    </row>
    <row r="2724" ht="15.75" customHeight="1">
      <c r="A2724" s="15">
        <v>45896.543275462966</v>
      </c>
      <c r="B2724" s="16" t="s">
        <v>6591</v>
      </c>
      <c r="C2724" s="16" t="s">
        <v>7157</v>
      </c>
      <c r="D2724" s="16" t="s">
        <v>7320</v>
      </c>
      <c r="E2724" s="16" t="s">
        <v>7780</v>
      </c>
      <c r="F2724" s="16"/>
      <c r="G2724" s="16"/>
      <c r="H2724" s="18"/>
      <c r="I2724" s="18"/>
      <c r="J2724" s="18"/>
      <c r="K2724" s="18"/>
      <c r="L2724" s="18"/>
      <c r="M2724" s="18"/>
      <c r="N2724" s="18"/>
      <c r="O2724" s="18"/>
      <c r="P2724" s="18"/>
      <c r="Q2724" s="19"/>
      <c r="R2724" s="19"/>
      <c r="S2724" s="19"/>
    </row>
    <row r="2725" ht="15.75" customHeight="1">
      <c r="A2725" s="15">
        <v>45896.5453587963</v>
      </c>
      <c r="B2725" s="16" t="s">
        <v>6591</v>
      </c>
      <c r="C2725" s="16" t="s">
        <v>7157</v>
      </c>
      <c r="D2725" s="16" t="s">
        <v>7320</v>
      </c>
      <c r="E2725" s="16" t="s">
        <v>7781</v>
      </c>
      <c r="F2725" s="16"/>
      <c r="G2725" s="16"/>
      <c r="H2725" s="18"/>
      <c r="I2725" s="18"/>
      <c r="J2725" s="18"/>
      <c r="K2725" s="18"/>
      <c r="L2725" s="18"/>
      <c r="M2725" s="18"/>
      <c r="N2725" s="18"/>
      <c r="O2725" s="18"/>
      <c r="P2725" s="18"/>
      <c r="Q2725" s="19"/>
      <c r="R2725" s="19"/>
      <c r="S2725" s="19"/>
    </row>
    <row r="2726" ht="15.75" customHeight="1">
      <c r="A2726" s="15">
        <v>45896.54620370371</v>
      </c>
      <c r="B2726" s="16" t="s">
        <v>6591</v>
      </c>
      <c r="C2726" s="16" t="s">
        <v>7157</v>
      </c>
      <c r="D2726" s="16" t="s">
        <v>7320</v>
      </c>
      <c r="E2726" s="16" t="s">
        <v>7782</v>
      </c>
      <c r="F2726" s="16"/>
      <c r="G2726" s="16"/>
      <c r="H2726" s="18"/>
      <c r="I2726" s="18"/>
      <c r="J2726" s="18"/>
      <c r="K2726" s="18"/>
      <c r="L2726" s="18"/>
      <c r="M2726" s="18"/>
      <c r="N2726" s="18"/>
      <c r="O2726" s="18"/>
      <c r="P2726" s="18"/>
      <c r="Q2726" s="19"/>
      <c r="R2726" s="19"/>
      <c r="S2726" s="19"/>
    </row>
    <row r="2727" ht="15.75" customHeight="1">
      <c r="A2727" s="15">
        <v>45896.59027777778</v>
      </c>
      <c r="B2727" s="16" t="s">
        <v>6591</v>
      </c>
      <c r="C2727" s="16" t="s">
        <v>7157</v>
      </c>
      <c r="D2727" s="16" t="s">
        <v>7320</v>
      </c>
      <c r="E2727" s="16" t="s">
        <v>7783</v>
      </c>
      <c r="F2727" s="16"/>
      <c r="G2727" s="16"/>
      <c r="H2727" s="18"/>
      <c r="I2727" s="18"/>
      <c r="J2727" s="18"/>
      <c r="K2727" s="18"/>
      <c r="L2727" s="18"/>
      <c r="M2727" s="18"/>
      <c r="N2727" s="18"/>
      <c r="O2727" s="18"/>
      <c r="P2727" s="18"/>
      <c r="Q2727" s="19"/>
      <c r="R2727" s="19"/>
      <c r="S2727" s="19"/>
    </row>
    <row r="2728" ht="15.75" customHeight="1">
      <c r="A2728" s="15">
        <v>45896.59166666667</v>
      </c>
      <c r="B2728" s="16" t="s">
        <v>6591</v>
      </c>
      <c r="C2728" s="16" t="s">
        <v>7157</v>
      </c>
      <c r="D2728" s="16" t="s">
        <v>7320</v>
      </c>
      <c r="E2728" s="16" t="s">
        <v>7784</v>
      </c>
      <c r="F2728" s="16"/>
      <c r="G2728" s="16"/>
      <c r="H2728" s="18"/>
      <c r="I2728" s="18"/>
      <c r="J2728" s="18"/>
      <c r="K2728" s="18"/>
      <c r="L2728" s="18"/>
      <c r="M2728" s="18"/>
      <c r="N2728" s="18"/>
      <c r="O2728" s="18"/>
      <c r="P2728" s="18"/>
      <c r="Q2728" s="19"/>
      <c r="R2728" s="19"/>
      <c r="S2728" s="19"/>
    </row>
    <row r="2729" ht="15.75" customHeight="1">
      <c r="A2729" s="15">
        <v>45896.660046296296</v>
      </c>
      <c r="B2729" s="16" t="s">
        <v>6591</v>
      </c>
      <c r="C2729" s="16" t="s">
        <v>7157</v>
      </c>
      <c r="D2729" s="16" t="s">
        <v>7320</v>
      </c>
      <c r="E2729" s="16" t="s">
        <v>7785</v>
      </c>
      <c r="F2729" s="16"/>
      <c r="G2729" s="16"/>
      <c r="H2729" s="18"/>
      <c r="I2729" s="18"/>
      <c r="J2729" s="18"/>
      <c r="K2729" s="18"/>
      <c r="L2729" s="18"/>
      <c r="M2729" s="18"/>
      <c r="N2729" s="18"/>
      <c r="O2729" s="18"/>
      <c r="P2729" s="18"/>
      <c r="Q2729" s="19"/>
      <c r="R2729" s="19"/>
      <c r="S2729" s="19"/>
    </row>
    <row r="2730" ht="15.75" customHeight="1">
      <c r="A2730" s="15">
        <v>45896.66275462963</v>
      </c>
      <c r="B2730" s="16" t="s">
        <v>6591</v>
      </c>
      <c r="C2730" s="16" t="s">
        <v>7157</v>
      </c>
      <c r="D2730" s="16" t="s">
        <v>7320</v>
      </c>
      <c r="E2730" s="16" t="s">
        <v>7786</v>
      </c>
      <c r="F2730" s="16"/>
      <c r="G2730" s="16"/>
      <c r="H2730" s="18"/>
      <c r="I2730" s="18"/>
      <c r="J2730" s="18"/>
      <c r="K2730" s="18"/>
      <c r="L2730" s="18"/>
      <c r="M2730" s="18"/>
      <c r="N2730" s="18"/>
      <c r="O2730" s="18"/>
      <c r="P2730" s="18"/>
      <c r="Q2730" s="19"/>
      <c r="R2730" s="19"/>
      <c r="S2730" s="19"/>
    </row>
    <row r="2731" ht="15.75" customHeight="1">
      <c r="A2731" s="15">
        <v>45896.69541666667</v>
      </c>
      <c r="B2731" s="16" t="s">
        <v>6591</v>
      </c>
      <c r="C2731" s="16" t="s">
        <v>7157</v>
      </c>
      <c r="D2731" s="16" t="s">
        <v>7320</v>
      </c>
      <c r="E2731" s="16" t="s">
        <v>7787</v>
      </c>
      <c r="F2731" s="16"/>
      <c r="G2731" s="16"/>
      <c r="H2731" s="18"/>
      <c r="I2731" s="18"/>
      <c r="J2731" s="18"/>
      <c r="K2731" s="18"/>
      <c r="L2731" s="18"/>
      <c r="M2731" s="18"/>
      <c r="N2731" s="18"/>
      <c r="O2731" s="18"/>
      <c r="P2731" s="18"/>
      <c r="Q2731" s="19"/>
      <c r="R2731" s="19"/>
      <c r="S2731" s="19"/>
    </row>
    <row r="2732" ht="15.75" customHeight="1">
      <c r="A2732" s="15">
        <v>45901.53003472222</v>
      </c>
      <c r="B2732" s="16" t="s">
        <v>7724</v>
      </c>
      <c r="C2732" s="16" t="s">
        <v>7157</v>
      </c>
      <c r="D2732" s="16" t="s">
        <v>7130</v>
      </c>
      <c r="E2732" s="16" t="s">
        <v>7788</v>
      </c>
      <c r="F2732" s="16"/>
      <c r="G2732" s="16"/>
      <c r="H2732" s="18"/>
      <c r="I2732" s="18"/>
      <c r="J2732" s="18"/>
      <c r="K2732" s="18"/>
      <c r="L2732" s="18"/>
      <c r="M2732" s="18"/>
      <c r="N2732" s="18"/>
      <c r="O2732" s="18"/>
      <c r="P2732" s="18"/>
      <c r="Q2732" s="19"/>
      <c r="R2732" s="19"/>
      <c r="S2732" s="19"/>
    </row>
    <row r="2733" ht="15.75" customHeight="1">
      <c r="A2733" s="15">
        <v>45904.721041666664</v>
      </c>
      <c r="B2733" s="16" t="s">
        <v>6591</v>
      </c>
      <c r="C2733" s="16" t="s">
        <v>7157</v>
      </c>
      <c r="D2733" s="16" t="s">
        <v>7370</v>
      </c>
      <c r="E2733" s="16" t="s">
        <v>7789</v>
      </c>
      <c r="F2733" s="16"/>
      <c r="G2733" s="16"/>
      <c r="H2733" s="18"/>
      <c r="I2733" s="18"/>
      <c r="J2733" s="18"/>
      <c r="K2733" s="18"/>
      <c r="L2733" s="18"/>
      <c r="M2733" s="18"/>
      <c r="N2733" s="18"/>
      <c r="O2733" s="18"/>
      <c r="P2733" s="18"/>
      <c r="Q2733" s="19"/>
      <c r="R2733" s="19"/>
      <c r="S2733" s="19"/>
    </row>
    <row r="2734" ht="15.75" customHeight="1">
      <c r="A2734" s="15">
        <v>45904.778344907405</v>
      </c>
      <c r="B2734" s="16" t="s">
        <v>6591</v>
      </c>
      <c r="C2734" s="16" t="s">
        <v>7157</v>
      </c>
      <c r="D2734" s="16" t="s">
        <v>7370</v>
      </c>
      <c r="E2734" s="16" t="s">
        <v>7790</v>
      </c>
      <c r="F2734" s="16"/>
      <c r="G2734" s="16"/>
      <c r="H2734" s="18"/>
      <c r="I2734" s="18"/>
      <c r="J2734" s="18"/>
      <c r="K2734" s="18"/>
      <c r="L2734" s="18"/>
      <c r="M2734" s="18"/>
      <c r="N2734" s="18"/>
      <c r="O2734" s="18"/>
      <c r="P2734" s="18"/>
      <c r="Q2734" s="19"/>
      <c r="R2734" s="19"/>
      <c r="S2734" s="19"/>
    </row>
    <row r="2735" ht="15.75" customHeight="1">
      <c r="A2735" s="15">
        <v>45904.927083333336</v>
      </c>
      <c r="B2735" s="16" t="s">
        <v>6591</v>
      </c>
      <c r="C2735" s="16" t="s">
        <v>7157</v>
      </c>
      <c r="D2735" s="16" t="s">
        <v>7370</v>
      </c>
      <c r="E2735" s="16" t="s">
        <v>7791</v>
      </c>
      <c r="F2735" s="16"/>
      <c r="G2735" s="16"/>
      <c r="H2735" s="18"/>
      <c r="I2735" s="18"/>
      <c r="J2735" s="18"/>
      <c r="K2735" s="18"/>
      <c r="L2735" s="18"/>
      <c r="M2735" s="18"/>
      <c r="N2735" s="18"/>
      <c r="O2735" s="18"/>
      <c r="P2735" s="18"/>
      <c r="Q2735" s="19"/>
      <c r="R2735" s="19"/>
      <c r="S2735" s="19"/>
    </row>
    <row r="2736" ht="15.75" customHeight="1">
      <c r="A2736" s="15">
        <v>45904.928819444445</v>
      </c>
      <c r="B2736" s="16" t="s">
        <v>6591</v>
      </c>
      <c r="C2736" s="16" t="s">
        <v>7157</v>
      </c>
      <c r="D2736" s="16" t="s">
        <v>7370</v>
      </c>
      <c r="E2736" s="16" t="s">
        <v>7792</v>
      </c>
      <c r="F2736" s="16"/>
      <c r="G2736" s="16"/>
      <c r="H2736" s="18"/>
      <c r="I2736" s="18"/>
      <c r="J2736" s="18"/>
      <c r="K2736" s="18"/>
      <c r="L2736" s="18"/>
      <c r="M2736" s="18"/>
      <c r="N2736" s="18"/>
      <c r="O2736" s="18"/>
      <c r="P2736" s="18"/>
      <c r="Q2736" s="19"/>
      <c r="R2736" s="19"/>
      <c r="S2736" s="19"/>
    </row>
    <row r="2737" ht="15.75" customHeight="1">
      <c r="A2737" s="15">
        <v>45904.93054398148</v>
      </c>
      <c r="B2737" s="16" t="s">
        <v>6591</v>
      </c>
      <c r="C2737" s="16" t="s">
        <v>7157</v>
      </c>
      <c r="D2737" s="16" t="s">
        <v>7370</v>
      </c>
      <c r="E2737" s="16" t="s">
        <v>7793</v>
      </c>
      <c r="F2737" s="16"/>
      <c r="G2737" s="16"/>
      <c r="H2737" s="18"/>
      <c r="I2737" s="18"/>
      <c r="J2737" s="18"/>
      <c r="K2737" s="18"/>
      <c r="L2737" s="18"/>
      <c r="M2737" s="18"/>
      <c r="N2737" s="18"/>
      <c r="O2737" s="18"/>
      <c r="P2737" s="18"/>
      <c r="Q2737" s="19"/>
      <c r="R2737" s="19"/>
      <c r="S2737" s="19"/>
    </row>
    <row r="2738" ht="15.75" customHeight="1">
      <c r="A2738" s="15">
        <v>45905.34258101852</v>
      </c>
      <c r="B2738" s="16" t="s">
        <v>6591</v>
      </c>
      <c r="C2738" s="16" t="s">
        <v>7157</v>
      </c>
      <c r="D2738" s="16" t="s">
        <v>7370</v>
      </c>
      <c r="E2738" s="16" t="s">
        <v>7794</v>
      </c>
      <c r="F2738" s="16"/>
      <c r="G2738" s="16"/>
      <c r="H2738" s="18"/>
      <c r="I2738" s="18"/>
      <c r="J2738" s="18"/>
      <c r="K2738" s="18"/>
      <c r="L2738" s="18"/>
      <c r="M2738" s="18"/>
      <c r="N2738" s="18"/>
      <c r="O2738" s="18"/>
      <c r="P2738" s="18"/>
      <c r="Q2738" s="19"/>
      <c r="R2738" s="19"/>
      <c r="S2738" s="19"/>
    </row>
    <row r="2739" ht="15.75" customHeight="1">
      <c r="A2739" s="15">
        <v>45905.35590277778</v>
      </c>
      <c r="B2739" s="16" t="s">
        <v>6591</v>
      </c>
      <c r="C2739" s="16" t="s">
        <v>7157</v>
      </c>
      <c r="D2739" s="16" t="s">
        <v>7370</v>
      </c>
      <c r="E2739" s="16" t="s">
        <v>7795</v>
      </c>
      <c r="F2739" s="16"/>
      <c r="G2739" s="16"/>
      <c r="H2739" s="18"/>
      <c r="I2739" s="18"/>
      <c r="J2739" s="18"/>
      <c r="K2739" s="18"/>
      <c r="L2739" s="18"/>
      <c r="M2739" s="18"/>
      <c r="N2739" s="18"/>
      <c r="O2739" s="18"/>
      <c r="P2739" s="18"/>
      <c r="Q2739" s="19"/>
      <c r="R2739" s="19"/>
      <c r="S2739" s="19"/>
    </row>
    <row r="2740" ht="15.75" customHeight="1">
      <c r="A2740" s="15">
        <v>45905.356412037036</v>
      </c>
      <c r="B2740" s="16" t="s">
        <v>6591</v>
      </c>
      <c r="C2740" s="16" t="s">
        <v>7157</v>
      </c>
      <c r="D2740" s="16" t="s">
        <v>7370</v>
      </c>
      <c r="E2740" s="16" t="s">
        <v>7796</v>
      </c>
      <c r="F2740" s="16"/>
      <c r="G2740" s="16"/>
      <c r="H2740" s="18"/>
      <c r="I2740" s="18"/>
      <c r="J2740" s="18"/>
      <c r="K2740" s="18"/>
      <c r="L2740" s="18"/>
      <c r="M2740" s="18"/>
      <c r="N2740" s="18"/>
      <c r="O2740" s="18"/>
      <c r="P2740" s="18"/>
      <c r="Q2740" s="19"/>
      <c r="R2740" s="19"/>
      <c r="S2740" s="19"/>
    </row>
    <row r="2741" ht="15.75" customHeight="1">
      <c r="A2741" s="15">
        <v>45905.35697916667</v>
      </c>
      <c r="B2741" s="16" t="s">
        <v>6591</v>
      </c>
      <c r="C2741" s="16" t="s">
        <v>7157</v>
      </c>
      <c r="D2741" s="16" t="s">
        <v>7370</v>
      </c>
      <c r="E2741" s="16" t="s">
        <v>7797</v>
      </c>
      <c r="F2741" s="16"/>
      <c r="G2741" s="16"/>
      <c r="H2741" s="18"/>
      <c r="I2741" s="18"/>
      <c r="J2741" s="18"/>
      <c r="K2741" s="18"/>
      <c r="L2741" s="18"/>
      <c r="M2741" s="18"/>
      <c r="N2741" s="18"/>
      <c r="O2741" s="18"/>
      <c r="P2741" s="18"/>
      <c r="Q2741" s="19"/>
      <c r="R2741" s="19"/>
      <c r="S2741" s="19"/>
    </row>
    <row r="2742" ht="15.75" customHeight="1">
      <c r="A2742" s="15">
        <v>45905.35733796296</v>
      </c>
      <c r="B2742" s="16" t="s">
        <v>6591</v>
      </c>
      <c r="C2742" s="16" t="s">
        <v>7157</v>
      </c>
      <c r="D2742" s="16" t="s">
        <v>7370</v>
      </c>
      <c r="E2742" s="16" t="s">
        <v>7798</v>
      </c>
      <c r="F2742" s="16"/>
      <c r="G2742" s="16"/>
      <c r="H2742" s="18"/>
      <c r="I2742" s="18"/>
      <c r="J2742" s="18"/>
      <c r="K2742" s="18"/>
      <c r="L2742" s="18"/>
      <c r="M2742" s="18"/>
      <c r="N2742" s="18"/>
      <c r="O2742" s="18"/>
      <c r="P2742" s="18"/>
      <c r="Q2742" s="19"/>
      <c r="R2742" s="19"/>
      <c r="S2742" s="19"/>
    </row>
    <row r="2743" ht="15.75" customHeight="1">
      <c r="A2743" s="15">
        <v>45905.36305555556</v>
      </c>
      <c r="B2743" s="16" t="s">
        <v>6591</v>
      </c>
      <c r="C2743" s="16" t="s">
        <v>7157</v>
      </c>
      <c r="D2743" s="16" t="s">
        <v>7370</v>
      </c>
      <c r="E2743" s="16" t="s">
        <v>7799</v>
      </c>
      <c r="F2743" s="16"/>
      <c r="G2743" s="16"/>
      <c r="H2743" s="18"/>
      <c r="I2743" s="18"/>
      <c r="J2743" s="18"/>
      <c r="K2743" s="18"/>
      <c r="L2743" s="18"/>
      <c r="M2743" s="18"/>
      <c r="N2743" s="18"/>
      <c r="O2743" s="18"/>
      <c r="P2743" s="18"/>
      <c r="Q2743" s="19"/>
      <c r="R2743" s="19"/>
      <c r="S2743" s="19"/>
    </row>
    <row r="2744" ht="15.75" customHeight="1">
      <c r="A2744" s="15">
        <v>45905.36386574074</v>
      </c>
      <c r="B2744" s="16" t="s">
        <v>6591</v>
      </c>
      <c r="C2744" s="16" t="s">
        <v>7157</v>
      </c>
      <c r="D2744" s="16" t="s">
        <v>7370</v>
      </c>
      <c r="E2744" s="16" t="s">
        <v>7800</v>
      </c>
      <c r="F2744" s="16"/>
      <c r="G2744" s="16"/>
      <c r="H2744" s="18"/>
      <c r="I2744" s="18"/>
      <c r="J2744" s="18"/>
      <c r="K2744" s="18"/>
      <c r="L2744" s="18"/>
      <c r="M2744" s="18"/>
      <c r="N2744" s="18"/>
      <c r="O2744" s="18"/>
      <c r="P2744" s="18"/>
      <c r="Q2744" s="19"/>
      <c r="R2744" s="19"/>
      <c r="S2744" s="19"/>
    </row>
    <row r="2745" ht="15.75" customHeight="1">
      <c r="A2745" s="15">
        <v>45905.364641203705</v>
      </c>
      <c r="B2745" s="16" t="s">
        <v>6591</v>
      </c>
      <c r="C2745" s="16" t="s">
        <v>7157</v>
      </c>
      <c r="D2745" s="16" t="s">
        <v>7370</v>
      </c>
      <c r="E2745" s="16" t="s">
        <v>7801</v>
      </c>
      <c r="F2745" s="16"/>
      <c r="G2745" s="16"/>
      <c r="H2745" s="18"/>
      <c r="I2745" s="18"/>
      <c r="J2745" s="18"/>
      <c r="K2745" s="18"/>
      <c r="L2745" s="18"/>
      <c r="M2745" s="18"/>
      <c r="N2745" s="18"/>
      <c r="O2745" s="18"/>
      <c r="P2745" s="18"/>
      <c r="Q2745" s="19"/>
      <c r="R2745" s="19"/>
      <c r="S2745" s="19"/>
    </row>
    <row r="2746" ht="15.75" customHeight="1">
      <c r="A2746" s="15">
        <v>45905.40453703704</v>
      </c>
      <c r="B2746" s="16" t="s">
        <v>6591</v>
      </c>
      <c r="C2746" s="16" t="s">
        <v>7157</v>
      </c>
      <c r="D2746" s="16" t="s">
        <v>7130</v>
      </c>
      <c r="E2746" s="16" t="s">
        <v>7802</v>
      </c>
      <c r="F2746" s="16"/>
      <c r="G2746" s="16"/>
      <c r="H2746" s="18"/>
      <c r="I2746" s="18"/>
      <c r="J2746" s="18"/>
      <c r="K2746" s="18"/>
      <c r="L2746" s="18"/>
      <c r="M2746" s="18"/>
      <c r="N2746" s="18"/>
      <c r="O2746" s="18"/>
      <c r="P2746" s="18"/>
      <c r="Q2746" s="19"/>
      <c r="R2746" s="19"/>
      <c r="S2746" s="19"/>
    </row>
    <row r="2747" ht="15.75" customHeight="1">
      <c r="A2747" s="15">
        <v>45905.4955787037</v>
      </c>
      <c r="B2747" s="16" t="s">
        <v>6591</v>
      </c>
      <c r="C2747" s="16" t="s">
        <v>7157</v>
      </c>
      <c r="D2747" s="16" t="s">
        <v>7130</v>
      </c>
      <c r="E2747" s="16" t="s">
        <v>7803</v>
      </c>
      <c r="F2747" s="16"/>
      <c r="G2747" s="16"/>
      <c r="H2747" s="18"/>
      <c r="I2747" s="18"/>
      <c r="J2747" s="18"/>
      <c r="K2747" s="18"/>
      <c r="L2747" s="18"/>
      <c r="M2747" s="18"/>
      <c r="N2747" s="18"/>
      <c r="O2747" s="18"/>
      <c r="P2747" s="18"/>
      <c r="Q2747" s="19"/>
      <c r="R2747" s="19"/>
      <c r="S2747" s="19"/>
    </row>
    <row r="2748" ht="15.75" customHeight="1">
      <c r="A2748" s="15">
        <v>45905.49686342593</v>
      </c>
      <c r="B2748" s="16" t="s">
        <v>6591</v>
      </c>
      <c r="C2748" s="16" t="s">
        <v>7157</v>
      </c>
      <c r="D2748" s="16" t="s">
        <v>7130</v>
      </c>
      <c r="E2748" s="16" t="s">
        <v>7804</v>
      </c>
      <c r="F2748" s="16"/>
      <c r="G2748" s="16"/>
      <c r="H2748" s="18"/>
      <c r="I2748" s="18"/>
      <c r="J2748" s="18"/>
      <c r="K2748" s="18"/>
      <c r="L2748" s="18"/>
      <c r="M2748" s="18"/>
      <c r="N2748" s="18"/>
      <c r="O2748" s="18"/>
      <c r="P2748" s="18"/>
      <c r="Q2748" s="19"/>
      <c r="R2748" s="19"/>
      <c r="S2748" s="19"/>
    </row>
    <row r="2749" ht="15.75" customHeight="1">
      <c r="A2749" s="15">
        <v>45905.66627314815</v>
      </c>
      <c r="B2749" s="16" t="s">
        <v>6591</v>
      </c>
      <c r="C2749" s="16" t="s">
        <v>7157</v>
      </c>
      <c r="D2749" s="16" t="s">
        <v>7130</v>
      </c>
      <c r="E2749" s="16" t="s">
        <v>7805</v>
      </c>
      <c r="F2749" s="16"/>
      <c r="G2749" s="16"/>
      <c r="H2749" s="18"/>
      <c r="I2749" s="18"/>
      <c r="J2749" s="18"/>
      <c r="K2749" s="18"/>
      <c r="L2749" s="18"/>
      <c r="M2749" s="18"/>
      <c r="N2749" s="18"/>
      <c r="O2749" s="18"/>
      <c r="P2749" s="18"/>
      <c r="Q2749" s="19"/>
      <c r="R2749" s="19"/>
      <c r="S2749" s="19"/>
    </row>
    <row r="2750" ht="15.75" customHeight="1">
      <c r="A2750" s="15">
        <v>45905.79957175926</v>
      </c>
      <c r="B2750" s="16" t="s">
        <v>6591</v>
      </c>
      <c r="C2750" s="16" t="s">
        <v>7157</v>
      </c>
      <c r="D2750" s="16" t="s">
        <v>7130</v>
      </c>
      <c r="E2750" s="16" t="s">
        <v>7806</v>
      </c>
      <c r="F2750" s="16"/>
      <c r="G2750" s="16"/>
      <c r="H2750" s="18"/>
      <c r="I2750" s="18"/>
      <c r="J2750" s="18"/>
      <c r="K2750" s="18"/>
      <c r="L2750" s="18"/>
      <c r="M2750" s="18"/>
      <c r="N2750" s="18"/>
      <c r="O2750" s="18"/>
      <c r="P2750" s="18"/>
      <c r="Q2750" s="19"/>
      <c r="R2750" s="19"/>
      <c r="S2750" s="19"/>
    </row>
    <row r="2751" ht="15.75" customHeight="1">
      <c r="A2751" s="15">
        <v>45906.341203703705</v>
      </c>
      <c r="B2751" s="16" t="s">
        <v>6591</v>
      </c>
      <c r="C2751" s="16" t="s">
        <v>7157</v>
      </c>
      <c r="D2751" s="16" t="s">
        <v>7130</v>
      </c>
      <c r="E2751" s="16" t="s">
        <v>7807</v>
      </c>
      <c r="F2751" s="16"/>
      <c r="G2751" s="16"/>
      <c r="H2751" s="18"/>
      <c r="I2751" s="18"/>
      <c r="J2751" s="18"/>
      <c r="K2751" s="18"/>
      <c r="L2751" s="18"/>
      <c r="M2751" s="18"/>
      <c r="N2751" s="18"/>
      <c r="O2751" s="18"/>
      <c r="P2751" s="18"/>
      <c r="Q2751" s="19"/>
      <c r="R2751" s="19"/>
      <c r="S2751" s="19"/>
    </row>
    <row r="2752" ht="15.75" customHeight="1">
      <c r="A2752" s="15">
        <v>45906.34799768519</v>
      </c>
      <c r="B2752" s="16" t="s">
        <v>6591</v>
      </c>
      <c r="C2752" s="16" t="s">
        <v>7157</v>
      </c>
      <c r="D2752" s="16" t="s">
        <v>7130</v>
      </c>
      <c r="E2752" s="16" t="s">
        <v>7808</v>
      </c>
      <c r="F2752" s="16"/>
      <c r="G2752" s="16"/>
      <c r="H2752" s="18"/>
      <c r="I2752" s="18"/>
      <c r="J2752" s="18"/>
      <c r="K2752" s="18"/>
      <c r="L2752" s="18"/>
      <c r="M2752" s="18"/>
      <c r="N2752" s="18"/>
      <c r="O2752" s="18"/>
      <c r="P2752" s="18"/>
      <c r="Q2752" s="19"/>
      <c r="R2752" s="19"/>
      <c r="S2752" s="19"/>
    </row>
    <row r="2753" ht="15.75" customHeight="1">
      <c r="A2753" s="15">
        <v>45906.81395833333</v>
      </c>
      <c r="B2753" s="16" t="s">
        <v>6591</v>
      </c>
      <c r="C2753" s="16" t="s">
        <v>7157</v>
      </c>
      <c r="D2753" s="16" t="s">
        <v>7809</v>
      </c>
      <c r="E2753" s="16" t="s">
        <v>7810</v>
      </c>
      <c r="F2753" s="16"/>
      <c r="G2753" s="16"/>
      <c r="H2753" s="18"/>
      <c r="I2753" s="18"/>
      <c r="J2753" s="18"/>
      <c r="K2753" s="18"/>
      <c r="L2753" s="18"/>
      <c r="M2753" s="18"/>
      <c r="N2753" s="18"/>
      <c r="O2753" s="18"/>
      <c r="P2753" s="18"/>
      <c r="Q2753" s="19"/>
      <c r="R2753" s="19"/>
      <c r="S2753" s="19"/>
    </row>
    <row r="2754" ht="15.75" customHeight="1">
      <c r="A2754" s="15">
        <v>45813.533425925925</v>
      </c>
      <c r="B2754" s="16" t="s">
        <v>6591</v>
      </c>
      <c r="C2754" s="16" t="s">
        <v>7811</v>
      </c>
      <c r="D2754" s="20" t="str">
        <f>?UTF-8?Q?Harper=E2=80=99s_well=2Dbeing_?=</f>
        <v>#ERROR!</v>
      </c>
      <c r="E2754" s="16" t="s">
        <v>7812</v>
      </c>
      <c r="F2754" s="16"/>
      <c r="G2754" s="16"/>
      <c r="H2754" s="18"/>
      <c r="I2754" s="18"/>
      <c r="J2754" s="18"/>
      <c r="K2754" s="18"/>
      <c r="L2754" s="18"/>
      <c r="M2754" s="18"/>
      <c r="N2754" s="18"/>
      <c r="O2754" s="18"/>
      <c r="P2754" s="18"/>
      <c r="Q2754" s="19"/>
      <c r="R2754" s="19"/>
      <c r="S2754" s="19"/>
    </row>
    <row r="2755" ht="15.75" customHeight="1">
      <c r="A2755" s="15">
        <v>45838.70600694444</v>
      </c>
      <c r="B2755" s="16" t="s">
        <v>6591</v>
      </c>
      <c r="C2755" s="16" t="s">
        <v>7811</v>
      </c>
      <c r="D2755" s="16" t="s">
        <v>7645</v>
      </c>
      <c r="E2755" s="16" t="s">
        <v>7813</v>
      </c>
      <c r="F2755" s="16"/>
      <c r="G2755" s="16"/>
      <c r="H2755" s="18"/>
      <c r="I2755" s="18"/>
      <c r="J2755" s="18"/>
      <c r="K2755" s="18"/>
      <c r="L2755" s="18"/>
      <c r="M2755" s="18"/>
      <c r="N2755" s="18"/>
      <c r="O2755" s="18"/>
      <c r="P2755" s="18"/>
      <c r="Q2755" s="19"/>
      <c r="R2755" s="19"/>
      <c r="S2755" s="19"/>
    </row>
    <row r="2756" ht="15.75" customHeight="1">
      <c r="A2756" s="15">
        <v>45904.561261574076</v>
      </c>
      <c r="B2756" s="16" t="s">
        <v>6591</v>
      </c>
      <c r="C2756" s="16" t="s">
        <v>7811</v>
      </c>
      <c r="D2756" s="16" t="s">
        <v>7814</v>
      </c>
      <c r="E2756" s="16" t="s">
        <v>7815</v>
      </c>
      <c r="F2756" s="16"/>
      <c r="G2756" s="16"/>
      <c r="H2756" s="18"/>
      <c r="I2756" s="18"/>
      <c r="J2756" s="18"/>
      <c r="K2756" s="18"/>
      <c r="L2756" s="18"/>
      <c r="M2756" s="18"/>
      <c r="N2756" s="18"/>
      <c r="O2756" s="18"/>
      <c r="P2756" s="18"/>
      <c r="Q2756" s="19"/>
      <c r="R2756" s="19"/>
      <c r="S2756" s="19"/>
    </row>
    <row r="2757" ht="15.75" customHeight="1">
      <c r="A2757" s="15">
        <v>45891.32131944445</v>
      </c>
      <c r="B2757" s="16" t="s">
        <v>6591</v>
      </c>
      <c r="C2757" s="16" t="s">
        <v>7816</v>
      </c>
      <c r="D2757" s="16" t="s">
        <v>7817</v>
      </c>
      <c r="E2757" s="16" t="s">
        <v>7818</v>
      </c>
      <c r="F2757" s="16"/>
      <c r="G2757" s="16"/>
      <c r="H2757" s="18"/>
      <c r="I2757" s="18"/>
      <c r="J2757" s="18"/>
      <c r="K2757" s="18"/>
      <c r="L2757" s="18"/>
      <c r="M2757" s="18"/>
      <c r="N2757" s="18"/>
      <c r="O2757" s="18"/>
      <c r="P2757" s="18"/>
      <c r="Q2757" s="19"/>
      <c r="R2757" s="19"/>
      <c r="S2757" s="19"/>
    </row>
    <row r="2758" ht="15.75" customHeight="1">
      <c r="A2758" s="15">
        <v>45794.06760416667</v>
      </c>
      <c r="B2758" s="16" t="s">
        <v>6591</v>
      </c>
      <c r="C2758" s="16" t="s">
        <v>6674</v>
      </c>
      <c r="D2758" s="16" t="s">
        <v>7819</v>
      </c>
      <c r="E2758" s="16" t="s">
        <v>7820</v>
      </c>
      <c r="F2758" s="16"/>
      <c r="G2758" s="16"/>
      <c r="H2758" s="18"/>
      <c r="I2758" s="18"/>
      <c r="J2758" s="18"/>
      <c r="K2758" s="18"/>
      <c r="L2758" s="18"/>
      <c r="M2758" s="18"/>
      <c r="N2758" s="18"/>
      <c r="O2758" s="18"/>
      <c r="P2758" s="18"/>
      <c r="Q2758" s="19"/>
      <c r="R2758" s="19"/>
      <c r="S2758" s="19"/>
    </row>
    <row r="2759" ht="15.75" customHeight="1">
      <c r="A2759" s="15">
        <v>45806.1277662037</v>
      </c>
      <c r="B2759" s="16" t="s">
        <v>6591</v>
      </c>
      <c r="C2759" s="16" t="s">
        <v>7821</v>
      </c>
      <c r="D2759" s="16" t="s">
        <v>7819</v>
      </c>
      <c r="E2759" s="16" t="s">
        <v>7822</v>
      </c>
      <c r="F2759" s="16"/>
      <c r="G2759" s="16"/>
      <c r="H2759" s="18"/>
      <c r="I2759" s="18"/>
      <c r="J2759" s="18"/>
      <c r="K2759" s="18"/>
      <c r="L2759" s="18"/>
      <c r="M2759" s="18"/>
      <c r="N2759" s="18"/>
      <c r="O2759" s="18"/>
      <c r="P2759" s="18"/>
      <c r="Q2759" s="19"/>
      <c r="R2759" s="19"/>
      <c r="S2759" s="19"/>
    </row>
    <row r="2760" ht="15.75" customHeight="1">
      <c r="A2760" s="15">
        <v>45874.920810185184</v>
      </c>
      <c r="B2760" s="16" t="s">
        <v>7823</v>
      </c>
      <c r="C2760" s="16" t="s">
        <v>7824</v>
      </c>
      <c r="D2760" s="20" t="str">
        <f>?utf-8?B?T04gTk9XOiBVcCB0byAkMjUgaW4gdmFsdWUgYmFjay10by1zYw==?=
 =?utf-8?B?aG9vbCBzaG9wcGluZyDwn46S?=</f>
        <v>#ERROR!</v>
      </c>
      <c r="E2760" s="16" t="s">
        <v>6751</v>
      </c>
      <c r="F2760" s="16"/>
      <c r="G2760" s="16"/>
      <c r="H2760" s="18"/>
      <c r="I2760" s="18"/>
      <c r="J2760" s="18"/>
      <c r="K2760" s="18"/>
      <c r="L2760" s="18"/>
      <c r="M2760" s="18"/>
      <c r="N2760" s="18"/>
      <c r="O2760" s="18"/>
      <c r="P2760" s="18"/>
      <c r="Q2760" s="19"/>
      <c r="R2760" s="19"/>
      <c r="S2760" s="19"/>
    </row>
    <row r="2761" ht="15.75" customHeight="1">
      <c r="A2761" s="15">
        <v>45875.42699074074</v>
      </c>
      <c r="B2761" s="16" t="s">
        <v>7823</v>
      </c>
      <c r="C2761" s="16" t="s">
        <v>7824</v>
      </c>
      <c r="D2761" s="20" t="str">
        <f>?utf-8?B?WW91IGRvbuKAmXQgd2FubmEgbWlzcyBvdXQgb24gJDU1IGluIA==?=
 =?utf-8?B?dmFsdWUgd2l0aCBBSVIgTUlMRVMgQ2FzaCwgZG8geW91P/CfkYA=?=</f>
        <v>#ERROR!</v>
      </c>
      <c r="E2761" s="16" t="s">
        <v>6751</v>
      </c>
      <c r="F2761" s="16"/>
      <c r="G2761" s="16"/>
      <c r="H2761" s="18"/>
      <c r="I2761" s="18"/>
      <c r="J2761" s="18"/>
      <c r="K2761" s="18"/>
      <c r="L2761" s="18"/>
      <c r="M2761" s="18"/>
      <c r="N2761" s="18"/>
      <c r="O2761" s="18"/>
      <c r="P2761" s="18"/>
      <c r="Q2761" s="19"/>
      <c r="R2761" s="19"/>
      <c r="S2761" s="19"/>
    </row>
    <row r="2762" ht="15.75" customHeight="1">
      <c r="A2762" s="15">
        <v>45876.57837962963</v>
      </c>
      <c r="B2762" s="16" t="s">
        <v>7823</v>
      </c>
      <c r="C2762" s="16" t="s">
        <v>7824</v>
      </c>
      <c r="D2762" s="20" t="str">
        <f>?utf-8?B?TmV3IE9ybGVhbnMgaXMgY2FsbGluZywgd2l0aCA5MDAgQm9udQ==?=
 =?utf-8?B?cyBNaWxlc++4jyBmb3IgeW91?=</f>
        <v>#ERROR!</v>
      </c>
      <c r="E2762" s="16" t="s">
        <v>6751</v>
      </c>
      <c r="F2762" s="16"/>
      <c r="G2762" s="16"/>
      <c r="H2762" s="18"/>
      <c r="I2762" s="18"/>
      <c r="J2762" s="18"/>
      <c r="K2762" s="18"/>
      <c r="L2762" s="18"/>
      <c r="M2762" s="18"/>
      <c r="N2762" s="18"/>
      <c r="O2762" s="18"/>
      <c r="P2762" s="18"/>
      <c r="Q2762" s="19"/>
      <c r="R2762" s="19"/>
      <c r="S2762" s="19"/>
    </row>
    <row r="2763" ht="15.75" customHeight="1">
      <c r="A2763" s="15">
        <v>45876.74820601852</v>
      </c>
      <c r="B2763" s="16" t="s">
        <v>7823</v>
      </c>
      <c r="C2763" s="16" t="s">
        <v>7824</v>
      </c>
      <c r="D2763" s="20" t="str">
        <f>?utf-8?B?R2V0IGEganVtcCBvbiBiYWNrLXRvLXNjaG9vbCB3aXRoIHVwIA==?=
 =?utf-8?B?dG8gMjUwIEJvbnVzIE1pbGVzIHRocm91Z2ggYWlybWlsZXNzaG9wcy5jYQ==?=
 =?utf-8?B?IPCfk5rinKggICA=?=</f>
        <v>#ERROR!</v>
      </c>
      <c r="E2763" s="16" t="s">
        <v>6752</v>
      </c>
      <c r="F2763" s="16"/>
      <c r="G2763" s="16"/>
      <c r="H2763" s="18"/>
      <c r="I2763" s="18"/>
      <c r="J2763" s="18"/>
      <c r="K2763" s="18"/>
      <c r="L2763" s="18"/>
      <c r="M2763" s="18"/>
      <c r="N2763" s="18"/>
      <c r="O2763" s="18"/>
      <c r="P2763" s="18"/>
      <c r="Q2763" s="19"/>
      <c r="R2763" s="19"/>
      <c r="S2763" s="19"/>
    </row>
    <row r="2764" ht="15.75" customHeight="1">
      <c r="A2764" s="15">
        <v>45881.741319444445</v>
      </c>
      <c r="B2764" s="16" t="s">
        <v>7825</v>
      </c>
      <c r="C2764" s="16" t="s">
        <v>7824</v>
      </c>
      <c r="D2764" s="16" t="s">
        <v>6754</v>
      </c>
      <c r="E2764" s="16" t="s">
        <v>6751</v>
      </c>
      <c r="F2764" s="16"/>
      <c r="G2764" s="16"/>
      <c r="H2764" s="18"/>
      <c r="I2764" s="18"/>
      <c r="J2764" s="18"/>
      <c r="K2764" s="18"/>
      <c r="L2764" s="18"/>
      <c r="M2764" s="18"/>
      <c r="N2764" s="18"/>
      <c r="O2764" s="18"/>
      <c r="P2764" s="18"/>
      <c r="Q2764" s="19"/>
      <c r="R2764" s="19"/>
      <c r="S2764" s="19"/>
    </row>
    <row r="2765" ht="15.75" customHeight="1">
      <c r="A2765" s="15">
        <v>45882.48180555556</v>
      </c>
      <c r="B2765" s="16" t="s">
        <v>7825</v>
      </c>
      <c r="C2765" s="16" t="s">
        <v>7824</v>
      </c>
      <c r="D2765" s="20" t="str">
        <f>?utf-8?B?VGhlcmXigJlzIHN0aWxsIHRpbWUgdG8gcGxheSB0aGUgc3VtbQ==?=
 =?utf-8?B?ZXIgZ2FtZSDwn4+G?=</f>
        <v>#ERROR!</v>
      </c>
      <c r="E2765" s="16" t="s">
        <v>6751</v>
      </c>
      <c r="F2765" s="16"/>
      <c r="G2765" s="16"/>
      <c r="H2765" s="18"/>
      <c r="I2765" s="18"/>
      <c r="J2765" s="18"/>
      <c r="K2765" s="18"/>
      <c r="L2765" s="18"/>
      <c r="M2765" s="18"/>
      <c r="N2765" s="18"/>
      <c r="O2765" s="18"/>
      <c r="P2765" s="18"/>
      <c r="Q2765" s="19"/>
      <c r="R2765" s="19"/>
      <c r="S2765" s="19"/>
    </row>
    <row r="2766" ht="15.75" customHeight="1">
      <c r="A2766" s="15">
        <v>45889.55260416667</v>
      </c>
      <c r="B2766" s="16" t="s">
        <v>7823</v>
      </c>
      <c r="C2766" s="16" t="s">
        <v>7824</v>
      </c>
      <c r="D2766" s="16" t="s">
        <v>6758</v>
      </c>
      <c r="E2766" s="16" t="s">
        <v>6751</v>
      </c>
      <c r="F2766" s="16"/>
      <c r="G2766" s="16"/>
      <c r="H2766" s="18"/>
      <c r="I2766" s="18"/>
      <c r="J2766" s="18"/>
      <c r="K2766" s="18"/>
      <c r="L2766" s="18"/>
      <c r="M2766" s="18"/>
      <c r="N2766" s="18"/>
      <c r="O2766" s="18"/>
      <c r="P2766" s="18"/>
      <c r="Q2766" s="19"/>
      <c r="R2766" s="19"/>
      <c r="S2766" s="19"/>
    </row>
    <row r="2767" ht="15.75" customHeight="1">
      <c r="A2767" s="15">
        <v>45890.64319444444</v>
      </c>
      <c r="B2767" s="16" t="s">
        <v>7825</v>
      </c>
      <c r="C2767" s="16" t="s">
        <v>7824</v>
      </c>
      <c r="D2767" s="20" t="str">
        <f>?utf-8?B?R2V0IDEwMCBCb251cyBNaWxlcyBhdCBHbG9iYWwgUGV0IEZvbw==?=
 =?utf-8?B?ZHMg8J+Qvg==?=</f>
        <v>#ERROR!</v>
      </c>
      <c r="E2767" s="16" t="s">
        <v>6751</v>
      </c>
      <c r="F2767" s="16"/>
      <c r="G2767" s="16"/>
      <c r="H2767" s="18"/>
      <c r="I2767" s="18"/>
      <c r="J2767" s="18"/>
      <c r="K2767" s="18"/>
      <c r="L2767" s="18"/>
      <c r="M2767" s="18"/>
      <c r="N2767" s="18"/>
      <c r="O2767" s="18"/>
      <c r="P2767" s="18"/>
      <c r="Q2767" s="19"/>
      <c r="R2767" s="19"/>
      <c r="S2767" s="19"/>
    </row>
    <row r="2768" ht="15.75" customHeight="1">
      <c r="A2768" s="15">
        <v>45891.67748842593</v>
      </c>
      <c r="B2768" s="16" t="s">
        <v>7823</v>
      </c>
      <c r="C2768" s="16" t="s">
        <v>7824</v>
      </c>
      <c r="D2768" s="20" t="str">
        <f>?utf-8?B?TGl0LCB5b3VyIGJlc3Qgb2ZmZXJzIHRoaXMgd2VlayBhcmUgaA==?=
 =?utf-8?B?ZXJlISDwn46J?=</f>
        <v>#ERROR!</v>
      </c>
      <c r="E2768" s="16" t="s">
        <v>6752</v>
      </c>
      <c r="F2768" s="16"/>
      <c r="G2768" s="16"/>
      <c r="H2768" s="18"/>
      <c r="I2768" s="18"/>
      <c r="J2768" s="18"/>
      <c r="K2768" s="18"/>
      <c r="L2768" s="18"/>
      <c r="M2768" s="18"/>
      <c r="N2768" s="18"/>
      <c r="O2768" s="18"/>
      <c r="P2768" s="18"/>
      <c r="Q2768" s="19"/>
      <c r="R2768" s="19"/>
      <c r="S2768" s="19"/>
    </row>
    <row r="2769" ht="15.75" customHeight="1">
      <c r="A2769" s="15">
        <v>45894.60178240741</v>
      </c>
      <c r="B2769" s="16" t="s">
        <v>7825</v>
      </c>
      <c r="C2769" s="16" t="s">
        <v>7824</v>
      </c>
      <c r="D2769" s="20" t="str">
        <f>?utf-8?B?4pu98J+NqiBGdWVsIHVwISBTbmFjayB1cCEgR2V0IHVwIHRvIA==?=
 =?utf-8?B?MTI1IEJvbnVzIE1pbGVzIQ==?=</f>
        <v>#ERROR!</v>
      </c>
      <c r="E2769" s="16" t="s">
        <v>6751</v>
      </c>
      <c r="F2769" s="16"/>
      <c r="G2769" s="16"/>
      <c r="H2769" s="18"/>
      <c r="I2769" s="18"/>
      <c r="J2769" s="18"/>
      <c r="K2769" s="18"/>
      <c r="L2769" s="18"/>
      <c r="M2769" s="18"/>
      <c r="N2769" s="18"/>
      <c r="O2769" s="18"/>
      <c r="P2769" s="18"/>
      <c r="Q2769" s="19"/>
      <c r="R2769" s="19"/>
      <c r="S2769" s="19"/>
    </row>
    <row r="2770" ht="15.75" customHeight="1">
      <c r="A2770" s="15">
        <v>45894.85290509259</v>
      </c>
      <c r="B2770" s="16" t="s">
        <v>7825</v>
      </c>
      <c r="C2770" s="16" t="s">
        <v>7824</v>
      </c>
      <c r="D2770" s="20" t="str">
        <f>?utf-8?B?R2V0IDUgQm9udXMgTWlsZXMgZm9yIHRlbGxpbmcgdXMgYWJvdQ==?=
 =?utf-8?B?dCB5b3VyIHBldCEg8J+QiCDwn5CV?=</f>
        <v>#ERROR!</v>
      </c>
      <c r="E2770" s="16" t="s">
        <v>6751</v>
      </c>
      <c r="F2770" s="16"/>
      <c r="G2770" s="16"/>
      <c r="H2770" s="18"/>
      <c r="I2770" s="18"/>
      <c r="J2770" s="18"/>
      <c r="K2770" s="18"/>
      <c r="L2770" s="18"/>
      <c r="M2770" s="18"/>
      <c r="N2770" s="18"/>
      <c r="O2770" s="18"/>
      <c r="P2770" s="18"/>
      <c r="Q2770" s="19"/>
      <c r="R2770" s="19"/>
      <c r="S2770" s="19"/>
    </row>
    <row r="2771" ht="15.75" customHeight="1">
      <c r="A2771" s="15">
        <v>45895.733564814815</v>
      </c>
      <c r="B2771" s="16" t="s">
        <v>7825</v>
      </c>
      <c r="C2771" s="16" t="s">
        <v>7824</v>
      </c>
      <c r="D2771" s="20" t="str">
        <f>?windows-1252?Q?LAST_DAYS!_Get_BMO=92s_all-new_Welcome_Bonus?=</f>
        <v>#ERROR!</v>
      </c>
      <c r="E2771" s="16" t="s">
        <v>6751</v>
      </c>
      <c r="F2771" s="16"/>
      <c r="G2771" s="16"/>
      <c r="H2771" s="18"/>
      <c r="I2771" s="18"/>
      <c r="J2771" s="18"/>
      <c r="K2771" s="18"/>
      <c r="L2771" s="18"/>
      <c r="M2771" s="18"/>
      <c r="N2771" s="18"/>
      <c r="O2771" s="18"/>
      <c r="P2771" s="18"/>
      <c r="Q2771" s="19"/>
      <c r="R2771" s="19"/>
      <c r="S2771" s="19"/>
    </row>
    <row r="2772" ht="15.75" customHeight="1">
      <c r="A2772" s="15">
        <v>45897.49797453704</v>
      </c>
      <c r="B2772" s="16" t="s">
        <v>7825</v>
      </c>
      <c r="C2772" s="16" t="s">
        <v>7824</v>
      </c>
      <c r="D2772" s="20" t="str">
        <f>?utf-8?B?RG9u4oCZdCBtaXNzIDEwMCBCb251cyBNaWxlcyBhdCBHbG9iYQ==?=
 =?utf-8?B?bCBQZXQgRm9vZHMg8J+Qvg==?=</f>
        <v>#ERROR!</v>
      </c>
      <c r="E2772" s="16" t="s">
        <v>6751</v>
      </c>
      <c r="F2772" s="16"/>
      <c r="G2772" s="16"/>
      <c r="H2772" s="18"/>
      <c r="I2772" s="18"/>
      <c r="J2772" s="18"/>
      <c r="K2772" s="18"/>
      <c r="L2772" s="18"/>
      <c r="M2772" s="18"/>
      <c r="N2772" s="18"/>
      <c r="O2772" s="18"/>
      <c r="P2772" s="18"/>
      <c r="Q2772" s="19"/>
      <c r="R2772" s="19"/>
      <c r="S2772" s="19"/>
    </row>
    <row r="2773" ht="15.75" customHeight="1">
      <c r="A2773" s="15">
        <v>45917.71445601852</v>
      </c>
      <c r="B2773" s="16" t="s">
        <v>7825</v>
      </c>
      <c r="C2773" s="16" t="s">
        <v>7824</v>
      </c>
      <c r="D2773" s="16" t="s">
        <v>6771</v>
      </c>
      <c r="E2773" s="16" t="s">
        <v>6751</v>
      </c>
      <c r="F2773" s="16"/>
      <c r="G2773" s="16"/>
      <c r="H2773" s="18"/>
      <c r="I2773" s="18"/>
      <c r="J2773" s="18"/>
      <c r="K2773" s="18"/>
      <c r="L2773" s="18"/>
      <c r="M2773" s="18"/>
      <c r="N2773" s="18"/>
      <c r="O2773" s="18"/>
      <c r="P2773" s="18"/>
      <c r="Q2773" s="19"/>
      <c r="R2773" s="19"/>
      <c r="S2773" s="19"/>
    </row>
    <row r="2774" ht="15.75" customHeight="1">
      <c r="A2774" s="15">
        <v>45929.56482638889</v>
      </c>
      <c r="B2774" s="16" t="s">
        <v>7823</v>
      </c>
      <c r="C2774" s="16" t="s">
        <v>7824</v>
      </c>
      <c r="D2774" s="16" t="s">
        <v>7826</v>
      </c>
      <c r="E2774" s="16" t="s">
        <v>6751</v>
      </c>
      <c r="F2774" s="16"/>
      <c r="G2774" s="16"/>
      <c r="H2774" s="18"/>
      <c r="I2774" s="18"/>
      <c r="J2774" s="18"/>
      <c r="K2774" s="18"/>
      <c r="L2774" s="18"/>
      <c r="M2774" s="18"/>
      <c r="N2774" s="18"/>
      <c r="O2774" s="18"/>
      <c r="P2774" s="18"/>
      <c r="Q2774" s="19"/>
      <c r="R2774" s="19"/>
      <c r="S2774" s="19"/>
    </row>
    <row r="2775" ht="15.75" customHeight="1">
      <c r="A2775" s="15">
        <v>45929.62795138889</v>
      </c>
      <c r="B2775" s="16" t="s">
        <v>7823</v>
      </c>
      <c r="C2775" s="16" t="s">
        <v>7824</v>
      </c>
      <c r="D2775" s="20" t="str">
        <f>?utf-8?B?V2luIGJpZyB3aXRoIEFtYXpvbiDwn46J?=</f>
        <v>#ERROR!</v>
      </c>
      <c r="E2775" s="16" t="s">
        <v>6751</v>
      </c>
      <c r="F2775" s="16"/>
      <c r="G2775" s="16"/>
      <c r="H2775" s="18"/>
      <c r="I2775" s="18"/>
      <c r="J2775" s="18"/>
      <c r="K2775" s="18"/>
      <c r="L2775" s="18"/>
      <c r="M2775" s="18"/>
      <c r="N2775" s="18"/>
      <c r="O2775" s="18"/>
      <c r="P2775" s="18"/>
      <c r="Q2775" s="19"/>
      <c r="R2775" s="19"/>
      <c r="S2775" s="19"/>
    </row>
    <row r="2776" ht="15.75" customHeight="1">
      <c r="A2776" s="15">
        <v>45932.76315972222</v>
      </c>
      <c r="B2776" s="16" t="s">
        <v>7823</v>
      </c>
      <c r="C2776" s="16" t="s">
        <v>7824</v>
      </c>
      <c r="D2776" s="20" t="str">
        <f>?utf-8?B?TGl0LCB5b3VyIGJlc3Qgb2ZmZXJzIHRoaXMgd2VlayBhcmUgaA==?=
 =?utf-8?B?ZXJlISDwn46J?=</f>
        <v>#ERROR!</v>
      </c>
      <c r="E2776" s="16" t="s">
        <v>6752</v>
      </c>
      <c r="F2776" s="16"/>
      <c r="G2776" s="16"/>
      <c r="H2776" s="18"/>
      <c r="I2776" s="18"/>
      <c r="J2776" s="18"/>
      <c r="K2776" s="18"/>
      <c r="L2776" s="18"/>
      <c r="M2776" s="18"/>
      <c r="N2776" s="18"/>
      <c r="O2776" s="18"/>
      <c r="P2776" s="18"/>
      <c r="Q2776" s="19"/>
      <c r="R2776" s="19"/>
      <c r="S2776" s="19"/>
    </row>
    <row r="2777" ht="15.75" customHeight="1">
      <c r="A2777" s="15">
        <v>45940.46087962963</v>
      </c>
      <c r="B2777" s="16" t="s">
        <v>7823</v>
      </c>
      <c r="C2777" s="16" t="s">
        <v>7824</v>
      </c>
      <c r="D2777" s="20" t="str">
        <f>?utf-8?B?4o+wIEZpbmFsIGhvdXJzOiBHZXQgdXAgdG8gMTB4IE1pbGVz?=</f>
        <v>#ERROR!</v>
      </c>
      <c r="E2777" s="16" t="s">
        <v>6751</v>
      </c>
      <c r="F2777" s="16"/>
      <c r="G2777" s="16"/>
      <c r="H2777" s="18"/>
      <c r="I2777" s="18"/>
      <c r="J2777" s="18"/>
      <c r="K2777" s="18"/>
      <c r="L2777" s="18"/>
      <c r="M2777" s="18"/>
      <c r="N2777" s="18"/>
      <c r="O2777" s="18"/>
      <c r="P2777" s="18"/>
      <c r="Q2777" s="19"/>
      <c r="R2777" s="19"/>
      <c r="S2777" s="19"/>
    </row>
    <row r="2778" ht="15.75" customHeight="1">
      <c r="A2778" s="15">
        <v>45874.920810185184</v>
      </c>
      <c r="B2778" s="16" t="s">
        <v>7827</v>
      </c>
      <c r="C2778" s="16" t="s">
        <v>7828</v>
      </c>
      <c r="D2778" s="20" t="str">
        <f>?utf-8?B?T04gTk9XOiBVcCB0byAkMjUgaW4gdmFsdWUgYmFjay10by1zYw==?=
 =?utf-8?B?aG9vbCBzaG9wcGluZyDwn46S?=</f>
        <v>#ERROR!</v>
      </c>
      <c r="E2778" s="16" t="s">
        <v>6751</v>
      </c>
      <c r="F2778" s="16"/>
      <c r="G2778" s="16"/>
      <c r="H2778" s="18"/>
      <c r="I2778" s="18"/>
      <c r="J2778" s="18"/>
      <c r="K2778" s="18"/>
      <c r="L2778" s="18"/>
      <c r="M2778" s="18"/>
      <c r="N2778" s="18"/>
      <c r="O2778" s="18"/>
      <c r="P2778" s="18"/>
      <c r="Q2778" s="19"/>
      <c r="R2778" s="19"/>
      <c r="S2778" s="19"/>
    </row>
    <row r="2779" ht="15.75" customHeight="1">
      <c r="A2779" s="15">
        <v>45875.510462962964</v>
      </c>
      <c r="B2779" s="16" t="s">
        <v>7827</v>
      </c>
      <c r="C2779" s="16" t="s">
        <v>7828</v>
      </c>
      <c r="D2779" s="20" t="str">
        <f>?utf-8?B?WW91IGRvbuKAmXQgd2FubmEgbWlzcyBvdXQgb24gJDU1IGluIA==?=
 =?utf-8?B?dmFsdWUgd2l0aCBBSVIgTUlMRVMgQ2FzaCwgZG8geW91P/CfkYA=?=</f>
        <v>#ERROR!</v>
      </c>
      <c r="E2779" s="16" t="s">
        <v>6751</v>
      </c>
      <c r="F2779" s="16"/>
      <c r="G2779" s="16"/>
      <c r="H2779" s="18"/>
      <c r="I2779" s="18"/>
      <c r="J2779" s="18"/>
      <c r="K2779" s="18"/>
      <c r="L2779" s="18"/>
      <c r="M2779" s="18"/>
      <c r="N2779" s="18"/>
      <c r="O2779" s="18"/>
      <c r="P2779" s="18"/>
      <c r="Q2779" s="19"/>
      <c r="R2779" s="19"/>
      <c r="S2779" s="19"/>
    </row>
    <row r="2780" ht="15.75" customHeight="1">
      <c r="A2780" s="15">
        <v>45875.746412037035</v>
      </c>
      <c r="B2780" s="16" t="s">
        <v>7827</v>
      </c>
      <c r="C2780" s="16" t="s">
        <v>7828</v>
      </c>
      <c r="D2780" s="20" t="str">
        <f>?windows-1252?Q?It=92s_now_or_never:_Shop_the_Block_ends_soon?=</f>
        <v>#ERROR!</v>
      </c>
      <c r="E2780" s="16" t="s">
        <v>6751</v>
      </c>
      <c r="F2780" s="16"/>
      <c r="G2780" s="16"/>
      <c r="H2780" s="18"/>
      <c r="I2780" s="18"/>
      <c r="J2780" s="18"/>
      <c r="K2780" s="18"/>
      <c r="L2780" s="18"/>
      <c r="M2780" s="18"/>
      <c r="N2780" s="18"/>
      <c r="O2780" s="18"/>
      <c r="P2780" s="18"/>
      <c r="Q2780" s="19"/>
      <c r="R2780" s="19"/>
      <c r="S2780" s="19"/>
    </row>
    <row r="2781" ht="15.75" customHeight="1">
      <c r="A2781" s="15">
        <v>45875.90038194445</v>
      </c>
      <c r="B2781" s="16" t="s">
        <v>7827</v>
      </c>
      <c r="C2781" s="16" t="s">
        <v>7828</v>
      </c>
      <c r="D2781" s="20" t="str">
        <f>?windows-1252?Q?Meet_this_month=92s_new-to-the-crew_brands!__?=</f>
        <v>#ERROR!</v>
      </c>
      <c r="E2781" s="16" t="s">
        <v>6751</v>
      </c>
      <c r="F2781" s="16"/>
      <c r="G2781" s="16"/>
      <c r="H2781" s="18"/>
      <c r="I2781" s="18"/>
      <c r="J2781" s="18"/>
      <c r="K2781" s="18"/>
      <c r="L2781" s="18"/>
      <c r="M2781" s="18"/>
      <c r="N2781" s="18"/>
      <c r="O2781" s="18"/>
      <c r="P2781" s="18"/>
      <c r="Q2781" s="19"/>
      <c r="R2781" s="19"/>
      <c r="S2781" s="19"/>
    </row>
    <row r="2782" ht="15.75" customHeight="1">
      <c r="A2782" s="15">
        <v>45876.57837962963</v>
      </c>
      <c r="B2782" s="16" t="s">
        <v>7827</v>
      </c>
      <c r="C2782" s="16" t="s">
        <v>7828</v>
      </c>
      <c r="D2782" s="20" t="str">
        <f>?utf-8?B?TmV3IE9ybGVhbnMgaXMgY2FsbGluZywgd2l0aCA5MDAgQm9udQ==?=
 =?utf-8?B?cyBNaWxlc++4jyBmb3IgeW91?=</f>
        <v>#ERROR!</v>
      </c>
      <c r="E2782" s="16" t="s">
        <v>6751</v>
      </c>
      <c r="F2782" s="16"/>
      <c r="G2782" s="16"/>
      <c r="H2782" s="18"/>
      <c r="I2782" s="18"/>
      <c r="J2782" s="18"/>
      <c r="K2782" s="18"/>
      <c r="L2782" s="18"/>
      <c r="M2782" s="18"/>
      <c r="N2782" s="18"/>
      <c r="O2782" s="18"/>
      <c r="P2782" s="18"/>
      <c r="Q2782" s="19"/>
      <c r="R2782" s="19"/>
      <c r="S2782" s="19"/>
    </row>
    <row r="2783" ht="15.75" customHeight="1">
      <c r="A2783" s="15">
        <v>45880.7394212963</v>
      </c>
      <c r="B2783" s="16" t="s">
        <v>7827</v>
      </c>
      <c r="C2783" s="16" t="s">
        <v>7828</v>
      </c>
      <c r="D2783" s="20" t="str">
        <f>?utf-8?B?R2V0IHNjaG9vbC1yZWFkeSB3aXRoIDV4IE1pbGVzIGF0IEFtYQ==?=
 =?utf-8?B?em9uIPCfjpLwn5Oa?=</f>
        <v>#ERROR!</v>
      </c>
      <c r="E2783" s="16" t="s">
        <v>6751</v>
      </c>
      <c r="F2783" s="16"/>
      <c r="G2783" s="16"/>
      <c r="H2783" s="18"/>
      <c r="I2783" s="18"/>
      <c r="J2783" s="18"/>
      <c r="K2783" s="18"/>
      <c r="L2783" s="18"/>
      <c r="M2783" s="18"/>
      <c r="N2783" s="18"/>
      <c r="O2783" s="18"/>
      <c r="P2783" s="18"/>
      <c r="Q2783" s="19"/>
      <c r="R2783" s="19"/>
      <c r="S2783" s="19"/>
    </row>
    <row r="2784" ht="15.75" customHeight="1">
      <c r="A2784" s="15">
        <v>45881.49400462963</v>
      </c>
      <c r="B2784" s="16" t="s">
        <v>7829</v>
      </c>
      <c r="C2784" s="16" t="s">
        <v>7828</v>
      </c>
      <c r="D2784" s="20" t="str">
        <f>?utf-8?B?WW91IGNvdWxkIHdpbiB1cCB0byBhIE1JTExJT04gTWlsZXMhIA==?=
 =?utf-8?B?8J+kkQ==?=</f>
        <v>#ERROR!</v>
      </c>
      <c r="E2784" s="16" t="s">
        <v>6751</v>
      </c>
      <c r="F2784" s="16"/>
      <c r="G2784" s="16"/>
      <c r="H2784" s="18"/>
      <c r="I2784" s="18"/>
      <c r="J2784" s="18"/>
      <c r="K2784" s="18"/>
      <c r="L2784" s="18"/>
      <c r="M2784" s="18"/>
      <c r="N2784" s="18"/>
      <c r="O2784" s="18"/>
      <c r="P2784" s="18"/>
      <c r="Q2784" s="19"/>
      <c r="R2784" s="19"/>
      <c r="S2784" s="19"/>
    </row>
    <row r="2785" ht="15.75" customHeight="1">
      <c r="A2785" s="15">
        <v>45881.78271990741</v>
      </c>
      <c r="B2785" s="16" t="s">
        <v>7829</v>
      </c>
      <c r="C2785" s="16" t="s">
        <v>7828</v>
      </c>
      <c r="D2785" s="16" t="s">
        <v>6754</v>
      </c>
      <c r="E2785" s="16" t="s">
        <v>6751</v>
      </c>
      <c r="F2785" s="16"/>
      <c r="G2785" s="16"/>
      <c r="H2785" s="18"/>
      <c r="I2785" s="18"/>
      <c r="J2785" s="18"/>
      <c r="K2785" s="18"/>
      <c r="L2785" s="18"/>
      <c r="M2785" s="18"/>
      <c r="N2785" s="18"/>
      <c r="O2785" s="18"/>
      <c r="P2785" s="18"/>
      <c r="Q2785" s="19"/>
      <c r="R2785" s="19"/>
      <c r="S2785" s="19"/>
    </row>
    <row r="2786" ht="15.75" customHeight="1">
      <c r="A2786" s="15">
        <v>45888.72991898148</v>
      </c>
      <c r="B2786" s="16" t="s">
        <v>7829</v>
      </c>
      <c r="C2786" s="16" t="s">
        <v>7828</v>
      </c>
      <c r="D2786" s="20" t="str">
        <f>?utf-8?B?WW91IGNvdWxkIHdpbiB1cCB0byBhIE1JTExJT04gTWlsZXMhIA==?=
 =?utf-8?B?8J+kkQ==?=</f>
        <v>#ERROR!</v>
      </c>
      <c r="E2786" s="16" t="s">
        <v>6751</v>
      </c>
      <c r="F2786" s="16"/>
      <c r="G2786" s="16"/>
      <c r="H2786" s="18"/>
      <c r="I2786" s="18"/>
      <c r="J2786" s="18"/>
      <c r="K2786" s="18"/>
      <c r="L2786" s="18"/>
      <c r="M2786" s="18"/>
      <c r="N2786" s="18"/>
      <c r="O2786" s="18"/>
      <c r="P2786" s="18"/>
      <c r="Q2786" s="19"/>
      <c r="R2786" s="19"/>
      <c r="S2786" s="19"/>
    </row>
    <row r="2787" ht="15.75" customHeight="1">
      <c r="A2787" s="15">
        <v>45888.900092592594</v>
      </c>
      <c r="B2787" s="16" t="s">
        <v>7827</v>
      </c>
      <c r="C2787" s="16" t="s">
        <v>7828</v>
      </c>
      <c r="D2787" s="20" t="str">
        <f>?utf-8?B?TGFzdCBjaGFuY2UgZm9yIHVwIHRvICQyNSBpbiB2YWx1ZSBvbg==?=
 =?utf-8?B?IGJhY2stdG8tc2Nob29sIPCfk5o=?=</f>
        <v>#ERROR!</v>
      </c>
      <c r="E2787" s="16" t="s">
        <v>6751</v>
      </c>
      <c r="F2787" s="16"/>
      <c r="G2787" s="16"/>
      <c r="H2787" s="18"/>
      <c r="I2787" s="18"/>
      <c r="J2787" s="18"/>
      <c r="K2787" s="18"/>
      <c r="L2787" s="18"/>
      <c r="M2787" s="18"/>
      <c r="N2787" s="18"/>
      <c r="O2787" s="18"/>
      <c r="P2787" s="18"/>
      <c r="Q2787" s="19"/>
      <c r="R2787" s="19"/>
      <c r="S2787" s="19"/>
    </row>
    <row r="2788" ht="15.75" customHeight="1">
      <c r="A2788" s="15">
        <v>45889.55260416667</v>
      </c>
      <c r="B2788" s="16" t="s">
        <v>7827</v>
      </c>
      <c r="C2788" s="16" t="s">
        <v>7828</v>
      </c>
      <c r="D2788" s="16" t="s">
        <v>6758</v>
      </c>
      <c r="E2788" s="16" t="s">
        <v>6751</v>
      </c>
      <c r="F2788" s="16"/>
      <c r="G2788" s="16"/>
      <c r="H2788" s="18"/>
      <c r="I2788" s="18"/>
      <c r="J2788" s="18"/>
      <c r="K2788" s="18"/>
      <c r="L2788" s="18"/>
      <c r="M2788" s="18"/>
      <c r="N2788" s="18"/>
      <c r="O2788" s="18"/>
      <c r="P2788" s="18"/>
      <c r="Q2788" s="19"/>
      <c r="R2788" s="19"/>
      <c r="S2788" s="19"/>
    </row>
    <row r="2789" ht="15.75" customHeight="1">
      <c r="A2789" s="15">
        <v>45889.77197916667</v>
      </c>
      <c r="B2789" s="16" t="s">
        <v>7827</v>
      </c>
      <c r="C2789" s="16" t="s">
        <v>7828</v>
      </c>
      <c r="D2789" s="16" t="s">
        <v>7830</v>
      </c>
      <c r="E2789" s="16" t="s">
        <v>6751</v>
      </c>
      <c r="F2789" s="16"/>
      <c r="G2789" s="16"/>
      <c r="H2789" s="18"/>
      <c r="I2789" s="18"/>
      <c r="J2789" s="18"/>
      <c r="K2789" s="18"/>
      <c r="L2789" s="18"/>
      <c r="M2789" s="18"/>
      <c r="N2789" s="18"/>
      <c r="O2789" s="18"/>
      <c r="P2789" s="18"/>
      <c r="Q2789" s="19"/>
      <c r="R2789" s="19"/>
      <c r="S2789" s="19"/>
    </row>
    <row r="2790" ht="15.75" customHeight="1">
      <c r="A2790" s="15">
        <v>45890.74076388889</v>
      </c>
      <c r="B2790" s="16" t="s">
        <v>7829</v>
      </c>
      <c r="C2790" s="16" t="s">
        <v>7828</v>
      </c>
      <c r="D2790" s="20" t="str">
        <f>?utf-8?B?R2V0IDEwMCBCb251cyBNaWxlcyBhdCBHbG9iYWwgUGV0IEZvbw==?=
 =?utf-8?B?ZHMg8J+Qvg==?=</f>
        <v>#ERROR!</v>
      </c>
      <c r="E2790" s="16" t="s">
        <v>6751</v>
      </c>
      <c r="F2790" s="16"/>
      <c r="G2790" s="16"/>
      <c r="H2790" s="18"/>
      <c r="I2790" s="18"/>
      <c r="J2790" s="18"/>
      <c r="K2790" s="18"/>
      <c r="L2790" s="18"/>
      <c r="M2790" s="18"/>
      <c r="N2790" s="18"/>
      <c r="O2790" s="18"/>
      <c r="P2790" s="18"/>
      <c r="Q2790" s="19"/>
      <c r="R2790" s="19"/>
      <c r="S2790" s="19"/>
    </row>
    <row r="2791" ht="15.75" customHeight="1">
      <c r="A2791" s="15">
        <v>45894.72582175926</v>
      </c>
      <c r="B2791" s="16" t="s">
        <v>7829</v>
      </c>
      <c r="C2791" s="16" t="s">
        <v>7828</v>
      </c>
      <c r="D2791" s="20" t="str">
        <f>?utf-8?B?4pu98J+NqiBGdWVsIHVwISBTbmFjayB1cCEgR2V0IHVwIHRvIA==?=
 =?utf-8?B?MTI1IEJvbnVzIE1pbGVzIQ==?=</f>
        <v>#ERROR!</v>
      </c>
      <c r="E2791" s="16" t="s">
        <v>6751</v>
      </c>
      <c r="F2791" s="16"/>
      <c r="G2791" s="16"/>
      <c r="H2791" s="18"/>
      <c r="I2791" s="18"/>
      <c r="J2791" s="18"/>
      <c r="K2791" s="18"/>
      <c r="L2791" s="18"/>
      <c r="M2791" s="18"/>
      <c r="N2791" s="18"/>
      <c r="O2791" s="18"/>
      <c r="P2791" s="18"/>
      <c r="Q2791" s="19"/>
      <c r="R2791" s="19"/>
      <c r="S2791" s="19"/>
    </row>
    <row r="2792" ht="15.75" customHeight="1">
      <c r="A2792" s="15">
        <v>45894.85290509259</v>
      </c>
      <c r="B2792" s="16" t="s">
        <v>7829</v>
      </c>
      <c r="C2792" s="16" t="s">
        <v>7828</v>
      </c>
      <c r="D2792" s="20" t="str">
        <f>?utf-8?B?R2V0IDUgQm9udXMgTWlsZXMgZm9yIHRlbGxpbmcgdXMgYWJvdQ==?=
 =?utf-8?B?dCB5b3VyIHBldCEg8J+QiCDwn5CV?=</f>
        <v>#ERROR!</v>
      </c>
      <c r="E2792" s="16" t="s">
        <v>6751</v>
      </c>
      <c r="F2792" s="16"/>
      <c r="G2792" s="16"/>
      <c r="H2792" s="18"/>
      <c r="I2792" s="18"/>
      <c r="J2792" s="18"/>
      <c r="K2792" s="18"/>
      <c r="L2792" s="18"/>
      <c r="M2792" s="18"/>
      <c r="N2792" s="18"/>
      <c r="O2792" s="18"/>
      <c r="P2792" s="18"/>
      <c r="Q2792" s="19"/>
      <c r="R2792" s="19"/>
      <c r="S2792" s="19"/>
    </row>
    <row r="2793" ht="15.75" customHeight="1">
      <c r="A2793" s="15">
        <v>45895.66532407407</v>
      </c>
      <c r="B2793" s="16" t="s">
        <v>7827</v>
      </c>
      <c r="C2793" s="16" t="s">
        <v>7828</v>
      </c>
      <c r="D2793" s="20" t="str">
        <f>?utf-8?B?8J+ToyBFYXJuIEJJRyB3aXRoIDEweCBNaWxlcyBhdCBIUCA=?=</f>
        <v>#ERROR!</v>
      </c>
      <c r="E2793" s="16" t="s">
        <v>6751</v>
      </c>
      <c r="F2793" s="16"/>
      <c r="G2793" s="16"/>
      <c r="H2793" s="18"/>
      <c r="I2793" s="18"/>
      <c r="J2793" s="18"/>
      <c r="K2793" s="18"/>
      <c r="L2793" s="18"/>
      <c r="M2793" s="18"/>
      <c r="N2793" s="18"/>
      <c r="O2793" s="18"/>
      <c r="P2793" s="18"/>
      <c r="Q2793" s="19"/>
      <c r="R2793" s="19"/>
      <c r="S2793" s="19"/>
    </row>
    <row r="2794" ht="15.75" customHeight="1">
      <c r="A2794" s="15">
        <v>45895.77570601852</v>
      </c>
      <c r="B2794" s="16" t="s">
        <v>7829</v>
      </c>
      <c r="C2794" s="16" t="s">
        <v>7828</v>
      </c>
      <c r="D2794" s="20" t="str">
        <f>?windows-1252?Q?LAST_DAYS!_Get_BMO=92s_all-new_Welcome_Bonus?=</f>
        <v>#ERROR!</v>
      </c>
      <c r="E2794" s="16" t="s">
        <v>6751</v>
      </c>
      <c r="F2794" s="16"/>
      <c r="G2794" s="16"/>
      <c r="H2794" s="18"/>
      <c r="I2794" s="18"/>
      <c r="J2794" s="18"/>
      <c r="K2794" s="18"/>
      <c r="L2794" s="18"/>
      <c r="M2794" s="18"/>
      <c r="N2794" s="18"/>
      <c r="O2794" s="18"/>
      <c r="P2794" s="18"/>
      <c r="Q2794" s="19"/>
      <c r="R2794" s="19"/>
      <c r="S2794" s="19"/>
    </row>
    <row r="2795" ht="15.75" customHeight="1">
      <c r="A2795" s="15">
        <v>45897.55506944445</v>
      </c>
      <c r="B2795" s="16" t="s">
        <v>7829</v>
      </c>
      <c r="C2795" s="16" t="s">
        <v>7828</v>
      </c>
      <c r="D2795" s="20" t="str">
        <f>?utf-8?B?RG9u4oCZdCBtaXNzIDEwMCBCb251cyBNaWxlcyBhdCBHbG9iYQ==?=
 =?utf-8?B?bCBQZXQgRm9vZHMg8J+Qvg==?=</f>
        <v>#ERROR!</v>
      </c>
      <c r="E2795" s="16" t="s">
        <v>6751</v>
      </c>
      <c r="F2795" s="16"/>
      <c r="G2795" s="16"/>
      <c r="H2795" s="18"/>
      <c r="I2795" s="18"/>
      <c r="J2795" s="18"/>
      <c r="K2795" s="18"/>
      <c r="L2795" s="18"/>
      <c r="M2795" s="18"/>
      <c r="N2795" s="18"/>
      <c r="O2795" s="18"/>
      <c r="P2795" s="18"/>
      <c r="Q2795" s="19"/>
      <c r="R2795" s="19"/>
      <c r="S2795" s="19"/>
    </row>
    <row r="2796" ht="15.75" customHeight="1">
      <c r="A2796" s="15">
        <v>45902.703726851854</v>
      </c>
      <c r="B2796" s="16" t="s">
        <v>7829</v>
      </c>
      <c r="C2796" s="16" t="s">
        <v>7828</v>
      </c>
      <c r="D2796" s="20" t="str">
        <f>?windows-1252?Q?Here=92s_your_exclusive_bonus_offer_from_Irving!?=</f>
        <v>#ERROR!</v>
      </c>
      <c r="E2796" s="16" t="s">
        <v>6751</v>
      </c>
      <c r="F2796" s="16"/>
      <c r="G2796" s="16"/>
      <c r="H2796" s="18"/>
      <c r="I2796" s="18"/>
      <c r="J2796" s="18"/>
      <c r="K2796" s="18"/>
      <c r="L2796" s="18"/>
      <c r="M2796" s="18"/>
      <c r="N2796" s="18"/>
      <c r="O2796" s="18"/>
      <c r="P2796" s="18"/>
      <c r="Q2796" s="19"/>
      <c r="R2796" s="19"/>
      <c r="S2796" s="19"/>
    </row>
    <row r="2797" ht="15.75" customHeight="1">
      <c r="A2797" s="15">
        <v>45903.74643518519</v>
      </c>
      <c r="B2797" s="16" t="s">
        <v>7827</v>
      </c>
      <c r="C2797" s="16" t="s">
        <v>7828</v>
      </c>
      <c r="D2797" s="16" t="s">
        <v>7831</v>
      </c>
      <c r="E2797" s="16" t="s">
        <v>6751</v>
      </c>
      <c r="F2797" s="16"/>
      <c r="G2797" s="16"/>
      <c r="H2797" s="18"/>
      <c r="I2797" s="18"/>
      <c r="J2797" s="18"/>
      <c r="K2797" s="18"/>
      <c r="L2797" s="18"/>
      <c r="M2797" s="18"/>
      <c r="N2797" s="18"/>
      <c r="O2797" s="18"/>
      <c r="P2797" s="18"/>
      <c r="Q2797" s="19"/>
      <c r="R2797" s="19"/>
      <c r="S2797" s="19"/>
    </row>
    <row r="2798" ht="15.75" customHeight="1">
      <c r="A2798" s="15">
        <v>45922.51230324074</v>
      </c>
      <c r="B2798" s="16" t="s">
        <v>7829</v>
      </c>
      <c r="C2798" s="16" t="s">
        <v>7828</v>
      </c>
      <c r="D2798" s="20" t="str">
        <f>?utf-8?B?QWxsIGFib2FyZCEgT3VyIGxhdGVzdCBTaGVsbCBHbysgY29udA==?=
 =?utf-8?B?ZXN0IGlzIGhlcmUg8J+ahg==?=</f>
        <v>#ERROR!</v>
      </c>
      <c r="E2798" s="16" t="s">
        <v>6751</v>
      </c>
      <c r="F2798" s="16"/>
      <c r="G2798" s="16"/>
      <c r="H2798" s="18"/>
      <c r="I2798" s="18"/>
      <c r="J2798" s="18"/>
      <c r="K2798" s="18"/>
      <c r="L2798" s="18"/>
      <c r="M2798" s="18"/>
      <c r="N2798" s="18"/>
      <c r="O2798" s="18"/>
      <c r="P2798" s="18"/>
      <c r="Q2798" s="19"/>
      <c r="R2798" s="19"/>
      <c r="S2798" s="19"/>
    </row>
    <row r="2799" ht="15.75" customHeight="1">
      <c r="A2799" s="15">
        <v>45924.6850462963</v>
      </c>
      <c r="B2799" s="16" t="s">
        <v>7827</v>
      </c>
      <c r="C2799" s="16" t="s">
        <v>7828</v>
      </c>
      <c r="D2799" s="20" t="str">
        <f>?utf-8?B?RmFsbCBmb3IgY3Jpc3BlciBhaXIgYW5kIHVwIHRvIDEweCBtbw==?=
 =?utf-8?B?cmUgTWlsZXMg8J+Ngg==?=</f>
        <v>#ERROR!</v>
      </c>
      <c r="E2799" s="16" t="s">
        <v>6751</v>
      </c>
      <c r="F2799" s="16"/>
      <c r="G2799" s="16"/>
      <c r="H2799" s="18"/>
      <c r="I2799" s="18"/>
      <c r="J2799" s="18"/>
      <c r="K2799" s="18"/>
      <c r="L2799" s="18"/>
      <c r="M2799" s="18"/>
      <c r="N2799" s="18"/>
      <c r="O2799" s="18"/>
      <c r="P2799" s="18"/>
      <c r="Q2799" s="19"/>
      <c r="R2799" s="19"/>
      <c r="S2799" s="19"/>
    </row>
    <row r="2800" ht="15.75" customHeight="1">
      <c r="A2800" s="15">
        <v>45924.69516203704</v>
      </c>
      <c r="B2800" s="16" t="s">
        <v>7827</v>
      </c>
      <c r="C2800" s="16" t="s">
        <v>7828</v>
      </c>
      <c r="D2800" s="16" t="s">
        <v>6775</v>
      </c>
      <c r="E2800" s="16" t="s">
        <v>6751</v>
      </c>
      <c r="F2800" s="16"/>
      <c r="G2800" s="16"/>
      <c r="H2800" s="18"/>
      <c r="I2800" s="18"/>
      <c r="J2800" s="18"/>
      <c r="K2800" s="18"/>
      <c r="L2800" s="18"/>
      <c r="M2800" s="18"/>
      <c r="N2800" s="18"/>
      <c r="O2800" s="18"/>
      <c r="P2800" s="18"/>
      <c r="Q2800" s="19"/>
      <c r="R2800" s="19"/>
      <c r="S2800" s="19"/>
    </row>
    <row r="2801" ht="15.75" customHeight="1">
      <c r="A2801" s="15">
        <v>45925.82407407407</v>
      </c>
      <c r="B2801" s="16" t="s">
        <v>7829</v>
      </c>
      <c r="C2801" s="16" t="s">
        <v>7828</v>
      </c>
      <c r="D2801" s="16" t="s">
        <v>7832</v>
      </c>
      <c r="E2801" s="16" t="s">
        <v>6751</v>
      </c>
      <c r="F2801" s="16"/>
      <c r="G2801" s="16"/>
      <c r="H2801" s="18"/>
      <c r="I2801" s="18"/>
      <c r="J2801" s="18"/>
      <c r="K2801" s="18"/>
      <c r="L2801" s="18"/>
      <c r="M2801" s="18"/>
      <c r="N2801" s="18"/>
      <c r="O2801" s="18"/>
      <c r="P2801" s="18"/>
      <c r="Q2801" s="19"/>
      <c r="R2801" s="19"/>
      <c r="S2801" s="19"/>
    </row>
    <row r="2802" ht="15.75" customHeight="1">
      <c r="A2802" s="15">
        <v>45926.62837962963</v>
      </c>
      <c r="B2802" s="16" t="s">
        <v>7829</v>
      </c>
      <c r="C2802" s="16" t="s">
        <v>7828</v>
      </c>
      <c r="D2802" s="20" t="str">
        <f>?utf-8?B?4pu98J+NqiBGdWVsIHVwISBTbmFjayB1cCEgR2V0IHVwIHRvIA==?=
 =?utf-8?B?MTUwIEJvbnVzIE1pbGVzIQ==?=</f>
        <v>#ERROR!</v>
      </c>
      <c r="E2802" s="16" t="s">
        <v>6751</v>
      </c>
      <c r="F2802" s="16"/>
      <c r="G2802" s="16"/>
      <c r="H2802" s="18"/>
      <c r="I2802" s="18"/>
      <c r="J2802" s="18"/>
      <c r="K2802" s="18"/>
      <c r="L2802" s="18"/>
      <c r="M2802" s="18"/>
      <c r="N2802" s="18"/>
      <c r="O2802" s="18"/>
      <c r="P2802" s="18"/>
      <c r="Q2802" s="19"/>
      <c r="R2802" s="19"/>
      <c r="S2802" s="19"/>
    </row>
    <row r="2803" ht="15.75" customHeight="1">
      <c r="A2803" s="15">
        <v>45931.614652777775</v>
      </c>
      <c r="B2803" s="16" t="s">
        <v>7829</v>
      </c>
      <c r="C2803" s="16" t="s">
        <v>7828</v>
      </c>
      <c r="D2803" s="20" t="str">
        <f>?windows-1252?Q?Apply_and_get_up_to_9=2C000_Miles=96a_$940_value_?=
 =?windows-1252?Q?with_AIR_MILES_Cash!?=</f>
        <v>#ERROR!</v>
      </c>
      <c r="E2803" s="16" t="s">
        <v>6751</v>
      </c>
      <c r="F2803" s="16"/>
      <c r="G2803" s="16"/>
      <c r="H2803" s="18"/>
      <c r="I2803" s="18"/>
      <c r="J2803" s="18"/>
      <c r="K2803" s="18"/>
      <c r="L2803" s="18"/>
      <c r="M2803" s="18"/>
      <c r="N2803" s="18"/>
      <c r="O2803" s="18"/>
      <c r="P2803" s="18"/>
      <c r="Q2803" s="19"/>
      <c r="R2803" s="19"/>
      <c r="S2803" s="19"/>
    </row>
    <row r="2804" ht="15.75" customHeight="1">
      <c r="A2804" s="15">
        <v>45932.619363425925</v>
      </c>
      <c r="B2804" s="16" t="s">
        <v>7829</v>
      </c>
      <c r="C2804" s="16" t="s">
        <v>7828</v>
      </c>
      <c r="D2804" s="20" t="str">
        <f>?windows-1252?Q?Here=92s_your_exclusive_bonus_offer_from_Irving!?=</f>
        <v>#ERROR!</v>
      </c>
      <c r="E2804" s="16" t="s">
        <v>6751</v>
      </c>
      <c r="F2804" s="16"/>
      <c r="G2804" s="16"/>
      <c r="H2804" s="18"/>
      <c r="I2804" s="18"/>
      <c r="J2804" s="18"/>
      <c r="K2804" s="18"/>
      <c r="L2804" s="18"/>
      <c r="M2804" s="18"/>
      <c r="N2804" s="18"/>
      <c r="O2804" s="18"/>
      <c r="P2804" s="18"/>
      <c r="Q2804" s="19"/>
      <c r="R2804" s="19"/>
      <c r="S2804" s="19"/>
    </row>
    <row r="2805" ht="15.75" customHeight="1">
      <c r="A2805" s="15">
        <v>45932.83721064815</v>
      </c>
      <c r="B2805" s="16" t="s">
        <v>7829</v>
      </c>
      <c r="C2805" s="16" t="s">
        <v>7828</v>
      </c>
      <c r="D2805" s="20" t="str">
        <f>?utf-8?B?8J+OuCBJdOKAmXMgb24hIE5vdyBnZXQgbGl2ZSBldmVudCB0aQ==?=
 =?utf-8?B?Y2tldHMgd2l0aCBNaWxlcyDwn4+IICA=?=</f>
        <v>#ERROR!</v>
      </c>
      <c r="E2805" s="16" t="s">
        <v>6751</v>
      </c>
      <c r="F2805" s="16"/>
      <c r="G2805" s="16"/>
      <c r="H2805" s="18"/>
      <c r="I2805" s="18"/>
      <c r="J2805" s="18"/>
      <c r="K2805" s="18"/>
      <c r="L2805" s="18"/>
      <c r="M2805" s="18"/>
      <c r="N2805" s="18"/>
      <c r="O2805" s="18"/>
      <c r="P2805" s="18"/>
      <c r="Q2805" s="19"/>
      <c r="R2805" s="19"/>
      <c r="S2805" s="19"/>
    </row>
    <row r="2806" ht="15.75" customHeight="1">
      <c r="A2806" s="15">
        <v>45944.784224537034</v>
      </c>
      <c r="B2806" s="16" t="s">
        <v>7829</v>
      </c>
      <c r="C2806" s="16" t="s">
        <v>7828</v>
      </c>
      <c r="D2806" s="16" t="s">
        <v>7833</v>
      </c>
      <c r="E2806" s="16" t="s">
        <v>6751</v>
      </c>
      <c r="F2806" s="16"/>
      <c r="G2806" s="16"/>
      <c r="H2806" s="18"/>
      <c r="I2806" s="18"/>
      <c r="J2806" s="18"/>
      <c r="K2806" s="18"/>
      <c r="L2806" s="18"/>
      <c r="M2806" s="18"/>
      <c r="N2806" s="18"/>
      <c r="O2806" s="18"/>
      <c r="P2806" s="18"/>
      <c r="Q2806" s="19"/>
      <c r="R2806" s="19"/>
      <c r="S2806" s="19"/>
    </row>
    <row r="2807" ht="15.75" customHeight="1">
      <c r="A2807" s="15">
        <v>45946.53673611111</v>
      </c>
      <c r="B2807" s="16" t="s">
        <v>7829</v>
      </c>
      <c r="C2807" s="16" t="s">
        <v>7828</v>
      </c>
      <c r="D2807" s="20" t="str">
        <f>?utf-8?B?R2V0IDEwMCBCb251cyBNaWxlcyBhdCBHbG9iYWwgUGV0IEZvbw==?=
 =?utf-8?B?ZHMg8J+Qvg==?=</f>
        <v>#ERROR!</v>
      </c>
      <c r="E2807" s="16" t="s">
        <v>6751</v>
      </c>
      <c r="F2807" s="16"/>
      <c r="G2807" s="16"/>
      <c r="H2807" s="18"/>
      <c r="I2807" s="18"/>
      <c r="J2807" s="18"/>
      <c r="K2807" s="18"/>
      <c r="L2807" s="18"/>
      <c r="M2807" s="18"/>
      <c r="N2807" s="18"/>
      <c r="O2807" s="18"/>
      <c r="P2807" s="18"/>
      <c r="Q2807" s="19"/>
      <c r="R2807" s="19"/>
      <c r="S2807" s="19"/>
    </row>
    <row r="2808" ht="15.75" customHeight="1">
      <c r="A2808" s="15">
        <v>45893.533854166664</v>
      </c>
      <c r="B2808" s="16" t="s">
        <v>6591</v>
      </c>
      <c r="C2808" s="16" t="s">
        <v>7834</v>
      </c>
      <c r="D2808" s="20" t="str">
        <f>?UTF-8?Q?FWD=3A_Formal_Demand_=E2=80=93_Outstanding_Wages=2C_Unauthoriz?=
	=?UTF-8?Q?ed_Use_of_Materials=2C_and_Defamatory_Statements?=</f>
        <v>#ERROR!</v>
      </c>
      <c r="E2808" s="16" t="s">
        <v>7067</v>
      </c>
      <c r="F2808" s="16"/>
      <c r="G2808" s="16"/>
      <c r="H2808" s="18"/>
      <c r="I2808" s="18"/>
      <c r="J2808" s="18"/>
      <c r="K2808" s="18"/>
      <c r="L2808" s="18"/>
      <c r="M2808" s="18"/>
      <c r="N2808" s="18"/>
      <c r="O2808" s="18"/>
      <c r="P2808" s="18"/>
      <c r="Q2808" s="19"/>
      <c r="R2808" s="19"/>
      <c r="S2808" s="19"/>
    </row>
    <row r="2809" ht="15.75" customHeight="1">
      <c r="A2809" s="15">
        <v>45826.3809375</v>
      </c>
      <c r="B2809" s="16" t="s">
        <v>6591</v>
      </c>
      <c r="C2809" s="16" t="s">
        <v>7835</v>
      </c>
      <c r="D2809" s="16" t="s">
        <v>6621</v>
      </c>
      <c r="E2809" s="16" t="s">
        <v>7836</v>
      </c>
      <c r="F2809" s="16"/>
      <c r="G2809" s="16"/>
      <c r="H2809" s="18"/>
      <c r="I2809" s="18"/>
      <c r="J2809" s="18"/>
      <c r="K2809" s="18"/>
      <c r="L2809" s="18"/>
      <c r="M2809" s="18"/>
      <c r="N2809" s="18"/>
      <c r="O2809" s="18"/>
      <c r="P2809" s="18"/>
      <c r="Q2809" s="19"/>
      <c r="R2809" s="19"/>
      <c r="S2809" s="19"/>
    </row>
    <row r="2810" ht="15.75" customHeight="1">
      <c r="A2810" s="15">
        <v>45937.76671296296</v>
      </c>
      <c r="B2810" s="16" t="s">
        <v>6591</v>
      </c>
      <c r="C2810" s="16" t="s">
        <v>7837</v>
      </c>
      <c r="D2810" s="16"/>
      <c r="E2810" s="16" t="s">
        <v>7838</v>
      </c>
      <c r="F2810" s="16"/>
      <c r="G2810" s="16"/>
      <c r="H2810" s="18"/>
      <c r="I2810" s="18"/>
      <c r="J2810" s="18"/>
      <c r="K2810" s="18"/>
      <c r="L2810" s="18"/>
      <c r="M2810" s="18"/>
      <c r="N2810" s="18"/>
      <c r="O2810" s="18"/>
      <c r="P2810" s="18"/>
      <c r="Q2810" s="19"/>
      <c r="R2810" s="19"/>
      <c r="S2810" s="19"/>
    </row>
    <row r="2811" ht="15.75" customHeight="1">
      <c r="A2811" s="15">
        <v>45660.22925925926</v>
      </c>
      <c r="B2811" s="16" t="s">
        <v>6667</v>
      </c>
      <c r="C2811" s="16" t="s">
        <v>6654</v>
      </c>
      <c r="D2811" s="16" t="s">
        <v>6669</v>
      </c>
      <c r="E2811" s="16" t="s">
        <v>7839</v>
      </c>
      <c r="F2811" s="16"/>
      <c r="G2811" s="16"/>
      <c r="H2811" s="18"/>
      <c r="I2811" s="18"/>
      <c r="J2811" s="18"/>
      <c r="K2811" s="18"/>
      <c r="L2811" s="18"/>
      <c r="M2811" s="18"/>
      <c r="N2811" s="18"/>
      <c r="O2811" s="18"/>
      <c r="P2811" s="18"/>
      <c r="Q2811" s="19"/>
      <c r="R2811" s="19"/>
      <c r="S2811" s="19"/>
    </row>
    <row r="2812" ht="15.75" customHeight="1">
      <c r="A2812" s="15">
        <v>45671.45276620371</v>
      </c>
      <c r="B2812" s="16" t="s">
        <v>7129</v>
      </c>
      <c r="C2812" s="16" t="s">
        <v>6654</v>
      </c>
      <c r="D2812" s="16" t="s">
        <v>7508</v>
      </c>
      <c r="E2812" s="16" t="s">
        <v>7840</v>
      </c>
      <c r="F2812" s="16"/>
      <c r="G2812" s="16"/>
      <c r="H2812" s="18"/>
      <c r="I2812" s="18"/>
      <c r="J2812" s="18"/>
      <c r="K2812" s="18"/>
      <c r="L2812" s="18"/>
      <c r="M2812" s="18"/>
      <c r="N2812" s="18"/>
      <c r="O2812" s="18"/>
      <c r="P2812" s="18"/>
      <c r="Q2812" s="19"/>
      <c r="R2812" s="19"/>
      <c r="S2812" s="19"/>
    </row>
    <row r="2813" ht="15.75" customHeight="1">
      <c r="A2813" s="15">
        <v>45671.45313657408</v>
      </c>
      <c r="B2813" s="16" t="s">
        <v>7129</v>
      </c>
      <c r="C2813" s="16" t="s">
        <v>6654</v>
      </c>
      <c r="D2813" s="16" t="s">
        <v>7508</v>
      </c>
      <c r="E2813" s="16" t="s">
        <v>7841</v>
      </c>
      <c r="F2813" s="16"/>
      <c r="G2813" s="16"/>
      <c r="H2813" s="18"/>
      <c r="I2813" s="18"/>
      <c r="J2813" s="18"/>
      <c r="K2813" s="18"/>
      <c r="L2813" s="18"/>
      <c r="M2813" s="18"/>
      <c r="N2813" s="18"/>
      <c r="O2813" s="18"/>
      <c r="P2813" s="18"/>
      <c r="Q2813" s="19"/>
      <c r="R2813" s="19"/>
      <c r="S2813" s="19"/>
    </row>
    <row r="2814" ht="15.75" customHeight="1">
      <c r="A2814" s="15">
        <v>45671.454513888886</v>
      </c>
      <c r="B2814" s="16" t="s">
        <v>7129</v>
      </c>
      <c r="C2814" s="16" t="s">
        <v>6654</v>
      </c>
      <c r="D2814" s="16" t="s">
        <v>7508</v>
      </c>
      <c r="E2814" s="16" t="s">
        <v>7842</v>
      </c>
      <c r="F2814" s="16"/>
      <c r="G2814" s="16"/>
      <c r="H2814" s="18"/>
      <c r="I2814" s="18"/>
      <c r="J2814" s="18"/>
      <c r="K2814" s="18"/>
      <c r="L2814" s="18"/>
      <c r="M2814" s="18"/>
      <c r="N2814" s="18"/>
      <c r="O2814" s="18"/>
      <c r="P2814" s="18"/>
      <c r="Q2814" s="19"/>
      <c r="R2814" s="19"/>
      <c r="S2814" s="19"/>
    </row>
    <row r="2815" ht="15.75" customHeight="1">
      <c r="A2815" s="15">
        <v>45671.45506944445</v>
      </c>
      <c r="B2815" s="16" t="s">
        <v>7129</v>
      </c>
      <c r="C2815" s="16" t="s">
        <v>6654</v>
      </c>
      <c r="D2815" s="16" t="s">
        <v>7508</v>
      </c>
      <c r="E2815" s="16" t="s">
        <v>7843</v>
      </c>
      <c r="F2815" s="16"/>
      <c r="G2815" s="16"/>
      <c r="H2815" s="18"/>
      <c r="I2815" s="18"/>
      <c r="J2815" s="18"/>
      <c r="K2815" s="18"/>
      <c r="L2815" s="18"/>
      <c r="M2815" s="18"/>
      <c r="N2815" s="18"/>
      <c r="O2815" s="18"/>
      <c r="P2815" s="18"/>
      <c r="Q2815" s="19"/>
      <c r="R2815" s="19"/>
      <c r="S2815" s="19"/>
    </row>
    <row r="2816" ht="15.75" customHeight="1">
      <c r="A2816" s="15">
        <v>45671.47112268519</v>
      </c>
      <c r="B2816" s="16" t="s">
        <v>7129</v>
      </c>
      <c r="C2816" s="16" t="s">
        <v>6654</v>
      </c>
      <c r="D2816" s="16" t="s">
        <v>7508</v>
      </c>
      <c r="E2816" s="16" t="s">
        <v>7844</v>
      </c>
      <c r="F2816" s="16"/>
      <c r="G2816" s="16"/>
      <c r="H2816" s="18"/>
      <c r="I2816" s="18"/>
      <c r="J2816" s="18"/>
      <c r="K2816" s="18"/>
      <c r="L2816" s="18"/>
      <c r="M2816" s="18"/>
      <c r="N2816" s="18"/>
      <c r="O2816" s="18"/>
      <c r="P2816" s="18"/>
      <c r="Q2816" s="19"/>
      <c r="R2816" s="19"/>
      <c r="S2816" s="19"/>
    </row>
    <row r="2817" ht="15.75" customHeight="1">
      <c r="A2817" s="15">
        <v>45671.471724537034</v>
      </c>
      <c r="B2817" s="16" t="s">
        <v>7129</v>
      </c>
      <c r="C2817" s="16" t="s">
        <v>6654</v>
      </c>
      <c r="D2817" s="16" t="s">
        <v>7508</v>
      </c>
      <c r="E2817" s="16" t="s">
        <v>7845</v>
      </c>
      <c r="F2817" s="16"/>
      <c r="G2817" s="16"/>
      <c r="H2817" s="18"/>
      <c r="I2817" s="18"/>
      <c r="J2817" s="18"/>
      <c r="K2817" s="18"/>
      <c r="L2817" s="18"/>
      <c r="M2817" s="18"/>
      <c r="N2817" s="18"/>
      <c r="O2817" s="18"/>
      <c r="P2817" s="18"/>
      <c r="Q2817" s="19"/>
      <c r="R2817" s="19"/>
      <c r="S2817" s="19"/>
    </row>
    <row r="2818" ht="15.75" customHeight="1">
      <c r="A2818" s="15">
        <v>45671.47224537037</v>
      </c>
      <c r="B2818" s="16" t="s">
        <v>7129</v>
      </c>
      <c r="C2818" s="16" t="s">
        <v>6654</v>
      </c>
      <c r="D2818" s="16" t="s">
        <v>7508</v>
      </c>
      <c r="E2818" s="16" t="s">
        <v>7846</v>
      </c>
      <c r="F2818" s="16"/>
      <c r="G2818" s="16"/>
      <c r="H2818" s="18"/>
      <c r="I2818" s="18"/>
      <c r="J2818" s="18"/>
      <c r="K2818" s="18"/>
      <c r="L2818" s="18"/>
      <c r="M2818" s="18"/>
      <c r="N2818" s="18"/>
      <c r="O2818" s="18"/>
      <c r="P2818" s="18"/>
      <c r="Q2818" s="19"/>
      <c r="R2818" s="19"/>
      <c r="S2818" s="19"/>
    </row>
    <row r="2819" ht="15.75" customHeight="1">
      <c r="A2819" s="15">
        <v>45671.47253472222</v>
      </c>
      <c r="B2819" s="16" t="s">
        <v>7129</v>
      </c>
      <c r="C2819" s="16" t="s">
        <v>6654</v>
      </c>
      <c r="D2819" s="16" t="s">
        <v>7508</v>
      </c>
      <c r="E2819" s="16" t="s">
        <v>7847</v>
      </c>
      <c r="F2819" s="16"/>
      <c r="G2819" s="16"/>
      <c r="H2819" s="18"/>
      <c r="I2819" s="18"/>
      <c r="J2819" s="18"/>
      <c r="K2819" s="18"/>
      <c r="L2819" s="18"/>
      <c r="M2819" s="18"/>
      <c r="N2819" s="18"/>
      <c r="O2819" s="18"/>
      <c r="P2819" s="18"/>
      <c r="Q2819" s="19"/>
      <c r="R2819" s="19"/>
      <c r="S2819" s="19"/>
    </row>
    <row r="2820" ht="15.75" customHeight="1">
      <c r="A2820" s="15">
        <v>45671.47467592593</v>
      </c>
      <c r="B2820" s="16" t="s">
        <v>7129</v>
      </c>
      <c r="C2820" s="16" t="s">
        <v>6654</v>
      </c>
      <c r="D2820" s="16" t="s">
        <v>7508</v>
      </c>
      <c r="E2820" s="16" t="s">
        <v>7848</v>
      </c>
      <c r="F2820" s="16"/>
      <c r="G2820" s="16"/>
      <c r="H2820" s="18"/>
      <c r="I2820" s="18"/>
      <c r="J2820" s="18"/>
      <c r="K2820" s="18"/>
      <c r="L2820" s="18"/>
      <c r="M2820" s="18"/>
      <c r="N2820" s="18"/>
      <c r="O2820" s="18"/>
      <c r="P2820" s="18"/>
      <c r="Q2820" s="19"/>
      <c r="R2820" s="19"/>
      <c r="S2820" s="19"/>
    </row>
    <row r="2821" ht="15.75" customHeight="1">
      <c r="A2821" s="15">
        <v>45671.48370370371</v>
      </c>
      <c r="B2821" s="16" t="s">
        <v>7129</v>
      </c>
      <c r="C2821" s="16" t="s">
        <v>6654</v>
      </c>
      <c r="D2821" s="16" t="s">
        <v>7508</v>
      </c>
      <c r="E2821" s="16" t="s">
        <v>7849</v>
      </c>
      <c r="F2821" s="16"/>
      <c r="G2821" s="16"/>
      <c r="H2821" s="18"/>
      <c r="I2821" s="18"/>
      <c r="J2821" s="18"/>
      <c r="K2821" s="18"/>
      <c r="L2821" s="18"/>
      <c r="M2821" s="18"/>
      <c r="N2821" s="18"/>
      <c r="O2821" s="18"/>
      <c r="P2821" s="18"/>
      <c r="Q2821" s="19"/>
      <c r="R2821" s="19"/>
      <c r="S2821" s="19"/>
    </row>
    <row r="2822" ht="15.75" customHeight="1">
      <c r="A2822" s="15">
        <v>45671.4837962963</v>
      </c>
      <c r="B2822" s="16" t="s">
        <v>7129</v>
      </c>
      <c r="C2822" s="16" t="s">
        <v>6654</v>
      </c>
      <c r="D2822" s="16" t="s">
        <v>7508</v>
      </c>
      <c r="E2822" s="16" t="s">
        <v>7850</v>
      </c>
      <c r="F2822" s="16"/>
      <c r="G2822" s="16"/>
      <c r="H2822" s="18"/>
      <c r="I2822" s="18"/>
      <c r="J2822" s="18"/>
      <c r="K2822" s="18"/>
      <c r="L2822" s="18"/>
      <c r="M2822" s="18"/>
      <c r="N2822" s="18"/>
      <c r="O2822" s="18"/>
      <c r="P2822" s="18"/>
      <c r="Q2822" s="19"/>
      <c r="R2822" s="19"/>
      <c r="S2822" s="19"/>
    </row>
    <row r="2823" ht="15.75" customHeight="1">
      <c r="A2823" s="15">
        <v>45671.48405092592</v>
      </c>
      <c r="B2823" s="16" t="s">
        <v>7129</v>
      </c>
      <c r="C2823" s="16" t="s">
        <v>6654</v>
      </c>
      <c r="D2823" s="16" t="s">
        <v>7508</v>
      </c>
      <c r="E2823" s="16" t="s">
        <v>7851</v>
      </c>
      <c r="F2823" s="16"/>
      <c r="G2823" s="16"/>
      <c r="H2823" s="18"/>
      <c r="I2823" s="18"/>
      <c r="J2823" s="18"/>
      <c r="K2823" s="18"/>
      <c r="L2823" s="18"/>
      <c r="M2823" s="18"/>
      <c r="N2823" s="18"/>
      <c r="O2823" s="18"/>
      <c r="P2823" s="18"/>
      <c r="Q2823" s="19"/>
      <c r="R2823" s="19"/>
      <c r="S2823" s="19"/>
    </row>
    <row r="2824" ht="15.75" customHeight="1">
      <c r="A2824" s="15">
        <v>45671.487280092595</v>
      </c>
      <c r="B2824" s="16" t="s">
        <v>7129</v>
      </c>
      <c r="C2824" s="16" t="s">
        <v>6654</v>
      </c>
      <c r="D2824" s="16" t="s">
        <v>7508</v>
      </c>
      <c r="E2824" s="16" t="s">
        <v>7852</v>
      </c>
      <c r="F2824" s="16"/>
      <c r="G2824" s="16"/>
      <c r="H2824" s="18"/>
      <c r="I2824" s="18"/>
      <c r="J2824" s="18"/>
      <c r="K2824" s="18"/>
      <c r="L2824" s="18"/>
      <c r="M2824" s="18"/>
      <c r="N2824" s="18"/>
      <c r="O2824" s="18"/>
      <c r="P2824" s="18"/>
      <c r="Q2824" s="19"/>
      <c r="R2824" s="19"/>
      <c r="S2824" s="19"/>
    </row>
    <row r="2825" ht="15.75" customHeight="1">
      <c r="A2825" s="15">
        <v>45671.488645833335</v>
      </c>
      <c r="B2825" s="16" t="s">
        <v>7129</v>
      </c>
      <c r="C2825" s="16" t="s">
        <v>6654</v>
      </c>
      <c r="D2825" s="16" t="s">
        <v>7508</v>
      </c>
      <c r="E2825" s="16" t="s">
        <v>7853</v>
      </c>
      <c r="F2825" s="16"/>
      <c r="G2825" s="16"/>
      <c r="H2825" s="18"/>
      <c r="I2825" s="18"/>
      <c r="J2825" s="18"/>
      <c r="K2825" s="18"/>
      <c r="L2825" s="18"/>
      <c r="M2825" s="18"/>
      <c r="N2825" s="18"/>
      <c r="O2825" s="18"/>
      <c r="P2825" s="18"/>
      <c r="Q2825" s="19"/>
      <c r="R2825" s="19"/>
      <c r="S2825" s="19"/>
    </row>
    <row r="2826" ht="15.75" customHeight="1">
      <c r="A2826" s="15">
        <v>45671.49052083334</v>
      </c>
      <c r="B2826" s="16" t="s">
        <v>7129</v>
      </c>
      <c r="C2826" s="16" t="s">
        <v>6654</v>
      </c>
      <c r="D2826" s="16" t="s">
        <v>7508</v>
      </c>
      <c r="E2826" s="16" t="s">
        <v>7854</v>
      </c>
      <c r="F2826" s="16"/>
      <c r="G2826" s="16"/>
      <c r="H2826" s="18"/>
      <c r="I2826" s="18"/>
      <c r="J2826" s="18"/>
      <c r="K2826" s="18"/>
      <c r="L2826" s="18"/>
      <c r="M2826" s="18"/>
      <c r="N2826" s="18"/>
      <c r="O2826" s="18"/>
      <c r="P2826" s="18"/>
      <c r="Q2826" s="19"/>
      <c r="R2826" s="19"/>
      <c r="S2826" s="19"/>
    </row>
    <row r="2827" ht="15.75" customHeight="1">
      <c r="A2827" s="15">
        <v>45671.4909375</v>
      </c>
      <c r="B2827" s="16" t="s">
        <v>7129</v>
      </c>
      <c r="C2827" s="16" t="s">
        <v>6654</v>
      </c>
      <c r="D2827" s="16" t="s">
        <v>7508</v>
      </c>
      <c r="E2827" s="16" t="s">
        <v>7855</v>
      </c>
      <c r="F2827" s="16"/>
      <c r="G2827" s="16"/>
      <c r="H2827" s="18"/>
      <c r="I2827" s="18"/>
      <c r="J2827" s="18"/>
      <c r="K2827" s="18"/>
      <c r="L2827" s="18"/>
      <c r="M2827" s="18"/>
      <c r="N2827" s="18"/>
      <c r="O2827" s="18"/>
      <c r="P2827" s="18"/>
      <c r="Q2827" s="19"/>
      <c r="R2827" s="19"/>
      <c r="S2827" s="19"/>
    </row>
    <row r="2828" ht="15.75" customHeight="1">
      <c r="A2828" s="15">
        <v>45671.491261574076</v>
      </c>
      <c r="B2828" s="16" t="s">
        <v>7129</v>
      </c>
      <c r="C2828" s="16" t="s">
        <v>6654</v>
      </c>
      <c r="D2828" s="16" t="s">
        <v>7508</v>
      </c>
      <c r="E2828" s="16" t="s">
        <v>7856</v>
      </c>
      <c r="F2828" s="16"/>
      <c r="G2828" s="16"/>
      <c r="H2828" s="18"/>
      <c r="I2828" s="18"/>
      <c r="J2828" s="18"/>
      <c r="K2828" s="18"/>
      <c r="L2828" s="18"/>
      <c r="M2828" s="18"/>
      <c r="N2828" s="18"/>
      <c r="O2828" s="18"/>
      <c r="P2828" s="18"/>
      <c r="Q2828" s="19"/>
      <c r="R2828" s="19"/>
      <c r="S2828" s="19"/>
    </row>
    <row r="2829" ht="15.75" customHeight="1">
      <c r="A2829" s="15">
        <v>45671.49270833333</v>
      </c>
      <c r="B2829" s="16" t="s">
        <v>7129</v>
      </c>
      <c r="C2829" s="16" t="s">
        <v>6654</v>
      </c>
      <c r="D2829" s="16" t="s">
        <v>7508</v>
      </c>
      <c r="E2829" s="16" t="s">
        <v>7857</v>
      </c>
      <c r="F2829" s="16"/>
      <c r="G2829" s="16"/>
      <c r="H2829" s="18"/>
      <c r="I2829" s="18"/>
      <c r="J2829" s="18"/>
      <c r="K2829" s="18"/>
      <c r="L2829" s="18"/>
      <c r="M2829" s="18"/>
      <c r="N2829" s="18"/>
      <c r="O2829" s="18"/>
      <c r="P2829" s="18"/>
      <c r="Q2829" s="19"/>
      <c r="R2829" s="19"/>
      <c r="S2829" s="19"/>
    </row>
    <row r="2830" ht="15.75" customHeight="1">
      <c r="A2830" s="15">
        <v>45671.49417824074</v>
      </c>
      <c r="B2830" s="16" t="s">
        <v>7129</v>
      </c>
      <c r="C2830" s="16" t="s">
        <v>6654</v>
      </c>
      <c r="D2830" s="16" t="s">
        <v>7508</v>
      </c>
      <c r="E2830" s="16" t="s">
        <v>7858</v>
      </c>
      <c r="F2830" s="16"/>
      <c r="G2830" s="16"/>
      <c r="H2830" s="18"/>
      <c r="I2830" s="18"/>
      <c r="J2830" s="18"/>
      <c r="K2830" s="18"/>
      <c r="L2830" s="18"/>
      <c r="M2830" s="18"/>
      <c r="N2830" s="18"/>
      <c r="O2830" s="18"/>
      <c r="P2830" s="18"/>
      <c r="Q2830" s="19"/>
      <c r="R2830" s="19"/>
      <c r="S2830" s="19"/>
    </row>
    <row r="2831" ht="15.75" customHeight="1">
      <c r="A2831" s="15">
        <v>45671.49521990741</v>
      </c>
      <c r="B2831" s="16" t="s">
        <v>7129</v>
      </c>
      <c r="C2831" s="16" t="s">
        <v>6654</v>
      </c>
      <c r="D2831" s="16" t="s">
        <v>7508</v>
      </c>
      <c r="E2831" s="16" t="s">
        <v>7859</v>
      </c>
      <c r="F2831" s="16"/>
      <c r="G2831" s="16"/>
      <c r="H2831" s="18"/>
      <c r="I2831" s="18"/>
      <c r="J2831" s="18"/>
      <c r="K2831" s="18"/>
      <c r="L2831" s="18"/>
      <c r="M2831" s="18"/>
      <c r="N2831" s="18"/>
      <c r="O2831" s="18"/>
      <c r="P2831" s="18"/>
      <c r="Q2831" s="19"/>
      <c r="R2831" s="19"/>
      <c r="S2831" s="19"/>
    </row>
    <row r="2832" ht="15.75" customHeight="1">
      <c r="A2832" s="15">
        <v>45671.495416666665</v>
      </c>
      <c r="B2832" s="16" t="s">
        <v>7129</v>
      </c>
      <c r="C2832" s="16" t="s">
        <v>6654</v>
      </c>
      <c r="D2832" s="16" t="s">
        <v>7508</v>
      </c>
      <c r="E2832" s="16" t="s">
        <v>7860</v>
      </c>
      <c r="F2832" s="16"/>
      <c r="G2832" s="16"/>
      <c r="H2832" s="18"/>
      <c r="I2832" s="18"/>
      <c r="J2832" s="18"/>
      <c r="K2832" s="18"/>
      <c r="L2832" s="18"/>
      <c r="M2832" s="18"/>
      <c r="N2832" s="18"/>
      <c r="O2832" s="18"/>
      <c r="P2832" s="18"/>
      <c r="Q2832" s="19"/>
      <c r="R2832" s="19"/>
      <c r="S2832" s="19"/>
    </row>
    <row r="2833" ht="15.75" customHeight="1">
      <c r="A2833" s="15">
        <v>45671.49554398148</v>
      </c>
      <c r="B2833" s="16" t="s">
        <v>7129</v>
      </c>
      <c r="C2833" s="16" t="s">
        <v>6654</v>
      </c>
      <c r="D2833" s="16" t="s">
        <v>7508</v>
      </c>
      <c r="E2833" s="16" t="s">
        <v>7861</v>
      </c>
      <c r="F2833" s="16"/>
      <c r="G2833" s="16"/>
      <c r="H2833" s="18"/>
      <c r="I2833" s="18"/>
      <c r="J2833" s="18"/>
      <c r="K2833" s="18"/>
      <c r="L2833" s="18"/>
      <c r="M2833" s="18"/>
      <c r="N2833" s="18"/>
      <c r="O2833" s="18"/>
      <c r="P2833" s="18"/>
      <c r="Q2833" s="19"/>
      <c r="R2833" s="19"/>
      <c r="S2833" s="19"/>
    </row>
    <row r="2834" ht="15.75" customHeight="1">
      <c r="A2834" s="15">
        <v>45671.49581018519</v>
      </c>
      <c r="B2834" s="16" t="s">
        <v>7129</v>
      </c>
      <c r="C2834" s="16" t="s">
        <v>6654</v>
      </c>
      <c r="D2834" s="16" t="s">
        <v>7508</v>
      </c>
      <c r="E2834" s="16" t="s">
        <v>7862</v>
      </c>
      <c r="F2834" s="16"/>
      <c r="G2834" s="16"/>
      <c r="H2834" s="18"/>
      <c r="I2834" s="18"/>
      <c r="J2834" s="18"/>
      <c r="K2834" s="18"/>
      <c r="L2834" s="18"/>
      <c r="M2834" s="18"/>
      <c r="N2834" s="18"/>
      <c r="O2834" s="18"/>
      <c r="P2834" s="18"/>
      <c r="Q2834" s="19"/>
      <c r="R2834" s="19"/>
      <c r="S2834" s="19"/>
    </row>
    <row r="2835" ht="15.75" customHeight="1">
      <c r="A2835" s="15">
        <v>45672.366689814815</v>
      </c>
      <c r="B2835" s="16" t="s">
        <v>7129</v>
      </c>
      <c r="C2835" s="16" t="s">
        <v>6654</v>
      </c>
      <c r="D2835" s="16" t="s">
        <v>7863</v>
      </c>
      <c r="E2835" s="16" t="s">
        <v>7717</v>
      </c>
      <c r="F2835" s="16"/>
      <c r="G2835" s="16"/>
      <c r="H2835" s="18"/>
      <c r="I2835" s="18"/>
      <c r="J2835" s="18"/>
      <c r="K2835" s="18"/>
      <c r="L2835" s="18"/>
      <c r="M2835" s="18"/>
      <c r="N2835" s="18"/>
      <c r="O2835" s="18"/>
      <c r="P2835" s="18"/>
      <c r="Q2835" s="19"/>
      <c r="R2835" s="19"/>
      <c r="S2835" s="19"/>
    </row>
    <row r="2836" ht="15.75" customHeight="1">
      <c r="A2836" s="15">
        <v>45698.544652777775</v>
      </c>
      <c r="B2836" s="16" t="s">
        <v>7446</v>
      </c>
      <c r="C2836" s="16" t="s">
        <v>6654</v>
      </c>
      <c r="D2836" s="20" t="str">
        <f>?utf-8?B?UkU6IEZvcm1hbCBDb21wbGFpbnQgQWdhaW5zdCBKYWNxdWVsaW5lIEdhbGxh?=
 =?utf-8?B?bnQg4oCTIENvbmZsaWN0IG9mIEludGVyZXN0ICYgUHJvZmVzc2lvbmFsIE1p?=
 =?utf-8?Q?sconduct?=</f>
        <v>#ERROR!</v>
      </c>
      <c r="E2836" s="16" t="s">
        <v>7864</v>
      </c>
      <c r="F2836" s="16"/>
      <c r="G2836" s="16"/>
      <c r="H2836" s="18"/>
      <c r="I2836" s="18"/>
      <c r="J2836" s="18"/>
      <c r="K2836" s="18"/>
      <c r="L2836" s="18"/>
      <c r="M2836" s="18"/>
      <c r="N2836" s="18"/>
      <c r="O2836" s="18"/>
      <c r="P2836" s="18"/>
      <c r="Q2836" s="19"/>
      <c r="R2836" s="19"/>
      <c r="S2836" s="19"/>
    </row>
    <row r="2837" ht="15.75" customHeight="1">
      <c r="A2837" s="15">
        <v>45698.59510416666</v>
      </c>
      <c r="B2837" s="16" t="s">
        <v>7446</v>
      </c>
      <c r="C2837" s="16" t="s">
        <v>6654</v>
      </c>
      <c r="D2837" s="20" t="str">
        <f>?utf-8?B?UkU6IEZvcm1hbCBDb21wbGFpbnQgQWdhaW5zdCBKYWNxdWVsaW5lIEdhbGxh?=
 =?utf-8?B?bnQg4oCTIENvbmZsaWN0IG9mIEludGVyZXN0ICYgUHJvZmVzc2lvbmFsIE1p?=
 =?utf-8?Q?sconduct?=</f>
        <v>#ERROR!</v>
      </c>
      <c r="E2837" s="16" t="s">
        <v>7865</v>
      </c>
      <c r="F2837" s="16"/>
      <c r="G2837" s="16"/>
      <c r="H2837" s="18"/>
      <c r="I2837" s="18"/>
      <c r="J2837" s="18"/>
      <c r="K2837" s="18"/>
      <c r="L2837" s="18"/>
      <c r="M2837" s="18"/>
      <c r="N2837" s="18"/>
      <c r="O2837" s="18"/>
      <c r="P2837" s="18"/>
      <c r="Q2837" s="19"/>
      <c r="R2837" s="19"/>
      <c r="S2837" s="19"/>
    </row>
    <row r="2838" ht="15.75" customHeight="1">
      <c r="A2838" s="15">
        <v>45700.53366898148</v>
      </c>
      <c r="B2838" s="16" t="s">
        <v>7446</v>
      </c>
      <c r="C2838" s="16" t="s">
        <v>6654</v>
      </c>
      <c r="D2838" s="16" t="s">
        <v>7447</v>
      </c>
      <c r="E2838" s="16" t="s">
        <v>7866</v>
      </c>
      <c r="F2838" s="16"/>
      <c r="G2838" s="16"/>
      <c r="H2838" s="18"/>
      <c r="I2838" s="18"/>
      <c r="J2838" s="18"/>
      <c r="K2838" s="18"/>
      <c r="L2838" s="18"/>
      <c r="M2838" s="18"/>
      <c r="N2838" s="18"/>
      <c r="O2838" s="18"/>
      <c r="P2838" s="18"/>
      <c r="Q2838" s="19"/>
      <c r="R2838" s="19"/>
      <c r="S2838" s="19"/>
    </row>
    <row r="2839" ht="15.75" customHeight="1">
      <c r="A2839" s="15">
        <v>45741.607256944444</v>
      </c>
      <c r="B2839" s="16" t="s">
        <v>7867</v>
      </c>
      <c r="C2839" s="16" t="s">
        <v>6654</v>
      </c>
      <c r="D2839" s="16" t="s">
        <v>7868</v>
      </c>
      <c r="E2839" s="16" t="s">
        <v>7869</v>
      </c>
      <c r="F2839" s="16"/>
      <c r="G2839" s="16"/>
      <c r="H2839" s="18"/>
      <c r="I2839" s="18"/>
      <c r="J2839" s="18"/>
      <c r="K2839" s="18"/>
      <c r="L2839" s="18"/>
      <c r="M2839" s="18"/>
      <c r="N2839" s="18"/>
      <c r="O2839" s="18"/>
      <c r="P2839" s="18"/>
      <c r="Q2839" s="19"/>
      <c r="R2839" s="19"/>
      <c r="S2839" s="19"/>
    </row>
    <row r="2840" ht="15.75" customHeight="1">
      <c r="A2840" s="15">
        <v>45898.936203703706</v>
      </c>
      <c r="B2840" s="16" t="s">
        <v>6591</v>
      </c>
      <c r="C2840" s="16" t="s">
        <v>7870</v>
      </c>
      <c r="D2840" s="20" t="str">
        <f>?UTF-8?Q?Request_for_no=E2=80=91cost_access_code_and_CPST_next_step?=
	=?UTF-8?Q?s_=E2=80=93_Quispamsis=2C_NB?=</f>
        <v>#ERROR!</v>
      </c>
      <c r="E2840" s="16" t="s">
        <v>7871</v>
      </c>
      <c r="F2840" s="16"/>
      <c r="G2840" s="16"/>
      <c r="H2840" s="18"/>
      <c r="I2840" s="18"/>
      <c r="J2840" s="18"/>
      <c r="K2840" s="18"/>
      <c r="L2840" s="18"/>
      <c r="M2840" s="18"/>
      <c r="N2840" s="18"/>
      <c r="O2840" s="18"/>
      <c r="P2840" s="18"/>
      <c r="Q2840" s="19"/>
      <c r="R2840" s="19"/>
      <c r="S2840" s="19"/>
    </row>
    <row r="2841" ht="15.75" customHeight="1">
      <c r="A2841" s="15">
        <v>45834.64873842592</v>
      </c>
      <c r="B2841" s="16" t="s">
        <v>6591</v>
      </c>
      <c r="C2841" s="16" t="s">
        <v>7430</v>
      </c>
      <c r="D2841" s="16" t="s">
        <v>7872</v>
      </c>
      <c r="E2841" s="16" t="s">
        <v>7873</v>
      </c>
      <c r="F2841" s="16"/>
      <c r="G2841" s="16"/>
      <c r="H2841" s="18"/>
      <c r="I2841" s="18"/>
      <c r="J2841" s="18"/>
      <c r="K2841" s="18"/>
      <c r="L2841" s="18"/>
      <c r="M2841" s="18"/>
      <c r="N2841" s="18"/>
      <c r="O2841" s="18"/>
      <c r="P2841" s="18"/>
      <c r="Q2841" s="19"/>
      <c r="R2841" s="19"/>
      <c r="S2841" s="19"/>
    </row>
    <row r="2842" ht="15.75" customHeight="1">
      <c r="A2842" s="15">
        <v>45937.565358796295</v>
      </c>
      <c r="B2842" s="16" t="s">
        <v>6591</v>
      </c>
      <c r="C2842" s="16" t="s">
        <v>7430</v>
      </c>
      <c r="D2842" s="16" t="s">
        <v>7874</v>
      </c>
      <c r="E2842" s="16" t="s">
        <v>7875</v>
      </c>
      <c r="F2842" s="16"/>
      <c r="G2842" s="16"/>
      <c r="H2842" s="18"/>
      <c r="I2842" s="18"/>
      <c r="J2842" s="18"/>
      <c r="K2842" s="18"/>
      <c r="L2842" s="18"/>
      <c r="M2842" s="18"/>
      <c r="N2842" s="18"/>
      <c r="O2842" s="18"/>
      <c r="P2842" s="18"/>
      <c r="Q2842" s="19"/>
      <c r="R2842" s="19"/>
      <c r="S2842" s="19"/>
    </row>
    <row r="2843" ht="15.75" customHeight="1">
      <c r="A2843" s="15">
        <v>45937.609143518515</v>
      </c>
      <c r="B2843" s="16" t="s">
        <v>6591</v>
      </c>
      <c r="C2843" s="16" t="s">
        <v>7430</v>
      </c>
      <c r="D2843" s="16" t="s">
        <v>7431</v>
      </c>
      <c r="E2843" s="16" t="s">
        <v>7876</v>
      </c>
      <c r="F2843" s="16"/>
      <c r="G2843" s="16"/>
      <c r="H2843" s="18"/>
      <c r="I2843" s="18"/>
      <c r="J2843" s="18"/>
      <c r="K2843" s="18"/>
      <c r="L2843" s="18"/>
      <c r="M2843" s="18"/>
      <c r="N2843" s="18"/>
      <c r="O2843" s="18"/>
      <c r="P2843" s="18"/>
      <c r="Q2843" s="19"/>
      <c r="R2843" s="19"/>
      <c r="S2843" s="19"/>
    </row>
    <row r="2844" ht="15.75" customHeight="1">
      <c r="A2844" s="15">
        <v>45938.381516203706</v>
      </c>
      <c r="B2844" s="16" t="s">
        <v>6591</v>
      </c>
      <c r="C2844" s="16" t="s">
        <v>7430</v>
      </c>
      <c r="D2844" s="16" t="s">
        <v>7431</v>
      </c>
      <c r="E2844" s="16" t="s">
        <v>7877</v>
      </c>
      <c r="F2844" s="16"/>
      <c r="G2844" s="16"/>
      <c r="H2844" s="18"/>
      <c r="I2844" s="18"/>
      <c r="J2844" s="18"/>
      <c r="K2844" s="18"/>
      <c r="L2844" s="18"/>
      <c r="M2844" s="18"/>
      <c r="N2844" s="18"/>
      <c r="O2844" s="18"/>
      <c r="P2844" s="18"/>
      <c r="Q2844" s="19"/>
      <c r="R2844" s="19"/>
      <c r="S2844" s="19"/>
    </row>
    <row r="2845" ht="15.75" customHeight="1">
      <c r="A2845" s="15">
        <v>45938.503796296296</v>
      </c>
      <c r="B2845" s="16" t="s">
        <v>6591</v>
      </c>
      <c r="C2845" s="16" t="s">
        <v>7430</v>
      </c>
      <c r="D2845" s="16" t="s">
        <v>7431</v>
      </c>
      <c r="E2845" s="16" t="s">
        <v>7878</v>
      </c>
      <c r="F2845" s="16"/>
      <c r="G2845" s="16"/>
      <c r="H2845" s="18"/>
      <c r="I2845" s="18"/>
      <c r="J2845" s="18"/>
      <c r="K2845" s="18"/>
      <c r="L2845" s="18"/>
      <c r="M2845" s="18"/>
      <c r="N2845" s="18"/>
      <c r="O2845" s="18"/>
      <c r="P2845" s="18"/>
      <c r="Q2845" s="19"/>
      <c r="R2845" s="19"/>
      <c r="S2845" s="19"/>
    </row>
    <row r="2846" ht="15.75" customHeight="1">
      <c r="A2846" s="15">
        <v>45938.505208333336</v>
      </c>
      <c r="B2846" s="16" t="s">
        <v>6591</v>
      </c>
      <c r="C2846" s="16" t="s">
        <v>7430</v>
      </c>
      <c r="D2846" s="16" t="s">
        <v>7431</v>
      </c>
      <c r="E2846" s="16" t="s">
        <v>7879</v>
      </c>
      <c r="F2846" s="16"/>
      <c r="G2846" s="16"/>
      <c r="H2846" s="18"/>
      <c r="I2846" s="18"/>
      <c r="J2846" s="18"/>
      <c r="K2846" s="18"/>
      <c r="L2846" s="18"/>
      <c r="M2846" s="18"/>
      <c r="N2846" s="18"/>
      <c r="O2846" s="18"/>
      <c r="P2846" s="18"/>
      <c r="Q2846" s="19"/>
      <c r="R2846" s="19"/>
      <c r="S2846" s="19"/>
    </row>
    <row r="2847" ht="15.75" customHeight="1">
      <c r="A2847" s="15">
        <v>45938.66664351852</v>
      </c>
      <c r="B2847" s="16" t="s">
        <v>6591</v>
      </c>
      <c r="C2847" s="16" t="s">
        <v>7430</v>
      </c>
      <c r="D2847" s="16" t="s">
        <v>7431</v>
      </c>
      <c r="E2847" s="16" t="s">
        <v>7880</v>
      </c>
      <c r="F2847" s="16"/>
      <c r="G2847" s="16"/>
      <c r="H2847" s="18"/>
      <c r="I2847" s="18"/>
      <c r="J2847" s="18"/>
      <c r="K2847" s="18"/>
      <c r="L2847" s="18"/>
      <c r="M2847" s="18"/>
      <c r="N2847" s="18"/>
      <c r="O2847" s="18"/>
      <c r="P2847" s="18"/>
      <c r="Q2847" s="19"/>
      <c r="R2847" s="19"/>
      <c r="S2847" s="19"/>
    </row>
    <row r="2848" ht="15.75" customHeight="1">
      <c r="A2848" s="15">
        <v>45938.727685185186</v>
      </c>
      <c r="B2848" s="16" t="s">
        <v>6591</v>
      </c>
      <c r="C2848" s="16" t="s">
        <v>7430</v>
      </c>
      <c r="D2848" s="16" t="s">
        <v>7431</v>
      </c>
      <c r="E2848" s="16" t="s">
        <v>7881</v>
      </c>
      <c r="F2848" s="16"/>
      <c r="G2848" s="16"/>
      <c r="H2848" s="18"/>
      <c r="I2848" s="18"/>
      <c r="J2848" s="18"/>
      <c r="K2848" s="18"/>
      <c r="L2848" s="18"/>
      <c r="M2848" s="18"/>
      <c r="N2848" s="18"/>
      <c r="O2848" s="18"/>
      <c r="P2848" s="18"/>
      <c r="Q2848" s="19"/>
      <c r="R2848" s="19"/>
      <c r="S2848" s="19"/>
    </row>
    <row r="2849" ht="15.75" customHeight="1">
      <c r="A2849" s="15">
        <v>45939.44174768519</v>
      </c>
      <c r="B2849" s="16" t="s">
        <v>6591</v>
      </c>
      <c r="C2849" s="16" t="s">
        <v>7430</v>
      </c>
      <c r="D2849" s="16" t="s">
        <v>7431</v>
      </c>
      <c r="E2849" s="16" t="s">
        <v>7882</v>
      </c>
      <c r="F2849" s="16"/>
      <c r="G2849" s="16"/>
      <c r="H2849" s="18"/>
      <c r="I2849" s="18"/>
      <c r="J2849" s="18"/>
      <c r="K2849" s="18"/>
      <c r="L2849" s="18"/>
      <c r="M2849" s="18"/>
      <c r="N2849" s="18"/>
      <c r="O2849" s="18"/>
      <c r="P2849" s="18"/>
      <c r="Q2849" s="19"/>
      <c r="R2849" s="19"/>
      <c r="S2849" s="19"/>
    </row>
    <row r="2850" ht="15.75" customHeight="1">
      <c r="A2850" s="15">
        <v>45941.492430555554</v>
      </c>
      <c r="B2850" s="16" t="s">
        <v>6591</v>
      </c>
      <c r="C2850" s="16" t="s">
        <v>7430</v>
      </c>
      <c r="D2850" s="16" t="s">
        <v>7431</v>
      </c>
      <c r="E2850" s="16" t="s">
        <v>7883</v>
      </c>
      <c r="F2850" s="16"/>
      <c r="G2850" s="16"/>
      <c r="H2850" s="18"/>
      <c r="I2850" s="18"/>
      <c r="J2850" s="18"/>
      <c r="K2850" s="18"/>
      <c r="L2850" s="18"/>
      <c r="M2850" s="18"/>
      <c r="N2850" s="18"/>
      <c r="O2850" s="18"/>
      <c r="P2850" s="18"/>
      <c r="Q2850" s="19"/>
      <c r="R2850" s="19"/>
      <c r="S2850" s="19"/>
    </row>
    <row r="2851" ht="15.75" customHeight="1">
      <c r="A2851" s="15">
        <v>45901.65027777778</v>
      </c>
      <c r="B2851" s="16" t="s">
        <v>7157</v>
      </c>
      <c r="C2851" s="16" t="s">
        <v>7884</v>
      </c>
      <c r="D2851" s="16" t="s">
        <v>7130</v>
      </c>
      <c r="E2851" s="16" t="s">
        <v>7885</v>
      </c>
      <c r="F2851" s="16"/>
      <c r="G2851" s="16"/>
      <c r="H2851" s="18"/>
      <c r="I2851" s="18"/>
      <c r="J2851" s="18"/>
      <c r="K2851" s="18"/>
      <c r="L2851" s="18"/>
      <c r="M2851" s="18"/>
      <c r="N2851" s="18"/>
      <c r="O2851" s="18"/>
      <c r="P2851" s="18"/>
      <c r="Q2851" s="19"/>
      <c r="R2851" s="19"/>
      <c r="S2851" s="19"/>
    </row>
    <row r="2852" ht="15.75" customHeight="1">
      <c r="A2852" s="15">
        <v>45679.61467592593</v>
      </c>
      <c r="B2852" s="16" t="s">
        <v>6654</v>
      </c>
      <c r="C2852" s="16" t="s">
        <v>7886</v>
      </c>
      <c r="D2852" s="16" t="s">
        <v>7887</v>
      </c>
      <c r="E2852" s="16" t="s">
        <v>7888</v>
      </c>
      <c r="F2852" s="16"/>
      <c r="G2852" s="16"/>
      <c r="H2852" s="18"/>
      <c r="I2852" s="18"/>
      <c r="J2852" s="18"/>
      <c r="K2852" s="18"/>
      <c r="L2852" s="18"/>
      <c r="M2852" s="18"/>
      <c r="N2852" s="18"/>
      <c r="O2852" s="18"/>
      <c r="P2852" s="18"/>
      <c r="Q2852" s="19"/>
      <c r="R2852" s="19"/>
      <c r="S2852" s="19"/>
    </row>
    <row r="2853" ht="15.75" customHeight="1">
      <c r="A2853" s="15">
        <v>45698.50335648148</v>
      </c>
      <c r="B2853" s="16" t="s">
        <v>6654</v>
      </c>
      <c r="C2853" s="16" t="s">
        <v>7886</v>
      </c>
      <c r="D2853" s="16" t="s">
        <v>7889</v>
      </c>
      <c r="E2853" s="16" t="s">
        <v>7890</v>
      </c>
      <c r="F2853" s="16"/>
      <c r="G2853" s="16"/>
      <c r="H2853" s="18"/>
      <c r="I2853" s="18"/>
      <c r="J2853" s="18"/>
      <c r="K2853" s="18"/>
      <c r="L2853" s="18"/>
      <c r="M2853" s="18"/>
      <c r="N2853" s="18"/>
      <c r="O2853" s="18"/>
      <c r="P2853" s="18"/>
      <c r="Q2853" s="19"/>
      <c r="R2853" s="19"/>
      <c r="S2853" s="19"/>
    </row>
    <row r="2854" ht="15.75" customHeight="1">
      <c r="A2854" s="15">
        <v>45698.643159722225</v>
      </c>
      <c r="B2854" s="16" t="s">
        <v>6654</v>
      </c>
      <c r="C2854" s="16" t="s">
        <v>7886</v>
      </c>
      <c r="D2854" s="16" t="s">
        <v>7891</v>
      </c>
      <c r="E2854" s="16" t="s">
        <v>7717</v>
      </c>
      <c r="F2854" s="16"/>
      <c r="G2854" s="16"/>
      <c r="H2854" s="18"/>
      <c r="I2854" s="18"/>
      <c r="J2854" s="18"/>
      <c r="K2854" s="18"/>
      <c r="L2854" s="18"/>
      <c r="M2854" s="18"/>
      <c r="N2854" s="18"/>
      <c r="O2854" s="18"/>
      <c r="P2854" s="18"/>
      <c r="Q2854" s="19"/>
      <c r="R2854" s="19"/>
      <c r="S2854" s="19"/>
    </row>
    <row r="2855" ht="15.75" customHeight="1">
      <c r="A2855" s="15">
        <v>45702.55521990741</v>
      </c>
      <c r="B2855" s="16" t="s">
        <v>6654</v>
      </c>
      <c r="C2855" s="16" t="s">
        <v>7886</v>
      </c>
      <c r="D2855" s="16" t="s">
        <v>7892</v>
      </c>
      <c r="E2855" s="16" t="s">
        <v>7893</v>
      </c>
      <c r="F2855" s="16"/>
      <c r="G2855" s="16"/>
      <c r="H2855" s="18"/>
      <c r="I2855" s="18"/>
      <c r="J2855" s="18"/>
      <c r="K2855" s="18"/>
      <c r="L2855" s="18"/>
      <c r="M2855" s="18"/>
      <c r="N2855" s="18"/>
      <c r="O2855" s="18"/>
      <c r="P2855" s="18"/>
      <c r="Q2855" s="19"/>
      <c r="R2855" s="19"/>
      <c r="S2855" s="19"/>
    </row>
    <row r="2856" ht="15.75" customHeight="1">
      <c r="A2856" s="15">
        <v>45702.583715277775</v>
      </c>
      <c r="B2856" s="16" t="s">
        <v>6654</v>
      </c>
      <c r="C2856" s="16" t="s">
        <v>7886</v>
      </c>
      <c r="D2856" s="16" t="s">
        <v>7892</v>
      </c>
      <c r="E2856" s="16" t="s">
        <v>7894</v>
      </c>
      <c r="F2856" s="16"/>
      <c r="G2856" s="16"/>
      <c r="H2856" s="18"/>
      <c r="I2856" s="18"/>
      <c r="J2856" s="18"/>
      <c r="K2856" s="18"/>
      <c r="L2856" s="18"/>
      <c r="M2856" s="18"/>
      <c r="N2856" s="18"/>
      <c r="O2856" s="18"/>
      <c r="P2856" s="18"/>
      <c r="Q2856" s="19"/>
      <c r="R2856" s="19"/>
      <c r="S2856" s="19"/>
    </row>
    <row r="2857" ht="15.75" customHeight="1">
      <c r="A2857" s="15">
        <v>45930.881157407406</v>
      </c>
      <c r="B2857" s="16" t="s">
        <v>7423</v>
      </c>
      <c r="C2857" s="16" t="s">
        <v>7895</v>
      </c>
      <c r="D2857" s="16" t="s">
        <v>7424</v>
      </c>
      <c r="E2857" s="16" t="s">
        <v>7896</v>
      </c>
      <c r="F2857" s="16"/>
      <c r="G2857" s="16"/>
      <c r="H2857" s="18"/>
      <c r="I2857" s="18"/>
      <c r="J2857" s="18"/>
      <c r="K2857" s="18"/>
      <c r="L2857" s="18"/>
      <c r="M2857" s="18"/>
      <c r="N2857" s="18"/>
      <c r="O2857" s="18"/>
      <c r="P2857" s="18"/>
      <c r="Q2857" s="19"/>
      <c r="R2857" s="19"/>
      <c r="S2857" s="19"/>
    </row>
    <row r="2858" ht="15.75" customHeight="1">
      <c r="A2858" s="15">
        <v>45874.73972222222</v>
      </c>
      <c r="B2858" s="16" t="s">
        <v>7897</v>
      </c>
      <c r="C2858" s="16" t="s">
        <v>7898</v>
      </c>
      <c r="D2858" s="16" t="s">
        <v>7899</v>
      </c>
      <c r="E2858" s="16" t="s">
        <v>7900</v>
      </c>
      <c r="F2858" s="16"/>
      <c r="G2858" s="16"/>
      <c r="H2858" s="18"/>
      <c r="I2858" s="18"/>
      <c r="J2858" s="18"/>
      <c r="K2858" s="18"/>
      <c r="L2858" s="18"/>
      <c r="M2858" s="18"/>
      <c r="N2858" s="18"/>
      <c r="O2858" s="18"/>
      <c r="P2858" s="18"/>
      <c r="Q2858" s="19"/>
      <c r="R2858" s="19"/>
      <c r="S2858" s="19"/>
    </row>
    <row r="2859" ht="15.75" customHeight="1">
      <c r="A2859" s="15">
        <v>45877.68113425926</v>
      </c>
      <c r="B2859" s="16" t="s">
        <v>7901</v>
      </c>
      <c r="C2859" s="16" t="s">
        <v>7898</v>
      </c>
      <c r="D2859" s="16" t="s">
        <v>7902</v>
      </c>
      <c r="E2859" s="16" t="s">
        <v>7903</v>
      </c>
      <c r="F2859" s="16"/>
      <c r="G2859" s="16"/>
      <c r="H2859" s="18"/>
      <c r="I2859" s="18"/>
      <c r="J2859" s="18"/>
      <c r="K2859" s="18"/>
      <c r="L2859" s="18"/>
      <c r="M2859" s="18"/>
      <c r="N2859" s="18"/>
      <c r="O2859" s="18"/>
      <c r="P2859" s="18"/>
      <c r="Q2859" s="19"/>
      <c r="R2859" s="19"/>
      <c r="S2859" s="19"/>
    </row>
    <row r="2860" ht="15.75" customHeight="1">
      <c r="A2860" s="15">
        <v>45892.79761574074</v>
      </c>
      <c r="B2860" s="16" t="s">
        <v>7904</v>
      </c>
      <c r="C2860" s="16" t="s">
        <v>7898</v>
      </c>
      <c r="D2860" s="16" t="s">
        <v>7905</v>
      </c>
      <c r="E2860" s="16" t="s">
        <v>7906</v>
      </c>
      <c r="F2860" s="16"/>
      <c r="G2860" s="16"/>
      <c r="H2860" s="18"/>
      <c r="I2860" s="18"/>
      <c r="J2860" s="18"/>
      <c r="K2860" s="18"/>
      <c r="L2860" s="18"/>
      <c r="M2860" s="18"/>
      <c r="N2860" s="18"/>
      <c r="O2860" s="18"/>
      <c r="P2860" s="18"/>
      <c r="Q2860" s="19"/>
      <c r="R2860" s="19"/>
      <c r="S2860" s="19"/>
    </row>
    <row r="2861" ht="15.75" customHeight="1">
      <c r="A2861" s="15">
        <v>45893.80868055556</v>
      </c>
      <c r="B2861" s="16" t="s">
        <v>7907</v>
      </c>
      <c r="C2861" s="16" t="s">
        <v>7898</v>
      </c>
      <c r="D2861" s="16" t="s">
        <v>7908</v>
      </c>
      <c r="E2861" s="16" t="s">
        <v>7909</v>
      </c>
      <c r="F2861" s="16"/>
      <c r="G2861" s="16"/>
      <c r="H2861" s="18"/>
      <c r="I2861" s="18"/>
      <c r="J2861" s="18"/>
      <c r="K2861" s="18"/>
      <c r="L2861" s="18"/>
      <c r="M2861" s="18"/>
      <c r="N2861" s="18"/>
      <c r="O2861" s="18"/>
      <c r="P2861" s="18"/>
      <c r="Q2861" s="19"/>
      <c r="R2861" s="19"/>
      <c r="S2861" s="19"/>
    </row>
    <row r="2862" ht="15.75" customHeight="1">
      <c r="A2862" s="15">
        <v>45897.954733796294</v>
      </c>
      <c r="B2862" s="16" t="s">
        <v>7085</v>
      </c>
      <c r="C2862" s="16" t="s">
        <v>7898</v>
      </c>
      <c r="D2862" s="16" t="s">
        <v>7910</v>
      </c>
      <c r="E2862" s="16" t="s">
        <v>7911</v>
      </c>
      <c r="F2862" s="16"/>
      <c r="G2862" s="16"/>
      <c r="H2862" s="18"/>
      <c r="I2862" s="18"/>
      <c r="J2862" s="18"/>
      <c r="K2862" s="18"/>
      <c r="L2862" s="18"/>
      <c r="M2862" s="18"/>
      <c r="N2862" s="18"/>
      <c r="O2862" s="18"/>
      <c r="P2862" s="18"/>
      <c r="Q2862" s="19"/>
      <c r="R2862" s="19"/>
      <c r="S2862" s="19"/>
    </row>
    <row r="2863" ht="15.75" customHeight="1">
      <c r="A2863" s="15">
        <v>45902.73568287037</v>
      </c>
      <c r="B2863" s="16" t="s">
        <v>7897</v>
      </c>
      <c r="C2863" s="16" t="s">
        <v>7898</v>
      </c>
      <c r="D2863" s="16" t="s">
        <v>7912</v>
      </c>
      <c r="E2863" s="16" t="s">
        <v>7913</v>
      </c>
      <c r="F2863" s="16"/>
      <c r="G2863" s="16"/>
      <c r="H2863" s="18"/>
      <c r="I2863" s="18"/>
      <c r="J2863" s="18"/>
      <c r="K2863" s="18"/>
      <c r="L2863" s="18"/>
      <c r="M2863" s="18"/>
      <c r="N2863" s="18"/>
      <c r="O2863" s="18"/>
      <c r="P2863" s="18"/>
      <c r="Q2863" s="19"/>
      <c r="R2863" s="19"/>
      <c r="S2863" s="19"/>
    </row>
    <row r="2864" ht="15.75" customHeight="1">
      <c r="A2864" s="15">
        <v>45902.913831018515</v>
      </c>
      <c r="B2864" s="16" t="s">
        <v>7085</v>
      </c>
      <c r="C2864" s="16" t="s">
        <v>7898</v>
      </c>
      <c r="D2864" s="16" t="s">
        <v>7914</v>
      </c>
      <c r="E2864" s="16" t="s">
        <v>7915</v>
      </c>
      <c r="F2864" s="16"/>
      <c r="G2864" s="16"/>
      <c r="H2864" s="18"/>
      <c r="I2864" s="18"/>
      <c r="J2864" s="18"/>
      <c r="K2864" s="18"/>
      <c r="L2864" s="18"/>
      <c r="M2864" s="18"/>
      <c r="N2864" s="18"/>
      <c r="O2864" s="18"/>
      <c r="P2864" s="18"/>
      <c r="Q2864" s="19"/>
      <c r="R2864" s="19"/>
      <c r="S2864" s="19"/>
    </row>
    <row r="2865" ht="15.75" customHeight="1">
      <c r="A2865" s="15">
        <v>45905.08761574074</v>
      </c>
      <c r="B2865" s="16" t="s">
        <v>7907</v>
      </c>
      <c r="C2865" s="16" t="s">
        <v>7898</v>
      </c>
      <c r="D2865" s="16" t="s">
        <v>7908</v>
      </c>
      <c r="E2865" s="16" t="s">
        <v>7916</v>
      </c>
      <c r="F2865" s="16"/>
      <c r="G2865" s="16"/>
      <c r="H2865" s="18"/>
      <c r="I2865" s="18"/>
      <c r="J2865" s="18"/>
      <c r="K2865" s="18"/>
      <c r="L2865" s="18"/>
      <c r="M2865" s="18"/>
      <c r="N2865" s="18"/>
      <c r="O2865" s="18"/>
      <c r="P2865" s="18"/>
      <c r="Q2865" s="19"/>
      <c r="R2865" s="19"/>
      <c r="S2865" s="19"/>
    </row>
    <row r="2866" ht="15.75" customHeight="1">
      <c r="A2866" s="15">
        <v>45909.671944444446</v>
      </c>
      <c r="B2866" s="16" t="s">
        <v>7897</v>
      </c>
      <c r="C2866" s="16" t="s">
        <v>7898</v>
      </c>
      <c r="D2866" s="16" t="s">
        <v>7917</v>
      </c>
      <c r="E2866" s="16" t="s">
        <v>7918</v>
      </c>
      <c r="F2866" s="16"/>
      <c r="G2866" s="16"/>
      <c r="H2866" s="18"/>
      <c r="I2866" s="18"/>
      <c r="J2866" s="18"/>
      <c r="K2866" s="18"/>
      <c r="L2866" s="18"/>
      <c r="M2866" s="18"/>
      <c r="N2866" s="18"/>
      <c r="O2866" s="18"/>
      <c r="P2866" s="18"/>
      <c r="Q2866" s="19"/>
      <c r="R2866" s="19"/>
      <c r="S2866" s="19"/>
    </row>
    <row r="2867" ht="15.75" customHeight="1">
      <c r="A2867" s="15">
        <v>45915.793171296296</v>
      </c>
      <c r="B2867" s="16" t="s">
        <v>7907</v>
      </c>
      <c r="C2867" s="16" t="s">
        <v>7898</v>
      </c>
      <c r="D2867" s="16" t="s">
        <v>7908</v>
      </c>
      <c r="E2867" s="16" t="s">
        <v>7919</v>
      </c>
      <c r="F2867" s="16"/>
      <c r="G2867" s="16"/>
      <c r="H2867" s="18"/>
      <c r="I2867" s="18"/>
      <c r="J2867" s="18"/>
      <c r="K2867" s="18"/>
      <c r="L2867" s="18"/>
      <c r="M2867" s="18"/>
      <c r="N2867" s="18"/>
      <c r="O2867" s="18"/>
      <c r="P2867" s="18"/>
      <c r="Q2867" s="19"/>
      <c r="R2867" s="19"/>
      <c r="S2867" s="19"/>
    </row>
    <row r="2868" ht="15.75" customHeight="1">
      <c r="A2868" s="15">
        <v>45921.66391203704</v>
      </c>
      <c r="B2868" s="16" t="s">
        <v>7085</v>
      </c>
      <c r="C2868" s="16" t="s">
        <v>7898</v>
      </c>
      <c r="D2868" s="16" t="s">
        <v>7920</v>
      </c>
      <c r="E2868" s="16" t="s">
        <v>7921</v>
      </c>
      <c r="F2868" s="16"/>
      <c r="G2868" s="16"/>
      <c r="H2868" s="18"/>
      <c r="I2868" s="18"/>
      <c r="J2868" s="18"/>
      <c r="K2868" s="18"/>
      <c r="L2868" s="18"/>
      <c r="M2868" s="18"/>
      <c r="N2868" s="18"/>
      <c r="O2868" s="18"/>
      <c r="P2868" s="18"/>
      <c r="Q2868" s="19"/>
      <c r="R2868" s="19"/>
      <c r="S2868" s="19"/>
    </row>
    <row r="2869" ht="15.75" customHeight="1">
      <c r="A2869" s="15">
        <v>45926.020219907405</v>
      </c>
      <c r="B2869" s="16" t="s">
        <v>7907</v>
      </c>
      <c r="C2869" s="16" t="s">
        <v>7898</v>
      </c>
      <c r="D2869" s="16" t="s">
        <v>7908</v>
      </c>
      <c r="E2869" s="16" t="s">
        <v>7922</v>
      </c>
      <c r="F2869" s="16"/>
      <c r="G2869" s="16"/>
      <c r="H2869" s="18"/>
      <c r="I2869" s="18"/>
      <c r="J2869" s="18"/>
      <c r="K2869" s="18"/>
      <c r="L2869" s="18"/>
      <c r="M2869" s="18"/>
      <c r="N2869" s="18"/>
      <c r="O2869" s="18"/>
      <c r="P2869" s="18"/>
      <c r="Q2869" s="19"/>
      <c r="R2869" s="19"/>
      <c r="S2869" s="19"/>
    </row>
    <row r="2870" ht="15.75" customHeight="1">
      <c r="A2870" s="15">
        <v>45926.0790625</v>
      </c>
      <c r="B2870" s="16" t="s">
        <v>7085</v>
      </c>
      <c r="C2870" s="16" t="s">
        <v>7898</v>
      </c>
      <c r="D2870" s="16" t="s">
        <v>7923</v>
      </c>
      <c r="E2870" s="16" t="s">
        <v>7924</v>
      </c>
      <c r="F2870" s="16"/>
      <c r="G2870" s="16"/>
      <c r="H2870" s="18"/>
      <c r="I2870" s="18"/>
      <c r="J2870" s="18"/>
      <c r="K2870" s="18"/>
      <c r="L2870" s="18"/>
      <c r="M2870" s="18"/>
      <c r="N2870" s="18"/>
      <c r="O2870" s="18"/>
      <c r="P2870" s="18"/>
      <c r="Q2870" s="19"/>
      <c r="R2870" s="19"/>
      <c r="S2870" s="19"/>
    </row>
    <row r="2871" ht="15.75" customHeight="1">
      <c r="A2871" s="15">
        <v>45929.840625</v>
      </c>
      <c r="B2871" s="16" t="s">
        <v>7904</v>
      </c>
      <c r="C2871" s="16" t="s">
        <v>7898</v>
      </c>
      <c r="D2871" s="16" t="s">
        <v>7925</v>
      </c>
      <c r="E2871" s="16" t="s">
        <v>7926</v>
      </c>
      <c r="F2871" s="16"/>
      <c r="G2871" s="16"/>
      <c r="H2871" s="18"/>
      <c r="I2871" s="18"/>
      <c r="J2871" s="18"/>
      <c r="K2871" s="18"/>
      <c r="L2871" s="18"/>
      <c r="M2871" s="18"/>
      <c r="N2871" s="18"/>
      <c r="O2871" s="18"/>
      <c r="P2871" s="18"/>
      <c r="Q2871" s="19"/>
      <c r="R2871" s="19"/>
      <c r="S2871" s="19"/>
    </row>
    <row r="2872" ht="15.75" customHeight="1">
      <c r="A2872" s="15">
        <v>45930.60377314815</v>
      </c>
      <c r="B2872" s="16" t="s">
        <v>7897</v>
      </c>
      <c r="C2872" s="16" t="s">
        <v>7898</v>
      </c>
      <c r="D2872" s="16" t="s">
        <v>7927</v>
      </c>
      <c r="E2872" s="16" t="s">
        <v>7928</v>
      </c>
      <c r="F2872" s="16"/>
      <c r="G2872" s="16"/>
      <c r="H2872" s="18"/>
      <c r="I2872" s="18"/>
      <c r="J2872" s="18"/>
      <c r="K2872" s="18"/>
      <c r="L2872" s="18"/>
      <c r="M2872" s="18"/>
      <c r="N2872" s="18"/>
      <c r="O2872" s="18"/>
      <c r="P2872" s="18"/>
      <c r="Q2872" s="19"/>
      <c r="R2872" s="19"/>
      <c r="S2872" s="19"/>
    </row>
    <row r="2873" ht="15.75" customHeight="1">
      <c r="A2873" s="15">
        <v>45931.99321759259</v>
      </c>
      <c r="B2873" s="16" t="s">
        <v>7929</v>
      </c>
      <c r="C2873" s="16" t="s">
        <v>7898</v>
      </c>
      <c r="D2873" s="20" t="str">
        <f>?UTF-8?b?Q29sbFjigJlzIE1MQiBQbGF5b2ZmIFBpY2tzLCAyMDI1IEVkaXRpb24g4pq+?=
 =?UTF-8?b?77iP?=</f>
        <v>#ERROR!</v>
      </c>
      <c r="E2873" s="16" t="s">
        <v>7930</v>
      </c>
      <c r="F2873" s="16"/>
      <c r="G2873" s="16"/>
      <c r="H2873" s="18"/>
      <c r="I2873" s="18"/>
      <c r="J2873" s="18"/>
      <c r="K2873" s="18"/>
      <c r="L2873" s="18"/>
      <c r="M2873" s="18"/>
      <c r="N2873" s="18"/>
      <c r="O2873" s="18"/>
      <c r="P2873" s="18"/>
      <c r="Q2873" s="19"/>
      <c r="R2873" s="19"/>
      <c r="S2873" s="19"/>
    </row>
    <row r="2874" ht="15.75" customHeight="1">
      <c r="A2874" s="15">
        <v>45936.576273148145</v>
      </c>
      <c r="B2874" s="16" t="s">
        <v>7907</v>
      </c>
      <c r="C2874" s="16" t="s">
        <v>7898</v>
      </c>
      <c r="D2874" s="16" t="s">
        <v>7908</v>
      </c>
      <c r="E2874" s="16" t="s">
        <v>7931</v>
      </c>
      <c r="F2874" s="16"/>
      <c r="G2874" s="16"/>
      <c r="H2874" s="18"/>
      <c r="I2874" s="18"/>
      <c r="J2874" s="18"/>
      <c r="K2874" s="18"/>
      <c r="L2874" s="18"/>
      <c r="M2874" s="18"/>
      <c r="N2874" s="18"/>
      <c r="O2874" s="18"/>
      <c r="P2874" s="18"/>
      <c r="Q2874" s="19"/>
      <c r="R2874" s="19"/>
      <c r="S2874" s="19"/>
    </row>
    <row r="2875" ht="15.75" customHeight="1">
      <c r="A2875" s="15">
        <v>45939.50225694444</v>
      </c>
      <c r="B2875" s="16" t="s">
        <v>7932</v>
      </c>
      <c r="C2875" s="16" t="s">
        <v>7898</v>
      </c>
      <c r="D2875" s="16" t="s">
        <v>7933</v>
      </c>
      <c r="E2875" s="16" t="s">
        <v>7934</v>
      </c>
      <c r="F2875" s="16"/>
      <c r="G2875" s="16"/>
      <c r="H2875" s="18"/>
      <c r="I2875" s="18"/>
      <c r="J2875" s="18"/>
      <c r="K2875" s="18"/>
      <c r="L2875" s="18"/>
      <c r="M2875" s="18"/>
      <c r="N2875" s="18"/>
      <c r="O2875" s="18"/>
      <c r="P2875" s="18"/>
      <c r="Q2875" s="19"/>
      <c r="R2875" s="19"/>
      <c r="S2875" s="19"/>
    </row>
    <row r="2876" ht="15.75" customHeight="1">
      <c r="A2876" s="15">
        <v>45939.66103009259</v>
      </c>
      <c r="B2876" s="16" t="s">
        <v>7901</v>
      </c>
      <c r="C2876" s="16" t="s">
        <v>7898</v>
      </c>
      <c r="D2876" s="16" t="s">
        <v>7935</v>
      </c>
      <c r="E2876" s="16" t="s">
        <v>7936</v>
      </c>
      <c r="F2876" s="16"/>
      <c r="G2876" s="16"/>
      <c r="H2876" s="18"/>
      <c r="I2876" s="18"/>
      <c r="J2876" s="18"/>
      <c r="K2876" s="18"/>
      <c r="L2876" s="18"/>
      <c r="M2876" s="18"/>
      <c r="N2876" s="18"/>
      <c r="O2876" s="18"/>
      <c r="P2876" s="18"/>
      <c r="Q2876" s="19"/>
      <c r="R2876" s="19"/>
      <c r="S2876" s="19"/>
    </row>
    <row r="2877" ht="15.75" customHeight="1">
      <c r="A2877" s="15">
        <v>45944.673784722225</v>
      </c>
      <c r="B2877" s="16" t="s">
        <v>7897</v>
      </c>
      <c r="C2877" s="16" t="s">
        <v>7898</v>
      </c>
      <c r="D2877" s="16" t="s">
        <v>7937</v>
      </c>
      <c r="E2877" s="16" t="s">
        <v>7938</v>
      </c>
      <c r="F2877" s="16"/>
      <c r="G2877" s="16"/>
      <c r="H2877" s="18"/>
      <c r="I2877" s="18"/>
      <c r="J2877" s="18"/>
      <c r="K2877" s="18"/>
      <c r="L2877" s="18"/>
      <c r="M2877" s="18"/>
      <c r="N2877" s="18"/>
      <c r="O2877" s="18"/>
      <c r="P2877" s="18"/>
      <c r="Q2877" s="19"/>
      <c r="R2877" s="19"/>
      <c r="S2877" s="19"/>
    </row>
    <row r="2878" ht="15.75" customHeight="1">
      <c r="A2878" s="15">
        <v>45945.501759259256</v>
      </c>
      <c r="B2878" s="16" t="s">
        <v>7939</v>
      </c>
      <c r="C2878" s="16" t="s">
        <v>7898</v>
      </c>
      <c r="D2878" s="16" t="s">
        <v>7940</v>
      </c>
      <c r="E2878" s="16" t="s">
        <v>7941</v>
      </c>
      <c r="F2878" s="16"/>
      <c r="G2878" s="16"/>
      <c r="H2878" s="18"/>
      <c r="I2878" s="18"/>
      <c r="J2878" s="18"/>
      <c r="K2878" s="18"/>
      <c r="L2878" s="18"/>
      <c r="M2878" s="18"/>
      <c r="N2878" s="18"/>
      <c r="O2878" s="18"/>
      <c r="P2878" s="18"/>
      <c r="Q2878" s="19"/>
      <c r="R2878" s="19"/>
      <c r="S2878" s="19"/>
    </row>
    <row r="2879" ht="15.75" customHeight="1">
      <c r="A2879" s="15">
        <v>45706.67894675926</v>
      </c>
      <c r="B2879" s="16" t="s">
        <v>6591</v>
      </c>
      <c r="C2879" s="16" t="s">
        <v>7942</v>
      </c>
      <c r="D2879" s="20" t="str">
        <f>?UTF-8?Q?Harper_day_Harper_day_it=E2=80=99s_dad_Luna_and_Harper_day?=
	=?UTF-8?Q?=21=21=21=21?=</f>
        <v>#ERROR!</v>
      </c>
      <c r="E2879" s="16" t="s">
        <v>7717</v>
      </c>
      <c r="F2879" s="16"/>
      <c r="G2879" s="16"/>
      <c r="H2879" s="18"/>
      <c r="I2879" s="18"/>
      <c r="J2879" s="18"/>
      <c r="K2879" s="18"/>
      <c r="L2879" s="18"/>
      <c r="M2879" s="18"/>
      <c r="N2879" s="18"/>
      <c r="O2879" s="18"/>
      <c r="P2879" s="18"/>
      <c r="Q2879" s="19"/>
      <c r="R2879" s="19"/>
      <c r="S2879" s="19"/>
    </row>
    <row r="2880" ht="15.75" customHeight="1">
      <c r="A2880" s="15">
        <v>45698.42119212963</v>
      </c>
      <c r="B2880" s="16" t="s">
        <v>6654</v>
      </c>
      <c r="C2880" s="16" t="s">
        <v>7446</v>
      </c>
      <c r="D2880" s="20" t="str">
        <f>?UTF-8?Q?Re=3A_Formal_Complaint_Against_Jacqueline_Gallant_=E2=80=93_?=
	=?UTF-8?Q?Conflict_of_Interest_=26_Professional_Misconduct?=</f>
        <v>#ERROR!</v>
      </c>
      <c r="E2880" s="16" t="s">
        <v>7943</v>
      </c>
      <c r="F2880" s="16"/>
      <c r="G2880" s="16"/>
      <c r="H2880" s="18"/>
      <c r="I2880" s="18"/>
      <c r="J2880" s="18"/>
      <c r="K2880" s="18"/>
      <c r="L2880" s="18"/>
      <c r="M2880" s="18"/>
      <c r="N2880" s="18"/>
      <c r="O2880" s="18"/>
      <c r="P2880" s="18"/>
      <c r="Q2880" s="19"/>
      <c r="R2880" s="19"/>
      <c r="S2880" s="19"/>
    </row>
    <row r="2881" ht="15.75" customHeight="1">
      <c r="A2881" s="15">
        <v>45699.99324074074</v>
      </c>
      <c r="B2881" s="16" t="s">
        <v>6654</v>
      </c>
      <c r="C2881" s="16" t="s">
        <v>7446</v>
      </c>
      <c r="D2881" s="16" t="s">
        <v>7944</v>
      </c>
      <c r="E2881" s="16" t="s">
        <v>7945</v>
      </c>
      <c r="F2881" s="16"/>
      <c r="G2881" s="16"/>
      <c r="H2881" s="18"/>
      <c r="I2881" s="18"/>
      <c r="J2881" s="18"/>
      <c r="K2881" s="18"/>
      <c r="L2881" s="18"/>
      <c r="M2881" s="18"/>
      <c r="N2881" s="18"/>
      <c r="O2881" s="18"/>
      <c r="P2881" s="18"/>
      <c r="Q2881" s="19"/>
      <c r="R2881" s="19"/>
      <c r="S2881" s="19"/>
    </row>
    <row r="2882" ht="15.75" customHeight="1">
      <c r="A2882" s="15">
        <v>45933.530798611115</v>
      </c>
      <c r="B2882" s="16" t="s">
        <v>6591</v>
      </c>
      <c r="C2882" s="16" t="s">
        <v>7446</v>
      </c>
      <c r="D2882" s="16" t="s">
        <v>7944</v>
      </c>
      <c r="E2882" s="16" t="s">
        <v>7946</v>
      </c>
      <c r="F2882" s="16"/>
      <c r="G2882" s="16"/>
      <c r="H2882" s="18"/>
      <c r="I2882" s="18"/>
      <c r="J2882" s="18"/>
      <c r="K2882" s="18"/>
      <c r="L2882" s="18"/>
      <c r="M2882" s="18"/>
      <c r="N2882" s="18"/>
      <c r="O2882" s="18"/>
      <c r="P2882" s="18"/>
      <c r="Q2882" s="19"/>
      <c r="R2882" s="19"/>
      <c r="S2882" s="19"/>
    </row>
    <row r="2883" ht="15.75" customHeight="1">
      <c r="A2883" s="15">
        <v>45696.75761574074</v>
      </c>
      <c r="B2883" s="16" t="s">
        <v>6654</v>
      </c>
      <c r="C2883" s="16" t="s">
        <v>7947</v>
      </c>
      <c r="D2883" s="20" t="str">
        <f>?UTF-8?Q?Formal_Complaint_Against_Jacqueline_Gallant_=E2=80=93_Conf?=
	=?UTF-8?Q?lict_of_Interest_=26_Professional_Misconduct?=</f>
        <v>#ERROR!</v>
      </c>
      <c r="E2883" s="16" t="s">
        <v>7948</v>
      </c>
      <c r="F2883" s="16"/>
      <c r="G2883" s="16"/>
      <c r="H2883" s="18"/>
      <c r="I2883" s="18"/>
      <c r="J2883" s="18"/>
      <c r="K2883" s="18"/>
      <c r="L2883" s="18"/>
      <c r="M2883" s="18"/>
      <c r="N2883" s="18"/>
      <c r="O2883" s="18"/>
      <c r="P2883" s="18"/>
      <c r="Q2883" s="19"/>
      <c r="R2883" s="19"/>
      <c r="S2883" s="19"/>
    </row>
    <row r="2884" ht="15.75" customHeight="1">
      <c r="A2884" s="15">
        <v>45901.756585648145</v>
      </c>
      <c r="B2884" s="16" t="s">
        <v>6591</v>
      </c>
      <c r="C2884" s="16" t="s">
        <v>7949</v>
      </c>
      <c r="D2884" s="16" t="s">
        <v>6662</v>
      </c>
      <c r="E2884" s="16" t="s">
        <v>7950</v>
      </c>
      <c r="F2884" s="16"/>
      <c r="G2884" s="16"/>
      <c r="H2884" s="18"/>
      <c r="I2884" s="18"/>
      <c r="J2884" s="18"/>
      <c r="K2884" s="18"/>
      <c r="L2884" s="18"/>
      <c r="M2884" s="18"/>
      <c r="N2884" s="18"/>
      <c r="O2884" s="18"/>
      <c r="P2884" s="18"/>
      <c r="Q2884" s="19"/>
      <c r="R2884" s="19"/>
      <c r="S2884" s="19"/>
    </row>
    <row r="2885" ht="15.75" customHeight="1">
      <c r="A2885" s="15">
        <v>45902.48280092593</v>
      </c>
      <c r="B2885" s="16" t="s">
        <v>6591</v>
      </c>
      <c r="C2885" s="16" t="s">
        <v>7951</v>
      </c>
      <c r="D2885" s="16" t="s">
        <v>7952</v>
      </c>
      <c r="E2885" s="16" t="s">
        <v>7953</v>
      </c>
      <c r="F2885" s="16"/>
      <c r="G2885" s="16"/>
      <c r="H2885" s="18"/>
      <c r="I2885" s="18"/>
      <c r="J2885" s="18"/>
      <c r="K2885" s="18"/>
      <c r="L2885" s="18"/>
      <c r="M2885" s="18"/>
      <c r="N2885" s="18"/>
      <c r="O2885" s="18"/>
      <c r="P2885" s="18"/>
      <c r="Q2885" s="19"/>
      <c r="R2885" s="19"/>
      <c r="S2885" s="19"/>
    </row>
    <row r="2886" ht="15.75" customHeight="1">
      <c r="A2886" s="15">
        <v>45929.981412037036</v>
      </c>
      <c r="B2886" s="16" t="s">
        <v>6591</v>
      </c>
      <c r="C2886" s="16" t="s">
        <v>7951</v>
      </c>
      <c r="D2886" s="16" t="s">
        <v>7952</v>
      </c>
      <c r="E2886" s="16" t="s">
        <v>7954</v>
      </c>
      <c r="F2886" s="16"/>
      <c r="G2886" s="16"/>
      <c r="H2886" s="18"/>
      <c r="I2886" s="18"/>
      <c r="J2886" s="18"/>
      <c r="K2886" s="18"/>
      <c r="L2886" s="18"/>
      <c r="M2886" s="18"/>
      <c r="N2886" s="18"/>
      <c r="O2886" s="18"/>
      <c r="P2886" s="18"/>
      <c r="Q2886" s="19"/>
      <c r="R2886" s="19"/>
      <c r="S2886" s="19"/>
    </row>
    <row r="2887" ht="15.75" customHeight="1">
      <c r="A2887" s="15">
        <v>45822.75861111111</v>
      </c>
      <c r="B2887" s="16" t="s">
        <v>6591</v>
      </c>
      <c r="C2887" s="16" t="s">
        <v>7955</v>
      </c>
      <c r="D2887" s="16" t="s">
        <v>7956</v>
      </c>
      <c r="E2887" s="16" t="s">
        <v>7957</v>
      </c>
      <c r="F2887" s="16"/>
      <c r="G2887" s="16"/>
      <c r="H2887" s="18"/>
      <c r="I2887" s="18"/>
      <c r="J2887" s="18"/>
      <c r="K2887" s="18"/>
      <c r="L2887" s="18"/>
      <c r="M2887" s="18"/>
      <c r="N2887" s="18"/>
      <c r="O2887" s="18"/>
      <c r="P2887" s="18"/>
      <c r="Q2887" s="19"/>
      <c r="R2887" s="19"/>
      <c r="S2887" s="19"/>
    </row>
    <row r="2888" ht="15.75" customHeight="1">
      <c r="A2888" s="15">
        <v>45825.76902777778</v>
      </c>
      <c r="B2888" s="16" t="s">
        <v>6591</v>
      </c>
      <c r="C2888" s="16" t="s">
        <v>7955</v>
      </c>
      <c r="D2888" s="16" t="s">
        <v>7958</v>
      </c>
      <c r="E2888" s="16" t="s">
        <v>7959</v>
      </c>
      <c r="F2888" s="16"/>
      <c r="G2888" s="16"/>
      <c r="H2888" s="18"/>
      <c r="I2888" s="18"/>
      <c r="J2888" s="18"/>
      <c r="K2888" s="18"/>
      <c r="L2888" s="18"/>
      <c r="M2888" s="18"/>
      <c r="N2888" s="18"/>
      <c r="O2888" s="18"/>
      <c r="P2888" s="18"/>
      <c r="Q2888" s="19"/>
      <c r="R2888" s="19"/>
      <c r="S2888" s="19"/>
    </row>
    <row r="2889" ht="15.75" customHeight="1">
      <c r="A2889" s="15">
        <v>45893.53040509259</v>
      </c>
      <c r="B2889" s="16" t="s">
        <v>6591</v>
      </c>
      <c r="C2889" s="16" t="s">
        <v>7960</v>
      </c>
      <c r="D2889" s="16"/>
      <c r="E2889" s="16" t="s">
        <v>7961</v>
      </c>
      <c r="F2889" s="16"/>
      <c r="G2889" s="16"/>
      <c r="H2889" s="18"/>
      <c r="I2889" s="18"/>
      <c r="J2889" s="18"/>
      <c r="K2889" s="18"/>
      <c r="L2889" s="18"/>
      <c r="M2889" s="18"/>
      <c r="N2889" s="18"/>
      <c r="O2889" s="18"/>
      <c r="P2889" s="18"/>
      <c r="Q2889" s="19"/>
      <c r="R2889" s="19"/>
      <c r="S2889" s="19"/>
    </row>
    <row r="2890" ht="15.75" customHeight="1">
      <c r="A2890" s="15">
        <v>45912.98657407407</v>
      </c>
      <c r="B2890" s="16" t="s">
        <v>6591</v>
      </c>
      <c r="C2890" s="16" t="s">
        <v>7960</v>
      </c>
      <c r="D2890" s="16" t="s">
        <v>7962</v>
      </c>
      <c r="E2890" s="16" t="s">
        <v>7963</v>
      </c>
      <c r="F2890" s="16"/>
      <c r="G2890" s="16"/>
      <c r="H2890" s="18"/>
      <c r="I2890" s="18"/>
      <c r="J2890" s="18"/>
      <c r="K2890" s="18"/>
      <c r="L2890" s="18"/>
      <c r="M2890" s="18"/>
      <c r="N2890" s="18"/>
      <c r="O2890" s="18"/>
      <c r="P2890" s="18"/>
      <c r="Q2890" s="19"/>
      <c r="R2890" s="19"/>
      <c r="S2890" s="19"/>
    </row>
    <row r="2891" ht="15.75" customHeight="1">
      <c r="A2891" s="15">
        <v>45789.99594907407</v>
      </c>
      <c r="B2891" s="16" t="s">
        <v>7964</v>
      </c>
      <c r="C2891" s="16" t="s">
        <v>7965</v>
      </c>
      <c r="D2891" s="20" t="str">
        <f>?UTF-8?Q?Your_Apple=C2=A0Account_information_has_been_updated?=</f>
        <v>#ERROR!</v>
      </c>
      <c r="E2891" s="16" t="s">
        <v>7966</v>
      </c>
      <c r="F2891" s="16"/>
      <c r="G2891" s="16"/>
      <c r="H2891" s="18"/>
      <c r="I2891" s="18"/>
      <c r="J2891" s="18"/>
      <c r="K2891" s="18"/>
      <c r="L2891" s="18"/>
      <c r="M2891" s="18"/>
      <c r="N2891" s="18"/>
      <c r="O2891" s="18"/>
      <c r="P2891" s="18"/>
      <c r="Q2891" s="19"/>
      <c r="R2891" s="19"/>
      <c r="S2891" s="19"/>
    </row>
    <row r="2892" ht="15.75" customHeight="1">
      <c r="A2892" s="15">
        <v>45790.00413194444</v>
      </c>
      <c r="B2892" s="16" t="s">
        <v>7967</v>
      </c>
      <c r="C2892" s="16" t="s">
        <v>7965</v>
      </c>
      <c r="D2892" s="20" t="str">
        <f>?UTF-8?Q?Your_Apple_Account_was_used_to_?=
 =?UTF-8?Q?sign_in_to_iCloud_on_an=C2=A0iPhone=C2=A08?=</f>
        <v>#ERROR!</v>
      </c>
      <c r="E2892" s="16" t="s">
        <v>7968</v>
      </c>
      <c r="F2892" s="16"/>
      <c r="G2892" s="16"/>
      <c r="H2892" s="18"/>
      <c r="I2892" s="18"/>
      <c r="J2892" s="18"/>
      <c r="K2892" s="18"/>
      <c r="L2892" s="18"/>
      <c r="M2892" s="18"/>
      <c r="N2892" s="18"/>
      <c r="O2892" s="18"/>
      <c r="P2892" s="18"/>
      <c r="Q2892" s="19"/>
      <c r="R2892" s="19"/>
      <c r="S2892" s="19"/>
    </row>
    <row r="2893" ht="15.75" customHeight="1">
      <c r="A2893" s="15">
        <v>45790.245254629626</v>
      </c>
      <c r="B2893" s="16" t="s">
        <v>7907</v>
      </c>
      <c r="C2893" s="16" t="s">
        <v>7965</v>
      </c>
      <c r="D2893" s="16" t="s">
        <v>7969</v>
      </c>
      <c r="E2893" s="16" t="s">
        <v>7970</v>
      </c>
      <c r="F2893" s="16"/>
      <c r="G2893" s="16"/>
      <c r="H2893" s="18"/>
      <c r="I2893" s="18"/>
      <c r="J2893" s="18"/>
      <c r="K2893" s="18"/>
      <c r="L2893" s="18"/>
      <c r="M2893" s="18"/>
      <c r="N2893" s="18"/>
      <c r="O2893" s="18"/>
      <c r="P2893" s="18"/>
      <c r="Q2893" s="19"/>
      <c r="R2893" s="19"/>
      <c r="S2893" s="19"/>
    </row>
    <row r="2894" ht="15.75" customHeight="1">
      <c r="A2894" s="15">
        <v>45790.885567129626</v>
      </c>
      <c r="B2894" s="16" t="s">
        <v>7971</v>
      </c>
      <c r="C2894" s="16" t="s">
        <v>7965</v>
      </c>
      <c r="D2894" s="16" t="s">
        <v>7972</v>
      </c>
      <c r="E2894" s="16" t="s">
        <v>7973</v>
      </c>
      <c r="F2894" s="16"/>
      <c r="G2894" s="16"/>
      <c r="H2894" s="18"/>
      <c r="I2894" s="18"/>
      <c r="J2894" s="18"/>
      <c r="K2894" s="18"/>
      <c r="L2894" s="18"/>
      <c r="M2894" s="18"/>
      <c r="N2894" s="18"/>
      <c r="O2894" s="18"/>
      <c r="P2894" s="18"/>
      <c r="Q2894" s="19"/>
      <c r="R2894" s="19"/>
      <c r="S2894" s="19"/>
    </row>
    <row r="2895" ht="15.75" customHeight="1">
      <c r="A2895" s="15">
        <v>45791.13143518518</v>
      </c>
      <c r="B2895" s="16" t="s">
        <v>7974</v>
      </c>
      <c r="C2895" s="16" t="s">
        <v>7965</v>
      </c>
      <c r="D2895" s="20" t="str">
        <f>?UTF-8?Q?Welcome_to_iCloud._Here=E2=80=99s_how_to_get_started.?=</f>
        <v>#ERROR!</v>
      </c>
      <c r="E2895" s="16" t="s">
        <v>7975</v>
      </c>
      <c r="F2895" s="16"/>
      <c r="G2895" s="16"/>
      <c r="H2895" s="18"/>
      <c r="I2895" s="18"/>
      <c r="J2895" s="18"/>
      <c r="K2895" s="18"/>
      <c r="L2895" s="18"/>
      <c r="M2895" s="18"/>
      <c r="N2895" s="18"/>
      <c r="O2895" s="18"/>
      <c r="P2895" s="18"/>
      <c r="Q2895" s="19"/>
      <c r="R2895" s="19"/>
      <c r="S2895" s="19"/>
    </row>
    <row r="2896" ht="15.75" customHeight="1">
      <c r="A2896" s="15">
        <v>45796.433587962965</v>
      </c>
      <c r="B2896" s="16" t="s">
        <v>7976</v>
      </c>
      <c r="C2896" s="16" t="s">
        <v>7965</v>
      </c>
      <c r="D2896" s="20" t="str">
        <f>?UTF-8?q?Maximize_your_ride_savings_with_Uber_One_=F0=9F=92=B8?=</f>
        <v>#ERROR!</v>
      </c>
      <c r="E2896" s="16" t="s">
        <v>7977</v>
      </c>
      <c r="F2896" s="16"/>
      <c r="G2896" s="16"/>
      <c r="H2896" s="18"/>
      <c r="I2896" s="18"/>
      <c r="J2896" s="18"/>
      <c r="K2896" s="18"/>
      <c r="L2896" s="18"/>
      <c r="M2896" s="18"/>
      <c r="N2896" s="18"/>
      <c r="O2896" s="18"/>
      <c r="P2896" s="18"/>
      <c r="Q2896" s="19"/>
      <c r="R2896" s="19"/>
      <c r="S2896" s="19"/>
    </row>
    <row r="2897" ht="15.75" customHeight="1">
      <c r="A2897" s="15">
        <v>45797.66886574074</v>
      </c>
      <c r="B2897" s="16" t="s">
        <v>7978</v>
      </c>
      <c r="C2897" s="16" t="s">
        <v>7965</v>
      </c>
      <c r="D2897" s="20" t="str">
        <f>?UTF-8?q?30%_off_your_next__order_-_just_for_you_=F0=9F=91=80?=</f>
        <v>#ERROR!</v>
      </c>
      <c r="E2897" s="16" t="s">
        <v>7977</v>
      </c>
      <c r="F2897" s="16"/>
      <c r="G2897" s="16"/>
      <c r="H2897" s="18"/>
      <c r="I2897" s="18"/>
      <c r="J2897" s="18"/>
      <c r="K2897" s="18"/>
      <c r="L2897" s="18"/>
      <c r="M2897" s="18"/>
      <c r="N2897" s="18"/>
      <c r="O2897" s="18"/>
      <c r="P2897" s="18"/>
      <c r="Q2897" s="19"/>
      <c r="R2897" s="19"/>
      <c r="S2897" s="19"/>
    </row>
    <row r="2898" ht="15.75" customHeight="1">
      <c r="A2898" s="15">
        <v>45797.69976851852</v>
      </c>
      <c r="B2898" s="16" t="s">
        <v>7979</v>
      </c>
      <c r="C2898" s="16" t="s">
        <v>7965</v>
      </c>
      <c r="D2898" s="20" t="str">
        <f>?ISO-8859-1?Q?Your_recent_download_with_your_Apple=A0Account?=</f>
        <v>#ERROR!</v>
      </c>
      <c r="E2898" s="16" t="s">
        <v>7980</v>
      </c>
      <c r="F2898" s="16"/>
      <c r="G2898" s="16"/>
      <c r="H2898" s="18"/>
      <c r="I2898" s="18"/>
      <c r="J2898" s="18"/>
      <c r="K2898" s="18"/>
      <c r="L2898" s="18"/>
      <c r="M2898" s="18"/>
      <c r="N2898" s="18"/>
      <c r="O2898" s="18"/>
      <c r="P2898" s="18"/>
      <c r="Q2898" s="19"/>
      <c r="R2898" s="19"/>
      <c r="S2898" s="19"/>
    </row>
    <row r="2899" ht="15.75" customHeight="1">
      <c r="A2899" s="15">
        <v>45798.05863425926</v>
      </c>
      <c r="B2899" s="16" t="s">
        <v>7974</v>
      </c>
      <c r="C2899" s="16" t="s">
        <v>7965</v>
      </c>
      <c r="D2899" s="16" t="s">
        <v>7981</v>
      </c>
      <c r="E2899" s="16" t="s">
        <v>7982</v>
      </c>
      <c r="F2899" s="16"/>
      <c r="G2899" s="16"/>
      <c r="H2899" s="18"/>
      <c r="I2899" s="18"/>
      <c r="J2899" s="18"/>
      <c r="K2899" s="18"/>
      <c r="L2899" s="18"/>
      <c r="M2899" s="18"/>
      <c r="N2899" s="18"/>
      <c r="O2899" s="18"/>
      <c r="P2899" s="18"/>
      <c r="Q2899" s="19"/>
      <c r="R2899" s="19"/>
      <c r="S2899" s="19"/>
    </row>
    <row r="2900" ht="15.75" customHeight="1">
      <c r="A2900" s="15">
        <v>45803.98451388889</v>
      </c>
      <c r="B2900" s="16" t="s">
        <v>7978</v>
      </c>
      <c r="C2900" s="16" t="s">
        <v>7965</v>
      </c>
      <c r="D2900" s="16" t="s">
        <v>7983</v>
      </c>
      <c r="E2900" s="16" t="s">
        <v>7977</v>
      </c>
      <c r="F2900" s="16"/>
      <c r="G2900" s="16"/>
      <c r="H2900" s="18"/>
      <c r="I2900" s="18"/>
      <c r="J2900" s="18"/>
      <c r="K2900" s="18"/>
      <c r="L2900" s="18"/>
      <c r="M2900" s="18"/>
      <c r="N2900" s="18"/>
      <c r="O2900" s="18"/>
      <c r="P2900" s="18"/>
      <c r="Q2900" s="19"/>
      <c r="R2900" s="19"/>
      <c r="S2900" s="19"/>
    </row>
    <row r="2901" ht="15.75" customHeight="1">
      <c r="A2901" s="15">
        <v>45804.870462962965</v>
      </c>
      <c r="B2901" s="16" t="s">
        <v>7984</v>
      </c>
      <c r="C2901" s="16" t="s">
        <v>7965</v>
      </c>
      <c r="D2901" s="16" t="s">
        <v>7985</v>
      </c>
      <c r="E2901" s="16" t="s">
        <v>7977</v>
      </c>
      <c r="F2901" s="16"/>
      <c r="G2901" s="16"/>
      <c r="H2901" s="18"/>
      <c r="I2901" s="18"/>
      <c r="J2901" s="18"/>
      <c r="K2901" s="18"/>
      <c r="L2901" s="18"/>
      <c r="M2901" s="18"/>
      <c r="N2901" s="18"/>
      <c r="O2901" s="18"/>
      <c r="P2901" s="18"/>
      <c r="Q2901" s="19"/>
      <c r="R2901" s="19"/>
      <c r="S2901" s="19"/>
    </row>
    <row r="2902" ht="15.75" customHeight="1">
      <c r="A2902" s="15">
        <v>45807.75623842593</v>
      </c>
      <c r="B2902" s="16" t="s">
        <v>7984</v>
      </c>
      <c r="C2902" s="16" t="s">
        <v>7965</v>
      </c>
      <c r="D2902" s="20" t="str">
        <f>?UTF-8?q?Get_up_to_50%_off_the_essentials_you_need_=F0=9F=9B=92?=</f>
        <v>#ERROR!</v>
      </c>
      <c r="E2902" s="16" t="s">
        <v>7977</v>
      </c>
      <c r="F2902" s="16"/>
      <c r="G2902" s="16"/>
      <c r="H2902" s="18"/>
      <c r="I2902" s="18"/>
      <c r="J2902" s="18"/>
      <c r="K2902" s="18"/>
      <c r="L2902" s="18"/>
      <c r="M2902" s="18"/>
      <c r="N2902" s="18"/>
      <c r="O2902" s="18"/>
      <c r="P2902" s="18"/>
      <c r="Q2902" s="19"/>
      <c r="R2902" s="19"/>
      <c r="S2902" s="19"/>
    </row>
    <row r="2903" ht="15.75" customHeight="1">
      <c r="A2903" s="15">
        <v>45808.135787037034</v>
      </c>
      <c r="B2903" s="16" t="s">
        <v>7974</v>
      </c>
      <c r="C2903" s="16" t="s">
        <v>7965</v>
      </c>
      <c r="D2903" s="16" t="s">
        <v>7986</v>
      </c>
      <c r="E2903" s="16" t="s">
        <v>7987</v>
      </c>
      <c r="F2903" s="16"/>
      <c r="G2903" s="16"/>
      <c r="H2903" s="18"/>
      <c r="I2903" s="18"/>
      <c r="J2903" s="18"/>
      <c r="K2903" s="18"/>
      <c r="L2903" s="18"/>
      <c r="M2903" s="18"/>
      <c r="N2903" s="18"/>
      <c r="O2903" s="18"/>
      <c r="P2903" s="18"/>
      <c r="Q2903" s="19"/>
      <c r="R2903" s="19"/>
      <c r="S2903" s="19"/>
    </row>
    <row r="2904" ht="15.75" customHeight="1">
      <c r="A2904" s="15">
        <v>45808.46262731482</v>
      </c>
      <c r="B2904" s="16" t="s">
        <v>7976</v>
      </c>
      <c r="C2904" s="16" t="s">
        <v>7965</v>
      </c>
      <c r="D2904" s="16" t="s">
        <v>7988</v>
      </c>
      <c r="E2904" s="16" t="s">
        <v>7977</v>
      </c>
      <c r="F2904" s="16"/>
      <c r="G2904" s="16"/>
      <c r="H2904" s="18"/>
      <c r="I2904" s="18"/>
      <c r="J2904" s="18"/>
      <c r="K2904" s="18"/>
      <c r="L2904" s="18"/>
      <c r="M2904" s="18"/>
      <c r="N2904" s="18"/>
      <c r="O2904" s="18"/>
      <c r="P2904" s="18"/>
      <c r="Q2904" s="19"/>
      <c r="R2904" s="19"/>
      <c r="S2904" s="19"/>
    </row>
    <row r="2905" ht="15.75" customHeight="1">
      <c r="A2905" s="15">
        <v>45808.705104166664</v>
      </c>
      <c r="B2905" s="16" t="s">
        <v>7984</v>
      </c>
      <c r="C2905" s="16" t="s">
        <v>7965</v>
      </c>
      <c r="D2905" s="16" t="s">
        <v>7989</v>
      </c>
      <c r="E2905" s="16" t="s">
        <v>7977</v>
      </c>
      <c r="F2905" s="16"/>
      <c r="G2905" s="16"/>
      <c r="H2905" s="18"/>
      <c r="I2905" s="18"/>
      <c r="J2905" s="18"/>
      <c r="K2905" s="18"/>
      <c r="L2905" s="18"/>
      <c r="M2905" s="18"/>
      <c r="N2905" s="18"/>
      <c r="O2905" s="18"/>
      <c r="P2905" s="18"/>
      <c r="Q2905" s="19"/>
      <c r="R2905" s="19"/>
      <c r="S2905" s="19"/>
    </row>
    <row r="2906" ht="15.75" customHeight="1">
      <c r="A2906" s="15">
        <v>45810.95815972222</v>
      </c>
      <c r="B2906" s="16" t="s">
        <v>7978</v>
      </c>
      <c r="C2906" s="16" t="s">
        <v>7965</v>
      </c>
      <c r="D2906" s="20" t="str">
        <f>?UTF-8?q?50%_off_your_next_3_orders_-_just_for_you_=F0=9F=91=80?=</f>
        <v>#ERROR!</v>
      </c>
      <c r="E2906" s="16" t="s">
        <v>7977</v>
      </c>
      <c r="F2906" s="16"/>
      <c r="G2906" s="16"/>
      <c r="H2906" s="18"/>
      <c r="I2906" s="18"/>
      <c r="J2906" s="18"/>
      <c r="K2906" s="18"/>
      <c r="L2906" s="18"/>
      <c r="M2906" s="18"/>
      <c r="N2906" s="18"/>
      <c r="O2906" s="18"/>
      <c r="P2906" s="18"/>
      <c r="Q2906" s="19"/>
      <c r="R2906" s="19"/>
      <c r="S2906" s="19"/>
    </row>
    <row r="2907" ht="15.75" customHeight="1">
      <c r="A2907" s="15">
        <v>45811.65252314815</v>
      </c>
      <c r="B2907" s="16" t="s">
        <v>7978</v>
      </c>
      <c r="C2907" s="16" t="s">
        <v>7965</v>
      </c>
      <c r="D2907" s="16" t="s">
        <v>6874</v>
      </c>
      <c r="E2907" s="16" t="s">
        <v>7977</v>
      </c>
      <c r="F2907" s="16"/>
      <c r="G2907" s="16"/>
      <c r="H2907" s="18"/>
      <c r="I2907" s="18"/>
      <c r="J2907" s="18"/>
      <c r="K2907" s="18"/>
      <c r="L2907" s="18"/>
      <c r="M2907" s="18"/>
      <c r="N2907" s="18"/>
      <c r="O2907" s="18"/>
      <c r="P2907" s="18"/>
      <c r="Q2907" s="19"/>
      <c r="R2907" s="19"/>
      <c r="S2907" s="19"/>
    </row>
    <row r="2908" ht="15.75" customHeight="1">
      <c r="A2908" s="15">
        <v>45811.93651620371</v>
      </c>
      <c r="B2908" s="16" t="s">
        <v>7984</v>
      </c>
      <c r="C2908" s="16" t="s">
        <v>7965</v>
      </c>
      <c r="D2908" s="16" t="s">
        <v>7990</v>
      </c>
      <c r="E2908" s="16" t="s">
        <v>7977</v>
      </c>
      <c r="F2908" s="16"/>
      <c r="G2908" s="16"/>
      <c r="H2908" s="18"/>
      <c r="I2908" s="18"/>
      <c r="J2908" s="18"/>
      <c r="K2908" s="18"/>
      <c r="L2908" s="18"/>
      <c r="M2908" s="18"/>
      <c r="N2908" s="18"/>
      <c r="O2908" s="18"/>
      <c r="P2908" s="18"/>
      <c r="Q2908" s="19"/>
      <c r="R2908" s="19"/>
      <c r="S2908" s="19"/>
    </row>
    <row r="2909" ht="15.75" customHeight="1">
      <c r="A2909" s="15">
        <v>45812.69909722222</v>
      </c>
      <c r="B2909" s="16" t="s">
        <v>7984</v>
      </c>
      <c r="C2909" s="16" t="s">
        <v>7965</v>
      </c>
      <c r="D2909" s="16" t="s">
        <v>7985</v>
      </c>
      <c r="E2909" s="16" t="s">
        <v>7977</v>
      </c>
      <c r="F2909" s="16"/>
      <c r="G2909" s="16"/>
      <c r="H2909" s="18"/>
      <c r="I2909" s="18"/>
      <c r="J2909" s="18"/>
      <c r="K2909" s="18"/>
      <c r="L2909" s="18"/>
      <c r="M2909" s="18"/>
      <c r="N2909" s="18"/>
      <c r="O2909" s="18"/>
      <c r="P2909" s="18"/>
      <c r="Q2909" s="19"/>
      <c r="R2909" s="19"/>
      <c r="S2909" s="19"/>
    </row>
    <row r="2910" ht="15.75" customHeight="1">
      <c r="A2910" s="15">
        <v>45815.751388888886</v>
      </c>
      <c r="B2910" s="16" t="s">
        <v>7984</v>
      </c>
      <c r="C2910" s="16" t="s">
        <v>7965</v>
      </c>
      <c r="D2910" s="16" t="s">
        <v>7991</v>
      </c>
      <c r="E2910" s="16" t="s">
        <v>7977</v>
      </c>
      <c r="F2910" s="16"/>
      <c r="G2910" s="16"/>
      <c r="H2910" s="18"/>
      <c r="I2910" s="18"/>
      <c r="J2910" s="18"/>
      <c r="K2910" s="18"/>
      <c r="L2910" s="18"/>
      <c r="M2910" s="18"/>
      <c r="N2910" s="18"/>
      <c r="O2910" s="18"/>
      <c r="P2910" s="18"/>
      <c r="Q2910" s="19"/>
      <c r="R2910" s="19"/>
      <c r="S2910" s="19"/>
    </row>
    <row r="2911" ht="15.75" customHeight="1">
      <c r="A2911" s="15">
        <v>45816.50717592592</v>
      </c>
      <c r="B2911" s="16" t="s">
        <v>7992</v>
      </c>
      <c r="C2911" s="16" t="s">
        <v>7965</v>
      </c>
      <c r="D2911" s="16" t="s">
        <v>7993</v>
      </c>
      <c r="E2911" s="16" t="s">
        <v>7977</v>
      </c>
      <c r="F2911" s="16"/>
      <c r="G2911" s="16"/>
      <c r="H2911" s="18"/>
      <c r="I2911" s="18"/>
      <c r="J2911" s="18"/>
      <c r="K2911" s="18"/>
      <c r="L2911" s="18"/>
      <c r="M2911" s="18"/>
      <c r="N2911" s="18"/>
      <c r="O2911" s="18"/>
      <c r="P2911" s="18"/>
      <c r="Q2911" s="19"/>
      <c r="R2911" s="19"/>
      <c r="S2911" s="19"/>
    </row>
    <row r="2912" ht="15.75" customHeight="1">
      <c r="A2912" s="15">
        <v>45816.70958333334</v>
      </c>
      <c r="B2912" s="16" t="s">
        <v>7984</v>
      </c>
      <c r="C2912" s="16" t="s">
        <v>7965</v>
      </c>
      <c r="D2912" s="20" t="str">
        <f>?UTF-8?q?Up_to_50%_off_is_all_yours=E2=80=94stay_in,_stock_up?=
 =?UTF-8?q?=F0=9F=A5=AB?=</f>
        <v>#ERROR!</v>
      </c>
      <c r="E2912" s="16" t="s">
        <v>7977</v>
      </c>
      <c r="F2912" s="16"/>
      <c r="G2912" s="16"/>
      <c r="H2912" s="18"/>
      <c r="I2912" s="18"/>
      <c r="J2912" s="18"/>
      <c r="K2912" s="18"/>
      <c r="L2912" s="18"/>
      <c r="M2912" s="18"/>
      <c r="N2912" s="18"/>
      <c r="O2912" s="18"/>
      <c r="P2912" s="18"/>
      <c r="Q2912" s="19"/>
      <c r="R2912" s="19"/>
      <c r="S2912" s="19"/>
    </row>
    <row r="2913" ht="15.75" customHeight="1">
      <c r="A2913" s="15">
        <v>45817.07849537037</v>
      </c>
      <c r="B2913" s="16" t="s">
        <v>7976</v>
      </c>
      <c r="C2913" s="16" t="s">
        <v>7965</v>
      </c>
      <c r="D2913" s="16" t="s">
        <v>7994</v>
      </c>
      <c r="E2913" s="16" t="s">
        <v>7995</v>
      </c>
      <c r="F2913" s="16"/>
      <c r="G2913" s="16"/>
      <c r="H2913" s="18"/>
      <c r="I2913" s="18"/>
      <c r="J2913" s="18"/>
      <c r="K2913" s="18"/>
      <c r="L2913" s="18"/>
      <c r="M2913" s="18"/>
      <c r="N2913" s="18"/>
      <c r="O2913" s="18"/>
      <c r="P2913" s="18"/>
      <c r="Q2913" s="19"/>
      <c r="R2913" s="19"/>
      <c r="S2913" s="19"/>
    </row>
    <row r="2914" ht="15.75" customHeight="1">
      <c r="A2914" s="15">
        <v>45817.460648148146</v>
      </c>
      <c r="B2914" s="16" t="s">
        <v>7984</v>
      </c>
      <c r="C2914" s="16" t="s">
        <v>7965</v>
      </c>
      <c r="D2914" s="16" t="s">
        <v>7996</v>
      </c>
      <c r="E2914" s="16" t="s">
        <v>7977</v>
      </c>
      <c r="F2914" s="16"/>
      <c r="G2914" s="16"/>
      <c r="H2914" s="18"/>
      <c r="I2914" s="18"/>
      <c r="J2914" s="18"/>
      <c r="K2914" s="18"/>
      <c r="L2914" s="18"/>
      <c r="M2914" s="18"/>
      <c r="N2914" s="18"/>
      <c r="O2914" s="18"/>
      <c r="P2914" s="18"/>
      <c r="Q2914" s="19"/>
      <c r="R2914" s="19"/>
      <c r="S2914" s="19"/>
    </row>
    <row r="2915" ht="15.75" customHeight="1">
      <c r="A2915" s="15">
        <v>45818.738483796296</v>
      </c>
      <c r="B2915" s="16" t="s">
        <v>7978</v>
      </c>
      <c r="C2915" s="16" t="s">
        <v>7965</v>
      </c>
      <c r="D2915" s="16" t="s">
        <v>7997</v>
      </c>
      <c r="E2915" s="16" t="s">
        <v>7977</v>
      </c>
      <c r="F2915" s="16"/>
      <c r="G2915" s="16"/>
      <c r="H2915" s="18"/>
      <c r="I2915" s="18"/>
      <c r="J2915" s="18"/>
      <c r="K2915" s="18"/>
      <c r="L2915" s="18"/>
      <c r="M2915" s="18"/>
      <c r="N2915" s="18"/>
      <c r="O2915" s="18"/>
      <c r="P2915" s="18"/>
      <c r="Q2915" s="19"/>
      <c r="R2915" s="19"/>
      <c r="S2915" s="19"/>
    </row>
    <row r="2916" ht="15.75" customHeight="1">
      <c r="A2916" s="15">
        <v>45818.95606481482</v>
      </c>
      <c r="B2916" s="16" t="s">
        <v>7978</v>
      </c>
      <c r="C2916" s="16" t="s">
        <v>7965</v>
      </c>
      <c r="D2916" s="16" t="s">
        <v>6782</v>
      </c>
      <c r="E2916" s="16" t="s">
        <v>7977</v>
      </c>
      <c r="F2916" s="16"/>
      <c r="G2916" s="16"/>
      <c r="H2916" s="18"/>
      <c r="I2916" s="18"/>
      <c r="J2916" s="18"/>
      <c r="K2916" s="18"/>
      <c r="L2916" s="18"/>
      <c r="M2916" s="18"/>
      <c r="N2916" s="18"/>
      <c r="O2916" s="18"/>
      <c r="P2916" s="18"/>
      <c r="Q2916" s="19"/>
      <c r="R2916" s="19"/>
      <c r="S2916" s="19"/>
    </row>
    <row r="2917" ht="15.75" customHeight="1">
      <c r="A2917" s="15">
        <v>45819.76414351852</v>
      </c>
      <c r="B2917" s="16" t="s">
        <v>7984</v>
      </c>
      <c r="C2917" s="16" t="s">
        <v>7965</v>
      </c>
      <c r="D2917" s="16" t="s">
        <v>7990</v>
      </c>
      <c r="E2917" s="16" t="s">
        <v>7977</v>
      </c>
      <c r="F2917" s="16"/>
      <c r="G2917" s="16"/>
      <c r="H2917" s="18"/>
      <c r="I2917" s="18"/>
      <c r="J2917" s="18"/>
      <c r="K2917" s="18"/>
      <c r="L2917" s="18"/>
      <c r="M2917" s="18"/>
      <c r="N2917" s="18"/>
      <c r="O2917" s="18"/>
      <c r="P2917" s="18"/>
      <c r="Q2917" s="19"/>
      <c r="R2917" s="19"/>
      <c r="S2917" s="19"/>
    </row>
    <row r="2918" ht="15.75" customHeight="1">
      <c r="A2918" s="15">
        <v>45820.66226851852</v>
      </c>
      <c r="B2918" s="16" t="s">
        <v>7984</v>
      </c>
      <c r="C2918" s="16" t="s">
        <v>7965</v>
      </c>
      <c r="D2918" s="20" t="str">
        <f>?UTF-8?q?Get_up_to_50%_off_your_essentials_delivery_=F0=9F=8D=9E?=</f>
        <v>#ERROR!</v>
      </c>
      <c r="E2918" s="16" t="s">
        <v>7977</v>
      </c>
      <c r="F2918" s="16"/>
      <c r="G2918" s="16"/>
      <c r="H2918" s="18"/>
      <c r="I2918" s="18"/>
      <c r="J2918" s="18"/>
      <c r="K2918" s="18"/>
      <c r="L2918" s="18"/>
      <c r="M2918" s="18"/>
      <c r="N2918" s="18"/>
      <c r="O2918" s="18"/>
      <c r="P2918" s="18"/>
      <c r="Q2918" s="19"/>
      <c r="R2918" s="19"/>
      <c r="S2918" s="19"/>
    </row>
    <row r="2919" ht="15.75" customHeight="1">
      <c r="A2919" s="15">
        <v>45821.47553240741</v>
      </c>
      <c r="B2919" s="16" t="s">
        <v>7984</v>
      </c>
      <c r="C2919" s="16" t="s">
        <v>7965</v>
      </c>
      <c r="D2919" s="16" t="s">
        <v>7998</v>
      </c>
      <c r="E2919" s="16" t="s">
        <v>7977</v>
      </c>
      <c r="F2919" s="16"/>
      <c r="G2919" s="16"/>
      <c r="H2919" s="18"/>
      <c r="I2919" s="18"/>
      <c r="J2919" s="18"/>
      <c r="K2919" s="18"/>
      <c r="L2919" s="18"/>
      <c r="M2919" s="18"/>
      <c r="N2919" s="18"/>
      <c r="O2919" s="18"/>
      <c r="P2919" s="18"/>
      <c r="Q2919" s="19"/>
      <c r="R2919" s="19"/>
      <c r="S2919" s="19"/>
    </row>
    <row r="2920" ht="15.75" customHeight="1">
      <c r="A2920" s="15">
        <v>45822.43418981481</v>
      </c>
      <c r="B2920" s="16" t="s">
        <v>7984</v>
      </c>
      <c r="C2920" s="16" t="s">
        <v>7965</v>
      </c>
      <c r="D2920" s="20" t="str">
        <f>?UTF-8?q?Use_your_50%_off_promo_before_it=E2=80=99s_gone!?=</f>
        <v>#ERROR!</v>
      </c>
      <c r="E2920" s="16" t="s">
        <v>7977</v>
      </c>
      <c r="F2920" s="16"/>
      <c r="G2920" s="16"/>
      <c r="H2920" s="18"/>
      <c r="I2920" s="18"/>
      <c r="J2920" s="18"/>
      <c r="K2920" s="18"/>
      <c r="L2920" s="18"/>
      <c r="M2920" s="18"/>
      <c r="N2920" s="18"/>
      <c r="O2920" s="18"/>
      <c r="P2920" s="18"/>
      <c r="Q2920" s="19"/>
      <c r="R2920" s="19"/>
      <c r="S2920" s="19"/>
    </row>
    <row r="2921" ht="15.75" customHeight="1">
      <c r="A2921" s="15">
        <v>45823.48590277778</v>
      </c>
      <c r="B2921" s="16" t="s">
        <v>7984</v>
      </c>
      <c r="C2921" s="16" t="s">
        <v>7965</v>
      </c>
      <c r="D2921" s="16" t="s">
        <v>7999</v>
      </c>
      <c r="E2921" s="16" t="s">
        <v>7977</v>
      </c>
      <c r="F2921" s="16"/>
      <c r="G2921" s="16"/>
      <c r="H2921" s="18"/>
      <c r="I2921" s="18"/>
      <c r="J2921" s="18"/>
      <c r="K2921" s="18"/>
      <c r="L2921" s="18"/>
      <c r="M2921" s="18"/>
      <c r="N2921" s="18"/>
      <c r="O2921" s="18"/>
      <c r="P2921" s="18"/>
      <c r="Q2921" s="19"/>
      <c r="R2921" s="19"/>
      <c r="S2921" s="19"/>
    </row>
    <row r="2922" ht="15.75" customHeight="1">
      <c r="A2922" s="15">
        <v>45823.75109953704</v>
      </c>
      <c r="B2922" s="16" t="s">
        <v>7984</v>
      </c>
      <c r="C2922" s="16" t="s">
        <v>7965</v>
      </c>
      <c r="D2922" s="16" t="s">
        <v>8000</v>
      </c>
      <c r="E2922" s="16" t="s">
        <v>7977</v>
      </c>
      <c r="F2922" s="16"/>
      <c r="G2922" s="16"/>
      <c r="H2922" s="18"/>
      <c r="I2922" s="18"/>
      <c r="J2922" s="18"/>
      <c r="K2922" s="18"/>
      <c r="L2922" s="18"/>
      <c r="M2922" s="18"/>
      <c r="N2922" s="18"/>
      <c r="O2922" s="18"/>
      <c r="P2922" s="18"/>
      <c r="Q2922" s="19"/>
      <c r="R2922" s="19"/>
      <c r="S2922" s="19"/>
    </row>
    <row r="2923" ht="15.75" customHeight="1">
      <c r="A2923" s="15">
        <v>45824.98237268518</v>
      </c>
      <c r="B2923" s="16" t="s">
        <v>7978</v>
      </c>
      <c r="C2923" s="16" t="s">
        <v>7965</v>
      </c>
      <c r="D2923" s="16" t="s">
        <v>7983</v>
      </c>
      <c r="E2923" s="16" t="s">
        <v>7977</v>
      </c>
      <c r="F2923" s="16"/>
      <c r="G2923" s="16"/>
      <c r="H2923" s="18"/>
      <c r="I2923" s="18"/>
      <c r="J2923" s="18"/>
      <c r="K2923" s="18"/>
      <c r="L2923" s="18"/>
      <c r="M2923" s="18"/>
      <c r="N2923" s="18"/>
      <c r="O2923" s="18"/>
      <c r="P2923" s="18"/>
      <c r="Q2923" s="19"/>
      <c r="R2923" s="19"/>
      <c r="S2923" s="19"/>
    </row>
    <row r="2924" ht="15.75" customHeight="1">
      <c r="A2924" s="15">
        <v>45825.58628472222</v>
      </c>
      <c r="B2924" s="16" t="s">
        <v>7978</v>
      </c>
      <c r="C2924" s="16" t="s">
        <v>7965</v>
      </c>
      <c r="D2924" s="16" t="s">
        <v>6874</v>
      </c>
      <c r="E2924" s="16" t="s">
        <v>7977</v>
      </c>
      <c r="F2924" s="16"/>
      <c r="G2924" s="16"/>
      <c r="H2924" s="18"/>
      <c r="I2924" s="18"/>
      <c r="J2924" s="18"/>
      <c r="K2924" s="18"/>
      <c r="L2924" s="18"/>
      <c r="M2924" s="18"/>
      <c r="N2924" s="18"/>
      <c r="O2924" s="18"/>
      <c r="P2924" s="18"/>
      <c r="Q2924" s="19"/>
      <c r="R2924" s="19"/>
      <c r="S2924" s="19"/>
    </row>
    <row r="2925" ht="15.75" customHeight="1">
      <c r="A2925" s="15">
        <v>45827.45966435185</v>
      </c>
      <c r="B2925" s="16" t="s">
        <v>7984</v>
      </c>
      <c r="C2925" s="16" t="s">
        <v>7965</v>
      </c>
      <c r="D2925" s="16" t="s">
        <v>8001</v>
      </c>
      <c r="E2925" s="16" t="s">
        <v>7977</v>
      </c>
      <c r="F2925" s="16"/>
      <c r="G2925" s="16"/>
      <c r="H2925" s="18"/>
      <c r="I2925" s="18"/>
      <c r="J2925" s="18"/>
      <c r="K2925" s="18"/>
      <c r="L2925" s="18"/>
      <c r="M2925" s="18"/>
      <c r="N2925" s="18"/>
      <c r="O2925" s="18"/>
      <c r="P2925" s="18"/>
      <c r="Q2925" s="19"/>
      <c r="R2925" s="19"/>
      <c r="S2925" s="19"/>
    </row>
    <row r="2926" ht="15.75" customHeight="1">
      <c r="A2926" s="15">
        <v>45827.75131944445</v>
      </c>
      <c r="B2926" s="16" t="s">
        <v>7984</v>
      </c>
      <c r="C2926" s="16" t="s">
        <v>7965</v>
      </c>
      <c r="D2926" s="16" t="s">
        <v>8002</v>
      </c>
      <c r="E2926" s="16" t="s">
        <v>7977</v>
      </c>
      <c r="F2926" s="16"/>
      <c r="G2926" s="16"/>
      <c r="H2926" s="18"/>
      <c r="I2926" s="18"/>
      <c r="J2926" s="18"/>
      <c r="K2926" s="18"/>
      <c r="L2926" s="18"/>
      <c r="M2926" s="18"/>
      <c r="N2926" s="18"/>
      <c r="O2926" s="18"/>
      <c r="P2926" s="18"/>
      <c r="Q2926" s="19"/>
      <c r="R2926" s="19"/>
      <c r="S2926" s="19"/>
    </row>
    <row r="2927" ht="15.75" customHeight="1">
      <c r="A2927" s="15">
        <v>45828.344826388886</v>
      </c>
      <c r="B2927" s="16" t="s">
        <v>7907</v>
      </c>
      <c r="C2927" s="16" t="s">
        <v>7965</v>
      </c>
      <c r="D2927" s="16" t="s">
        <v>8003</v>
      </c>
      <c r="E2927" s="16" t="s">
        <v>8004</v>
      </c>
      <c r="F2927" s="16"/>
      <c r="G2927" s="16"/>
      <c r="H2927" s="18"/>
      <c r="I2927" s="18"/>
      <c r="J2927" s="18"/>
      <c r="K2927" s="18"/>
      <c r="L2927" s="18"/>
      <c r="M2927" s="18"/>
      <c r="N2927" s="18"/>
      <c r="O2927" s="18"/>
      <c r="P2927" s="18"/>
      <c r="Q2927" s="19"/>
      <c r="R2927" s="19"/>
      <c r="S2927" s="19"/>
    </row>
    <row r="2928" ht="15.75" customHeight="1">
      <c r="A2928" s="15">
        <v>45828.43729166667</v>
      </c>
      <c r="B2928" s="16" t="s">
        <v>7978</v>
      </c>
      <c r="C2928" s="16" t="s">
        <v>7965</v>
      </c>
      <c r="D2928" s="16" t="s">
        <v>8005</v>
      </c>
      <c r="E2928" s="16" t="s">
        <v>7995</v>
      </c>
      <c r="F2928" s="16"/>
      <c r="G2928" s="16"/>
      <c r="H2928" s="18"/>
      <c r="I2928" s="18"/>
      <c r="J2928" s="18"/>
      <c r="K2928" s="18"/>
      <c r="L2928" s="18"/>
      <c r="M2928" s="18"/>
      <c r="N2928" s="18"/>
      <c r="O2928" s="18"/>
      <c r="P2928" s="18"/>
      <c r="Q2928" s="19"/>
      <c r="R2928" s="19"/>
      <c r="S2928" s="19"/>
    </row>
    <row r="2929" ht="15.75" customHeight="1">
      <c r="A2929" s="15">
        <v>45828.664039351854</v>
      </c>
      <c r="B2929" s="16" t="s">
        <v>7984</v>
      </c>
      <c r="C2929" s="16" t="s">
        <v>7965</v>
      </c>
      <c r="D2929" s="16" t="s">
        <v>7989</v>
      </c>
      <c r="E2929" s="16" t="s">
        <v>7977</v>
      </c>
      <c r="F2929" s="16"/>
      <c r="G2929" s="16"/>
      <c r="H2929" s="18"/>
      <c r="I2929" s="18"/>
      <c r="J2929" s="18"/>
      <c r="K2929" s="18"/>
      <c r="L2929" s="18"/>
      <c r="M2929" s="18"/>
      <c r="N2929" s="18"/>
      <c r="O2929" s="18"/>
      <c r="P2929" s="18"/>
      <c r="Q2929" s="19"/>
      <c r="R2929" s="19"/>
      <c r="S2929" s="19"/>
    </row>
    <row r="2930" ht="15.75" customHeight="1">
      <c r="A2930" s="15">
        <v>45829.652766203704</v>
      </c>
      <c r="B2930" s="16" t="s">
        <v>7976</v>
      </c>
      <c r="C2930" s="16" t="s">
        <v>7965</v>
      </c>
      <c r="D2930" s="16" t="s">
        <v>8006</v>
      </c>
      <c r="E2930" s="16" t="s">
        <v>7995</v>
      </c>
      <c r="F2930" s="16"/>
      <c r="G2930" s="16"/>
      <c r="H2930" s="18"/>
      <c r="I2930" s="18"/>
      <c r="J2930" s="18"/>
      <c r="K2930" s="18"/>
      <c r="L2930" s="18"/>
      <c r="M2930" s="18"/>
      <c r="N2930" s="18"/>
      <c r="O2930" s="18"/>
      <c r="P2930" s="18"/>
      <c r="Q2930" s="19"/>
      <c r="R2930" s="19"/>
      <c r="S2930" s="19"/>
    </row>
    <row r="2931" ht="15.75" customHeight="1">
      <c r="A2931" s="15">
        <v>45831.76138888889</v>
      </c>
      <c r="B2931" s="16" t="s">
        <v>7984</v>
      </c>
      <c r="C2931" s="16" t="s">
        <v>7965</v>
      </c>
      <c r="D2931" s="16" t="s">
        <v>7990</v>
      </c>
      <c r="E2931" s="16" t="s">
        <v>7977</v>
      </c>
      <c r="F2931" s="16"/>
      <c r="G2931" s="16"/>
      <c r="H2931" s="18"/>
      <c r="I2931" s="18"/>
      <c r="J2931" s="18"/>
      <c r="K2931" s="18"/>
      <c r="L2931" s="18"/>
      <c r="M2931" s="18"/>
      <c r="N2931" s="18"/>
      <c r="O2931" s="18"/>
      <c r="P2931" s="18"/>
      <c r="Q2931" s="19"/>
      <c r="R2931" s="19"/>
      <c r="S2931" s="19"/>
    </row>
    <row r="2932" ht="15.75" customHeight="1">
      <c r="A2932" s="15">
        <v>45831.98564814815</v>
      </c>
      <c r="B2932" s="16" t="s">
        <v>7978</v>
      </c>
      <c r="C2932" s="16" t="s">
        <v>7965</v>
      </c>
      <c r="D2932" s="16" t="s">
        <v>8007</v>
      </c>
      <c r="E2932" s="16" t="s">
        <v>7995</v>
      </c>
      <c r="F2932" s="16"/>
      <c r="G2932" s="16"/>
      <c r="H2932" s="18"/>
      <c r="I2932" s="18"/>
      <c r="J2932" s="18"/>
      <c r="K2932" s="18"/>
      <c r="L2932" s="18"/>
      <c r="M2932" s="18"/>
      <c r="N2932" s="18"/>
      <c r="O2932" s="18"/>
      <c r="P2932" s="18"/>
      <c r="Q2932" s="19"/>
      <c r="R2932" s="19"/>
      <c r="S2932" s="19"/>
    </row>
    <row r="2933" ht="15.75" customHeight="1">
      <c r="A2933" s="15">
        <v>45832.899409722224</v>
      </c>
      <c r="B2933" s="16" t="s">
        <v>7984</v>
      </c>
      <c r="C2933" s="16" t="s">
        <v>7965</v>
      </c>
      <c r="D2933" s="20" t="str">
        <f>?UTF-8?q?Get_$40_off_your_first_order_=E2=80=94_don=E2=80=99t_miss_out!?=</f>
        <v>#ERROR!</v>
      </c>
      <c r="E2933" s="16" t="s">
        <v>7977</v>
      </c>
      <c r="F2933" s="16"/>
      <c r="G2933" s="16"/>
      <c r="H2933" s="18"/>
      <c r="I2933" s="18"/>
      <c r="J2933" s="18"/>
      <c r="K2933" s="18"/>
      <c r="L2933" s="18"/>
      <c r="M2933" s="18"/>
      <c r="N2933" s="18"/>
      <c r="O2933" s="18"/>
      <c r="P2933" s="18"/>
      <c r="Q2933" s="19"/>
      <c r="R2933" s="19"/>
      <c r="S2933" s="19"/>
    </row>
    <row r="2934" ht="15.75" customHeight="1">
      <c r="A2934" s="15">
        <v>45836.738912037035</v>
      </c>
      <c r="B2934" s="16" t="s">
        <v>7984</v>
      </c>
      <c r="C2934" s="16" t="s">
        <v>7965</v>
      </c>
      <c r="D2934" s="16" t="s">
        <v>8008</v>
      </c>
      <c r="E2934" s="16" t="s">
        <v>7977</v>
      </c>
      <c r="F2934" s="16"/>
      <c r="G2934" s="16"/>
      <c r="H2934" s="18"/>
      <c r="I2934" s="18"/>
      <c r="J2934" s="18"/>
      <c r="K2934" s="18"/>
      <c r="L2934" s="18"/>
      <c r="M2934" s="18"/>
      <c r="N2934" s="18"/>
      <c r="O2934" s="18"/>
      <c r="P2934" s="18"/>
      <c r="Q2934" s="19"/>
      <c r="R2934" s="19"/>
      <c r="S2934" s="19"/>
    </row>
    <row r="2935" ht="15.75" customHeight="1">
      <c r="A2935" s="15">
        <v>45839.059594907405</v>
      </c>
      <c r="B2935" s="16" t="s">
        <v>7978</v>
      </c>
      <c r="C2935" s="16" t="s">
        <v>7965</v>
      </c>
      <c r="D2935" s="20" t="str">
        <f>?UTF-8?q?30%_off_your_next__order_-_just_for_you_=F0=9F=91=80?=</f>
        <v>#ERROR!</v>
      </c>
      <c r="E2935" s="16" t="s">
        <v>7977</v>
      </c>
      <c r="F2935" s="16"/>
      <c r="G2935" s="16"/>
      <c r="H2935" s="18"/>
      <c r="I2935" s="18"/>
      <c r="J2935" s="18"/>
      <c r="K2935" s="18"/>
      <c r="L2935" s="18"/>
      <c r="M2935" s="18"/>
      <c r="N2935" s="18"/>
      <c r="O2935" s="18"/>
      <c r="P2935" s="18"/>
      <c r="Q2935" s="19"/>
      <c r="R2935" s="19"/>
      <c r="S2935" s="19"/>
    </row>
    <row r="2936" ht="15.75" customHeight="1">
      <c r="A2936" s="15">
        <v>45839.44391203704</v>
      </c>
      <c r="B2936" s="16" t="s">
        <v>7978</v>
      </c>
      <c r="C2936" s="16" t="s">
        <v>7965</v>
      </c>
      <c r="D2936" s="16" t="s">
        <v>6782</v>
      </c>
      <c r="E2936" s="16" t="s">
        <v>7977</v>
      </c>
      <c r="F2936" s="16"/>
      <c r="G2936" s="16"/>
      <c r="H2936" s="18"/>
      <c r="I2936" s="18"/>
      <c r="J2936" s="18"/>
      <c r="K2936" s="18"/>
      <c r="L2936" s="18"/>
      <c r="M2936" s="18"/>
      <c r="N2936" s="18"/>
      <c r="O2936" s="18"/>
      <c r="P2936" s="18"/>
      <c r="Q2936" s="19"/>
      <c r="R2936" s="19"/>
      <c r="S2936" s="19"/>
    </row>
    <row r="2937" ht="15.75" customHeight="1">
      <c r="A2937" s="15">
        <v>45839.76011574074</v>
      </c>
      <c r="B2937" s="16" t="s">
        <v>7984</v>
      </c>
      <c r="C2937" s="16" t="s">
        <v>7965</v>
      </c>
      <c r="D2937" s="16" t="s">
        <v>8009</v>
      </c>
      <c r="E2937" s="16" t="s">
        <v>7977</v>
      </c>
      <c r="F2937" s="16"/>
      <c r="G2937" s="16"/>
      <c r="H2937" s="18"/>
      <c r="I2937" s="18"/>
      <c r="J2937" s="18"/>
      <c r="K2937" s="18"/>
      <c r="L2937" s="18"/>
      <c r="M2937" s="18"/>
      <c r="N2937" s="18"/>
      <c r="O2937" s="18"/>
      <c r="P2937" s="18"/>
      <c r="Q2937" s="19"/>
      <c r="R2937" s="19"/>
      <c r="S2937" s="19"/>
    </row>
    <row r="2938" ht="15.75" customHeight="1">
      <c r="A2938" s="15">
        <v>45840.75193287037</v>
      </c>
      <c r="B2938" s="16" t="s">
        <v>7984</v>
      </c>
      <c r="C2938" s="16" t="s">
        <v>7965</v>
      </c>
      <c r="D2938" s="16" t="s">
        <v>8010</v>
      </c>
      <c r="E2938" s="16" t="s">
        <v>7977</v>
      </c>
      <c r="F2938" s="16"/>
      <c r="G2938" s="16"/>
      <c r="H2938" s="18"/>
      <c r="I2938" s="18"/>
      <c r="J2938" s="18"/>
      <c r="K2938" s="18"/>
      <c r="L2938" s="18"/>
      <c r="M2938" s="18"/>
      <c r="N2938" s="18"/>
      <c r="O2938" s="18"/>
      <c r="P2938" s="18"/>
      <c r="Q2938" s="19"/>
      <c r="R2938" s="19"/>
      <c r="S2938" s="19"/>
    </row>
    <row r="2939" ht="15.75" customHeight="1">
      <c r="A2939" s="15">
        <v>45843.76291666667</v>
      </c>
      <c r="B2939" s="16" t="s">
        <v>7984</v>
      </c>
      <c r="C2939" s="16" t="s">
        <v>7965</v>
      </c>
      <c r="D2939" s="16" t="s">
        <v>8011</v>
      </c>
      <c r="E2939" s="16" t="s">
        <v>7977</v>
      </c>
      <c r="F2939" s="16"/>
      <c r="G2939" s="16"/>
      <c r="H2939" s="18"/>
      <c r="I2939" s="18"/>
      <c r="J2939" s="18"/>
      <c r="K2939" s="18"/>
      <c r="L2939" s="18"/>
      <c r="M2939" s="18"/>
      <c r="N2939" s="18"/>
      <c r="O2939" s="18"/>
      <c r="P2939" s="18"/>
      <c r="Q2939" s="19"/>
      <c r="R2939" s="19"/>
      <c r="S2939" s="19"/>
    </row>
    <row r="2940" ht="15.75" customHeight="1">
      <c r="A2940" s="15">
        <v>45845.97824074074</v>
      </c>
      <c r="B2940" s="16" t="s">
        <v>7978</v>
      </c>
      <c r="C2940" s="16" t="s">
        <v>7965</v>
      </c>
      <c r="D2940" s="16" t="s">
        <v>7997</v>
      </c>
      <c r="E2940" s="16" t="s">
        <v>7977</v>
      </c>
      <c r="F2940" s="16"/>
      <c r="G2940" s="16"/>
      <c r="H2940" s="18"/>
      <c r="I2940" s="18"/>
      <c r="J2940" s="18"/>
      <c r="K2940" s="18"/>
      <c r="L2940" s="18"/>
      <c r="M2940" s="18"/>
      <c r="N2940" s="18"/>
      <c r="O2940" s="18"/>
      <c r="P2940" s="18"/>
      <c r="Q2940" s="19"/>
      <c r="R2940" s="19"/>
      <c r="S2940" s="19"/>
    </row>
    <row r="2941" ht="15.75" customHeight="1">
      <c r="A2941" s="15">
        <v>45846.447604166664</v>
      </c>
      <c r="B2941" s="16" t="s">
        <v>7978</v>
      </c>
      <c r="C2941" s="16" t="s">
        <v>7965</v>
      </c>
      <c r="D2941" s="16" t="s">
        <v>6782</v>
      </c>
      <c r="E2941" s="16" t="s">
        <v>7977</v>
      </c>
      <c r="F2941" s="16"/>
      <c r="G2941" s="16"/>
      <c r="H2941" s="18"/>
      <c r="I2941" s="18"/>
      <c r="J2941" s="18"/>
      <c r="K2941" s="18"/>
      <c r="L2941" s="18"/>
      <c r="M2941" s="18"/>
      <c r="N2941" s="18"/>
      <c r="O2941" s="18"/>
      <c r="P2941" s="18"/>
      <c r="Q2941" s="19"/>
      <c r="R2941" s="19"/>
      <c r="S2941" s="19"/>
    </row>
    <row r="2942" ht="15.75" customHeight="1">
      <c r="A2942" s="15">
        <v>45847.07848379629</v>
      </c>
      <c r="B2942" s="16" t="s">
        <v>7976</v>
      </c>
      <c r="C2942" s="16" t="s">
        <v>7965</v>
      </c>
      <c r="D2942" s="16" t="s">
        <v>7994</v>
      </c>
      <c r="E2942" s="16" t="s">
        <v>7995</v>
      </c>
      <c r="F2942" s="16"/>
      <c r="G2942" s="16"/>
      <c r="H2942" s="18"/>
      <c r="I2942" s="18"/>
      <c r="J2942" s="18"/>
      <c r="K2942" s="18"/>
      <c r="L2942" s="18"/>
      <c r="M2942" s="18"/>
      <c r="N2942" s="18"/>
      <c r="O2942" s="18"/>
      <c r="P2942" s="18"/>
      <c r="Q2942" s="19"/>
      <c r="R2942" s="19"/>
      <c r="S2942" s="19"/>
    </row>
    <row r="2943" ht="15.75" customHeight="1">
      <c r="A2943" s="15">
        <v>45851.750601851854</v>
      </c>
      <c r="B2943" s="16" t="s">
        <v>7984</v>
      </c>
      <c r="C2943" s="16" t="s">
        <v>7965</v>
      </c>
      <c r="D2943" s="16" t="s">
        <v>8012</v>
      </c>
      <c r="E2943" s="16" t="s">
        <v>7977</v>
      </c>
      <c r="F2943" s="16"/>
      <c r="G2943" s="16"/>
      <c r="H2943" s="18"/>
      <c r="I2943" s="18"/>
      <c r="J2943" s="18"/>
      <c r="K2943" s="18"/>
      <c r="L2943" s="18"/>
      <c r="M2943" s="18"/>
      <c r="N2943" s="18"/>
      <c r="O2943" s="18"/>
      <c r="P2943" s="18"/>
      <c r="Q2943" s="19"/>
      <c r="R2943" s="19"/>
      <c r="S2943" s="19"/>
    </row>
    <row r="2944" ht="15.75" customHeight="1">
      <c r="A2944" s="15">
        <v>45852.989583333336</v>
      </c>
      <c r="B2944" s="16" t="s">
        <v>7978</v>
      </c>
      <c r="C2944" s="16" t="s">
        <v>7965</v>
      </c>
      <c r="D2944" s="20" t="str">
        <f>?UTF-8?q?50%_off_your_next_3_orders_-_just_for_you_=F0=9F=91=80?=</f>
        <v>#ERROR!</v>
      </c>
      <c r="E2944" s="16" t="s">
        <v>7977</v>
      </c>
      <c r="F2944" s="16"/>
      <c r="G2944" s="16"/>
      <c r="H2944" s="18"/>
      <c r="I2944" s="18"/>
      <c r="J2944" s="18"/>
      <c r="K2944" s="18"/>
      <c r="L2944" s="18"/>
      <c r="M2944" s="18"/>
      <c r="N2944" s="18"/>
      <c r="O2944" s="18"/>
      <c r="P2944" s="18"/>
      <c r="Q2944" s="19"/>
      <c r="R2944" s="19"/>
      <c r="S2944" s="19"/>
    </row>
    <row r="2945" ht="15.75" customHeight="1">
      <c r="A2945" s="15">
        <v>45853.652337962965</v>
      </c>
      <c r="B2945" s="16" t="s">
        <v>7978</v>
      </c>
      <c r="C2945" s="16" t="s">
        <v>7965</v>
      </c>
      <c r="D2945" s="16" t="s">
        <v>6874</v>
      </c>
      <c r="E2945" s="16" t="s">
        <v>7977</v>
      </c>
      <c r="F2945" s="16"/>
      <c r="G2945" s="16"/>
      <c r="H2945" s="18"/>
      <c r="I2945" s="18"/>
      <c r="J2945" s="18"/>
      <c r="K2945" s="18"/>
      <c r="L2945" s="18"/>
      <c r="M2945" s="18"/>
      <c r="N2945" s="18"/>
      <c r="O2945" s="18"/>
      <c r="P2945" s="18"/>
      <c r="Q2945" s="19"/>
      <c r="R2945" s="19"/>
      <c r="S2945" s="19"/>
    </row>
    <row r="2946" ht="15.75" customHeight="1">
      <c r="A2946" s="15">
        <v>45857.431493055556</v>
      </c>
      <c r="B2946" s="16" t="s">
        <v>7984</v>
      </c>
      <c r="C2946" s="16" t="s">
        <v>7965</v>
      </c>
      <c r="D2946" s="16" t="s">
        <v>8013</v>
      </c>
      <c r="E2946" s="16" t="s">
        <v>7977</v>
      </c>
      <c r="F2946" s="16"/>
      <c r="G2946" s="16"/>
      <c r="H2946" s="18"/>
      <c r="I2946" s="18"/>
      <c r="J2946" s="18"/>
      <c r="K2946" s="18"/>
      <c r="L2946" s="18"/>
      <c r="M2946" s="18"/>
      <c r="N2946" s="18"/>
      <c r="O2946" s="18"/>
      <c r="P2946" s="18"/>
      <c r="Q2946" s="19"/>
      <c r="R2946" s="19"/>
      <c r="S2946" s="19"/>
    </row>
    <row r="2947" ht="15.75" customHeight="1">
      <c r="A2947" s="15">
        <v>45859.76672453704</v>
      </c>
      <c r="B2947" s="16" t="s">
        <v>7984</v>
      </c>
      <c r="C2947" s="16" t="s">
        <v>7965</v>
      </c>
      <c r="D2947" s="16" t="s">
        <v>8014</v>
      </c>
      <c r="E2947" s="16" t="s">
        <v>7977</v>
      </c>
      <c r="F2947" s="16"/>
      <c r="G2947" s="16"/>
      <c r="H2947" s="18"/>
      <c r="I2947" s="18"/>
      <c r="J2947" s="18"/>
      <c r="K2947" s="18"/>
      <c r="L2947" s="18"/>
      <c r="M2947" s="18"/>
      <c r="N2947" s="18"/>
      <c r="O2947" s="18"/>
      <c r="P2947" s="18"/>
      <c r="Q2947" s="19"/>
      <c r="R2947" s="19"/>
      <c r="S2947" s="19"/>
    </row>
    <row r="2948" ht="15.75" customHeight="1">
      <c r="A2948" s="15">
        <v>45860.66296296296</v>
      </c>
      <c r="B2948" s="16" t="s">
        <v>7978</v>
      </c>
      <c r="C2948" s="16" t="s">
        <v>7965</v>
      </c>
      <c r="D2948" s="20" t="str">
        <f>?UTF-8?q?50%_off_your_next_3_orders_-_just_for_you_=F0=9F=91=80?=</f>
        <v>#ERROR!</v>
      </c>
      <c r="E2948" s="16" t="s">
        <v>7977</v>
      </c>
      <c r="F2948" s="16"/>
      <c r="G2948" s="16"/>
      <c r="H2948" s="18"/>
      <c r="I2948" s="18"/>
      <c r="J2948" s="18"/>
      <c r="K2948" s="18"/>
      <c r="L2948" s="18"/>
      <c r="M2948" s="18"/>
      <c r="N2948" s="18"/>
      <c r="O2948" s="18"/>
      <c r="P2948" s="18"/>
      <c r="Q2948" s="19"/>
      <c r="R2948" s="19"/>
      <c r="S2948" s="19"/>
    </row>
    <row r="2949" ht="15.75" customHeight="1">
      <c r="A2949" s="15">
        <v>45860.85724537037</v>
      </c>
      <c r="B2949" s="16" t="s">
        <v>7978</v>
      </c>
      <c r="C2949" s="16" t="s">
        <v>7965</v>
      </c>
      <c r="D2949" s="16" t="s">
        <v>6874</v>
      </c>
      <c r="E2949" s="16" t="s">
        <v>7977</v>
      </c>
      <c r="F2949" s="16"/>
      <c r="G2949" s="16"/>
      <c r="H2949" s="18"/>
      <c r="I2949" s="18"/>
      <c r="J2949" s="18"/>
      <c r="K2949" s="18"/>
      <c r="L2949" s="18"/>
      <c r="M2949" s="18"/>
      <c r="N2949" s="18"/>
      <c r="O2949" s="18"/>
      <c r="P2949" s="18"/>
      <c r="Q2949" s="19"/>
      <c r="R2949" s="19"/>
      <c r="S2949" s="19"/>
    </row>
    <row r="2950" ht="15.75" customHeight="1">
      <c r="A2950" s="15">
        <v>45863.75271990741</v>
      </c>
      <c r="B2950" s="16" t="s">
        <v>7984</v>
      </c>
      <c r="C2950" s="16" t="s">
        <v>7965</v>
      </c>
      <c r="D2950" s="20" t="str">
        <f>?UTF-8?q?Knock,_knock=E2=80=94deals_are_at_your_door?=</f>
        <v>#ERROR!</v>
      </c>
      <c r="E2950" s="16" t="s">
        <v>7977</v>
      </c>
      <c r="F2950" s="16"/>
      <c r="G2950" s="16"/>
      <c r="H2950" s="18"/>
      <c r="I2950" s="18"/>
      <c r="J2950" s="18"/>
      <c r="K2950" s="18"/>
      <c r="L2950" s="18"/>
      <c r="M2950" s="18"/>
      <c r="N2950" s="18"/>
      <c r="O2950" s="18"/>
      <c r="P2950" s="18"/>
      <c r="Q2950" s="19"/>
      <c r="R2950" s="19"/>
      <c r="S2950" s="19"/>
    </row>
    <row r="2951" ht="15.75" customHeight="1">
      <c r="A2951" s="15">
        <v>45864.43672453704</v>
      </c>
      <c r="B2951" s="16" t="s">
        <v>7984</v>
      </c>
      <c r="C2951" s="16" t="s">
        <v>7965</v>
      </c>
      <c r="D2951" s="20" t="str">
        <f>?UTF-8?q?Use_your_50%_off_promo_before_it=E2=80=99s_gone!?=</f>
        <v>#ERROR!</v>
      </c>
      <c r="E2951" s="16" t="s">
        <v>7977</v>
      </c>
      <c r="F2951" s="16"/>
      <c r="G2951" s="16"/>
      <c r="H2951" s="18"/>
      <c r="I2951" s="18"/>
      <c r="J2951" s="18"/>
      <c r="K2951" s="18"/>
      <c r="L2951" s="18"/>
      <c r="M2951" s="18"/>
      <c r="N2951" s="18"/>
      <c r="O2951" s="18"/>
      <c r="P2951" s="18"/>
      <c r="Q2951" s="19"/>
      <c r="R2951" s="19"/>
      <c r="S2951" s="19"/>
    </row>
    <row r="2952" ht="15.75" customHeight="1">
      <c r="A2952" s="15">
        <v>45867.75548611111</v>
      </c>
      <c r="B2952" s="16" t="s">
        <v>7984</v>
      </c>
      <c r="C2952" s="16" t="s">
        <v>7965</v>
      </c>
      <c r="D2952" s="16" t="s">
        <v>8009</v>
      </c>
      <c r="E2952" s="16" t="s">
        <v>7977</v>
      </c>
      <c r="F2952" s="16"/>
      <c r="G2952" s="16"/>
      <c r="H2952" s="18"/>
      <c r="I2952" s="18"/>
      <c r="J2952" s="18"/>
      <c r="K2952" s="18"/>
      <c r="L2952" s="18"/>
      <c r="M2952" s="18"/>
      <c r="N2952" s="18"/>
      <c r="O2952" s="18"/>
      <c r="P2952" s="18"/>
      <c r="Q2952" s="19"/>
      <c r="R2952" s="19"/>
      <c r="S2952" s="19"/>
    </row>
    <row r="2953" ht="15.75" customHeight="1">
      <c r="A2953" s="15">
        <v>45875.95128472222</v>
      </c>
      <c r="B2953" s="16" t="s">
        <v>7978</v>
      </c>
      <c r="C2953" s="16" t="s">
        <v>7965</v>
      </c>
      <c r="D2953" s="16" t="s">
        <v>7997</v>
      </c>
      <c r="E2953" s="16" t="s">
        <v>7977</v>
      </c>
      <c r="F2953" s="16"/>
      <c r="G2953" s="16"/>
      <c r="H2953" s="18"/>
      <c r="I2953" s="18"/>
      <c r="J2953" s="18"/>
      <c r="K2953" s="18"/>
      <c r="L2953" s="18"/>
      <c r="M2953" s="18"/>
      <c r="N2953" s="18"/>
      <c r="O2953" s="18"/>
      <c r="P2953" s="18"/>
      <c r="Q2953" s="19"/>
      <c r="R2953" s="19"/>
      <c r="S2953" s="19"/>
    </row>
    <row r="2954" ht="15.75" customHeight="1">
      <c r="A2954" s="15">
        <v>45876.4465625</v>
      </c>
      <c r="B2954" s="16" t="s">
        <v>7978</v>
      </c>
      <c r="C2954" s="16" t="s">
        <v>7965</v>
      </c>
      <c r="D2954" s="16" t="s">
        <v>6782</v>
      </c>
      <c r="E2954" s="16" t="s">
        <v>7977</v>
      </c>
      <c r="F2954" s="16"/>
      <c r="G2954" s="16"/>
      <c r="H2954" s="18"/>
      <c r="I2954" s="18"/>
      <c r="J2954" s="18"/>
      <c r="K2954" s="18"/>
      <c r="L2954" s="18"/>
      <c r="M2954" s="18"/>
      <c r="N2954" s="18"/>
      <c r="O2954" s="18"/>
      <c r="P2954" s="18"/>
      <c r="Q2954" s="19"/>
      <c r="R2954" s="19"/>
      <c r="S2954" s="19"/>
    </row>
    <row r="2955" ht="15.75" customHeight="1">
      <c r="A2955" s="15">
        <v>45880.516851851855</v>
      </c>
      <c r="B2955" s="16" t="s">
        <v>7984</v>
      </c>
      <c r="C2955" s="16" t="s">
        <v>7965</v>
      </c>
      <c r="D2955" s="20" t="str">
        <f>?UTF-8?q?Use_your_50%_off_promo_before_it=E2=80=99s_gone!?=</f>
        <v>#ERROR!</v>
      </c>
      <c r="E2955" s="16" t="s">
        <v>7977</v>
      </c>
      <c r="F2955" s="16"/>
      <c r="G2955" s="16"/>
      <c r="H2955" s="18"/>
      <c r="I2955" s="18"/>
      <c r="J2955" s="18"/>
      <c r="K2955" s="18"/>
      <c r="L2955" s="18"/>
      <c r="M2955" s="18"/>
      <c r="N2955" s="18"/>
      <c r="O2955" s="18"/>
      <c r="P2955" s="18"/>
      <c r="Q2955" s="19"/>
      <c r="R2955" s="19"/>
      <c r="S2955" s="19"/>
    </row>
    <row r="2956" ht="15.75" customHeight="1">
      <c r="A2956" s="15">
        <v>45880.97754629629</v>
      </c>
      <c r="B2956" s="16" t="s">
        <v>7978</v>
      </c>
      <c r="C2956" s="16" t="s">
        <v>7965</v>
      </c>
      <c r="D2956" s="20" t="str">
        <f>?UTF-8?q?50%_off_your_next_3_orders_-_just_for_you_=F0=9F=91=80?=</f>
        <v>#ERROR!</v>
      </c>
      <c r="E2956" s="16" t="s">
        <v>7977</v>
      </c>
      <c r="F2956" s="16"/>
      <c r="G2956" s="16"/>
      <c r="H2956" s="18"/>
      <c r="I2956" s="18"/>
      <c r="J2956" s="18"/>
      <c r="K2956" s="18"/>
      <c r="L2956" s="18"/>
      <c r="M2956" s="18"/>
      <c r="N2956" s="18"/>
      <c r="O2956" s="18"/>
      <c r="P2956" s="18"/>
      <c r="Q2956" s="19"/>
      <c r="R2956" s="19"/>
      <c r="S2956" s="19"/>
    </row>
    <row r="2957" ht="15.75" customHeight="1">
      <c r="A2957" s="15">
        <v>45881.62732638889</v>
      </c>
      <c r="B2957" s="16" t="s">
        <v>7978</v>
      </c>
      <c r="C2957" s="16" t="s">
        <v>7965</v>
      </c>
      <c r="D2957" s="16" t="s">
        <v>6874</v>
      </c>
      <c r="E2957" s="16" t="s">
        <v>7977</v>
      </c>
      <c r="F2957" s="16"/>
      <c r="G2957" s="16"/>
      <c r="H2957" s="18"/>
      <c r="I2957" s="18"/>
      <c r="J2957" s="18"/>
      <c r="K2957" s="18"/>
      <c r="L2957" s="18"/>
      <c r="M2957" s="18"/>
      <c r="N2957" s="18"/>
      <c r="O2957" s="18"/>
      <c r="P2957" s="18"/>
      <c r="Q2957" s="19"/>
      <c r="R2957" s="19"/>
      <c r="S2957" s="19"/>
    </row>
    <row r="2958" ht="15.75" customHeight="1">
      <c r="A2958" s="15">
        <v>45892.45300925926</v>
      </c>
      <c r="B2958" s="16" t="s">
        <v>7984</v>
      </c>
      <c r="C2958" s="16" t="s">
        <v>7965</v>
      </c>
      <c r="D2958" s="20" t="str">
        <f>?UTF-8?q?Use_your_30%_off_promo_before_it=E2=80=99s_gone!?=</f>
        <v>#ERROR!</v>
      </c>
      <c r="E2958" s="16" t="s">
        <v>7977</v>
      </c>
      <c r="F2958" s="16"/>
      <c r="G2958" s="16"/>
      <c r="H2958" s="18"/>
      <c r="I2958" s="18"/>
      <c r="J2958" s="18"/>
      <c r="K2958" s="18"/>
      <c r="L2958" s="18"/>
      <c r="M2958" s="18"/>
      <c r="N2958" s="18"/>
      <c r="O2958" s="18"/>
      <c r="P2958" s="18"/>
      <c r="Q2958" s="19"/>
      <c r="R2958" s="19"/>
      <c r="S2958" s="19"/>
    </row>
    <row r="2959" ht="15.75" customHeight="1">
      <c r="A2959" s="15">
        <v>45892.65159722222</v>
      </c>
      <c r="B2959" s="16" t="s">
        <v>7984</v>
      </c>
      <c r="C2959" s="16" t="s">
        <v>7965</v>
      </c>
      <c r="D2959" s="16" t="s">
        <v>6789</v>
      </c>
      <c r="E2959" s="16" t="s">
        <v>7977</v>
      </c>
      <c r="F2959" s="16"/>
      <c r="G2959" s="16"/>
      <c r="H2959" s="18"/>
      <c r="I2959" s="18"/>
      <c r="J2959" s="18"/>
      <c r="K2959" s="18"/>
      <c r="L2959" s="18"/>
      <c r="M2959" s="18"/>
      <c r="N2959" s="18"/>
      <c r="O2959" s="18"/>
      <c r="P2959" s="18"/>
      <c r="Q2959" s="19"/>
      <c r="R2959" s="19"/>
      <c r="S2959" s="19"/>
    </row>
    <row r="2960" ht="15.75" customHeight="1">
      <c r="A2960" s="15">
        <v>45897.46097222222</v>
      </c>
      <c r="B2960" s="16" t="s">
        <v>7984</v>
      </c>
      <c r="C2960" s="16" t="s">
        <v>7965</v>
      </c>
      <c r="D2960" s="16" t="s">
        <v>8015</v>
      </c>
      <c r="E2960" s="16" t="s">
        <v>7977</v>
      </c>
      <c r="F2960" s="16"/>
      <c r="G2960" s="16"/>
      <c r="H2960" s="18"/>
      <c r="I2960" s="18"/>
      <c r="J2960" s="18"/>
      <c r="K2960" s="18"/>
      <c r="L2960" s="18"/>
      <c r="M2960" s="18"/>
      <c r="N2960" s="18"/>
      <c r="O2960" s="18"/>
      <c r="P2960" s="18"/>
      <c r="Q2960" s="19"/>
      <c r="R2960" s="19"/>
      <c r="S2960" s="19"/>
    </row>
    <row r="2961" ht="15.75" customHeight="1">
      <c r="A2961" s="15">
        <v>45898.50119212963</v>
      </c>
      <c r="B2961" s="16" t="s">
        <v>7984</v>
      </c>
      <c r="C2961" s="16" t="s">
        <v>7965</v>
      </c>
      <c r="D2961" s="16" t="s">
        <v>8001</v>
      </c>
      <c r="E2961" s="16" t="s">
        <v>7977</v>
      </c>
      <c r="F2961" s="16"/>
      <c r="G2961" s="16"/>
      <c r="H2961" s="18"/>
      <c r="I2961" s="18"/>
      <c r="J2961" s="18"/>
      <c r="K2961" s="18"/>
      <c r="L2961" s="18"/>
      <c r="M2961" s="18"/>
      <c r="N2961" s="18"/>
      <c r="O2961" s="18"/>
      <c r="P2961" s="18"/>
      <c r="Q2961" s="19"/>
      <c r="R2961" s="19"/>
      <c r="S2961" s="19"/>
    </row>
    <row r="2962" ht="15.75" customHeight="1">
      <c r="A2962" s="15">
        <v>45899.34391203704</v>
      </c>
      <c r="B2962" s="16" t="s">
        <v>7907</v>
      </c>
      <c r="C2962" s="16" t="s">
        <v>7965</v>
      </c>
      <c r="D2962" s="16" t="s">
        <v>8016</v>
      </c>
      <c r="E2962" s="16" t="s">
        <v>8017</v>
      </c>
      <c r="F2962" s="16"/>
      <c r="G2962" s="16"/>
      <c r="H2962" s="18"/>
      <c r="I2962" s="18"/>
      <c r="J2962" s="18"/>
      <c r="K2962" s="18"/>
      <c r="L2962" s="18"/>
      <c r="M2962" s="18"/>
      <c r="N2962" s="18"/>
      <c r="O2962" s="18"/>
      <c r="P2962" s="18"/>
      <c r="Q2962" s="19"/>
      <c r="R2962" s="19"/>
      <c r="S2962" s="19"/>
    </row>
    <row r="2963" ht="15.75" customHeight="1">
      <c r="A2963" s="15">
        <v>45904.49251157408</v>
      </c>
      <c r="B2963" s="16" t="s">
        <v>7984</v>
      </c>
      <c r="C2963" s="16" t="s">
        <v>7965</v>
      </c>
      <c r="D2963" s="16" t="s">
        <v>8018</v>
      </c>
      <c r="E2963" s="16" t="s">
        <v>7977</v>
      </c>
      <c r="F2963" s="16"/>
      <c r="G2963" s="16"/>
      <c r="H2963" s="18"/>
      <c r="I2963" s="18"/>
      <c r="J2963" s="18"/>
      <c r="K2963" s="18"/>
      <c r="L2963" s="18"/>
      <c r="M2963" s="18"/>
      <c r="N2963" s="18"/>
      <c r="O2963" s="18"/>
      <c r="P2963" s="18"/>
      <c r="Q2963" s="19"/>
      <c r="R2963" s="19"/>
      <c r="S2963" s="19"/>
    </row>
    <row r="2964" ht="15.75" customHeight="1">
      <c r="A2964" s="15">
        <v>45906.45947916667</v>
      </c>
      <c r="B2964" s="16" t="s">
        <v>7984</v>
      </c>
      <c r="C2964" s="16" t="s">
        <v>7965</v>
      </c>
      <c r="D2964" s="16" t="s">
        <v>8015</v>
      </c>
      <c r="E2964" s="16" t="s">
        <v>7977</v>
      </c>
      <c r="F2964" s="16"/>
      <c r="G2964" s="16"/>
      <c r="H2964" s="18"/>
      <c r="I2964" s="18"/>
      <c r="J2964" s="18"/>
      <c r="K2964" s="18"/>
      <c r="L2964" s="18"/>
      <c r="M2964" s="18"/>
      <c r="N2964" s="18"/>
      <c r="O2964" s="18"/>
      <c r="P2964" s="18"/>
      <c r="Q2964" s="19"/>
      <c r="R2964" s="19"/>
      <c r="S2964" s="19"/>
    </row>
    <row r="2965" ht="15.75" customHeight="1">
      <c r="A2965" s="15">
        <v>45906.583958333336</v>
      </c>
      <c r="B2965" s="16" t="s">
        <v>7907</v>
      </c>
      <c r="C2965" s="16" t="s">
        <v>7965</v>
      </c>
      <c r="D2965" s="16" t="s">
        <v>8016</v>
      </c>
      <c r="E2965" s="16" t="s">
        <v>8017</v>
      </c>
      <c r="F2965" s="16"/>
      <c r="G2965" s="16"/>
      <c r="H2965" s="18"/>
      <c r="I2965" s="18"/>
      <c r="J2965" s="18"/>
      <c r="K2965" s="18"/>
      <c r="L2965" s="18"/>
      <c r="M2965" s="18"/>
      <c r="N2965" s="18"/>
      <c r="O2965" s="18"/>
      <c r="P2965" s="18"/>
      <c r="Q2965" s="19"/>
      <c r="R2965" s="19"/>
      <c r="S2965" s="19"/>
    </row>
    <row r="2966" ht="15.75" customHeight="1">
      <c r="A2966" s="15">
        <v>45908.472592592596</v>
      </c>
      <c r="B2966" s="16" t="s">
        <v>7984</v>
      </c>
      <c r="C2966" s="16" t="s">
        <v>7965</v>
      </c>
      <c r="D2966" s="16" t="s">
        <v>8019</v>
      </c>
      <c r="E2966" s="16" t="s">
        <v>7977</v>
      </c>
      <c r="F2966" s="16"/>
      <c r="G2966" s="16"/>
      <c r="H2966" s="18"/>
      <c r="I2966" s="18"/>
      <c r="J2966" s="18"/>
      <c r="K2966" s="18"/>
      <c r="L2966" s="18"/>
      <c r="M2966" s="18"/>
      <c r="N2966" s="18"/>
      <c r="O2966" s="18"/>
      <c r="P2966" s="18"/>
      <c r="Q2966" s="19"/>
      <c r="R2966" s="19"/>
      <c r="S2966" s="19"/>
    </row>
    <row r="2967" ht="15.75" customHeight="1">
      <c r="A2967" s="15">
        <v>45909.62762731482</v>
      </c>
      <c r="B2967" s="16" t="s">
        <v>7978</v>
      </c>
      <c r="C2967" s="16" t="s">
        <v>7965</v>
      </c>
      <c r="D2967" s="20" t="str">
        <f>?UTF-8?q?50%_off_your_next_3_orders_-_just_for_you_=F0=9F=91=80?=</f>
        <v>#ERROR!</v>
      </c>
      <c r="E2967" s="16" t="s">
        <v>7977</v>
      </c>
      <c r="F2967" s="16"/>
      <c r="G2967" s="16"/>
      <c r="H2967" s="18"/>
      <c r="I2967" s="18"/>
      <c r="J2967" s="18"/>
      <c r="K2967" s="18"/>
      <c r="L2967" s="18"/>
      <c r="M2967" s="18"/>
      <c r="N2967" s="18"/>
      <c r="O2967" s="18"/>
      <c r="P2967" s="18"/>
      <c r="Q2967" s="19"/>
      <c r="R2967" s="19"/>
      <c r="S2967" s="19"/>
    </row>
    <row r="2968" ht="15.75" customHeight="1">
      <c r="A2968" s="15">
        <v>45909.82815972222</v>
      </c>
      <c r="B2968" s="16" t="s">
        <v>7978</v>
      </c>
      <c r="C2968" s="16" t="s">
        <v>7965</v>
      </c>
      <c r="D2968" s="16" t="s">
        <v>6874</v>
      </c>
      <c r="E2968" s="16" t="s">
        <v>7977</v>
      </c>
      <c r="F2968" s="16"/>
      <c r="G2968" s="16"/>
      <c r="H2968" s="18"/>
      <c r="I2968" s="18"/>
      <c r="J2968" s="18"/>
      <c r="K2968" s="18"/>
      <c r="L2968" s="18"/>
      <c r="M2968" s="18"/>
      <c r="N2968" s="18"/>
      <c r="O2968" s="18"/>
      <c r="P2968" s="18"/>
      <c r="Q2968" s="19"/>
      <c r="R2968" s="19"/>
      <c r="S2968" s="19"/>
    </row>
    <row r="2969" ht="15.75" customHeight="1">
      <c r="A2969" s="15">
        <v>45910.469502314816</v>
      </c>
      <c r="B2969" s="16" t="s">
        <v>7984</v>
      </c>
      <c r="C2969" s="16" t="s">
        <v>7965</v>
      </c>
      <c r="D2969" s="16" t="s">
        <v>8020</v>
      </c>
      <c r="E2969" s="16" t="s">
        <v>7977</v>
      </c>
      <c r="F2969" s="16"/>
      <c r="G2969" s="16"/>
      <c r="H2969" s="18"/>
      <c r="I2969" s="18"/>
      <c r="J2969" s="18"/>
      <c r="K2969" s="18"/>
      <c r="L2969" s="18"/>
      <c r="M2969" s="18"/>
      <c r="N2969" s="18"/>
      <c r="O2969" s="18"/>
      <c r="P2969" s="18"/>
      <c r="Q2969" s="19"/>
      <c r="R2969" s="19"/>
      <c r="S2969" s="19"/>
    </row>
    <row r="2970" ht="15.75" customHeight="1">
      <c r="A2970" s="15">
        <v>45911.72017361111</v>
      </c>
      <c r="B2970" s="16" t="s">
        <v>7984</v>
      </c>
      <c r="C2970" s="16" t="s">
        <v>7965</v>
      </c>
      <c r="D2970" s="20" t="str">
        <f>?UTF-8?q?Paul,_claim_$10_in_Uber_Cash_on_your_first_order!_=F0=9F=8D=95?=</f>
        <v>#ERROR!</v>
      </c>
      <c r="E2970" s="16" t="s">
        <v>7977</v>
      </c>
      <c r="F2970" s="16"/>
      <c r="G2970" s="16"/>
      <c r="H2970" s="18"/>
      <c r="I2970" s="18"/>
      <c r="J2970" s="18"/>
      <c r="K2970" s="18"/>
      <c r="L2970" s="18"/>
      <c r="M2970" s="18"/>
      <c r="N2970" s="18"/>
      <c r="O2970" s="18"/>
      <c r="P2970" s="18"/>
      <c r="Q2970" s="19"/>
      <c r="R2970" s="19"/>
      <c r="S2970" s="19"/>
    </row>
    <row r="2971" ht="15.75" customHeight="1">
      <c r="A2971" s="15">
        <v>45915.720185185186</v>
      </c>
      <c r="B2971" s="16" t="s">
        <v>7984</v>
      </c>
      <c r="C2971" s="16" t="s">
        <v>7965</v>
      </c>
      <c r="D2971" s="20" t="str">
        <f>?UTF-8?q?Start_with_$10_in_Uber_Cash_on_your_first_Uber_Eats_order,_Paul?=
 =?UTF-8?q?_=F0=9F=A5=97?=</f>
        <v>#ERROR!</v>
      </c>
      <c r="E2971" s="16" t="s">
        <v>7977</v>
      </c>
      <c r="F2971" s="16"/>
      <c r="G2971" s="16"/>
      <c r="H2971" s="18"/>
      <c r="I2971" s="18"/>
      <c r="J2971" s="18"/>
      <c r="K2971" s="18"/>
      <c r="L2971" s="18"/>
      <c r="M2971" s="18"/>
      <c r="N2971" s="18"/>
      <c r="O2971" s="18"/>
      <c r="P2971" s="18"/>
      <c r="Q2971" s="19"/>
      <c r="R2971" s="19"/>
      <c r="S2971" s="19"/>
    </row>
    <row r="2972" ht="15.75" customHeight="1">
      <c r="A2972" s="15">
        <v>45916.04456018518</v>
      </c>
      <c r="B2972" s="16" t="s">
        <v>7978</v>
      </c>
      <c r="C2972" s="16" t="s">
        <v>7965</v>
      </c>
      <c r="D2972" s="20" t="str">
        <f>?UTF-8?q?50%_off_your_next_3_orders_-_just_for_you_=F0=9F=91=80?=</f>
        <v>#ERROR!</v>
      </c>
      <c r="E2972" s="16" t="s">
        <v>7977</v>
      </c>
      <c r="F2972" s="16"/>
      <c r="G2972" s="16"/>
      <c r="H2972" s="18"/>
      <c r="I2972" s="18"/>
      <c r="J2972" s="18"/>
      <c r="K2972" s="18"/>
      <c r="L2972" s="18"/>
      <c r="M2972" s="18"/>
      <c r="N2972" s="18"/>
      <c r="O2972" s="18"/>
      <c r="P2972" s="18"/>
      <c r="Q2972" s="19"/>
      <c r="R2972" s="19"/>
      <c r="S2972" s="19"/>
    </row>
    <row r="2973" ht="15.75" customHeight="1">
      <c r="A2973" s="15">
        <v>45916.438125</v>
      </c>
      <c r="B2973" s="16" t="s">
        <v>7907</v>
      </c>
      <c r="C2973" s="16" t="s">
        <v>7965</v>
      </c>
      <c r="D2973" s="16" t="s">
        <v>8016</v>
      </c>
      <c r="E2973" s="16" t="s">
        <v>8017</v>
      </c>
      <c r="F2973" s="16"/>
      <c r="G2973" s="16"/>
      <c r="H2973" s="18"/>
      <c r="I2973" s="18"/>
      <c r="J2973" s="18"/>
      <c r="K2973" s="18"/>
      <c r="L2973" s="18"/>
      <c r="M2973" s="18"/>
      <c r="N2973" s="18"/>
      <c r="O2973" s="18"/>
      <c r="P2973" s="18"/>
      <c r="Q2973" s="19"/>
      <c r="R2973" s="19"/>
      <c r="S2973" s="19"/>
    </row>
    <row r="2974" ht="15.75" customHeight="1">
      <c r="A2974" s="15">
        <v>45920.47363425926</v>
      </c>
      <c r="B2974" s="16" t="s">
        <v>7984</v>
      </c>
      <c r="C2974" s="16" t="s">
        <v>7965</v>
      </c>
      <c r="D2974" s="20" t="str">
        <f>?UTF-8?q?Use_your_50%_off_promo_before_it=E2=80=99s_gone!?=</f>
        <v>#ERROR!</v>
      </c>
      <c r="E2974" s="16" t="s">
        <v>7977</v>
      </c>
      <c r="F2974" s="16"/>
      <c r="G2974" s="16"/>
      <c r="H2974" s="18"/>
      <c r="I2974" s="18"/>
      <c r="J2974" s="18"/>
      <c r="K2974" s="18"/>
      <c r="L2974" s="18"/>
      <c r="M2974" s="18"/>
      <c r="N2974" s="18"/>
      <c r="O2974" s="18"/>
      <c r="P2974" s="18"/>
      <c r="Q2974" s="19"/>
      <c r="R2974" s="19"/>
      <c r="S2974" s="19"/>
    </row>
    <row r="2975" ht="15.75" customHeight="1">
      <c r="A2975" s="15">
        <v>45923.65392361111</v>
      </c>
      <c r="B2975" s="16" t="s">
        <v>7978</v>
      </c>
      <c r="C2975" s="16" t="s">
        <v>7965</v>
      </c>
      <c r="D2975" s="16" t="s">
        <v>6874</v>
      </c>
      <c r="E2975" s="16" t="s">
        <v>7977</v>
      </c>
      <c r="F2975" s="16"/>
      <c r="G2975" s="16"/>
      <c r="H2975" s="18"/>
      <c r="I2975" s="18"/>
      <c r="J2975" s="18"/>
      <c r="K2975" s="18"/>
      <c r="L2975" s="18"/>
      <c r="M2975" s="18"/>
      <c r="N2975" s="18"/>
      <c r="O2975" s="18"/>
      <c r="P2975" s="18"/>
      <c r="Q2975" s="19"/>
      <c r="R2975" s="19"/>
      <c r="S2975" s="19"/>
    </row>
    <row r="2976" ht="15.75" customHeight="1">
      <c r="A2976" s="15">
        <v>45923.72756944445</v>
      </c>
      <c r="B2976" s="16" t="s">
        <v>7984</v>
      </c>
      <c r="C2976" s="16" t="s">
        <v>7965</v>
      </c>
      <c r="D2976" s="16" t="s">
        <v>8021</v>
      </c>
      <c r="E2976" s="16" t="s">
        <v>7977</v>
      </c>
      <c r="F2976" s="16"/>
      <c r="G2976" s="16"/>
      <c r="H2976" s="18"/>
      <c r="I2976" s="18"/>
      <c r="J2976" s="18"/>
      <c r="K2976" s="18"/>
      <c r="L2976" s="18"/>
      <c r="M2976" s="18"/>
      <c r="N2976" s="18"/>
      <c r="O2976" s="18"/>
      <c r="P2976" s="18"/>
      <c r="Q2976" s="19"/>
      <c r="R2976" s="19"/>
      <c r="S2976" s="19"/>
    </row>
    <row r="2977" ht="15.75" customHeight="1">
      <c r="A2977" s="15">
        <v>45925.483773148146</v>
      </c>
      <c r="B2977" s="16" t="s">
        <v>7907</v>
      </c>
      <c r="C2977" s="16" t="s">
        <v>7965</v>
      </c>
      <c r="D2977" s="16" t="s">
        <v>8016</v>
      </c>
      <c r="E2977" s="16" t="s">
        <v>8017</v>
      </c>
      <c r="F2977" s="16"/>
      <c r="G2977" s="16"/>
      <c r="H2977" s="18"/>
      <c r="I2977" s="18"/>
      <c r="J2977" s="18"/>
      <c r="K2977" s="18"/>
      <c r="L2977" s="18"/>
      <c r="M2977" s="18"/>
      <c r="N2977" s="18"/>
      <c r="O2977" s="18"/>
      <c r="P2977" s="18"/>
      <c r="Q2977" s="19"/>
      <c r="R2977" s="19"/>
      <c r="S2977" s="19"/>
    </row>
    <row r="2978" ht="15.75" customHeight="1">
      <c r="A2978" s="15">
        <v>45926.785405092596</v>
      </c>
      <c r="B2978" s="16" t="s">
        <v>7984</v>
      </c>
      <c r="C2978" s="16" t="s">
        <v>7965</v>
      </c>
      <c r="D2978" s="20" t="str">
        <f>?UTF-8?q?Enjoy_50%_off_customer_favourites_=F0=9F=A4=A9?=</f>
        <v>#ERROR!</v>
      </c>
      <c r="E2978" s="16" t="s">
        <v>7977</v>
      </c>
      <c r="F2978" s="16"/>
      <c r="G2978" s="16"/>
      <c r="H2978" s="18"/>
      <c r="I2978" s="18"/>
      <c r="J2978" s="18"/>
      <c r="K2978" s="18"/>
      <c r="L2978" s="18"/>
      <c r="M2978" s="18"/>
      <c r="N2978" s="18"/>
      <c r="O2978" s="18"/>
      <c r="P2978" s="18"/>
      <c r="Q2978" s="19"/>
      <c r="R2978" s="19"/>
      <c r="S2978" s="19"/>
    </row>
    <row r="2979" ht="15.75" customHeight="1">
      <c r="A2979" s="15">
        <v>45927.46375</v>
      </c>
      <c r="B2979" s="16" t="s">
        <v>7984</v>
      </c>
      <c r="C2979" s="16" t="s">
        <v>7965</v>
      </c>
      <c r="D2979" s="16" t="s">
        <v>8022</v>
      </c>
      <c r="E2979" s="16" t="s">
        <v>7977</v>
      </c>
      <c r="F2979" s="16"/>
      <c r="G2979" s="16"/>
      <c r="H2979" s="18"/>
      <c r="I2979" s="18"/>
      <c r="J2979" s="18"/>
      <c r="K2979" s="18"/>
      <c r="L2979" s="18"/>
      <c r="M2979" s="18"/>
      <c r="N2979" s="18"/>
      <c r="O2979" s="18"/>
      <c r="P2979" s="18"/>
      <c r="Q2979" s="19"/>
      <c r="R2979" s="19"/>
      <c r="S2979" s="19"/>
    </row>
    <row r="2980" ht="15.75" customHeight="1">
      <c r="A2980" s="15">
        <v>45930.77379629629</v>
      </c>
      <c r="B2980" s="16" t="s">
        <v>7984</v>
      </c>
      <c r="C2980" s="16" t="s">
        <v>7965</v>
      </c>
      <c r="D2980" s="16" t="s">
        <v>8023</v>
      </c>
      <c r="E2980" s="16" t="s">
        <v>7977</v>
      </c>
      <c r="F2980" s="16"/>
      <c r="G2980" s="16"/>
      <c r="H2980" s="18"/>
      <c r="I2980" s="18"/>
      <c r="J2980" s="18"/>
      <c r="K2980" s="18"/>
      <c r="L2980" s="18"/>
      <c r="M2980" s="18"/>
      <c r="N2980" s="18"/>
      <c r="O2980" s="18"/>
      <c r="P2980" s="18"/>
      <c r="Q2980" s="19"/>
      <c r="R2980" s="19"/>
      <c r="S2980" s="19"/>
    </row>
    <row r="2981" ht="15.75" customHeight="1">
      <c r="A2981" s="15">
        <v>45934.47043981482</v>
      </c>
      <c r="B2981" s="16" t="s">
        <v>7984</v>
      </c>
      <c r="C2981" s="16" t="s">
        <v>7965</v>
      </c>
      <c r="D2981" s="16" t="s">
        <v>8024</v>
      </c>
      <c r="E2981" s="16" t="s">
        <v>7977</v>
      </c>
      <c r="F2981" s="16"/>
      <c r="G2981" s="16"/>
      <c r="H2981" s="18"/>
      <c r="I2981" s="18"/>
      <c r="J2981" s="18"/>
      <c r="K2981" s="18"/>
      <c r="L2981" s="18"/>
      <c r="M2981" s="18"/>
      <c r="N2981" s="18"/>
      <c r="O2981" s="18"/>
      <c r="P2981" s="18"/>
      <c r="Q2981" s="19"/>
      <c r="R2981" s="19"/>
      <c r="S2981" s="19"/>
    </row>
    <row r="2982" ht="15.75" customHeight="1">
      <c r="A2982" s="15">
        <v>45934.763333333336</v>
      </c>
      <c r="B2982" s="16" t="s">
        <v>7984</v>
      </c>
      <c r="C2982" s="16" t="s">
        <v>7965</v>
      </c>
      <c r="D2982" s="16" t="s">
        <v>8025</v>
      </c>
      <c r="E2982" s="16" t="s">
        <v>7977</v>
      </c>
      <c r="F2982" s="16"/>
      <c r="G2982" s="16"/>
      <c r="H2982" s="18"/>
      <c r="I2982" s="18"/>
      <c r="J2982" s="18"/>
      <c r="K2982" s="18"/>
      <c r="L2982" s="18"/>
      <c r="M2982" s="18"/>
      <c r="N2982" s="18"/>
      <c r="O2982" s="18"/>
      <c r="P2982" s="18"/>
      <c r="Q2982" s="19"/>
      <c r="R2982" s="19"/>
      <c r="S2982" s="19"/>
    </row>
    <row r="2983" ht="15.75" customHeight="1">
      <c r="A2983" s="15">
        <v>45938.06787037037</v>
      </c>
      <c r="B2983" s="16" t="s">
        <v>7967</v>
      </c>
      <c r="C2983" s="16" t="s">
        <v>7965</v>
      </c>
      <c r="D2983" s="20" t="str">
        <f>?UTF-8?Q?Your_Apple_Account_was_used_to_s?=
 =?UTF-8?Q?ign_in_to_iCloud_on_an=C2=A0iPhone=C2=A0SE?=</f>
        <v>#ERROR!</v>
      </c>
      <c r="E2983" s="16" t="s">
        <v>8026</v>
      </c>
      <c r="F2983" s="16"/>
      <c r="G2983" s="16"/>
      <c r="H2983" s="18"/>
      <c r="I2983" s="18"/>
      <c r="J2983" s="18"/>
      <c r="K2983" s="18"/>
      <c r="L2983" s="18"/>
      <c r="M2983" s="18"/>
      <c r="N2983" s="18"/>
      <c r="O2983" s="18"/>
      <c r="P2983" s="18"/>
      <c r="Q2983" s="19"/>
      <c r="R2983" s="19"/>
      <c r="S2983" s="19"/>
    </row>
    <row r="2984" ht="15.75" customHeight="1">
      <c r="A2984" s="15">
        <v>45938.779016203705</v>
      </c>
      <c r="B2984" s="16" t="s">
        <v>7984</v>
      </c>
      <c r="C2984" s="16" t="s">
        <v>7965</v>
      </c>
      <c r="D2984" s="20" t="str">
        <f>?UTF-8?b?RG9u4oCZdCBnaG9zdCB1cCB0byA1MCUgb2ZmIPCfkbs=?=</f>
        <v>#ERROR!</v>
      </c>
      <c r="E2984" s="16" t="s">
        <v>7977</v>
      </c>
      <c r="F2984" s="16"/>
      <c r="G2984" s="16"/>
      <c r="H2984" s="18"/>
      <c r="I2984" s="18"/>
      <c r="J2984" s="18"/>
      <c r="K2984" s="18"/>
      <c r="L2984" s="18"/>
      <c r="M2984" s="18"/>
      <c r="N2984" s="18"/>
      <c r="O2984" s="18"/>
      <c r="P2984" s="18"/>
      <c r="Q2984" s="19"/>
      <c r="R2984" s="19"/>
      <c r="S2984" s="19"/>
    </row>
    <row r="2985" ht="15.75" customHeight="1">
      <c r="A2985" s="15">
        <v>45939.860243055555</v>
      </c>
      <c r="B2985" s="16" t="s">
        <v>7964</v>
      </c>
      <c r="C2985" s="16" t="s">
        <v>7965</v>
      </c>
      <c r="D2985" s="20" t="str">
        <f>?UTF-8?Q?Your_Apple=C2=A0Account_information_has_been_updated?=</f>
        <v>#ERROR!</v>
      </c>
      <c r="E2985" s="16" t="s">
        <v>8027</v>
      </c>
      <c r="F2985" s="16"/>
      <c r="G2985" s="16"/>
      <c r="H2985" s="18"/>
      <c r="I2985" s="18"/>
      <c r="J2985" s="18"/>
      <c r="K2985" s="18"/>
      <c r="L2985" s="18"/>
      <c r="M2985" s="18"/>
      <c r="N2985" s="18"/>
      <c r="O2985" s="18"/>
      <c r="P2985" s="18"/>
      <c r="Q2985" s="19"/>
      <c r="R2985" s="19"/>
      <c r="S2985" s="19"/>
    </row>
    <row r="2986" ht="15.75" customHeight="1">
      <c r="A2986" s="15">
        <v>45939.863645833335</v>
      </c>
      <c r="B2986" s="16" t="s">
        <v>7964</v>
      </c>
      <c r="C2986" s="16" t="s">
        <v>7965</v>
      </c>
      <c r="D2986" s="20" t="str">
        <f>?UTF-8?Q?Your_Apple=C2=A0Account_information_has_been_updated?=</f>
        <v>#ERROR!</v>
      </c>
      <c r="E2986" s="16" t="s">
        <v>8028</v>
      </c>
      <c r="F2986" s="16"/>
      <c r="G2986" s="16"/>
      <c r="H2986" s="18"/>
      <c r="I2986" s="18"/>
      <c r="J2986" s="18"/>
      <c r="K2986" s="18"/>
      <c r="L2986" s="18"/>
      <c r="M2986" s="18"/>
      <c r="N2986" s="18"/>
      <c r="O2986" s="18"/>
      <c r="P2986" s="18"/>
      <c r="Q2986" s="19"/>
      <c r="R2986" s="19"/>
      <c r="S2986" s="19"/>
    </row>
    <row r="2987" ht="15.75" customHeight="1">
      <c r="A2987" s="15">
        <v>45940.4896875</v>
      </c>
      <c r="B2987" s="16" t="s">
        <v>7984</v>
      </c>
      <c r="C2987" s="16" t="s">
        <v>7965</v>
      </c>
      <c r="D2987" s="16" t="s">
        <v>8029</v>
      </c>
      <c r="E2987" s="16" t="s">
        <v>7977</v>
      </c>
      <c r="F2987" s="16"/>
      <c r="G2987" s="16"/>
      <c r="H2987" s="18"/>
      <c r="I2987" s="18"/>
      <c r="J2987" s="18"/>
      <c r="K2987" s="18"/>
      <c r="L2987" s="18"/>
      <c r="M2987" s="18"/>
      <c r="N2987" s="18"/>
      <c r="O2987" s="18"/>
      <c r="P2987" s="18"/>
      <c r="Q2987" s="19"/>
      <c r="R2987" s="19"/>
      <c r="S2987" s="19"/>
    </row>
    <row r="2988" ht="15.75" customHeight="1">
      <c r="A2988" s="15">
        <v>45942.47074074074</v>
      </c>
      <c r="B2988" s="16" t="s">
        <v>7984</v>
      </c>
      <c r="C2988" s="16" t="s">
        <v>7965</v>
      </c>
      <c r="D2988" s="16" t="s">
        <v>8001</v>
      </c>
      <c r="E2988" s="16" t="s">
        <v>7977</v>
      </c>
      <c r="F2988" s="16"/>
      <c r="G2988" s="16"/>
      <c r="H2988" s="18"/>
      <c r="I2988" s="18"/>
      <c r="J2988" s="18"/>
      <c r="K2988" s="18"/>
      <c r="L2988" s="18"/>
      <c r="M2988" s="18"/>
      <c r="N2988" s="18"/>
      <c r="O2988" s="18"/>
      <c r="P2988" s="18"/>
      <c r="Q2988" s="19"/>
      <c r="R2988" s="19"/>
      <c r="S2988" s="19"/>
    </row>
    <row r="2989" ht="15.75" customHeight="1">
      <c r="A2989" s="15">
        <v>45942.75269675926</v>
      </c>
      <c r="B2989" s="16" t="s">
        <v>7984</v>
      </c>
      <c r="C2989" s="16" t="s">
        <v>7965</v>
      </c>
      <c r="D2989" s="16" t="s">
        <v>8030</v>
      </c>
      <c r="E2989" s="16" t="s">
        <v>7977</v>
      </c>
      <c r="F2989" s="16"/>
      <c r="G2989" s="16"/>
      <c r="H2989" s="18"/>
      <c r="I2989" s="18"/>
      <c r="J2989" s="18"/>
      <c r="K2989" s="18"/>
      <c r="L2989" s="18"/>
      <c r="M2989" s="18"/>
      <c r="N2989" s="18"/>
      <c r="O2989" s="18"/>
      <c r="P2989" s="18"/>
      <c r="Q2989" s="19"/>
      <c r="R2989" s="19"/>
      <c r="S2989" s="19"/>
    </row>
    <row r="2990" ht="15.75" customHeight="1">
      <c r="A2990" s="15">
        <v>45945.99254629629</v>
      </c>
      <c r="B2990" s="16" t="s">
        <v>7978</v>
      </c>
      <c r="C2990" s="16" t="s">
        <v>7965</v>
      </c>
      <c r="D2990" s="16" t="s">
        <v>6782</v>
      </c>
      <c r="E2990" s="16" t="s">
        <v>7977</v>
      </c>
      <c r="F2990" s="16"/>
      <c r="G2990" s="16"/>
      <c r="H2990" s="18"/>
      <c r="I2990" s="18"/>
      <c r="J2990" s="18"/>
      <c r="K2990" s="18"/>
      <c r="L2990" s="18"/>
      <c r="M2990" s="18"/>
      <c r="N2990" s="18"/>
      <c r="O2990" s="18"/>
      <c r="P2990" s="18"/>
      <c r="Q2990" s="19"/>
      <c r="R2990" s="19"/>
      <c r="S2990" s="19"/>
    </row>
    <row r="2991" ht="15.75" customHeight="1">
      <c r="A2991" s="15">
        <v>45946.47390046297</v>
      </c>
      <c r="B2991" s="16" t="s">
        <v>7984</v>
      </c>
      <c r="C2991" s="16" t="s">
        <v>7965</v>
      </c>
      <c r="D2991" s="16" t="s">
        <v>8031</v>
      </c>
      <c r="E2991" s="16" t="s">
        <v>7977</v>
      </c>
      <c r="F2991" s="16"/>
      <c r="G2991" s="16"/>
      <c r="H2991" s="18"/>
      <c r="I2991" s="18"/>
      <c r="J2991" s="18"/>
      <c r="K2991" s="18"/>
      <c r="L2991" s="18"/>
      <c r="M2991" s="18"/>
      <c r="N2991" s="18"/>
      <c r="O2991" s="18"/>
      <c r="P2991" s="18"/>
      <c r="Q2991" s="19"/>
      <c r="R2991" s="19"/>
      <c r="S2991" s="19"/>
    </row>
    <row r="2992" ht="15.75" customHeight="1">
      <c r="A2992" s="15">
        <v>45946.77787037037</v>
      </c>
      <c r="B2992" s="16" t="s">
        <v>7984</v>
      </c>
      <c r="C2992" s="16" t="s">
        <v>7965</v>
      </c>
      <c r="D2992" s="20" t="str">
        <f>?UTF-8?B?SHVycnnigJR1cA==?= to 50% off vanishes soon
 =?UTF-8?B?8J+Ruw==?=</f>
        <v>#ERROR!</v>
      </c>
      <c r="E2992" s="16" t="s">
        <v>7977</v>
      </c>
      <c r="F2992" s="16"/>
      <c r="G2992" s="16"/>
      <c r="H2992" s="18"/>
      <c r="I2992" s="18"/>
      <c r="J2992" s="18"/>
      <c r="K2992" s="18"/>
      <c r="L2992" s="18"/>
      <c r="M2992" s="18"/>
      <c r="N2992" s="18"/>
      <c r="O2992" s="18"/>
      <c r="P2992" s="18"/>
      <c r="Q2992" s="19"/>
      <c r="R2992" s="19"/>
      <c r="S2992" s="19"/>
    </row>
    <row r="2993" ht="15.75" customHeight="1">
      <c r="A2993" s="15">
        <v>45950.00625</v>
      </c>
      <c r="B2993" s="16" t="s">
        <v>7984</v>
      </c>
      <c r="C2993" s="16" t="s">
        <v>7965</v>
      </c>
      <c r="D2993" s="20" t="str">
        <f>?UTF-8?q?Use_your_50%_off_promo_before_it=E2=80=99s_gone!?=</f>
        <v>#ERROR!</v>
      </c>
      <c r="E2993" s="16" t="s">
        <v>7977</v>
      </c>
      <c r="F2993" s="16"/>
      <c r="G2993" s="16"/>
      <c r="H2993" s="18"/>
      <c r="I2993" s="18"/>
      <c r="J2993" s="18"/>
      <c r="K2993" s="18"/>
      <c r="L2993" s="18"/>
      <c r="M2993" s="18"/>
      <c r="N2993" s="18"/>
      <c r="O2993" s="18"/>
      <c r="P2993" s="18"/>
      <c r="Q2993" s="19"/>
      <c r="R2993" s="19"/>
      <c r="S2993" s="19"/>
    </row>
    <row r="2994" ht="15.75" customHeight="1">
      <c r="A2994" s="15">
        <v>45950.86126157407</v>
      </c>
      <c r="B2994" s="16" t="s">
        <v>7984</v>
      </c>
      <c r="C2994" s="16" t="s">
        <v>7965</v>
      </c>
      <c r="D2994" s="16" t="s">
        <v>8025</v>
      </c>
      <c r="E2994" s="16" t="s">
        <v>7977</v>
      </c>
      <c r="F2994" s="16"/>
      <c r="G2994" s="16"/>
      <c r="H2994" s="18"/>
      <c r="I2994" s="18"/>
      <c r="J2994" s="18"/>
      <c r="K2994" s="18"/>
      <c r="L2994" s="18"/>
      <c r="M2994" s="18"/>
      <c r="N2994" s="18"/>
      <c r="O2994" s="18"/>
      <c r="P2994" s="18"/>
      <c r="Q2994" s="19"/>
      <c r="R2994" s="19"/>
      <c r="S2994" s="19"/>
    </row>
    <row r="2995" ht="15.75" customHeight="1">
      <c r="A2995" s="15">
        <v>45844.586064814815</v>
      </c>
      <c r="B2995" s="16" t="s">
        <v>6591</v>
      </c>
      <c r="C2995" s="16" t="s">
        <v>8032</v>
      </c>
      <c r="D2995" s="16" t="s">
        <v>8033</v>
      </c>
      <c r="E2995" s="16" t="s">
        <v>8034</v>
      </c>
      <c r="F2995" s="16"/>
      <c r="G2995" s="16"/>
      <c r="H2995" s="18"/>
      <c r="I2995" s="18"/>
      <c r="J2995" s="18"/>
      <c r="K2995" s="18"/>
      <c r="L2995" s="18"/>
      <c r="M2995" s="18"/>
      <c r="N2995" s="18"/>
      <c r="O2995" s="18"/>
      <c r="P2995" s="18"/>
      <c r="Q2995" s="19"/>
      <c r="R2995" s="19"/>
      <c r="S2995" s="19"/>
    </row>
    <row r="2996" ht="15.75" customHeight="1">
      <c r="A2996" s="15">
        <v>45668.83702546296</v>
      </c>
      <c r="B2996" s="16" t="s">
        <v>7984</v>
      </c>
      <c r="C2996" s="16" t="s">
        <v>8035</v>
      </c>
      <c r="D2996" s="16" t="s">
        <v>6799</v>
      </c>
      <c r="E2996" s="16" t="s">
        <v>7977</v>
      </c>
      <c r="F2996" s="16"/>
      <c r="G2996" s="16"/>
      <c r="H2996" s="18"/>
      <c r="I2996" s="18"/>
      <c r="J2996" s="18"/>
      <c r="K2996" s="18"/>
      <c r="L2996" s="18"/>
      <c r="M2996" s="18"/>
      <c r="N2996" s="18"/>
      <c r="O2996" s="18"/>
      <c r="P2996" s="18"/>
      <c r="Q2996" s="19"/>
      <c r="R2996" s="19"/>
      <c r="S2996" s="19"/>
    </row>
    <row r="2997" ht="15.75" customHeight="1">
      <c r="A2997" s="15">
        <v>45671.12923611111</v>
      </c>
      <c r="B2997" s="16" t="s">
        <v>7129</v>
      </c>
      <c r="C2997" s="16" t="s">
        <v>8035</v>
      </c>
      <c r="D2997" s="16" t="s">
        <v>8036</v>
      </c>
      <c r="E2997" s="16" t="s">
        <v>8037</v>
      </c>
      <c r="F2997" s="16"/>
      <c r="G2997" s="16"/>
      <c r="H2997" s="18"/>
      <c r="I2997" s="18"/>
      <c r="J2997" s="18"/>
      <c r="K2997" s="18"/>
      <c r="L2997" s="18"/>
      <c r="M2997" s="18"/>
      <c r="N2997" s="18"/>
      <c r="O2997" s="18"/>
      <c r="P2997" s="18"/>
      <c r="Q2997" s="19"/>
      <c r="R2997" s="19"/>
      <c r="S2997" s="19"/>
    </row>
    <row r="2998" ht="15.75" customHeight="1">
      <c r="A2998" s="15">
        <v>45671.48231481481</v>
      </c>
      <c r="B2998" s="16" t="s">
        <v>7129</v>
      </c>
      <c r="C2998" s="16" t="s">
        <v>8035</v>
      </c>
      <c r="D2998" s="16" t="s">
        <v>7508</v>
      </c>
      <c r="E2998" s="16" t="s">
        <v>8038</v>
      </c>
      <c r="F2998" s="16"/>
      <c r="G2998" s="16"/>
      <c r="H2998" s="18"/>
      <c r="I2998" s="18"/>
      <c r="J2998" s="18"/>
      <c r="K2998" s="18"/>
      <c r="L2998" s="18"/>
      <c r="M2998" s="18"/>
      <c r="N2998" s="18"/>
      <c r="O2998" s="18"/>
      <c r="P2998" s="18"/>
      <c r="Q2998" s="19"/>
      <c r="R2998" s="19"/>
      <c r="S2998" s="19"/>
    </row>
    <row r="2999" ht="15.75" customHeight="1">
      <c r="A2999" s="15">
        <v>45671.48287037037</v>
      </c>
      <c r="B2999" s="16" t="s">
        <v>7129</v>
      </c>
      <c r="C2999" s="16" t="s">
        <v>8035</v>
      </c>
      <c r="D2999" s="16" t="s">
        <v>7508</v>
      </c>
      <c r="E2999" s="16" t="s">
        <v>8039</v>
      </c>
      <c r="F2999" s="16"/>
      <c r="G2999" s="16"/>
      <c r="H2999" s="18"/>
      <c r="I2999" s="18"/>
      <c r="J2999" s="18"/>
      <c r="K2999" s="18"/>
      <c r="L2999" s="18"/>
      <c r="M2999" s="18"/>
      <c r="N2999" s="18"/>
      <c r="O2999" s="18"/>
      <c r="P2999" s="18"/>
      <c r="Q2999" s="19"/>
      <c r="R2999" s="19"/>
      <c r="S2999" s="19"/>
    </row>
    <row r="3000" ht="15.75" customHeight="1">
      <c r="A3000" s="15">
        <v>45671.48333333333</v>
      </c>
      <c r="B3000" s="16" t="s">
        <v>7129</v>
      </c>
      <c r="C3000" s="16" t="s">
        <v>8035</v>
      </c>
      <c r="D3000" s="16" t="s">
        <v>7508</v>
      </c>
      <c r="E3000" s="16" t="s">
        <v>8040</v>
      </c>
      <c r="F3000" s="16"/>
      <c r="G3000" s="16"/>
      <c r="H3000" s="18"/>
      <c r="I3000" s="18"/>
      <c r="J3000" s="18"/>
      <c r="K3000" s="18"/>
      <c r="L3000" s="18"/>
      <c r="M3000" s="18"/>
      <c r="N3000" s="18"/>
      <c r="O3000" s="18"/>
      <c r="P3000" s="18"/>
      <c r="Q3000" s="19"/>
      <c r="R3000" s="19"/>
      <c r="S3000" s="19"/>
    </row>
    <row r="3001" ht="15.75" customHeight="1">
      <c r="A3001" s="15">
        <v>45671.489699074074</v>
      </c>
      <c r="B3001" s="16" t="s">
        <v>7129</v>
      </c>
      <c r="C3001" s="16" t="s">
        <v>8035</v>
      </c>
      <c r="D3001" s="16" t="s">
        <v>7508</v>
      </c>
      <c r="E3001" s="16" t="s">
        <v>8041</v>
      </c>
      <c r="F3001" s="16"/>
      <c r="G3001" s="16"/>
      <c r="H3001" s="18"/>
      <c r="I3001" s="18"/>
      <c r="J3001" s="18"/>
      <c r="K3001" s="18"/>
      <c r="L3001" s="18"/>
      <c r="M3001" s="18"/>
      <c r="N3001" s="18"/>
      <c r="O3001" s="18"/>
      <c r="P3001" s="18"/>
      <c r="Q3001" s="19"/>
      <c r="R3001" s="19"/>
      <c r="S3001" s="19"/>
    </row>
    <row r="3002" ht="15.75" customHeight="1">
      <c r="A3002" s="15">
        <v>45671.497453703705</v>
      </c>
      <c r="B3002" s="16" t="s">
        <v>7129</v>
      </c>
      <c r="C3002" s="16" t="s">
        <v>8035</v>
      </c>
      <c r="D3002" s="16" t="s">
        <v>7508</v>
      </c>
      <c r="E3002" s="16" t="s">
        <v>8042</v>
      </c>
      <c r="F3002" s="16"/>
      <c r="G3002" s="16"/>
      <c r="H3002" s="18"/>
      <c r="I3002" s="18"/>
      <c r="J3002" s="18"/>
      <c r="K3002" s="18"/>
      <c r="L3002" s="18"/>
      <c r="M3002" s="18"/>
      <c r="N3002" s="18"/>
      <c r="O3002" s="18"/>
      <c r="P3002" s="18"/>
      <c r="Q3002" s="19"/>
      <c r="R3002" s="19"/>
      <c r="S3002" s="19"/>
    </row>
    <row r="3003" ht="15.75" customHeight="1">
      <c r="A3003" s="15">
        <v>45671.497766203705</v>
      </c>
      <c r="B3003" s="16" t="s">
        <v>7129</v>
      </c>
      <c r="C3003" s="16" t="s">
        <v>8035</v>
      </c>
      <c r="D3003" s="16" t="s">
        <v>7508</v>
      </c>
      <c r="E3003" s="16" t="s">
        <v>8043</v>
      </c>
      <c r="F3003" s="16"/>
      <c r="G3003" s="16"/>
      <c r="H3003" s="18"/>
      <c r="I3003" s="18"/>
      <c r="J3003" s="18"/>
      <c r="K3003" s="18"/>
      <c r="L3003" s="18"/>
      <c r="M3003" s="18"/>
      <c r="N3003" s="18"/>
      <c r="O3003" s="18"/>
      <c r="P3003" s="18"/>
      <c r="Q3003" s="19"/>
      <c r="R3003" s="19"/>
      <c r="S3003" s="19"/>
    </row>
    <row r="3004" ht="15.75" customHeight="1">
      <c r="A3004" s="15">
        <v>45671.49805555555</v>
      </c>
      <c r="B3004" s="16" t="s">
        <v>7129</v>
      </c>
      <c r="C3004" s="16" t="s">
        <v>8035</v>
      </c>
      <c r="D3004" s="16" t="s">
        <v>7508</v>
      </c>
      <c r="E3004" s="16" t="s">
        <v>8044</v>
      </c>
      <c r="F3004" s="16"/>
      <c r="G3004" s="16"/>
      <c r="H3004" s="18"/>
      <c r="I3004" s="18"/>
      <c r="J3004" s="18"/>
      <c r="K3004" s="18"/>
      <c r="L3004" s="18"/>
      <c r="M3004" s="18"/>
      <c r="N3004" s="18"/>
      <c r="O3004" s="18"/>
      <c r="P3004" s="18"/>
      <c r="Q3004" s="19"/>
      <c r="R3004" s="19"/>
      <c r="S3004" s="19"/>
    </row>
    <row r="3005" ht="15.75" customHeight="1">
      <c r="A3005" s="15">
        <v>45671.49821759259</v>
      </c>
      <c r="B3005" s="16" t="s">
        <v>7129</v>
      </c>
      <c r="C3005" s="16" t="s">
        <v>8035</v>
      </c>
      <c r="D3005" s="16" t="s">
        <v>7508</v>
      </c>
      <c r="E3005" s="16" t="s">
        <v>8045</v>
      </c>
      <c r="F3005" s="16"/>
      <c r="G3005" s="16"/>
      <c r="H3005" s="18"/>
      <c r="I3005" s="18"/>
      <c r="J3005" s="18"/>
      <c r="K3005" s="18"/>
      <c r="L3005" s="18"/>
      <c r="M3005" s="18"/>
      <c r="N3005" s="18"/>
      <c r="O3005" s="18"/>
      <c r="P3005" s="18"/>
      <c r="Q3005" s="19"/>
      <c r="R3005" s="19"/>
      <c r="S3005" s="19"/>
    </row>
    <row r="3006" ht="15.75" customHeight="1">
      <c r="A3006" s="15">
        <v>45671.498402777775</v>
      </c>
      <c r="B3006" s="16" t="s">
        <v>7129</v>
      </c>
      <c r="C3006" s="16" t="s">
        <v>8035</v>
      </c>
      <c r="D3006" s="16" t="s">
        <v>7508</v>
      </c>
      <c r="E3006" s="16" t="s">
        <v>8046</v>
      </c>
      <c r="F3006" s="16"/>
      <c r="G3006" s="16"/>
      <c r="H3006" s="18"/>
      <c r="I3006" s="18"/>
      <c r="J3006" s="18"/>
      <c r="K3006" s="18"/>
      <c r="L3006" s="18"/>
      <c r="M3006" s="18"/>
      <c r="N3006" s="18"/>
      <c r="O3006" s="18"/>
      <c r="P3006" s="18"/>
      <c r="Q3006" s="19"/>
      <c r="R3006" s="19"/>
      <c r="S3006" s="19"/>
    </row>
    <row r="3007" ht="15.75" customHeight="1">
      <c r="A3007" s="15">
        <v>45671.49853009259</v>
      </c>
      <c r="B3007" s="16" t="s">
        <v>7129</v>
      </c>
      <c r="C3007" s="16" t="s">
        <v>8035</v>
      </c>
      <c r="D3007" s="16" t="s">
        <v>7508</v>
      </c>
      <c r="E3007" s="16" t="s">
        <v>8047</v>
      </c>
      <c r="F3007" s="16"/>
      <c r="G3007" s="16"/>
      <c r="H3007" s="18"/>
      <c r="I3007" s="18"/>
      <c r="J3007" s="18"/>
      <c r="K3007" s="18"/>
      <c r="L3007" s="18"/>
      <c r="M3007" s="18"/>
      <c r="N3007" s="18"/>
      <c r="O3007" s="18"/>
      <c r="P3007" s="18"/>
      <c r="Q3007" s="19"/>
      <c r="R3007" s="19"/>
      <c r="S3007" s="19"/>
    </row>
    <row r="3008" ht="15.75" customHeight="1">
      <c r="A3008" s="15">
        <v>45671.50215277778</v>
      </c>
      <c r="B3008" s="16" t="s">
        <v>7129</v>
      </c>
      <c r="C3008" s="16" t="s">
        <v>8035</v>
      </c>
      <c r="D3008" s="16" t="s">
        <v>7508</v>
      </c>
      <c r="E3008" s="16" t="s">
        <v>8048</v>
      </c>
      <c r="F3008" s="16"/>
      <c r="G3008" s="16"/>
      <c r="H3008" s="18"/>
      <c r="I3008" s="18"/>
      <c r="J3008" s="18"/>
      <c r="K3008" s="18"/>
      <c r="L3008" s="18"/>
      <c r="M3008" s="18"/>
      <c r="N3008" s="18"/>
      <c r="O3008" s="18"/>
      <c r="P3008" s="18"/>
      <c r="Q3008" s="19"/>
      <c r="R3008" s="19"/>
      <c r="S3008" s="19"/>
    </row>
    <row r="3009" ht="15.75" customHeight="1">
      <c r="A3009" s="15">
        <v>45671.50315972222</v>
      </c>
      <c r="B3009" s="16" t="s">
        <v>7129</v>
      </c>
      <c r="C3009" s="16" t="s">
        <v>8035</v>
      </c>
      <c r="D3009" s="16" t="s">
        <v>7508</v>
      </c>
      <c r="E3009" s="16" t="s">
        <v>8049</v>
      </c>
      <c r="F3009" s="16"/>
      <c r="G3009" s="16"/>
      <c r="H3009" s="18"/>
      <c r="I3009" s="18"/>
      <c r="J3009" s="18"/>
      <c r="K3009" s="18"/>
      <c r="L3009" s="18"/>
      <c r="M3009" s="18"/>
      <c r="N3009" s="18"/>
      <c r="O3009" s="18"/>
      <c r="P3009" s="18"/>
      <c r="Q3009" s="19"/>
      <c r="R3009" s="19"/>
      <c r="S3009" s="19"/>
    </row>
    <row r="3010" ht="15.75" customHeight="1">
      <c r="A3010" s="15">
        <v>45671.547106481485</v>
      </c>
      <c r="B3010" s="16" t="s">
        <v>7129</v>
      </c>
      <c r="C3010" s="16" t="s">
        <v>8035</v>
      </c>
      <c r="D3010" s="16" t="s">
        <v>7508</v>
      </c>
      <c r="E3010" s="16" t="s">
        <v>8050</v>
      </c>
      <c r="F3010" s="16"/>
      <c r="G3010" s="16"/>
      <c r="H3010" s="18"/>
      <c r="I3010" s="18"/>
      <c r="J3010" s="18"/>
      <c r="K3010" s="18"/>
      <c r="L3010" s="18"/>
      <c r="M3010" s="18"/>
      <c r="N3010" s="18"/>
      <c r="O3010" s="18"/>
      <c r="P3010" s="18"/>
      <c r="Q3010" s="19"/>
      <c r="R3010" s="19"/>
      <c r="S3010" s="19"/>
    </row>
    <row r="3011" ht="15.75" customHeight="1">
      <c r="A3011" s="15">
        <v>45672.84005787037</v>
      </c>
      <c r="B3011" s="16" t="s">
        <v>7984</v>
      </c>
      <c r="C3011" s="16" t="s">
        <v>8035</v>
      </c>
      <c r="D3011" s="16" t="s">
        <v>8051</v>
      </c>
      <c r="E3011" s="16" t="s">
        <v>7977</v>
      </c>
      <c r="F3011" s="16"/>
      <c r="G3011" s="16"/>
      <c r="H3011" s="18"/>
      <c r="I3011" s="18"/>
      <c r="J3011" s="18"/>
      <c r="K3011" s="18"/>
      <c r="L3011" s="18"/>
      <c r="M3011" s="18"/>
      <c r="N3011" s="18"/>
      <c r="O3011" s="18"/>
      <c r="P3011" s="18"/>
      <c r="Q3011" s="19"/>
      <c r="R3011" s="19"/>
      <c r="S3011" s="19"/>
    </row>
    <row r="3012" ht="15.75" customHeight="1">
      <c r="A3012" s="15">
        <v>45676.26495370371</v>
      </c>
      <c r="B3012" s="16" t="s">
        <v>8052</v>
      </c>
      <c r="C3012" s="16" t="s">
        <v>8035</v>
      </c>
      <c r="D3012" s="20" t="str">
        <f>?utf-8?Q?Mailchimp=20trial=20ending?=</f>
        <v>#ERROR!</v>
      </c>
      <c r="E3012" s="16" t="s">
        <v>8053</v>
      </c>
      <c r="F3012" s="16"/>
      <c r="G3012" s="16"/>
      <c r="H3012" s="18"/>
      <c r="I3012" s="18"/>
      <c r="J3012" s="18"/>
      <c r="K3012" s="18"/>
      <c r="L3012" s="18"/>
      <c r="M3012" s="18"/>
      <c r="N3012" s="18"/>
      <c r="O3012" s="18"/>
      <c r="P3012" s="18"/>
      <c r="Q3012" s="19"/>
      <c r="R3012" s="19"/>
      <c r="S3012" s="19"/>
    </row>
    <row r="3013" ht="15.75" customHeight="1">
      <c r="A3013" s="15">
        <v>45678.04048611111</v>
      </c>
      <c r="B3013" s="16" t="s">
        <v>7978</v>
      </c>
      <c r="C3013" s="16" t="s">
        <v>8035</v>
      </c>
      <c r="D3013" s="16" t="s">
        <v>6874</v>
      </c>
      <c r="E3013" s="16" t="s">
        <v>7977</v>
      </c>
      <c r="F3013" s="16"/>
      <c r="G3013" s="16"/>
      <c r="H3013" s="18"/>
      <c r="I3013" s="18"/>
      <c r="J3013" s="18"/>
      <c r="K3013" s="18"/>
      <c r="L3013" s="18"/>
      <c r="M3013" s="18"/>
      <c r="N3013" s="18"/>
      <c r="O3013" s="18"/>
      <c r="P3013" s="18"/>
      <c r="Q3013" s="19"/>
      <c r="R3013" s="19"/>
      <c r="S3013" s="19"/>
    </row>
    <row r="3014" ht="15.75" customHeight="1">
      <c r="A3014" s="15">
        <v>45678.21913194445</v>
      </c>
      <c r="B3014" s="16" t="s">
        <v>8054</v>
      </c>
      <c r="C3014" s="16" t="s">
        <v>8035</v>
      </c>
      <c r="D3014" s="16" t="s">
        <v>8055</v>
      </c>
      <c r="E3014" s="16" t="s">
        <v>8056</v>
      </c>
      <c r="F3014" s="16"/>
      <c r="G3014" s="16"/>
      <c r="H3014" s="18"/>
      <c r="I3014" s="18"/>
      <c r="J3014" s="18"/>
      <c r="K3014" s="18"/>
      <c r="L3014" s="18"/>
      <c r="M3014" s="18"/>
      <c r="N3014" s="18"/>
      <c r="O3014" s="18"/>
      <c r="P3014" s="18"/>
      <c r="Q3014" s="19"/>
      <c r="R3014" s="19"/>
      <c r="S3014" s="19"/>
    </row>
    <row r="3015" ht="15.75" customHeight="1">
      <c r="A3015" s="15">
        <v>45678.8677662037</v>
      </c>
      <c r="B3015" s="16" t="s">
        <v>7978</v>
      </c>
      <c r="C3015" s="16" t="s">
        <v>8035</v>
      </c>
      <c r="D3015" s="16" t="s">
        <v>7983</v>
      </c>
      <c r="E3015" s="16" t="s">
        <v>7977</v>
      </c>
      <c r="F3015" s="16"/>
      <c r="G3015" s="16"/>
      <c r="H3015" s="18"/>
      <c r="I3015" s="18"/>
      <c r="J3015" s="18"/>
      <c r="K3015" s="18"/>
      <c r="L3015" s="18"/>
      <c r="M3015" s="18"/>
      <c r="N3015" s="18"/>
      <c r="O3015" s="18"/>
      <c r="P3015" s="18"/>
      <c r="Q3015" s="19"/>
      <c r="R3015" s="19"/>
      <c r="S3015" s="19"/>
    </row>
    <row r="3016" ht="15.75" customHeight="1">
      <c r="A3016" s="15">
        <v>45679.53925925926</v>
      </c>
      <c r="B3016" s="16" t="s">
        <v>8057</v>
      </c>
      <c r="C3016" s="16" t="s">
        <v>8035</v>
      </c>
      <c r="D3016" s="16" t="s">
        <v>8058</v>
      </c>
      <c r="E3016" s="16" t="s">
        <v>8059</v>
      </c>
      <c r="F3016" s="16"/>
      <c r="G3016" s="16"/>
      <c r="H3016" s="18"/>
      <c r="I3016" s="18"/>
      <c r="J3016" s="18"/>
      <c r="K3016" s="18"/>
      <c r="L3016" s="18"/>
      <c r="M3016" s="18"/>
      <c r="N3016" s="18"/>
      <c r="O3016" s="18"/>
      <c r="P3016" s="18"/>
      <c r="Q3016" s="19"/>
      <c r="R3016" s="19"/>
      <c r="S3016" s="19"/>
    </row>
    <row r="3017" ht="15.75" customHeight="1">
      <c r="A3017" s="15">
        <v>45679.84295138889</v>
      </c>
      <c r="B3017" s="16" t="s">
        <v>7984</v>
      </c>
      <c r="C3017" s="16" t="s">
        <v>8035</v>
      </c>
      <c r="D3017" s="16" t="s">
        <v>8060</v>
      </c>
      <c r="E3017" s="16" t="s">
        <v>7977</v>
      </c>
      <c r="F3017" s="16"/>
      <c r="G3017" s="16"/>
      <c r="H3017" s="18"/>
      <c r="I3017" s="18"/>
      <c r="J3017" s="18"/>
      <c r="K3017" s="18"/>
      <c r="L3017" s="18"/>
      <c r="M3017" s="18"/>
      <c r="N3017" s="18"/>
      <c r="O3017" s="18"/>
      <c r="P3017" s="18"/>
      <c r="Q3017" s="19"/>
      <c r="R3017" s="19"/>
      <c r="S3017" s="19"/>
    </row>
    <row r="3018" ht="15.75" customHeight="1">
      <c r="A3018" s="15">
        <v>45680.264699074076</v>
      </c>
      <c r="B3018" s="16" t="s">
        <v>8052</v>
      </c>
      <c r="C3018" s="16" t="s">
        <v>8035</v>
      </c>
      <c r="D3018" s="20" t="str">
        <f>?utf-8?Q?Mailchimp=20trial=20ending?=</f>
        <v>#ERROR!</v>
      </c>
      <c r="E3018" s="16" t="s">
        <v>8061</v>
      </c>
      <c r="F3018" s="16"/>
      <c r="G3018" s="16"/>
      <c r="H3018" s="18"/>
      <c r="I3018" s="18"/>
      <c r="J3018" s="18"/>
      <c r="K3018" s="18"/>
      <c r="L3018" s="18"/>
      <c r="M3018" s="18"/>
      <c r="N3018" s="18"/>
      <c r="O3018" s="18"/>
      <c r="P3018" s="18"/>
      <c r="Q3018" s="19"/>
      <c r="R3018" s="19"/>
      <c r="S3018" s="19"/>
    </row>
    <row r="3019" ht="15.75" customHeight="1">
      <c r="A3019" s="15">
        <v>45682.26430555555</v>
      </c>
      <c r="B3019" s="16" t="s">
        <v>8052</v>
      </c>
      <c r="C3019" s="16" t="s">
        <v>8035</v>
      </c>
      <c r="D3019" s="20" t="str">
        <f>?utf-8?Q?Mailchimp=20trial=20ending?=</f>
        <v>#ERROR!</v>
      </c>
      <c r="E3019" s="16" t="s">
        <v>8062</v>
      </c>
      <c r="F3019" s="16"/>
      <c r="G3019" s="16"/>
      <c r="H3019" s="18"/>
      <c r="I3019" s="18"/>
      <c r="J3019" s="18"/>
      <c r="K3019" s="18"/>
      <c r="L3019" s="18"/>
      <c r="M3019" s="18"/>
      <c r="N3019" s="18"/>
      <c r="O3019" s="18"/>
      <c r="P3019" s="18"/>
      <c r="Q3019" s="19"/>
      <c r="R3019" s="19"/>
      <c r="S3019" s="19"/>
    </row>
    <row r="3020" ht="15.75" customHeight="1">
      <c r="A3020" s="15">
        <v>45682.835625</v>
      </c>
      <c r="B3020" s="16" t="s">
        <v>8063</v>
      </c>
      <c r="C3020" s="16" t="s">
        <v>8035</v>
      </c>
      <c r="D3020" s="16" t="s">
        <v>8064</v>
      </c>
      <c r="E3020" s="16" t="s">
        <v>7977</v>
      </c>
      <c r="F3020" s="16"/>
      <c r="G3020" s="16"/>
      <c r="H3020" s="18"/>
      <c r="I3020" s="18"/>
      <c r="J3020" s="18"/>
      <c r="K3020" s="18"/>
      <c r="L3020" s="18"/>
      <c r="M3020" s="18"/>
      <c r="N3020" s="18"/>
      <c r="O3020" s="18"/>
      <c r="P3020" s="18"/>
      <c r="Q3020" s="19"/>
      <c r="R3020" s="19"/>
      <c r="S3020" s="19"/>
    </row>
    <row r="3021" ht="15.75" customHeight="1">
      <c r="A3021" s="15">
        <v>45684.85320601852</v>
      </c>
      <c r="B3021" s="16" t="s">
        <v>8063</v>
      </c>
      <c r="C3021" s="16" t="s">
        <v>8035</v>
      </c>
      <c r="D3021" s="16" t="s">
        <v>8064</v>
      </c>
      <c r="E3021" s="16" t="s">
        <v>7977</v>
      </c>
      <c r="F3021" s="16"/>
      <c r="G3021" s="16"/>
      <c r="H3021" s="18"/>
      <c r="I3021" s="18"/>
      <c r="J3021" s="18"/>
      <c r="K3021" s="18"/>
      <c r="L3021" s="18"/>
      <c r="M3021" s="18"/>
      <c r="N3021" s="18"/>
      <c r="O3021" s="18"/>
      <c r="P3021" s="18"/>
      <c r="Q3021" s="19"/>
      <c r="R3021" s="19"/>
      <c r="S3021" s="19"/>
    </row>
    <row r="3022" ht="15.75" customHeight="1">
      <c r="A3022" s="15">
        <v>45685.85795138889</v>
      </c>
      <c r="B3022" s="16" t="s">
        <v>7978</v>
      </c>
      <c r="C3022" s="16" t="s">
        <v>8035</v>
      </c>
      <c r="D3022" s="16" t="s">
        <v>6874</v>
      </c>
      <c r="E3022" s="16" t="s">
        <v>7977</v>
      </c>
      <c r="F3022" s="16"/>
      <c r="G3022" s="16"/>
      <c r="H3022" s="18"/>
      <c r="I3022" s="18"/>
      <c r="J3022" s="18"/>
      <c r="K3022" s="18"/>
      <c r="L3022" s="18"/>
      <c r="M3022" s="18"/>
      <c r="N3022" s="18"/>
      <c r="O3022" s="18"/>
      <c r="P3022" s="18"/>
      <c r="Q3022" s="19"/>
      <c r="R3022" s="19"/>
      <c r="S3022" s="19"/>
    </row>
    <row r="3023" ht="15.75" customHeight="1">
      <c r="A3023" s="15">
        <v>45686.84444444445</v>
      </c>
      <c r="B3023" s="16" t="s">
        <v>7984</v>
      </c>
      <c r="C3023" s="16" t="s">
        <v>8035</v>
      </c>
      <c r="D3023" s="16" t="s">
        <v>8065</v>
      </c>
      <c r="E3023" s="16" t="s">
        <v>7977</v>
      </c>
      <c r="F3023" s="16"/>
      <c r="G3023" s="16"/>
      <c r="H3023" s="18"/>
      <c r="I3023" s="18"/>
      <c r="J3023" s="18"/>
      <c r="K3023" s="18"/>
      <c r="L3023" s="18"/>
      <c r="M3023" s="18"/>
      <c r="N3023" s="18"/>
      <c r="O3023" s="18"/>
      <c r="P3023" s="18"/>
      <c r="Q3023" s="19"/>
      <c r="R3023" s="19"/>
      <c r="S3023" s="19"/>
    </row>
    <row r="3024" ht="15.75" customHeight="1">
      <c r="A3024" s="15">
        <v>45691.708657407406</v>
      </c>
      <c r="B3024" s="16" t="s">
        <v>7992</v>
      </c>
      <c r="C3024" s="16" t="s">
        <v>8035</v>
      </c>
      <c r="D3024" s="16" t="s">
        <v>8066</v>
      </c>
      <c r="E3024" s="16" t="s">
        <v>7977</v>
      </c>
      <c r="F3024" s="16"/>
      <c r="G3024" s="16"/>
      <c r="H3024" s="18"/>
      <c r="I3024" s="18"/>
      <c r="J3024" s="18"/>
      <c r="K3024" s="18"/>
      <c r="L3024" s="18"/>
      <c r="M3024" s="18"/>
      <c r="N3024" s="18"/>
      <c r="O3024" s="18"/>
      <c r="P3024" s="18"/>
      <c r="Q3024" s="19"/>
      <c r="R3024" s="19"/>
      <c r="S3024" s="19"/>
    </row>
    <row r="3025" ht="15.75" customHeight="1">
      <c r="A3025" s="15">
        <v>45692.32677083334</v>
      </c>
      <c r="B3025" s="16" t="s">
        <v>8067</v>
      </c>
      <c r="C3025" s="16" t="s">
        <v>8035</v>
      </c>
      <c r="D3025" s="16" t="s">
        <v>8068</v>
      </c>
      <c r="E3025" s="16" t="s">
        <v>8069</v>
      </c>
      <c r="F3025" s="16"/>
      <c r="G3025" s="16"/>
      <c r="H3025" s="18"/>
      <c r="I3025" s="18"/>
      <c r="J3025" s="18"/>
      <c r="K3025" s="18"/>
      <c r="L3025" s="18"/>
      <c r="M3025" s="18"/>
      <c r="N3025" s="18"/>
      <c r="O3025" s="18"/>
      <c r="P3025" s="18"/>
      <c r="Q3025" s="19"/>
      <c r="R3025" s="19"/>
      <c r="S3025" s="19"/>
    </row>
    <row r="3026" ht="15.75" customHeight="1">
      <c r="A3026" s="15">
        <v>45692.867581018516</v>
      </c>
      <c r="B3026" s="16" t="s">
        <v>7978</v>
      </c>
      <c r="C3026" s="16" t="s">
        <v>8035</v>
      </c>
      <c r="D3026" s="16" t="s">
        <v>8070</v>
      </c>
      <c r="E3026" s="16" t="s">
        <v>7977</v>
      </c>
      <c r="F3026" s="16"/>
      <c r="G3026" s="16"/>
      <c r="H3026" s="18"/>
      <c r="I3026" s="18"/>
      <c r="J3026" s="18"/>
      <c r="K3026" s="18"/>
      <c r="L3026" s="18"/>
      <c r="M3026" s="18"/>
      <c r="N3026" s="18"/>
      <c r="O3026" s="18"/>
      <c r="P3026" s="18"/>
      <c r="Q3026" s="19"/>
      <c r="R3026" s="19"/>
      <c r="S3026" s="19"/>
    </row>
    <row r="3027" ht="15.75" customHeight="1">
      <c r="A3027" s="15">
        <v>45694.357453703706</v>
      </c>
      <c r="B3027" s="16" t="s">
        <v>8067</v>
      </c>
      <c r="C3027" s="16" t="s">
        <v>8035</v>
      </c>
      <c r="D3027" s="16" t="s">
        <v>8071</v>
      </c>
      <c r="E3027" s="16" t="s">
        <v>8072</v>
      </c>
      <c r="F3027" s="16"/>
      <c r="G3027" s="16"/>
      <c r="H3027" s="18"/>
      <c r="I3027" s="18"/>
      <c r="J3027" s="18"/>
      <c r="K3027" s="18"/>
      <c r="L3027" s="18"/>
      <c r="M3027" s="18"/>
      <c r="N3027" s="18"/>
      <c r="O3027" s="18"/>
      <c r="P3027" s="18"/>
      <c r="Q3027" s="19"/>
      <c r="R3027" s="19"/>
      <c r="S3027" s="19"/>
    </row>
    <row r="3028" ht="15.75" customHeight="1">
      <c r="A3028" s="15">
        <v>45695.62537037037</v>
      </c>
      <c r="B3028" s="16" t="s">
        <v>8073</v>
      </c>
      <c r="C3028" s="16" t="s">
        <v>8035</v>
      </c>
      <c r="D3028" s="20" t="str">
        <f>?UTF-8?B?V2XigJlk?= love to hear from you!</f>
        <v>#ERROR!</v>
      </c>
      <c r="E3028" s="16" t="s">
        <v>8074</v>
      </c>
      <c r="F3028" s="16"/>
      <c r="G3028" s="16"/>
      <c r="H3028" s="18"/>
      <c r="I3028" s="18"/>
      <c r="J3028" s="18"/>
      <c r="K3028" s="18"/>
      <c r="L3028" s="18"/>
      <c r="M3028" s="18"/>
      <c r="N3028" s="18"/>
      <c r="O3028" s="18"/>
      <c r="P3028" s="18"/>
      <c r="Q3028" s="19"/>
      <c r="R3028" s="19"/>
      <c r="S3028" s="19"/>
    </row>
    <row r="3029" ht="15.75" customHeight="1">
      <c r="A3029" s="15">
        <v>45699.00597222222</v>
      </c>
      <c r="B3029" s="16" t="s">
        <v>7978</v>
      </c>
      <c r="C3029" s="16" t="s">
        <v>8035</v>
      </c>
      <c r="D3029" s="16" t="s">
        <v>6874</v>
      </c>
      <c r="E3029" s="16" t="s">
        <v>7977</v>
      </c>
      <c r="F3029" s="16"/>
      <c r="G3029" s="16"/>
      <c r="H3029" s="18"/>
      <c r="I3029" s="18"/>
      <c r="J3029" s="18"/>
      <c r="K3029" s="18"/>
      <c r="L3029" s="18"/>
      <c r="M3029" s="18"/>
      <c r="N3029" s="18"/>
      <c r="O3029" s="18"/>
      <c r="P3029" s="18"/>
      <c r="Q3029" s="19"/>
      <c r="R3029" s="19"/>
      <c r="S3029" s="19"/>
    </row>
    <row r="3030" ht="15.75" customHeight="1">
      <c r="A3030" s="15">
        <v>45699.838171296295</v>
      </c>
      <c r="B3030" s="16" t="s">
        <v>7978</v>
      </c>
      <c r="C3030" s="16" t="s">
        <v>8035</v>
      </c>
      <c r="D3030" s="16" t="s">
        <v>7983</v>
      </c>
      <c r="E3030" s="16" t="s">
        <v>7977</v>
      </c>
      <c r="F3030" s="16"/>
      <c r="G3030" s="16"/>
      <c r="H3030" s="18"/>
      <c r="I3030" s="18"/>
      <c r="J3030" s="18"/>
      <c r="K3030" s="18"/>
      <c r="L3030" s="18"/>
      <c r="M3030" s="18"/>
      <c r="N3030" s="18"/>
      <c r="O3030" s="18"/>
      <c r="P3030" s="18"/>
      <c r="Q3030" s="19"/>
      <c r="R3030" s="19"/>
      <c r="S3030" s="19"/>
    </row>
    <row r="3031" ht="15.75" customHeight="1">
      <c r="A3031" s="15">
        <v>45701.56236111111</v>
      </c>
      <c r="B3031" s="16" t="s">
        <v>8075</v>
      </c>
      <c r="C3031" s="16" t="s">
        <v>8035</v>
      </c>
      <c r="D3031" s="16" t="s">
        <v>8076</v>
      </c>
      <c r="E3031" s="16" t="s">
        <v>8077</v>
      </c>
      <c r="F3031" s="16"/>
      <c r="G3031" s="16"/>
      <c r="H3031" s="18"/>
      <c r="I3031" s="18"/>
      <c r="J3031" s="18"/>
      <c r="K3031" s="18"/>
      <c r="L3031" s="18"/>
      <c r="M3031" s="18"/>
      <c r="N3031" s="18"/>
      <c r="O3031" s="18"/>
      <c r="P3031" s="18"/>
      <c r="Q3031" s="19"/>
      <c r="R3031" s="19"/>
      <c r="S3031" s="19"/>
    </row>
    <row r="3032" ht="15.75" customHeight="1">
      <c r="A3032" s="15">
        <v>45701.85975694445</v>
      </c>
      <c r="B3032" s="16" t="s">
        <v>7984</v>
      </c>
      <c r="C3032" s="16" t="s">
        <v>8035</v>
      </c>
      <c r="D3032" s="16" t="s">
        <v>8078</v>
      </c>
      <c r="E3032" s="16" t="s">
        <v>7977</v>
      </c>
      <c r="F3032" s="16"/>
      <c r="G3032" s="16"/>
      <c r="H3032" s="18"/>
      <c r="I3032" s="18"/>
      <c r="J3032" s="18"/>
      <c r="K3032" s="18"/>
      <c r="L3032" s="18"/>
      <c r="M3032" s="18"/>
      <c r="N3032" s="18"/>
      <c r="O3032" s="18"/>
      <c r="P3032" s="18"/>
      <c r="Q3032" s="19"/>
      <c r="R3032" s="19"/>
      <c r="S3032" s="19"/>
    </row>
    <row r="3033" ht="15.75" customHeight="1">
      <c r="A3033" s="15">
        <v>45702.39849537037</v>
      </c>
      <c r="B3033" s="16" t="s">
        <v>8067</v>
      </c>
      <c r="C3033" s="16" t="s">
        <v>8035</v>
      </c>
      <c r="D3033" s="16" t="s">
        <v>8079</v>
      </c>
      <c r="E3033" s="16" t="s">
        <v>8080</v>
      </c>
      <c r="F3033" s="16"/>
      <c r="G3033" s="16"/>
      <c r="H3033" s="18"/>
      <c r="I3033" s="18"/>
      <c r="J3033" s="18"/>
      <c r="K3033" s="18"/>
      <c r="L3033" s="18"/>
      <c r="M3033" s="18"/>
      <c r="N3033" s="18"/>
      <c r="O3033" s="18"/>
      <c r="P3033" s="18"/>
      <c r="Q3033" s="19"/>
      <c r="R3033" s="19"/>
      <c r="S3033" s="19"/>
    </row>
    <row r="3034" ht="15.75" customHeight="1">
      <c r="A3034" s="15">
        <v>45702.67737268518</v>
      </c>
      <c r="B3034" s="16" t="s">
        <v>8067</v>
      </c>
      <c r="C3034" s="16" t="s">
        <v>8035</v>
      </c>
      <c r="D3034" s="16" t="s">
        <v>8081</v>
      </c>
      <c r="E3034" s="16" t="s">
        <v>8082</v>
      </c>
      <c r="F3034" s="16"/>
      <c r="G3034" s="16"/>
      <c r="H3034" s="18"/>
      <c r="I3034" s="18"/>
      <c r="J3034" s="18"/>
      <c r="K3034" s="18"/>
      <c r="L3034" s="18"/>
      <c r="M3034" s="18"/>
      <c r="N3034" s="18"/>
      <c r="O3034" s="18"/>
      <c r="P3034" s="18"/>
      <c r="Q3034" s="19"/>
      <c r="R3034" s="19"/>
      <c r="S3034" s="19"/>
    </row>
    <row r="3035" ht="15.75" customHeight="1">
      <c r="A3035" s="15">
        <v>45703.83730324074</v>
      </c>
      <c r="B3035" s="16" t="s">
        <v>7984</v>
      </c>
      <c r="C3035" s="16" t="s">
        <v>8035</v>
      </c>
      <c r="D3035" s="16" t="s">
        <v>8083</v>
      </c>
      <c r="E3035" s="16" t="s">
        <v>7977</v>
      </c>
      <c r="F3035" s="16"/>
      <c r="G3035" s="16"/>
      <c r="H3035" s="18"/>
      <c r="I3035" s="18"/>
      <c r="J3035" s="18"/>
      <c r="K3035" s="18"/>
      <c r="L3035" s="18"/>
      <c r="M3035" s="18"/>
      <c r="N3035" s="18"/>
      <c r="O3035" s="18"/>
      <c r="P3035" s="18"/>
      <c r="Q3035" s="19"/>
      <c r="R3035" s="19"/>
      <c r="S3035" s="19"/>
    </row>
    <row r="3036" ht="15.75" customHeight="1">
      <c r="A3036" s="15">
        <v>45704.39383101852</v>
      </c>
      <c r="B3036" s="16" t="s">
        <v>8084</v>
      </c>
      <c r="C3036" s="16" t="s">
        <v>8035</v>
      </c>
      <c r="D3036" s="20" t="str">
        <f>?UTF-8?Q?You=E2=80=99re_now_using_Gemini_on_web?=</f>
        <v>#ERROR!</v>
      </c>
      <c r="E3036" s="16" t="s">
        <v>8085</v>
      </c>
      <c r="F3036" s="16"/>
      <c r="G3036" s="16"/>
      <c r="H3036" s="18"/>
      <c r="I3036" s="18"/>
      <c r="J3036" s="18"/>
      <c r="K3036" s="18"/>
      <c r="L3036" s="18"/>
      <c r="M3036" s="18"/>
      <c r="N3036" s="18"/>
      <c r="O3036" s="18"/>
      <c r="P3036" s="18"/>
      <c r="Q3036" s="19"/>
      <c r="R3036" s="19"/>
      <c r="S3036" s="19"/>
    </row>
    <row r="3037" ht="15.75" customHeight="1">
      <c r="A3037" s="15">
        <v>45706.86886574074</v>
      </c>
      <c r="B3037" s="16" t="s">
        <v>7978</v>
      </c>
      <c r="C3037" s="16" t="s">
        <v>8035</v>
      </c>
      <c r="D3037" s="16" t="s">
        <v>6874</v>
      </c>
      <c r="E3037" s="16" t="s">
        <v>7977</v>
      </c>
      <c r="F3037" s="16"/>
      <c r="G3037" s="16"/>
      <c r="H3037" s="18"/>
      <c r="I3037" s="18"/>
      <c r="J3037" s="18"/>
      <c r="K3037" s="18"/>
      <c r="L3037" s="18"/>
      <c r="M3037" s="18"/>
      <c r="N3037" s="18"/>
      <c r="O3037" s="18"/>
      <c r="P3037" s="18"/>
      <c r="Q3037" s="19"/>
      <c r="R3037" s="19"/>
      <c r="S3037" s="19"/>
    </row>
    <row r="3038" ht="15.75" customHeight="1">
      <c r="A3038" s="15">
        <v>45707.0531712963</v>
      </c>
      <c r="B3038" s="16" t="s">
        <v>8067</v>
      </c>
      <c r="C3038" s="16" t="s">
        <v>8035</v>
      </c>
      <c r="D3038" s="16" t="s">
        <v>8086</v>
      </c>
      <c r="E3038" s="16" t="s">
        <v>8087</v>
      </c>
      <c r="F3038" s="16"/>
      <c r="G3038" s="16"/>
      <c r="H3038" s="18"/>
      <c r="I3038" s="18"/>
      <c r="J3038" s="18"/>
      <c r="K3038" s="18"/>
      <c r="L3038" s="18"/>
      <c r="M3038" s="18"/>
      <c r="N3038" s="18"/>
      <c r="O3038" s="18"/>
      <c r="P3038" s="18"/>
      <c r="Q3038" s="19"/>
      <c r="R3038" s="19"/>
      <c r="S3038" s="19"/>
    </row>
    <row r="3039" ht="15.75" customHeight="1">
      <c r="A3039" s="15">
        <v>45707.05894675926</v>
      </c>
      <c r="B3039" s="16" t="s">
        <v>7978</v>
      </c>
      <c r="C3039" s="16" t="s">
        <v>8035</v>
      </c>
      <c r="D3039" s="16" t="s">
        <v>7983</v>
      </c>
      <c r="E3039" s="16" t="s">
        <v>7977</v>
      </c>
      <c r="F3039" s="16"/>
      <c r="G3039" s="16"/>
      <c r="H3039" s="18"/>
      <c r="I3039" s="18"/>
      <c r="J3039" s="18"/>
      <c r="K3039" s="18"/>
      <c r="L3039" s="18"/>
      <c r="M3039" s="18"/>
      <c r="N3039" s="18"/>
      <c r="O3039" s="18"/>
      <c r="P3039" s="18"/>
      <c r="Q3039" s="19"/>
      <c r="R3039" s="19"/>
      <c r="S3039" s="19"/>
    </row>
    <row r="3040" ht="15.75" customHeight="1">
      <c r="A3040" s="15">
        <v>45707.83982638889</v>
      </c>
      <c r="B3040" s="16" t="s">
        <v>7984</v>
      </c>
      <c r="C3040" s="16" t="s">
        <v>8035</v>
      </c>
      <c r="D3040" s="16" t="s">
        <v>8088</v>
      </c>
      <c r="E3040" s="16" t="s">
        <v>7977</v>
      </c>
      <c r="F3040" s="16"/>
      <c r="G3040" s="16"/>
      <c r="H3040" s="18"/>
      <c r="I3040" s="18"/>
      <c r="J3040" s="18"/>
      <c r="K3040" s="18"/>
      <c r="L3040" s="18"/>
      <c r="M3040" s="18"/>
      <c r="N3040" s="18"/>
      <c r="O3040" s="18"/>
      <c r="P3040" s="18"/>
      <c r="Q3040" s="19"/>
      <c r="R3040" s="19"/>
      <c r="S3040" s="19"/>
    </row>
    <row r="3041" ht="15.75" customHeight="1">
      <c r="A3041" s="15">
        <v>45708.99475694444</v>
      </c>
      <c r="B3041" s="16" t="s">
        <v>8075</v>
      </c>
      <c r="C3041" s="16" t="s">
        <v>8035</v>
      </c>
      <c r="D3041" s="16" t="s">
        <v>8089</v>
      </c>
      <c r="E3041" s="16" t="s">
        <v>8077</v>
      </c>
      <c r="F3041" s="16"/>
      <c r="G3041" s="16"/>
      <c r="H3041" s="18"/>
      <c r="I3041" s="18"/>
      <c r="J3041" s="18"/>
      <c r="K3041" s="18"/>
      <c r="L3041" s="18"/>
      <c r="M3041" s="18"/>
      <c r="N3041" s="18"/>
      <c r="O3041" s="18"/>
      <c r="P3041" s="18"/>
      <c r="Q3041" s="19"/>
      <c r="R3041" s="19"/>
      <c r="S3041" s="19"/>
    </row>
    <row r="3042" ht="15.75" customHeight="1">
      <c r="A3042" s="15">
        <v>45709.09328703704</v>
      </c>
      <c r="B3042" s="16" t="s">
        <v>8090</v>
      </c>
      <c r="C3042" s="16" t="s">
        <v>8035</v>
      </c>
      <c r="D3042" s="16" t="s">
        <v>8091</v>
      </c>
      <c r="E3042" s="16" t="s">
        <v>8092</v>
      </c>
      <c r="F3042" s="16"/>
      <c r="G3042" s="16"/>
      <c r="H3042" s="18"/>
      <c r="I3042" s="18"/>
      <c r="J3042" s="18"/>
      <c r="K3042" s="18"/>
      <c r="L3042" s="18"/>
      <c r="M3042" s="18"/>
      <c r="N3042" s="18"/>
      <c r="O3042" s="18"/>
      <c r="P3042" s="18"/>
      <c r="Q3042" s="19"/>
      <c r="R3042" s="19"/>
      <c r="S3042" s="19"/>
    </row>
    <row r="3043" ht="15.75" customHeight="1">
      <c r="A3043" s="15">
        <v>45709.852268518516</v>
      </c>
      <c r="B3043" s="16" t="s">
        <v>7992</v>
      </c>
      <c r="C3043" s="16" t="s">
        <v>8035</v>
      </c>
      <c r="D3043" s="16" t="s">
        <v>7993</v>
      </c>
      <c r="E3043" s="16" t="s">
        <v>7977</v>
      </c>
      <c r="F3043" s="16"/>
      <c r="G3043" s="16"/>
      <c r="H3043" s="18"/>
      <c r="I3043" s="18"/>
      <c r="J3043" s="18"/>
      <c r="K3043" s="18"/>
      <c r="L3043" s="18"/>
      <c r="M3043" s="18"/>
      <c r="N3043" s="18"/>
      <c r="O3043" s="18"/>
      <c r="P3043" s="18"/>
      <c r="Q3043" s="19"/>
      <c r="R3043" s="19"/>
      <c r="S3043" s="19"/>
    </row>
    <row r="3044" ht="15.75" customHeight="1">
      <c r="A3044" s="15">
        <v>45712.708865740744</v>
      </c>
      <c r="B3044" s="16" t="s">
        <v>7992</v>
      </c>
      <c r="C3044" s="16" t="s">
        <v>8035</v>
      </c>
      <c r="D3044" s="16" t="s">
        <v>8066</v>
      </c>
      <c r="E3044" s="16" t="s">
        <v>7977</v>
      </c>
      <c r="F3044" s="16"/>
      <c r="G3044" s="16"/>
      <c r="H3044" s="18"/>
      <c r="I3044" s="18"/>
      <c r="J3044" s="18"/>
      <c r="K3044" s="18"/>
      <c r="L3044" s="18"/>
      <c r="M3044" s="18"/>
      <c r="N3044" s="18"/>
      <c r="O3044" s="18"/>
      <c r="P3044" s="18"/>
      <c r="Q3044" s="19"/>
      <c r="R3044" s="19"/>
      <c r="S3044" s="19"/>
    </row>
    <row r="3045" ht="15.75" customHeight="1">
      <c r="A3045" s="15">
        <v>45714.15555555555</v>
      </c>
      <c r="B3045" s="16" t="s">
        <v>8093</v>
      </c>
      <c r="C3045" s="16" t="s">
        <v>8035</v>
      </c>
      <c r="D3045" s="16" t="s">
        <v>8094</v>
      </c>
      <c r="E3045" s="16" t="s">
        <v>8095</v>
      </c>
      <c r="F3045" s="16"/>
      <c r="G3045" s="16"/>
      <c r="H3045" s="18"/>
      <c r="I3045" s="18"/>
      <c r="J3045" s="18"/>
      <c r="K3045" s="18"/>
      <c r="L3045" s="18"/>
      <c r="M3045" s="18"/>
      <c r="N3045" s="18"/>
      <c r="O3045" s="18"/>
      <c r="P3045" s="18"/>
      <c r="Q3045" s="19"/>
      <c r="R3045" s="19"/>
      <c r="S3045" s="19"/>
    </row>
    <row r="3046" ht="15.75" customHeight="1">
      <c r="A3046" s="15">
        <v>45714.28481481481</v>
      </c>
      <c r="B3046" s="16" t="s">
        <v>8096</v>
      </c>
      <c r="C3046" s="16" t="s">
        <v>8035</v>
      </c>
      <c r="D3046" s="20" t="str">
        <f>?utf-8?Q?[Jimdo]=20Your=20email=20is=20confirmed!?=</f>
        <v>#ERROR!</v>
      </c>
      <c r="E3046" s="16" t="s">
        <v>8097</v>
      </c>
      <c r="F3046" s="16"/>
      <c r="G3046" s="16"/>
      <c r="H3046" s="18"/>
      <c r="I3046" s="18"/>
      <c r="J3046" s="18"/>
      <c r="K3046" s="18"/>
      <c r="L3046" s="18"/>
      <c r="M3046" s="18"/>
      <c r="N3046" s="18"/>
      <c r="O3046" s="18"/>
      <c r="P3046" s="18"/>
      <c r="Q3046" s="19"/>
      <c r="R3046" s="19"/>
      <c r="S3046" s="19"/>
    </row>
    <row r="3047" ht="15.75" customHeight="1">
      <c r="A3047" s="15">
        <v>45714.841469907406</v>
      </c>
      <c r="B3047" s="16" t="s">
        <v>7984</v>
      </c>
      <c r="C3047" s="16" t="s">
        <v>8035</v>
      </c>
      <c r="D3047" s="16" t="s">
        <v>8098</v>
      </c>
      <c r="E3047" s="16" t="s">
        <v>7977</v>
      </c>
      <c r="F3047" s="16"/>
      <c r="G3047" s="16"/>
      <c r="H3047" s="18"/>
      <c r="I3047" s="18"/>
      <c r="J3047" s="18"/>
      <c r="K3047" s="18"/>
      <c r="L3047" s="18"/>
      <c r="M3047" s="18"/>
      <c r="N3047" s="18"/>
      <c r="O3047" s="18"/>
      <c r="P3047" s="18"/>
      <c r="Q3047" s="19"/>
      <c r="R3047" s="19"/>
      <c r="S3047" s="19"/>
    </row>
    <row r="3048" ht="15.75" customHeight="1">
      <c r="A3048" s="15">
        <v>45717.198229166665</v>
      </c>
      <c r="B3048" s="16" t="s">
        <v>8099</v>
      </c>
      <c r="C3048" s="16" t="s">
        <v>8035</v>
      </c>
      <c r="D3048" s="16" t="s">
        <v>8100</v>
      </c>
      <c r="E3048" s="16" t="s">
        <v>8101</v>
      </c>
      <c r="F3048" s="16"/>
      <c r="G3048" s="16"/>
      <c r="H3048" s="18"/>
      <c r="I3048" s="18"/>
      <c r="J3048" s="18"/>
      <c r="K3048" s="18"/>
      <c r="L3048" s="18"/>
      <c r="M3048" s="18"/>
      <c r="N3048" s="18"/>
      <c r="O3048" s="18"/>
      <c r="P3048" s="18"/>
      <c r="Q3048" s="19"/>
      <c r="R3048" s="19"/>
      <c r="S3048" s="19"/>
    </row>
    <row r="3049" ht="15.75" customHeight="1">
      <c r="A3049" s="15">
        <v>45717.851331018515</v>
      </c>
      <c r="B3049" s="16" t="s">
        <v>7984</v>
      </c>
      <c r="C3049" s="16" t="s">
        <v>8035</v>
      </c>
      <c r="D3049" s="16" t="s">
        <v>8102</v>
      </c>
      <c r="E3049" s="16" t="s">
        <v>7977</v>
      </c>
      <c r="F3049" s="16"/>
      <c r="G3049" s="16"/>
      <c r="H3049" s="18"/>
      <c r="I3049" s="18"/>
      <c r="J3049" s="18"/>
      <c r="K3049" s="18"/>
      <c r="L3049" s="18"/>
      <c r="M3049" s="18"/>
      <c r="N3049" s="18"/>
      <c r="O3049" s="18"/>
      <c r="P3049" s="18"/>
      <c r="Q3049" s="19"/>
      <c r="R3049" s="19"/>
      <c r="S3049" s="19"/>
    </row>
    <row r="3050" ht="15.75" customHeight="1">
      <c r="A3050" s="15">
        <v>45718.72021990741</v>
      </c>
      <c r="B3050" s="16" t="s">
        <v>8103</v>
      </c>
      <c r="C3050" s="16" t="s">
        <v>8035</v>
      </c>
      <c r="D3050" s="16" t="s">
        <v>8104</v>
      </c>
      <c r="E3050" s="16" t="s">
        <v>8105</v>
      </c>
      <c r="F3050" s="16"/>
      <c r="G3050" s="16"/>
      <c r="H3050" s="18"/>
      <c r="I3050" s="18"/>
      <c r="J3050" s="18"/>
      <c r="K3050" s="18"/>
      <c r="L3050" s="18"/>
      <c r="M3050" s="18"/>
      <c r="N3050" s="18"/>
      <c r="O3050" s="18"/>
      <c r="P3050" s="18"/>
      <c r="Q3050" s="19"/>
      <c r="R3050" s="19"/>
      <c r="S3050" s="19"/>
    </row>
    <row r="3051" ht="15.75" customHeight="1">
      <c r="A3051" s="15">
        <v>45719.84396990741</v>
      </c>
      <c r="B3051" s="16" t="s">
        <v>7978</v>
      </c>
      <c r="C3051" s="16" t="s">
        <v>8035</v>
      </c>
      <c r="D3051" s="16" t="s">
        <v>6952</v>
      </c>
      <c r="E3051" s="16" t="s">
        <v>7977</v>
      </c>
      <c r="F3051" s="16"/>
      <c r="G3051" s="16"/>
      <c r="H3051" s="18"/>
      <c r="I3051" s="18"/>
      <c r="J3051" s="18"/>
      <c r="K3051" s="18"/>
      <c r="L3051" s="18"/>
      <c r="M3051" s="18"/>
      <c r="N3051" s="18"/>
      <c r="O3051" s="18"/>
      <c r="P3051" s="18"/>
      <c r="Q3051" s="19"/>
      <c r="R3051" s="19"/>
      <c r="S3051" s="19"/>
    </row>
    <row r="3052" ht="15.75" customHeight="1">
      <c r="A3052" s="15">
        <v>45720.06145833333</v>
      </c>
      <c r="B3052" s="16" t="s">
        <v>7978</v>
      </c>
      <c r="C3052" s="16" t="s">
        <v>8035</v>
      </c>
      <c r="D3052" s="16" t="s">
        <v>6874</v>
      </c>
      <c r="E3052" s="16" t="s">
        <v>7977</v>
      </c>
      <c r="F3052" s="16"/>
      <c r="G3052" s="16"/>
      <c r="H3052" s="18"/>
      <c r="I3052" s="18"/>
      <c r="J3052" s="18"/>
      <c r="K3052" s="18"/>
      <c r="L3052" s="18"/>
      <c r="M3052" s="18"/>
      <c r="N3052" s="18"/>
      <c r="O3052" s="18"/>
      <c r="P3052" s="18"/>
      <c r="Q3052" s="19"/>
      <c r="R3052" s="19"/>
      <c r="S3052" s="19"/>
    </row>
    <row r="3053" ht="15.75" customHeight="1">
      <c r="A3053" s="15">
        <v>45720.84300925926</v>
      </c>
      <c r="B3053" s="16" t="s">
        <v>7978</v>
      </c>
      <c r="C3053" s="16" t="s">
        <v>8035</v>
      </c>
      <c r="D3053" s="20" t="str">
        <f>?UTF-8?q?50%_off_your_next_3_orders_-_just_for_you_=F0=9F=91=80?=</f>
        <v>#ERROR!</v>
      </c>
      <c r="E3053" s="16" t="s">
        <v>7977</v>
      </c>
      <c r="F3053" s="16"/>
      <c r="G3053" s="16"/>
      <c r="H3053" s="18"/>
      <c r="I3053" s="18"/>
      <c r="J3053" s="18"/>
      <c r="K3053" s="18"/>
      <c r="L3053" s="18"/>
      <c r="M3053" s="18"/>
      <c r="N3053" s="18"/>
      <c r="O3053" s="18"/>
      <c r="P3053" s="18"/>
      <c r="Q3053" s="19"/>
      <c r="R3053" s="19"/>
      <c r="S3053" s="19"/>
    </row>
    <row r="3054" ht="15.75" customHeight="1">
      <c r="A3054" s="15">
        <v>45721.57796296296</v>
      </c>
      <c r="B3054" s="16" t="s">
        <v>8106</v>
      </c>
      <c r="C3054" s="16" t="s">
        <v>8035</v>
      </c>
      <c r="D3054" s="16" t="s">
        <v>8107</v>
      </c>
      <c r="E3054" s="16" t="s">
        <v>8108</v>
      </c>
      <c r="F3054" s="16"/>
      <c r="G3054" s="16"/>
      <c r="H3054" s="18"/>
      <c r="I3054" s="18"/>
      <c r="J3054" s="18"/>
      <c r="K3054" s="18"/>
      <c r="L3054" s="18"/>
      <c r="M3054" s="18"/>
      <c r="N3054" s="18"/>
      <c r="O3054" s="18"/>
      <c r="P3054" s="18"/>
      <c r="Q3054" s="19"/>
      <c r="R3054" s="19"/>
      <c r="S3054" s="19"/>
    </row>
    <row r="3055" ht="15.75" customHeight="1">
      <c r="A3055" s="15">
        <v>45721.84278935185</v>
      </c>
      <c r="B3055" s="16" t="s">
        <v>7984</v>
      </c>
      <c r="C3055" s="16" t="s">
        <v>8035</v>
      </c>
      <c r="D3055" s="16" t="s">
        <v>8109</v>
      </c>
      <c r="E3055" s="16" t="s">
        <v>7977</v>
      </c>
      <c r="F3055" s="16"/>
      <c r="G3055" s="16"/>
      <c r="H3055" s="18"/>
      <c r="I3055" s="18"/>
      <c r="J3055" s="18"/>
      <c r="K3055" s="18"/>
      <c r="L3055" s="18"/>
      <c r="M3055" s="18"/>
      <c r="N3055" s="18"/>
      <c r="O3055" s="18"/>
      <c r="P3055" s="18"/>
      <c r="Q3055" s="19"/>
      <c r="R3055" s="19"/>
      <c r="S3055" s="19"/>
    </row>
    <row r="3056" ht="15.75" customHeight="1">
      <c r="A3056" s="15">
        <v>45723.822430555556</v>
      </c>
      <c r="B3056" s="16" t="s">
        <v>8067</v>
      </c>
      <c r="C3056" s="16" t="s">
        <v>8035</v>
      </c>
      <c r="D3056" s="16" t="s">
        <v>8110</v>
      </c>
      <c r="E3056" s="16" t="s">
        <v>8111</v>
      </c>
      <c r="F3056" s="16"/>
      <c r="G3056" s="16"/>
      <c r="H3056" s="18"/>
      <c r="I3056" s="18"/>
      <c r="J3056" s="18"/>
      <c r="K3056" s="18"/>
      <c r="L3056" s="18"/>
      <c r="M3056" s="18"/>
      <c r="N3056" s="18"/>
      <c r="O3056" s="18"/>
      <c r="P3056" s="18"/>
      <c r="Q3056" s="19"/>
      <c r="R3056" s="19"/>
      <c r="S3056" s="19"/>
    </row>
    <row r="3057" ht="15.75" customHeight="1">
      <c r="A3057" s="15">
        <v>45724.83587962963</v>
      </c>
      <c r="B3057" s="16" t="s">
        <v>7984</v>
      </c>
      <c r="C3057" s="16" t="s">
        <v>8035</v>
      </c>
      <c r="D3057" s="16" t="s">
        <v>8112</v>
      </c>
      <c r="E3057" s="16" t="s">
        <v>7977</v>
      </c>
      <c r="F3057" s="16"/>
      <c r="G3057" s="16"/>
      <c r="H3057" s="18"/>
      <c r="I3057" s="18"/>
      <c r="J3057" s="18"/>
      <c r="K3057" s="18"/>
      <c r="L3057" s="18"/>
      <c r="M3057" s="18"/>
      <c r="N3057" s="18"/>
      <c r="O3057" s="18"/>
      <c r="P3057" s="18"/>
      <c r="Q3057" s="19"/>
      <c r="R3057" s="19"/>
      <c r="S3057" s="19"/>
    </row>
    <row r="3058" ht="15.75" customHeight="1">
      <c r="A3058" s="15">
        <v>45725.578252314815</v>
      </c>
      <c r="B3058" s="16" t="s">
        <v>8106</v>
      </c>
      <c r="C3058" s="16" t="s">
        <v>8035</v>
      </c>
      <c r="D3058" s="16" t="s">
        <v>8113</v>
      </c>
      <c r="E3058" s="16" t="s">
        <v>8114</v>
      </c>
      <c r="F3058" s="16"/>
      <c r="G3058" s="16"/>
      <c r="H3058" s="18"/>
      <c r="I3058" s="18"/>
      <c r="J3058" s="18"/>
      <c r="K3058" s="18"/>
      <c r="L3058" s="18"/>
      <c r="M3058" s="18"/>
      <c r="N3058" s="18"/>
      <c r="O3058" s="18"/>
      <c r="P3058" s="18"/>
      <c r="Q3058" s="19"/>
      <c r="R3058" s="19"/>
      <c r="S3058" s="19"/>
    </row>
    <row r="3059" ht="15.75" customHeight="1">
      <c r="A3059" s="15">
        <v>45725.81570601852</v>
      </c>
      <c r="B3059" s="16" t="s">
        <v>7984</v>
      </c>
      <c r="C3059" s="16" t="s">
        <v>8035</v>
      </c>
      <c r="D3059" s="20" t="str">
        <f>?UTF-8?q?Tempted_by_something_tasty=3F_=F0=9F=91=80?=</f>
        <v>#ERROR!</v>
      </c>
      <c r="E3059" s="16" t="s">
        <v>7977</v>
      </c>
      <c r="F3059" s="16"/>
      <c r="G3059" s="16"/>
      <c r="H3059" s="18"/>
      <c r="I3059" s="18"/>
      <c r="J3059" s="18"/>
      <c r="K3059" s="18"/>
      <c r="L3059" s="18"/>
      <c r="M3059" s="18"/>
      <c r="N3059" s="18"/>
      <c r="O3059" s="18"/>
      <c r="P3059" s="18"/>
      <c r="Q3059" s="19"/>
      <c r="R3059" s="19"/>
      <c r="S3059" s="19"/>
    </row>
    <row r="3060" ht="15.75" customHeight="1">
      <c r="A3060" s="15">
        <v>45728.79945601852</v>
      </c>
      <c r="B3060" s="16" t="s">
        <v>7984</v>
      </c>
      <c r="C3060" s="16" t="s">
        <v>8035</v>
      </c>
      <c r="D3060" s="16" t="s">
        <v>7003</v>
      </c>
      <c r="E3060" s="16" t="s">
        <v>7977</v>
      </c>
      <c r="F3060" s="16"/>
      <c r="G3060" s="16"/>
      <c r="H3060" s="18"/>
      <c r="I3060" s="18"/>
      <c r="J3060" s="18"/>
      <c r="K3060" s="18"/>
      <c r="L3060" s="18"/>
      <c r="M3060" s="18"/>
      <c r="N3060" s="18"/>
      <c r="O3060" s="18"/>
      <c r="P3060" s="18"/>
      <c r="Q3060" s="19"/>
      <c r="R3060" s="19"/>
      <c r="S3060" s="19"/>
    </row>
    <row r="3061" ht="15.75" customHeight="1">
      <c r="A3061" s="15">
        <v>45729.66039351852</v>
      </c>
      <c r="B3061" s="16" t="s">
        <v>7978</v>
      </c>
      <c r="C3061" s="16" t="s">
        <v>8035</v>
      </c>
      <c r="D3061" s="20" t="str">
        <f>?UTF-8?q?Fuel_for_the_game_at_30%_off_=F0=9F=8F=80?=</f>
        <v>#ERROR!</v>
      </c>
      <c r="E3061" s="16" t="s">
        <v>7977</v>
      </c>
      <c r="F3061" s="16"/>
      <c r="G3061" s="16"/>
      <c r="H3061" s="18"/>
      <c r="I3061" s="18"/>
      <c r="J3061" s="18"/>
      <c r="K3061" s="18"/>
      <c r="L3061" s="18"/>
      <c r="M3061" s="18"/>
      <c r="N3061" s="18"/>
      <c r="O3061" s="18"/>
      <c r="P3061" s="18"/>
      <c r="Q3061" s="19"/>
      <c r="R3061" s="19"/>
      <c r="S3061" s="19"/>
    </row>
    <row r="3062" ht="15.75" customHeight="1">
      <c r="A3062" s="15">
        <v>45730.57732638889</v>
      </c>
      <c r="B3062" s="16" t="s">
        <v>7978</v>
      </c>
      <c r="C3062" s="16" t="s">
        <v>8035</v>
      </c>
      <c r="D3062" s="16" t="s">
        <v>6992</v>
      </c>
      <c r="E3062" s="16" t="s">
        <v>7977</v>
      </c>
      <c r="F3062" s="16"/>
      <c r="G3062" s="16"/>
      <c r="H3062" s="18"/>
      <c r="I3062" s="18"/>
      <c r="J3062" s="18"/>
      <c r="K3062" s="18"/>
      <c r="L3062" s="18"/>
      <c r="M3062" s="18"/>
      <c r="N3062" s="18"/>
      <c r="O3062" s="18"/>
      <c r="P3062" s="18"/>
      <c r="Q3062" s="19"/>
      <c r="R3062" s="19"/>
      <c r="S3062" s="19"/>
    </row>
    <row r="3063" ht="15.75" customHeight="1">
      <c r="A3063" s="15">
        <v>45732.762511574074</v>
      </c>
      <c r="B3063" s="16" t="s">
        <v>7984</v>
      </c>
      <c r="C3063" s="16" t="s">
        <v>8035</v>
      </c>
      <c r="D3063" s="16" t="s">
        <v>7007</v>
      </c>
      <c r="E3063" s="16" t="s">
        <v>7977</v>
      </c>
      <c r="F3063" s="16"/>
      <c r="G3063" s="16"/>
      <c r="H3063" s="18"/>
      <c r="I3063" s="18"/>
      <c r="J3063" s="18"/>
      <c r="K3063" s="18"/>
      <c r="L3063" s="18"/>
      <c r="M3063" s="18"/>
      <c r="N3063" s="18"/>
      <c r="O3063" s="18"/>
      <c r="P3063" s="18"/>
      <c r="Q3063" s="19"/>
      <c r="R3063" s="19"/>
      <c r="S3063" s="19"/>
    </row>
    <row r="3064" ht="15.75" customHeight="1">
      <c r="A3064" s="15">
        <v>45733.46162037037</v>
      </c>
      <c r="B3064" s="16" t="s">
        <v>7978</v>
      </c>
      <c r="C3064" s="16" t="s">
        <v>8035</v>
      </c>
      <c r="D3064" s="16" t="s">
        <v>6986</v>
      </c>
      <c r="E3064" s="16" t="s">
        <v>7977</v>
      </c>
      <c r="F3064" s="16"/>
      <c r="G3064" s="16"/>
      <c r="H3064" s="18"/>
      <c r="I3064" s="18"/>
      <c r="J3064" s="18"/>
      <c r="K3064" s="18"/>
      <c r="L3064" s="18"/>
      <c r="M3064" s="18"/>
      <c r="N3064" s="18"/>
      <c r="O3064" s="18"/>
      <c r="P3064" s="18"/>
      <c r="Q3064" s="19"/>
      <c r="R3064" s="19"/>
      <c r="S3064" s="19"/>
    </row>
    <row r="3065" ht="15.75" customHeight="1">
      <c r="A3065" s="15">
        <v>45733.6877662037</v>
      </c>
      <c r="B3065" s="16" t="s">
        <v>7984</v>
      </c>
      <c r="C3065" s="16" t="s">
        <v>8035</v>
      </c>
      <c r="D3065" s="16" t="s">
        <v>8115</v>
      </c>
      <c r="E3065" s="16" t="s">
        <v>7977</v>
      </c>
      <c r="F3065" s="16"/>
      <c r="G3065" s="16"/>
      <c r="H3065" s="18"/>
      <c r="I3065" s="18"/>
      <c r="J3065" s="18"/>
      <c r="K3065" s="18"/>
      <c r="L3065" s="18"/>
      <c r="M3065" s="18"/>
      <c r="N3065" s="18"/>
      <c r="O3065" s="18"/>
      <c r="P3065" s="18"/>
      <c r="Q3065" s="19"/>
      <c r="R3065" s="19"/>
      <c r="S3065" s="19"/>
    </row>
    <row r="3066" ht="15.75" customHeight="1">
      <c r="A3066" s="15">
        <v>45735.82643518518</v>
      </c>
      <c r="B3066" s="16" t="s">
        <v>8116</v>
      </c>
      <c r="C3066" s="16" t="s">
        <v>8035</v>
      </c>
      <c r="D3066" s="16" t="s">
        <v>8117</v>
      </c>
      <c r="E3066" s="16" t="s">
        <v>8118</v>
      </c>
      <c r="F3066" s="16"/>
      <c r="G3066" s="16"/>
      <c r="H3066" s="18"/>
      <c r="I3066" s="18"/>
      <c r="J3066" s="18"/>
      <c r="K3066" s="18"/>
      <c r="L3066" s="18"/>
      <c r="M3066" s="18"/>
      <c r="N3066" s="18"/>
      <c r="O3066" s="18"/>
      <c r="P3066" s="18"/>
      <c r="Q3066" s="19"/>
      <c r="R3066" s="19"/>
      <c r="S3066" s="19"/>
    </row>
    <row r="3067" ht="15.75" customHeight="1">
      <c r="A3067" s="15">
        <v>45735.86546296296</v>
      </c>
      <c r="B3067" s="16" t="s">
        <v>8067</v>
      </c>
      <c r="C3067" s="16" t="s">
        <v>8035</v>
      </c>
      <c r="D3067" s="16" t="s">
        <v>8119</v>
      </c>
      <c r="E3067" s="16" t="s">
        <v>8120</v>
      </c>
      <c r="F3067" s="16"/>
      <c r="G3067" s="16"/>
      <c r="H3067" s="18"/>
      <c r="I3067" s="18"/>
      <c r="J3067" s="18"/>
      <c r="K3067" s="18"/>
      <c r="L3067" s="18"/>
      <c r="M3067" s="18"/>
      <c r="N3067" s="18"/>
      <c r="O3067" s="18"/>
      <c r="P3067" s="18"/>
      <c r="Q3067" s="19"/>
      <c r="R3067" s="19"/>
      <c r="S3067" s="19"/>
    </row>
    <row r="3068" ht="15.75" customHeight="1">
      <c r="A3068" s="15">
        <v>45736.54898148148</v>
      </c>
      <c r="B3068" s="16" t="s">
        <v>7992</v>
      </c>
      <c r="C3068" s="16" t="s">
        <v>8035</v>
      </c>
      <c r="D3068" s="16" t="s">
        <v>7993</v>
      </c>
      <c r="E3068" s="16" t="s">
        <v>7977</v>
      </c>
      <c r="F3068" s="16"/>
      <c r="G3068" s="16"/>
      <c r="H3068" s="18"/>
      <c r="I3068" s="18"/>
      <c r="J3068" s="18"/>
      <c r="K3068" s="18"/>
      <c r="L3068" s="18"/>
      <c r="M3068" s="18"/>
      <c r="N3068" s="18"/>
      <c r="O3068" s="18"/>
      <c r="P3068" s="18"/>
      <c r="Q3068" s="19"/>
      <c r="R3068" s="19"/>
      <c r="S3068" s="19"/>
    </row>
    <row r="3069" ht="15.75" customHeight="1">
      <c r="A3069" s="15">
        <v>45737.57971064815</v>
      </c>
      <c r="B3069" s="16" t="s">
        <v>7978</v>
      </c>
      <c r="C3069" s="16" t="s">
        <v>8035</v>
      </c>
      <c r="D3069" s="16" t="s">
        <v>6992</v>
      </c>
      <c r="E3069" s="16" t="s">
        <v>7977</v>
      </c>
      <c r="F3069" s="16"/>
      <c r="G3069" s="16"/>
      <c r="H3069" s="18"/>
      <c r="I3069" s="18"/>
      <c r="J3069" s="18"/>
      <c r="K3069" s="18"/>
      <c r="L3069" s="18"/>
      <c r="M3069" s="18"/>
      <c r="N3069" s="18"/>
      <c r="O3069" s="18"/>
      <c r="P3069" s="18"/>
      <c r="Q3069" s="19"/>
      <c r="R3069" s="19"/>
      <c r="S3069" s="19"/>
    </row>
    <row r="3070" ht="15.75" customHeight="1">
      <c r="A3070" s="15">
        <v>45740.45347222222</v>
      </c>
      <c r="B3070" s="16" t="s">
        <v>7978</v>
      </c>
      <c r="C3070" s="16" t="s">
        <v>8035</v>
      </c>
      <c r="D3070" s="16" t="s">
        <v>6986</v>
      </c>
      <c r="E3070" s="16" t="s">
        <v>7977</v>
      </c>
      <c r="F3070" s="16"/>
      <c r="G3070" s="16"/>
      <c r="H3070" s="18"/>
      <c r="I3070" s="18"/>
      <c r="J3070" s="18"/>
      <c r="K3070" s="18"/>
      <c r="L3070" s="18"/>
      <c r="M3070" s="18"/>
      <c r="N3070" s="18"/>
      <c r="O3070" s="18"/>
      <c r="P3070" s="18"/>
      <c r="Q3070" s="19"/>
      <c r="R3070" s="19"/>
      <c r="S3070" s="19"/>
    </row>
    <row r="3071" ht="15.75" customHeight="1">
      <c r="A3071" s="15">
        <v>45740.794895833336</v>
      </c>
      <c r="B3071" s="16" t="s">
        <v>7984</v>
      </c>
      <c r="C3071" s="16" t="s">
        <v>8035</v>
      </c>
      <c r="D3071" s="16" t="s">
        <v>7007</v>
      </c>
      <c r="E3071" s="16" t="s">
        <v>7977</v>
      </c>
      <c r="F3071" s="16"/>
      <c r="G3071" s="16"/>
      <c r="H3071" s="18"/>
      <c r="I3071" s="18"/>
      <c r="J3071" s="18"/>
      <c r="K3071" s="18"/>
      <c r="L3071" s="18"/>
      <c r="M3071" s="18"/>
      <c r="N3071" s="18"/>
      <c r="O3071" s="18"/>
      <c r="P3071" s="18"/>
      <c r="Q3071" s="19"/>
      <c r="R3071" s="19"/>
      <c r="S3071" s="19"/>
    </row>
    <row r="3072" ht="15.75" customHeight="1">
      <c r="A3072" s="15">
        <v>45741.443240740744</v>
      </c>
      <c r="B3072" s="16" t="s">
        <v>7978</v>
      </c>
      <c r="C3072" s="16" t="s">
        <v>8035</v>
      </c>
      <c r="D3072" s="16" t="s">
        <v>7983</v>
      </c>
      <c r="E3072" s="16" t="s">
        <v>7977</v>
      </c>
      <c r="F3072" s="16"/>
      <c r="G3072" s="16"/>
      <c r="H3072" s="18"/>
      <c r="I3072" s="18"/>
      <c r="J3072" s="18"/>
      <c r="K3072" s="18"/>
      <c r="L3072" s="18"/>
      <c r="M3072" s="18"/>
      <c r="N3072" s="18"/>
      <c r="O3072" s="18"/>
      <c r="P3072" s="18"/>
      <c r="Q3072" s="19"/>
      <c r="R3072" s="19"/>
      <c r="S3072" s="19"/>
    </row>
    <row r="3073" ht="15.75" customHeight="1">
      <c r="A3073" s="15">
        <v>45741.662824074076</v>
      </c>
      <c r="B3073" s="16" t="s">
        <v>7978</v>
      </c>
      <c r="C3073" s="16" t="s">
        <v>8035</v>
      </c>
      <c r="D3073" s="16" t="s">
        <v>6874</v>
      </c>
      <c r="E3073" s="16" t="s">
        <v>7977</v>
      </c>
      <c r="F3073" s="16"/>
      <c r="G3073" s="16"/>
      <c r="H3073" s="18"/>
      <c r="I3073" s="18"/>
      <c r="J3073" s="18"/>
      <c r="K3073" s="18"/>
      <c r="L3073" s="18"/>
      <c r="M3073" s="18"/>
      <c r="N3073" s="18"/>
      <c r="O3073" s="18"/>
      <c r="P3073" s="18"/>
      <c r="Q3073" s="19"/>
      <c r="R3073" s="19"/>
      <c r="S3073" s="19"/>
    </row>
    <row r="3074" ht="15.75" customHeight="1">
      <c r="A3074" s="15">
        <v>45742.54357638889</v>
      </c>
      <c r="B3074" s="16" t="s">
        <v>7984</v>
      </c>
      <c r="C3074" s="16" t="s">
        <v>8035</v>
      </c>
      <c r="D3074" s="16" t="s">
        <v>8121</v>
      </c>
      <c r="E3074" s="16" t="s">
        <v>7977</v>
      </c>
      <c r="F3074" s="16"/>
      <c r="G3074" s="16"/>
      <c r="H3074" s="18"/>
      <c r="I3074" s="18"/>
      <c r="J3074" s="18"/>
      <c r="K3074" s="18"/>
      <c r="L3074" s="18"/>
      <c r="M3074" s="18"/>
      <c r="N3074" s="18"/>
      <c r="O3074" s="18"/>
      <c r="P3074" s="18"/>
      <c r="Q3074" s="19"/>
      <c r="R3074" s="19"/>
      <c r="S3074" s="19"/>
    </row>
    <row r="3075" ht="15.75" customHeight="1">
      <c r="A3075" s="15">
        <v>45744.70489583333</v>
      </c>
      <c r="B3075" s="16" t="s">
        <v>7978</v>
      </c>
      <c r="C3075" s="16" t="s">
        <v>8035</v>
      </c>
      <c r="D3075" s="16" t="s">
        <v>6992</v>
      </c>
      <c r="E3075" s="16" t="s">
        <v>7977</v>
      </c>
      <c r="F3075" s="16"/>
      <c r="G3075" s="16"/>
      <c r="H3075" s="18"/>
      <c r="I3075" s="18"/>
      <c r="J3075" s="18"/>
      <c r="K3075" s="18"/>
      <c r="L3075" s="18"/>
      <c r="M3075" s="18"/>
      <c r="N3075" s="18"/>
      <c r="O3075" s="18"/>
      <c r="P3075" s="18"/>
      <c r="Q3075" s="19"/>
      <c r="R3075" s="19"/>
      <c r="S3075" s="19"/>
    </row>
    <row r="3076" ht="15.75" customHeight="1">
      <c r="A3076" s="15">
        <v>45744.899201388886</v>
      </c>
      <c r="B3076" s="16" t="s">
        <v>7984</v>
      </c>
      <c r="C3076" s="16" t="s">
        <v>8035</v>
      </c>
      <c r="D3076" s="16" t="s">
        <v>8122</v>
      </c>
      <c r="E3076" s="16" t="s">
        <v>7977</v>
      </c>
      <c r="F3076" s="16"/>
      <c r="G3076" s="16"/>
      <c r="H3076" s="18"/>
      <c r="I3076" s="18"/>
      <c r="J3076" s="18"/>
      <c r="K3076" s="18"/>
      <c r="L3076" s="18"/>
      <c r="M3076" s="18"/>
      <c r="N3076" s="18"/>
      <c r="O3076" s="18"/>
      <c r="P3076" s="18"/>
      <c r="Q3076" s="19"/>
      <c r="R3076" s="19"/>
      <c r="S3076" s="19"/>
    </row>
    <row r="3077" ht="15.75" customHeight="1">
      <c r="A3077" s="15">
        <v>45747.45290509259</v>
      </c>
      <c r="B3077" s="16" t="s">
        <v>7978</v>
      </c>
      <c r="C3077" s="16" t="s">
        <v>8035</v>
      </c>
      <c r="D3077" s="16" t="s">
        <v>6986</v>
      </c>
      <c r="E3077" s="16" t="s">
        <v>7977</v>
      </c>
      <c r="F3077" s="16"/>
      <c r="G3077" s="16"/>
      <c r="H3077" s="18"/>
      <c r="I3077" s="18"/>
      <c r="J3077" s="18"/>
      <c r="K3077" s="18"/>
      <c r="L3077" s="18"/>
      <c r="M3077" s="18"/>
      <c r="N3077" s="18"/>
      <c r="O3077" s="18"/>
      <c r="P3077" s="18"/>
      <c r="Q3077" s="19"/>
      <c r="R3077" s="19"/>
      <c r="S3077" s="19"/>
    </row>
    <row r="3078" ht="15.75" customHeight="1">
      <c r="A3078" s="15">
        <v>45747.65480324074</v>
      </c>
      <c r="B3078" s="16" t="s">
        <v>7984</v>
      </c>
      <c r="C3078" s="16" t="s">
        <v>8035</v>
      </c>
      <c r="D3078" s="16" t="s">
        <v>8123</v>
      </c>
      <c r="E3078" s="16" t="s">
        <v>7977</v>
      </c>
      <c r="F3078" s="16"/>
      <c r="G3078" s="16"/>
      <c r="H3078" s="18"/>
      <c r="I3078" s="18"/>
      <c r="J3078" s="18"/>
      <c r="K3078" s="18"/>
      <c r="L3078" s="18"/>
      <c r="M3078" s="18"/>
      <c r="N3078" s="18"/>
      <c r="O3078" s="18"/>
      <c r="P3078" s="18"/>
      <c r="Q3078" s="19"/>
      <c r="R3078" s="19"/>
      <c r="S3078" s="19"/>
    </row>
    <row r="3079" ht="15.75" customHeight="1">
      <c r="A3079" s="15">
        <v>45748.43863425926</v>
      </c>
      <c r="B3079" s="16" t="s">
        <v>7978</v>
      </c>
      <c r="C3079" s="16" t="s">
        <v>8035</v>
      </c>
      <c r="D3079" s="20" t="str">
        <f>?UTF-8?q?50%_off_your_next_3_orders_-_just_for_you_=F0=9F=91=80?=</f>
        <v>#ERROR!</v>
      </c>
      <c r="E3079" s="16" t="s">
        <v>7977</v>
      </c>
      <c r="F3079" s="16"/>
      <c r="G3079" s="16"/>
      <c r="H3079" s="18"/>
      <c r="I3079" s="18"/>
      <c r="J3079" s="18"/>
      <c r="K3079" s="18"/>
      <c r="L3079" s="18"/>
      <c r="M3079" s="18"/>
      <c r="N3079" s="18"/>
      <c r="O3079" s="18"/>
      <c r="P3079" s="18"/>
      <c r="Q3079" s="19"/>
      <c r="R3079" s="19"/>
      <c r="S3079" s="19"/>
    </row>
    <row r="3080" ht="15.75" customHeight="1">
      <c r="A3080" s="15">
        <v>45749.51462962963</v>
      </c>
      <c r="B3080" s="16" t="s">
        <v>8124</v>
      </c>
      <c r="C3080" s="16" t="s">
        <v>8035</v>
      </c>
      <c r="D3080" s="20" t="str">
        <f>?utf-8?q?Will_a_smoker=E2=80=99s_lungs_clean_themselves_if_they_quit_smokin?=
 =?utf-8?q?g_and_how_long_does_it_take=3F?=</f>
        <v>#ERROR!</v>
      </c>
      <c r="E3080" s="16" t="s">
        <v>8125</v>
      </c>
      <c r="F3080" s="16"/>
      <c r="G3080" s="16"/>
      <c r="H3080" s="18"/>
      <c r="I3080" s="18"/>
      <c r="J3080" s="18"/>
      <c r="K3080" s="18"/>
      <c r="L3080" s="18"/>
      <c r="M3080" s="18"/>
      <c r="N3080" s="18"/>
      <c r="O3080" s="18"/>
      <c r="P3080" s="18"/>
      <c r="Q3080" s="19"/>
      <c r="R3080" s="19"/>
      <c r="S3080" s="19"/>
    </row>
    <row r="3081" ht="15.75" customHeight="1">
      <c r="A3081" s="15">
        <v>45749.53807870371</v>
      </c>
      <c r="B3081" s="16" t="s">
        <v>7984</v>
      </c>
      <c r="C3081" s="16" t="s">
        <v>8035</v>
      </c>
      <c r="D3081" s="16" t="s">
        <v>8126</v>
      </c>
      <c r="E3081" s="16" t="s">
        <v>7977</v>
      </c>
      <c r="F3081" s="16"/>
      <c r="G3081" s="16"/>
      <c r="H3081" s="18"/>
      <c r="I3081" s="18"/>
      <c r="J3081" s="18"/>
      <c r="K3081" s="18"/>
      <c r="L3081" s="18"/>
      <c r="M3081" s="18"/>
      <c r="N3081" s="18"/>
      <c r="O3081" s="18"/>
      <c r="P3081" s="18"/>
      <c r="Q3081" s="19"/>
      <c r="R3081" s="19"/>
      <c r="S3081" s="19"/>
    </row>
    <row r="3082" ht="15.75" customHeight="1">
      <c r="A3082" s="15">
        <v>45749.72487268518</v>
      </c>
      <c r="B3082" s="16" t="s">
        <v>7984</v>
      </c>
      <c r="C3082" s="16" t="s">
        <v>8035</v>
      </c>
      <c r="D3082" s="20" t="str">
        <f>?UTF-8?q?See_what=E2=80=99s_exciting_other_customers?=</f>
        <v>#ERROR!</v>
      </c>
      <c r="E3082" s="16" t="s">
        <v>7977</v>
      </c>
      <c r="F3082" s="16"/>
      <c r="G3082" s="16"/>
      <c r="H3082" s="18"/>
      <c r="I3082" s="18"/>
      <c r="J3082" s="18"/>
      <c r="K3082" s="18"/>
      <c r="L3082" s="18"/>
      <c r="M3082" s="18"/>
      <c r="N3082" s="18"/>
      <c r="O3082" s="18"/>
      <c r="P3082" s="18"/>
      <c r="Q3082" s="19"/>
      <c r="R3082" s="19"/>
      <c r="S3082" s="19"/>
    </row>
    <row r="3083" ht="15.75" customHeight="1">
      <c r="A3083" s="15">
        <v>45750.49704861111</v>
      </c>
      <c r="B3083" s="16" t="s">
        <v>7992</v>
      </c>
      <c r="C3083" s="16" t="s">
        <v>8035</v>
      </c>
      <c r="D3083" s="16" t="s">
        <v>7993</v>
      </c>
      <c r="E3083" s="16" t="s">
        <v>7977</v>
      </c>
      <c r="F3083" s="16"/>
      <c r="G3083" s="16"/>
      <c r="H3083" s="18"/>
      <c r="I3083" s="18"/>
      <c r="J3083" s="18"/>
      <c r="K3083" s="18"/>
      <c r="L3083" s="18"/>
      <c r="M3083" s="18"/>
      <c r="N3083" s="18"/>
      <c r="O3083" s="18"/>
      <c r="P3083" s="18"/>
      <c r="Q3083" s="19"/>
      <c r="R3083" s="19"/>
      <c r="S3083" s="19"/>
    </row>
    <row r="3084" ht="15.75" customHeight="1">
      <c r="A3084" s="15">
        <v>45751.6575</v>
      </c>
      <c r="B3084" s="16" t="s">
        <v>7978</v>
      </c>
      <c r="C3084" s="16" t="s">
        <v>8035</v>
      </c>
      <c r="D3084" s="16" t="s">
        <v>6992</v>
      </c>
      <c r="E3084" s="16" t="s">
        <v>7977</v>
      </c>
      <c r="F3084" s="16"/>
      <c r="G3084" s="16"/>
      <c r="H3084" s="18"/>
      <c r="I3084" s="18"/>
      <c r="J3084" s="18"/>
      <c r="K3084" s="18"/>
      <c r="L3084" s="18"/>
      <c r="M3084" s="18"/>
      <c r="N3084" s="18"/>
      <c r="O3084" s="18"/>
      <c r="P3084" s="18"/>
      <c r="Q3084" s="19"/>
      <c r="R3084" s="19"/>
      <c r="S3084" s="19"/>
    </row>
    <row r="3085" ht="15.75" customHeight="1">
      <c r="A3085" s="15">
        <v>45752.487974537034</v>
      </c>
      <c r="B3085" s="16" t="s">
        <v>8063</v>
      </c>
      <c r="C3085" s="16" t="s">
        <v>8035</v>
      </c>
      <c r="D3085" s="16" t="s">
        <v>8127</v>
      </c>
      <c r="E3085" s="16" t="s">
        <v>7977</v>
      </c>
      <c r="F3085" s="16"/>
      <c r="G3085" s="16"/>
      <c r="H3085" s="18"/>
      <c r="I3085" s="18"/>
      <c r="J3085" s="18"/>
      <c r="K3085" s="18"/>
      <c r="L3085" s="18"/>
      <c r="M3085" s="18"/>
      <c r="N3085" s="18"/>
      <c r="O3085" s="18"/>
      <c r="P3085" s="18"/>
      <c r="Q3085" s="19"/>
      <c r="R3085" s="19"/>
      <c r="S3085" s="19"/>
    </row>
    <row r="3086" ht="15.75" customHeight="1">
      <c r="A3086" s="15">
        <v>45752.766122685185</v>
      </c>
      <c r="B3086" s="16" t="s">
        <v>7984</v>
      </c>
      <c r="C3086" s="16" t="s">
        <v>8035</v>
      </c>
      <c r="D3086" s="16" t="s">
        <v>8128</v>
      </c>
      <c r="E3086" s="16" t="s">
        <v>7977</v>
      </c>
      <c r="F3086" s="16"/>
      <c r="G3086" s="16"/>
      <c r="H3086" s="18"/>
      <c r="I3086" s="18"/>
      <c r="J3086" s="18"/>
      <c r="K3086" s="18"/>
      <c r="L3086" s="18"/>
      <c r="M3086" s="18"/>
      <c r="N3086" s="18"/>
      <c r="O3086" s="18"/>
      <c r="P3086" s="18"/>
      <c r="Q3086" s="19"/>
      <c r="R3086" s="19"/>
      <c r="S3086" s="19"/>
    </row>
    <row r="3087" ht="15.75" customHeight="1">
      <c r="A3087" s="15">
        <v>45753.541493055556</v>
      </c>
      <c r="B3087" s="16" t="s">
        <v>7984</v>
      </c>
      <c r="C3087" s="16" t="s">
        <v>8035</v>
      </c>
      <c r="D3087" s="16" t="s">
        <v>8129</v>
      </c>
      <c r="E3087" s="16" t="s">
        <v>7977</v>
      </c>
      <c r="F3087" s="16"/>
      <c r="G3087" s="16"/>
      <c r="H3087" s="18"/>
      <c r="I3087" s="18"/>
      <c r="J3087" s="18"/>
      <c r="K3087" s="18"/>
      <c r="L3087" s="18"/>
      <c r="M3087" s="18"/>
      <c r="N3087" s="18"/>
      <c r="O3087" s="18"/>
      <c r="P3087" s="18"/>
      <c r="Q3087" s="19"/>
      <c r="R3087" s="19"/>
      <c r="S3087" s="19"/>
    </row>
    <row r="3088" ht="15.75" customHeight="1">
      <c r="A3088" s="15">
        <v>45754.47917824074</v>
      </c>
      <c r="B3088" s="16" t="s">
        <v>8130</v>
      </c>
      <c r="C3088" s="16" t="s">
        <v>8035</v>
      </c>
      <c r="D3088" s="16" t="s">
        <v>8131</v>
      </c>
      <c r="E3088" s="16" t="s">
        <v>8132</v>
      </c>
      <c r="F3088" s="16"/>
      <c r="G3088" s="16"/>
      <c r="H3088" s="18"/>
      <c r="I3088" s="18"/>
      <c r="J3088" s="18"/>
      <c r="K3088" s="18"/>
      <c r="L3088" s="18"/>
      <c r="M3088" s="18"/>
      <c r="N3088" s="18"/>
      <c r="O3088" s="18"/>
      <c r="P3088" s="18"/>
      <c r="Q3088" s="19"/>
      <c r="R3088" s="19"/>
      <c r="S3088" s="19"/>
    </row>
    <row r="3089" ht="15.75" customHeight="1">
      <c r="A3089" s="15">
        <v>45754.49793981481</v>
      </c>
      <c r="B3089" s="16" t="s">
        <v>7978</v>
      </c>
      <c r="C3089" s="16" t="s">
        <v>8035</v>
      </c>
      <c r="D3089" s="16" t="s">
        <v>6986</v>
      </c>
      <c r="E3089" s="16" t="s">
        <v>7977</v>
      </c>
      <c r="F3089" s="16"/>
      <c r="G3089" s="16"/>
      <c r="H3089" s="18"/>
      <c r="I3089" s="18"/>
      <c r="J3089" s="18"/>
      <c r="K3089" s="18"/>
      <c r="L3089" s="18"/>
      <c r="M3089" s="18"/>
      <c r="N3089" s="18"/>
      <c r="O3089" s="18"/>
      <c r="P3089" s="18"/>
      <c r="Q3089" s="19"/>
      <c r="R3089" s="19"/>
      <c r="S3089" s="19"/>
    </row>
    <row r="3090" ht="15.75" customHeight="1">
      <c r="A3090" s="15">
        <v>45754.53298611111</v>
      </c>
      <c r="B3090" s="16" t="s">
        <v>8124</v>
      </c>
      <c r="C3090" s="16" t="s">
        <v>8035</v>
      </c>
      <c r="D3090" s="20" t="str">
        <f>?utf-8?q?Can_I_call_the_police_for_a_ride_to_court=3F?=</f>
        <v>#ERROR!</v>
      </c>
      <c r="E3090" s="16" t="s">
        <v>8133</v>
      </c>
      <c r="F3090" s="16"/>
      <c r="G3090" s="16"/>
      <c r="H3090" s="18"/>
      <c r="I3090" s="18"/>
      <c r="J3090" s="18"/>
      <c r="K3090" s="18"/>
      <c r="L3090" s="18"/>
      <c r="M3090" s="18"/>
      <c r="N3090" s="18"/>
      <c r="O3090" s="18"/>
      <c r="P3090" s="18"/>
      <c r="Q3090" s="19"/>
      <c r="R3090" s="19"/>
      <c r="S3090" s="19"/>
    </row>
    <row r="3091" ht="15.75" customHeight="1">
      <c r="A3091" s="15">
        <v>45754.99755787037</v>
      </c>
      <c r="B3091" s="16" t="s">
        <v>7978</v>
      </c>
      <c r="C3091" s="16" t="s">
        <v>8035</v>
      </c>
      <c r="D3091" s="16" t="s">
        <v>7983</v>
      </c>
      <c r="E3091" s="16" t="s">
        <v>7977</v>
      </c>
      <c r="F3091" s="16"/>
      <c r="G3091" s="16"/>
      <c r="H3091" s="18"/>
      <c r="I3091" s="18"/>
      <c r="J3091" s="18"/>
      <c r="K3091" s="18"/>
      <c r="L3091" s="18"/>
      <c r="M3091" s="18"/>
      <c r="N3091" s="18"/>
      <c r="O3091" s="18"/>
      <c r="P3091" s="18"/>
      <c r="Q3091" s="19"/>
      <c r="R3091" s="19"/>
      <c r="S3091" s="19"/>
    </row>
    <row r="3092" ht="15.75" customHeight="1">
      <c r="A3092" s="15">
        <v>45755.45263888889</v>
      </c>
      <c r="B3092" s="16" t="s">
        <v>7978</v>
      </c>
      <c r="C3092" s="16" t="s">
        <v>8035</v>
      </c>
      <c r="D3092" s="16" t="s">
        <v>6874</v>
      </c>
      <c r="E3092" s="16" t="s">
        <v>7977</v>
      </c>
      <c r="F3092" s="16"/>
      <c r="G3092" s="16"/>
      <c r="H3092" s="18"/>
      <c r="I3092" s="18"/>
      <c r="J3092" s="18"/>
      <c r="K3092" s="18"/>
      <c r="L3092" s="18"/>
      <c r="M3092" s="18"/>
      <c r="N3092" s="18"/>
      <c r="O3092" s="18"/>
      <c r="P3092" s="18"/>
      <c r="Q3092" s="19"/>
      <c r="R3092" s="19"/>
      <c r="S3092" s="19"/>
    </row>
    <row r="3093" ht="15.75" customHeight="1">
      <c r="A3093" s="15">
        <v>45757.71228009259</v>
      </c>
      <c r="B3093" s="16" t="s">
        <v>7978</v>
      </c>
      <c r="C3093" s="16" t="s">
        <v>8035</v>
      </c>
      <c r="D3093" s="16" t="s">
        <v>8134</v>
      </c>
      <c r="E3093" s="16" t="s">
        <v>7977</v>
      </c>
      <c r="F3093" s="16"/>
      <c r="G3093" s="16"/>
      <c r="H3093" s="18"/>
      <c r="I3093" s="18"/>
      <c r="J3093" s="18"/>
      <c r="K3093" s="18"/>
      <c r="L3093" s="18"/>
      <c r="M3093" s="18"/>
      <c r="N3093" s="18"/>
      <c r="O3093" s="18"/>
      <c r="P3093" s="18"/>
      <c r="Q3093" s="19"/>
      <c r="R3093" s="19"/>
      <c r="S3093" s="19"/>
    </row>
    <row r="3094" ht="15.75" customHeight="1">
      <c r="A3094" s="15">
        <v>45758.69835648148</v>
      </c>
      <c r="B3094" s="16" t="s">
        <v>7978</v>
      </c>
      <c r="C3094" s="16" t="s">
        <v>8035</v>
      </c>
      <c r="D3094" s="16" t="s">
        <v>6992</v>
      </c>
      <c r="E3094" s="16" t="s">
        <v>7977</v>
      </c>
      <c r="F3094" s="16"/>
      <c r="G3094" s="16"/>
      <c r="H3094" s="18"/>
      <c r="I3094" s="18"/>
      <c r="J3094" s="18"/>
      <c r="K3094" s="18"/>
      <c r="L3094" s="18"/>
      <c r="M3094" s="18"/>
      <c r="N3094" s="18"/>
      <c r="O3094" s="18"/>
      <c r="P3094" s="18"/>
      <c r="Q3094" s="19"/>
      <c r="R3094" s="19"/>
      <c r="S3094" s="19"/>
    </row>
    <row r="3095" ht="15.75" customHeight="1">
      <c r="A3095" s="15">
        <v>45759.79168981482</v>
      </c>
      <c r="B3095" s="16" t="s">
        <v>7984</v>
      </c>
      <c r="C3095" s="16" t="s">
        <v>8035</v>
      </c>
      <c r="D3095" s="16" t="s">
        <v>8135</v>
      </c>
      <c r="E3095" s="16" t="s">
        <v>7977</v>
      </c>
      <c r="F3095" s="16"/>
      <c r="G3095" s="16"/>
      <c r="H3095" s="18"/>
      <c r="I3095" s="18"/>
      <c r="J3095" s="18"/>
      <c r="K3095" s="18"/>
      <c r="L3095" s="18"/>
      <c r="M3095" s="18"/>
      <c r="N3095" s="18"/>
      <c r="O3095" s="18"/>
      <c r="P3095" s="18"/>
      <c r="Q3095" s="19"/>
      <c r="R3095" s="19"/>
      <c r="S3095" s="19"/>
    </row>
    <row r="3096" ht="15.75" customHeight="1">
      <c r="A3096" s="15">
        <v>45760.499131944445</v>
      </c>
      <c r="B3096" s="16" t="s">
        <v>7984</v>
      </c>
      <c r="C3096" s="16" t="s">
        <v>8035</v>
      </c>
      <c r="D3096" s="16" t="s">
        <v>6994</v>
      </c>
      <c r="E3096" s="16" t="s">
        <v>7977</v>
      </c>
      <c r="F3096" s="16"/>
      <c r="G3096" s="16"/>
      <c r="H3096" s="18"/>
      <c r="I3096" s="18"/>
      <c r="J3096" s="18"/>
      <c r="K3096" s="18"/>
      <c r="L3096" s="18"/>
      <c r="M3096" s="18"/>
      <c r="N3096" s="18"/>
      <c r="O3096" s="18"/>
      <c r="P3096" s="18"/>
      <c r="Q3096" s="19"/>
      <c r="R3096" s="19"/>
      <c r="S3096" s="19"/>
    </row>
    <row r="3097" ht="15.75" customHeight="1">
      <c r="A3097" s="15">
        <v>45761.97381944444</v>
      </c>
      <c r="B3097" s="16" t="s">
        <v>8067</v>
      </c>
      <c r="C3097" s="16" t="s">
        <v>8035</v>
      </c>
      <c r="D3097" s="16" t="s">
        <v>8136</v>
      </c>
      <c r="E3097" s="16" t="s">
        <v>8137</v>
      </c>
      <c r="F3097" s="16"/>
      <c r="G3097" s="16"/>
      <c r="H3097" s="18"/>
      <c r="I3097" s="18"/>
      <c r="J3097" s="18"/>
      <c r="K3097" s="18"/>
      <c r="L3097" s="18"/>
      <c r="M3097" s="18"/>
      <c r="N3097" s="18"/>
      <c r="O3097" s="18"/>
      <c r="P3097" s="18"/>
      <c r="Q3097" s="19"/>
      <c r="R3097" s="19"/>
      <c r="S3097" s="19"/>
    </row>
    <row r="3098" ht="15.75" customHeight="1">
      <c r="A3098" s="15">
        <v>45762.46333333333</v>
      </c>
      <c r="B3098" s="16" t="s">
        <v>7978</v>
      </c>
      <c r="C3098" s="16" t="s">
        <v>8035</v>
      </c>
      <c r="D3098" s="20" t="str">
        <f>?UTF-8?q?50%_off_your_next_3_orders_-_just_for_you_=F0=9F=91=80?=</f>
        <v>#ERROR!</v>
      </c>
      <c r="E3098" s="16" t="s">
        <v>7977</v>
      </c>
      <c r="F3098" s="16"/>
      <c r="G3098" s="16"/>
      <c r="H3098" s="18"/>
      <c r="I3098" s="18"/>
      <c r="J3098" s="18"/>
      <c r="K3098" s="18"/>
      <c r="L3098" s="18"/>
      <c r="M3098" s="18"/>
      <c r="N3098" s="18"/>
      <c r="O3098" s="18"/>
      <c r="P3098" s="18"/>
      <c r="Q3098" s="19"/>
      <c r="R3098" s="19"/>
      <c r="S3098" s="19"/>
    </row>
    <row r="3099" ht="15.75" customHeight="1">
      <c r="A3099" s="15">
        <v>45762.7175462963</v>
      </c>
      <c r="B3099" s="16" t="s">
        <v>7978</v>
      </c>
      <c r="C3099" s="16" t="s">
        <v>8035</v>
      </c>
      <c r="D3099" s="16" t="s">
        <v>6874</v>
      </c>
      <c r="E3099" s="16" t="s">
        <v>7977</v>
      </c>
      <c r="F3099" s="16"/>
      <c r="G3099" s="16"/>
      <c r="H3099" s="18"/>
      <c r="I3099" s="18"/>
      <c r="J3099" s="18"/>
      <c r="K3099" s="18"/>
      <c r="L3099" s="18"/>
      <c r="M3099" s="18"/>
      <c r="N3099" s="18"/>
      <c r="O3099" s="18"/>
      <c r="P3099" s="18"/>
      <c r="Q3099" s="19"/>
      <c r="R3099" s="19"/>
      <c r="S3099" s="19"/>
    </row>
    <row r="3100" ht="15.75" customHeight="1">
      <c r="A3100" s="15">
        <v>45763.45109953704</v>
      </c>
      <c r="B3100" s="16" t="s">
        <v>7984</v>
      </c>
      <c r="C3100" s="16" t="s">
        <v>8035</v>
      </c>
      <c r="D3100" s="16" t="s">
        <v>8138</v>
      </c>
      <c r="E3100" s="16" t="s">
        <v>7977</v>
      </c>
      <c r="F3100" s="16"/>
      <c r="G3100" s="16"/>
      <c r="H3100" s="18"/>
      <c r="I3100" s="18"/>
      <c r="J3100" s="18"/>
      <c r="K3100" s="18"/>
      <c r="L3100" s="18"/>
      <c r="M3100" s="18"/>
      <c r="N3100" s="18"/>
      <c r="O3100" s="18"/>
      <c r="P3100" s="18"/>
      <c r="Q3100" s="19"/>
      <c r="R3100" s="19"/>
      <c r="S3100" s="19"/>
    </row>
    <row r="3101" ht="15.75" customHeight="1">
      <c r="A3101" s="15">
        <v>45763.78747685185</v>
      </c>
      <c r="B3101" s="16" t="s">
        <v>7984</v>
      </c>
      <c r="C3101" s="16" t="s">
        <v>8035</v>
      </c>
      <c r="D3101" s="16" t="s">
        <v>8139</v>
      </c>
      <c r="E3101" s="16" t="s">
        <v>7977</v>
      </c>
      <c r="F3101" s="16"/>
      <c r="G3101" s="16"/>
      <c r="H3101" s="18"/>
      <c r="I3101" s="18"/>
      <c r="J3101" s="18"/>
      <c r="K3101" s="18"/>
      <c r="L3101" s="18"/>
      <c r="M3101" s="18"/>
      <c r="N3101" s="18"/>
      <c r="O3101" s="18"/>
      <c r="P3101" s="18"/>
      <c r="Q3101" s="19"/>
      <c r="R3101" s="19"/>
      <c r="S3101" s="19"/>
    </row>
    <row r="3102" ht="15.75" customHeight="1">
      <c r="A3102" s="15">
        <v>45767.5837962963</v>
      </c>
      <c r="B3102" s="16" t="s">
        <v>7984</v>
      </c>
      <c r="C3102" s="16" t="s">
        <v>8035</v>
      </c>
      <c r="D3102" s="16" t="s">
        <v>8140</v>
      </c>
      <c r="E3102" s="16" t="s">
        <v>7977</v>
      </c>
      <c r="F3102" s="16"/>
      <c r="G3102" s="16"/>
      <c r="H3102" s="18"/>
      <c r="I3102" s="18"/>
      <c r="J3102" s="18"/>
      <c r="K3102" s="18"/>
      <c r="L3102" s="18"/>
      <c r="M3102" s="18"/>
      <c r="N3102" s="18"/>
      <c r="O3102" s="18"/>
      <c r="P3102" s="18"/>
      <c r="Q3102" s="19"/>
      <c r="R3102" s="19"/>
      <c r="S3102" s="19"/>
    </row>
    <row r="3103" ht="15.75" customHeight="1">
      <c r="A3103" s="15">
        <v>45776.76174768519</v>
      </c>
      <c r="B3103" s="16" t="s">
        <v>8067</v>
      </c>
      <c r="C3103" s="16" t="s">
        <v>8035</v>
      </c>
      <c r="D3103" s="20" t="str">
        <f>?UTF-8?B?WW914oCZcmU=?= invited: Vercel Ship 2025</f>
        <v>#ERROR!</v>
      </c>
      <c r="E3103" s="16" t="s">
        <v>8141</v>
      </c>
      <c r="F3103" s="16"/>
      <c r="G3103" s="16"/>
      <c r="H3103" s="18"/>
      <c r="I3103" s="18"/>
      <c r="J3103" s="18"/>
      <c r="K3103" s="18"/>
      <c r="L3103" s="18"/>
      <c r="M3103" s="18"/>
      <c r="N3103" s="18"/>
      <c r="O3103" s="18"/>
      <c r="P3103" s="18"/>
      <c r="Q3103" s="19"/>
      <c r="R3103" s="19"/>
      <c r="S3103" s="19"/>
    </row>
    <row r="3104" ht="15.75" customHeight="1">
      <c r="A3104" s="15">
        <v>45778.444247685184</v>
      </c>
      <c r="B3104" s="16" t="s">
        <v>7978</v>
      </c>
      <c r="C3104" s="16" t="s">
        <v>8035</v>
      </c>
      <c r="D3104" s="16" t="s">
        <v>7983</v>
      </c>
      <c r="E3104" s="16" t="s">
        <v>7977</v>
      </c>
      <c r="F3104" s="16"/>
      <c r="G3104" s="16"/>
      <c r="H3104" s="18"/>
      <c r="I3104" s="18"/>
      <c r="J3104" s="18"/>
      <c r="K3104" s="18"/>
      <c r="L3104" s="18"/>
      <c r="M3104" s="18"/>
      <c r="N3104" s="18"/>
      <c r="O3104" s="18"/>
      <c r="P3104" s="18"/>
      <c r="Q3104" s="19"/>
      <c r="R3104" s="19"/>
      <c r="S3104" s="19"/>
    </row>
    <row r="3105" ht="15.75" customHeight="1">
      <c r="A3105" s="15">
        <v>45778.66428240741</v>
      </c>
      <c r="B3105" s="16" t="s">
        <v>7978</v>
      </c>
      <c r="C3105" s="16" t="s">
        <v>8035</v>
      </c>
      <c r="D3105" s="16" t="s">
        <v>6874</v>
      </c>
      <c r="E3105" s="16" t="s">
        <v>7977</v>
      </c>
      <c r="F3105" s="16"/>
      <c r="G3105" s="16"/>
      <c r="H3105" s="18"/>
      <c r="I3105" s="18"/>
      <c r="J3105" s="18"/>
      <c r="K3105" s="18"/>
      <c r="L3105" s="18"/>
      <c r="M3105" s="18"/>
      <c r="N3105" s="18"/>
      <c r="O3105" s="18"/>
      <c r="P3105" s="18"/>
      <c r="Q3105" s="19"/>
      <c r="R3105" s="19"/>
      <c r="S3105" s="19"/>
    </row>
    <row r="3106" ht="15.75" customHeight="1">
      <c r="A3106" s="15">
        <v>45779.7280787037</v>
      </c>
      <c r="B3106" s="16" t="s">
        <v>7978</v>
      </c>
      <c r="C3106" s="16" t="s">
        <v>8035</v>
      </c>
      <c r="D3106" s="16" t="s">
        <v>8142</v>
      </c>
      <c r="E3106" s="16" t="s">
        <v>7977</v>
      </c>
      <c r="F3106" s="16"/>
      <c r="G3106" s="16"/>
      <c r="H3106" s="18"/>
      <c r="I3106" s="18"/>
      <c r="J3106" s="18"/>
      <c r="K3106" s="18"/>
      <c r="L3106" s="18"/>
      <c r="M3106" s="18"/>
      <c r="N3106" s="18"/>
      <c r="O3106" s="18"/>
      <c r="P3106" s="18"/>
      <c r="Q3106" s="19"/>
      <c r="R3106" s="19"/>
      <c r="S3106" s="19"/>
    </row>
    <row r="3107" ht="15.75" customHeight="1">
      <c r="A3107" s="15">
        <v>45780.602430555555</v>
      </c>
      <c r="B3107" s="16" t="s">
        <v>7984</v>
      </c>
      <c r="C3107" s="16" t="s">
        <v>8035</v>
      </c>
      <c r="D3107" s="20" t="str">
        <f>?UTF-8?q?Shop_a_range_of_gifts_that_Mom_will_love_=F0=9F=92=90?=</f>
        <v>#ERROR!</v>
      </c>
      <c r="E3107" s="16" t="s">
        <v>7977</v>
      </c>
      <c r="F3107" s="16"/>
      <c r="G3107" s="16"/>
      <c r="H3107" s="18"/>
      <c r="I3107" s="18"/>
      <c r="J3107" s="18"/>
      <c r="K3107" s="18"/>
      <c r="L3107" s="18"/>
      <c r="M3107" s="18"/>
      <c r="N3107" s="18"/>
      <c r="O3107" s="18"/>
      <c r="P3107" s="18"/>
      <c r="Q3107" s="19"/>
      <c r="R3107" s="19"/>
      <c r="S3107" s="19"/>
    </row>
    <row r="3108" ht="15.75" customHeight="1">
      <c r="A3108" s="15">
        <v>45782.4587962963</v>
      </c>
      <c r="B3108" s="16" t="s">
        <v>7978</v>
      </c>
      <c r="C3108" s="16" t="s">
        <v>8035</v>
      </c>
      <c r="D3108" s="16" t="s">
        <v>6986</v>
      </c>
      <c r="E3108" s="16" t="s">
        <v>7977</v>
      </c>
      <c r="F3108" s="16"/>
      <c r="G3108" s="16"/>
      <c r="H3108" s="18"/>
      <c r="I3108" s="18"/>
      <c r="J3108" s="18"/>
      <c r="K3108" s="18"/>
      <c r="L3108" s="18"/>
      <c r="M3108" s="18"/>
      <c r="N3108" s="18"/>
      <c r="O3108" s="18"/>
      <c r="P3108" s="18"/>
      <c r="Q3108" s="19"/>
      <c r="R3108" s="19"/>
      <c r="S3108" s="19"/>
    </row>
    <row r="3109" ht="15.75" customHeight="1">
      <c r="A3109" s="15">
        <v>45783.44290509259</v>
      </c>
      <c r="B3109" s="16" t="s">
        <v>7978</v>
      </c>
      <c r="C3109" s="16" t="s">
        <v>8035</v>
      </c>
      <c r="D3109" s="20" t="str">
        <f>?UTF-8?q?50%_off_your_next_3_orders_-_just_for_you_=F0=9F=91=80?=</f>
        <v>#ERROR!</v>
      </c>
      <c r="E3109" s="16" t="s">
        <v>7977</v>
      </c>
      <c r="F3109" s="16"/>
      <c r="G3109" s="16"/>
      <c r="H3109" s="18"/>
      <c r="I3109" s="18"/>
      <c r="J3109" s="18"/>
      <c r="K3109" s="18"/>
      <c r="L3109" s="18"/>
      <c r="M3109" s="18"/>
      <c r="N3109" s="18"/>
      <c r="O3109" s="18"/>
      <c r="P3109" s="18"/>
      <c r="Q3109" s="19"/>
      <c r="R3109" s="19"/>
      <c r="S3109" s="19"/>
    </row>
    <row r="3110" ht="15.75" customHeight="1">
      <c r="A3110" s="15">
        <v>45784.05950231481</v>
      </c>
      <c r="B3110" s="16" t="s">
        <v>8143</v>
      </c>
      <c r="C3110" s="16" t="s">
        <v>8035</v>
      </c>
      <c r="D3110" s="20" t="str">
        <f>?utf-8?Q?Activate=20your=20account=20to=20create=20your=20QR=20Code?=</f>
        <v>#ERROR!</v>
      </c>
      <c r="E3110" s="16" t="s">
        <v>8144</v>
      </c>
      <c r="F3110" s="16"/>
      <c r="G3110" s="16"/>
      <c r="H3110" s="18"/>
      <c r="I3110" s="18"/>
      <c r="J3110" s="18"/>
      <c r="K3110" s="18"/>
      <c r="L3110" s="18"/>
      <c r="M3110" s="18"/>
      <c r="N3110" s="18"/>
      <c r="O3110" s="18"/>
      <c r="P3110" s="18"/>
      <c r="Q3110" s="19"/>
      <c r="R3110" s="19"/>
      <c r="S3110" s="19"/>
    </row>
    <row r="3111" ht="15.75" customHeight="1">
      <c r="A3111" s="15">
        <v>45784.479166666664</v>
      </c>
      <c r="B3111" s="16" t="s">
        <v>8130</v>
      </c>
      <c r="C3111" s="16" t="s">
        <v>8035</v>
      </c>
      <c r="D3111" s="16" t="s">
        <v>8145</v>
      </c>
      <c r="E3111" s="16" t="s">
        <v>8146</v>
      </c>
      <c r="F3111" s="16"/>
      <c r="G3111" s="16"/>
      <c r="H3111" s="18"/>
      <c r="I3111" s="18"/>
      <c r="J3111" s="18"/>
      <c r="K3111" s="18"/>
      <c r="L3111" s="18"/>
      <c r="M3111" s="18"/>
      <c r="N3111" s="18"/>
      <c r="O3111" s="18"/>
      <c r="P3111" s="18"/>
      <c r="Q3111" s="19"/>
      <c r="R3111" s="19"/>
      <c r="S3111" s="19"/>
    </row>
    <row r="3112" ht="15.75" customHeight="1">
      <c r="A3112" s="15">
        <v>45784.50539351852</v>
      </c>
      <c r="B3112" s="16" t="s">
        <v>7984</v>
      </c>
      <c r="C3112" s="16" t="s">
        <v>8035</v>
      </c>
      <c r="D3112" s="16" t="s">
        <v>7003</v>
      </c>
      <c r="E3112" s="16" t="s">
        <v>7977</v>
      </c>
      <c r="F3112" s="16"/>
      <c r="G3112" s="16"/>
      <c r="H3112" s="18"/>
      <c r="I3112" s="18"/>
      <c r="J3112" s="18"/>
      <c r="K3112" s="18"/>
      <c r="L3112" s="18"/>
      <c r="M3112" s="18"/>
      <c r="N3112" s="18"/>
      <c r="O3112" s="18"/>
      <c r="P3112" s="18"/>
      <c r="Q3112" s="19"/>
      <c r="R3112" s="19"/>
      <c r="S3112" s="19"/>
    </row>
    <row r="3113" ht="15.75" customHeight="1">
      <c r="A3113" s="15">
        <v>45786.70416666667</v>
      </c>
      <c r="B3113" s="16" t="s">
        <v>7978</v>
      </c>
      <c r="C3113" s="16" t="s">
        <v>8035</v>
      </c>
      <c r="D3113" s="16" t="s">
        <v>6992</v>
      </c>
      <c r="E3113" s="16" t="s">
        <v>7977</v>
      </c>
      <c r="F3113" s="16"/>
      <c r="G3113" s="16"/>
      <c r="H3113" s="18"/>
      <c r="I3113" s="18"/>
      <c r="J3113" s="18"/>
      <c r="K3113" s="18"/>
      <c r="L3113" s="18"/>
      <c r="M3113" s="18"/>
      <c r="N3113" s="18"/>
      <c r="O3113" s="18"/>
      <c r="P3113" s="18"/>
      <c r="Q3113" s="19"/>
      <c r="R3113" s="19"/>
      <c r="S3113" s="19"/>
    </row>
    <row r="3114" ht="15.75" customHeight="1">
      <c r="A3114" s="15">
        <v>45787.752546296295</v>
      </c>
      <c r="B3114" s="16" t="s">
        <v>7984</v>
      </c>
      <c r="C3114" s="16" t="s">
        <v>8035</v>
      </c>
      <c r="D3114" s="20" t="str">
        <f>?UTF-8?q?Shopping_made_easy=E2=80=94see_what=E2=80=99s_popular_and_ready?=
 =?UTF-8?q?_for_you.?=</f>
        <v>#ERROR!</v>
      </c>
      <c r="E3114" s="16" t="s">
        <v>7977</v>
      </c>
      <c r="F3114" s="16"/>
      <c r="G3114" s="16"/>
      <c r="H3114" s="18"/>
      <c r="I3114" s="18"/>
      <c r="J3114" s="18"/>
      <c r="K3114" s="18"/>
      <c r="L3114" s="18"/>
      <c r="M3114" s="18"/>
      <c r="N3114" s="18"/>
      <c r="O3114" s="18"/>
      <c r="P3114" s="18"/>
      <c r="Q3114" s="19"/>
      <c r="R3114" s="19"/>
      <c r="S3114" s="19"/>
    </row>
    <row r="3115" ht="15.75" customHeight="1">
      <c r="A3115" s="15">
        <v>45790.54640046296</v>
      </c>
      <c r="B3115" s="16" t="s">
        <v>7897</v>
      </c>
      <c r="C3115" s="16" t="s">
        <v>8035</v>
      </c>
      <c r="D3115" s="16" t="s">
        <v>8147</v>
      </c>
      <c r="E3115" s="16" t="s">
        <v>8148</v>
      </c>
      <c r="F3115" s="16"/>
      <c r="G3115" s="16"/>
      <c r="H3115" s="18"/>
      <c r="I3115" s="18"/>
      <c r="J3115" s="18"/>
      <c r="K3115" s="18"/>
      <c r="L3115" s="18"/>
      <c r="M3115" s="18"/>
      <c r="N3115" s="18"/>
      <c r="O3115" s="18"/>
      <c r="P3115" s="18"/>
      <c r="Q3115" s="19"/>
      <c r="R3115" s="19"/>
      <c r="S3115" s="19"/>
    </row>
    <row r="3116" ht="15.75" customHeight="1">
      <c r="A3116" s="15">
        <v>45790.65875</v>
      </c>
      <c r="B3116" s="16" t="s">
        <v>7978</v>
      </c>
      <c r="C3116" s="16" t="s">
        <v>8035</v>
      </c>
      <c r="D3116" s="16" t="s">
        <v>7983</v>
      </c>
      <c r="E3116" s="16" t="s">
        <v>7977</v>
      </c>
      <c r="F3116" s="16"/>
      <c r="G3116" s="16"/>
      <c r="H3116" s="18"/>
      <c r="I3116" s="18"/>
      <c r="J3116" s="18"/>
      <c r="K3116" s="18"/>
      <c r="L3116" s="18"/>
      <c r="M3116" s="18"/>
      <c r="N3116" s="18"/>
      <c r="O3116" s="18"/>
      <c r="P3116" s="18"/>
      <c r="Q3116" s="19"/>
      <c r="R3116" s="19"/>
      <c r="S3116" s="19"/>
    </row>
    <row r="3117" ht="15.75" customHeight="1">
      <c r="A3117" s="15">
        <v>45791.45217592592</v>
      </c>
      <c r="B3117" s="16" t="s">
        <v>7984</v>
      </c>
      <c r="C3117" s="16" t="s">
        <v>8035</v>
      </c>
      <c r="D3117" s="16" t="s">
        <v>8149</v>
      </c>
      <c r="E3117" s="16" t="s">
        <v>7977</v>
      </c>
      <c r="F3117" s="16"/>
      <c r="G3117" s="16"/>
      <c r="H3117" s="18"/>
      <c r="I3117" s="18"/>
      <c r="J3117" s="18"/>
      <c r="K3117" s="18"/>
      <c r="L3117" s="18"/>
      <c r="M3117" s="18"/>
      <c r="N3117" s="18"/>
      <c r="O3117" s="18"/>
      <c r="P3117" s="18"/>
      <c r="Q3117" s="19"/>
      <c r="R3117" s="19"/>
      <c r="S3117" s="19"/>
    </row>
    <row r="3118" ht="15.75" customHeight="1">
      <c r="A3118" s="15">
        <v>45791.77244212963</v>
      </c>
      <c r="B3118" s="16" t="s">
        <v>8063</v>
      </c>
      <c r="C3118" s="16" t="s">
        <v>8035</v>
      </c>
      <c r="D3118" s="20" t="str">
        <f>?UTF-8?q?There=E2=80=99s_$5M_in_deals_on_the_line=E2=80=94time_to_save_b?=
 =?UTF-8?q?ig?=</f>
        <v>#ERROR!</v>
      </c>
      <c r="E3118" s="16" t="s">
        <v>7995</v>
      </c>
      <c r="F3118" s="16"/>
      <c r="G3118" s="16"/>
      <c r="H3118" s="18"/>
      <c r="I3118" s="18"/>
      <c r="J3118" s="18"/>
      <c r="K3118" s="18"/>
      <c r="L3118" s="18"/>
      <c r="M3118" s="18"/>
      <c r="N3118" s="18"/>
      <c r="O3118" s="18"/>
      <c r="P3118" s="18"/>
      <c r="Q3118" s="19"/>
      <c r="R3118" s="19"/>
      <c r="S3118" s="19"/>
    </row>
    <row r="3119" ht="15.75" customHeight="1">
      <c r="A3119" s="15">
        <v>45792.597025462965</v>
      </c>
      <c r="B3119" s="16" t="s">
        <v>7984</v>
      </c>
      <c r="C3119" s="16" t="s">
        <v>8035</v>
      </c>
      <c r="D3119" s="16" t="s">
        <v>8122</v>
      </c>
      <c r="E3119" s="16" t="s">
        <v>7977</v>
      </c>
      <c r="F3119" s="16"/>
      <c r="G3119" s="16"/>
      <c r="H3119" s="18"/>
      <c r="I3119" s="18"/>
      <c r="J3119" s="18"/>
      <c r="K3119" s="18"/>
      <c r="L3119" s="18"/>
      <c r="M3119" s="18"/>
      <c r="N3119" s="18"/>
      <c r="O3119" s="18"/>
      <c r="P3119" s="18"/>
      <c r="Q3119" s="19"/>
      <c r="R3119" s="19"/>
      <c r="S3119" s="19"/>
    </row>
    <row r="3120" ht="15.75" customHeight="1">
      <c r="A3120" s="15">
        <v>45793.59074074074</v>
      </c>
      <c r="B3120" s="16" t="s">
        <v>7978</v>
      </c>
      <c r="C3120" s="16" t="s">
        <v>8035</v>
      </c>
      <c r="D3120" s="16" t="s">
        <v>8142</v>
      </c>
      <c r="E3120" s="16" t="s">
        <v>7977</v>
      </c>
      <c r="F3120" s="16"/>
      <c r="G3120" s="16"/>
      <c r="H3120" s="18"/>
      <c r="I3120" s="18"/>
      <c r="J3120" s="18"/>
      <c r="K3120" s="18"/>
      <c r="L3120" s="18"/>
      <c r="M3120" s="18"/>
      <c r="N3120" s="18"/>
      <c r="O3120" s="18"/>
      <c r="P3120" s="18"/>
      <c r="Q3120" s="19"/>
      <c r="R3120" s="19"/>
      <c r="S3120" s="19"/>
    </row>
    <row r="3121" ht="15.75" customHeight="1">
      <c r="A3121" s="15">
        <v>45793.8025</v>
      </c>
      <c r="B3121" s="16" t="s">
        <v>8150</v>
      </c>
      <c r="C3121" s="16" t="s">
        <v>8035</v>
      </c>
      <c r="D3121" s="20" t="str">
        <f>?UTF-8?q?You=E2=80=99re_missing_our_biggest_member_event!?=</f>
        <v>#ERROR!</v>
      </c>
      <c r="E3121" s="16" t="s">
        <v>7995</v>
      </c>
      <c r="F3121" s="16"/>
      <c r="G3121" s="16"/>
      <c r="H3121" s="18"/>
      <c r="I3121" s="18"/>
      <c r="J3121" s="18"/>
      <c r="K3121" s="18"/>
      <c r="L3121" s="18"/>
      <c r="M3121" s="18"/>
      <c r="N3121" s="18"/>
      <c r="O3121" s="18"/>
      <c r="P3121" s="18"/>
      <c r="Q3121" s="19"/>
      <c r="R3121" s="19"/>
      <c r="S3121" s="19"/>
    </row>
    <row r="3122" ht="15.75" customHeight="1">
      <c r="A3122" s="15">
        <v>45794.47269675926</v>
      </c>
      <c r="B3122" s="16" t="s">
        <v>8150</v>
      </c>
      <c r="C3122" s="16" t="s">
        <v>8035</v>
      </c>
      <c r="D3122" s="16" t="s">
        <v>8151</v>
      </c>
      <c r="E3122" s="16" t="s">
        <v>7995</v>
      </c>
      <c r="F3122" s="16"/>
      <c r="G3122" s="16"/>
      <c r="H3122" s="18"/>
      <c r="I3122" s="18"/>
      <c r="J3122" s="18"/>
      <c r="K3122" s="18"/>
      <c r="L3122" s="18"/>
      <c r="M3122" s="18"/>
      <c r="N3122" s="18"/>
      <c r="O3122" s="18"/>
      <c r="P3122" s="18"/>
      <c r="Q3122" s="19"/>
      <c r="R3122" s="19"/>
      <c r="S3122" s="19"/>
    </row>
    <row r="3123" ht="15.75" customHeight="1">
      <c r="A3123" s="15">
        <v>45794.631215277775</v>
      </c>
      <c r="B3123" s="16" t="s">
        <v>8152</v>
      </c>
      <c r="C3123" s="16" t="s">
        <v>8035</v>
      </c>
      <c r="D3123" s="16" t="s">
        <v>8153</v>
      </c>
      <c r="E3123" s="16" t="s">
        <v>8154</v>
      </c>
      <c r="F3123" s="16"/>
      <c r="G3123" s="16"/>
      <c r="H3123" s="18"/>
      <c r="I3123" s="18"/>
      <c r="J3123" s="18"/>
      <c r="K3123" s="18"/>
      <c r="L3123" s="18"/>
      <c r="M3123" s="18"/>
      <c r="N3123" s="18"/>
      <c r="O3123" s="18"/>
      <c r="P3123" s="18"/>
      <c r="Q3123" s="19"/>
      <c r="R3123" s="19"/>
      <c r="S3123" s="19"/>
    </row>
    <row r="3124" ht="15.75" customHeight="1">
      <c r="A3124" s="15">
        <v>45795.784537037034</v>
      </c>
      <c r="B3124" s="16" t="s">
        <v>7984</v>
      </c>
      <c r="C3124" s="16" t="s">
        <v>8035</v>
      </c>
      <c r="D3124" s="20" t="str">
        <f>?UTF-8?q?Shop_the_new_items_that_are_on_everyone=E2=80=99s_list?=</f>
        <v>#ERROR!</v>
      </c>
      <c r="E3124" s="16" t="s">
        <v>7977</v>
      </c>
      <c r="F3124" s="16"/>
      <c r="G3124" s="16"/>
      <c r="H3124" s="18"/>
      <c r="I3124" s="18"/>
      <c r="J3124" s="18"/>
      <c r="K3124" s="18"/>
      <c r="L3124" s="18"/>
      <c r="M3124" s="18"/>
      <c r="N3124" s="18"/>
      <c r="O3124" s="18"/>
      <c r="P3124" s="18"/>
      <c r="Q3124" s="19"/>
      <c r="R3124" s="19"/>
      <c r="S3124" s="19"/>
    </row>
    <row r="3125" ht="15.75" customHeight="1">
      <c r="A3125" s="15">
        <v>45796.43690972222</v>
      </c>
      <c r="B3125" s="16" t="s">
        <v>7978</v>
      </c>
      <c r="C3125" s="16" t="s">
        <v>8035</v>
      </c>
      <c r="D3125" s="16" t="s">
        <v>6952</v>
      </c>
      <c r="E3125" s="16" t="s">
        <v>7977</v>
      </c>
      <c r="F3125" s="16"/>
      <c r="G3125" s="16"/>
      <c r="H3125" s="18"/>
      <c r="I3125" s="18"/>
      <c r="J3125" s="18"/>
      <c r="K3125" s="18"/>
      <c r="L3125" s="18"/>
      <c r="M3125" s="18"/>
      <c r="N3125" s="18"/>
      <c r="O3125" s="18"/>
      <c r="P3125" s="18"/>
      <c r="Q3125" s="19"/>
      <c r="R3125" s="19"/>
      <c r="S3125" s="19"/>
    </row>
    <row r="3126" ht="15.75" customHeight="1">
      <c r="A3126" s="15">
        <v>45796.51725694445</v>
      </c>
      <c r="B3126" s="16" t="s">
        <v>8124</v>
      </c>
      <c r="C3126" s="16" t="s">
        <v>8035</v>
      </c>
      <c r="D3126" s="20" t="str">
        <f>?utf-8?q?WHEN_A_MAN_GENUINELY_LOVES_YOU=3A__These_are_some_of_the_strongest?=
 =?utf-8?q?_signs_a_man_is_in_lov=2E=2E=2E?=</f>
        <v>#ERROR!</v>
      </c>
      <c r="E3126" s="16" t="s">
        <v>8155</v>
      </c>
      <c r="F3126" s="16"/>
      <c r="G3126" s="16"/>
      <c r="H3126" s="18"/>
      <c r="I3126" s="18"/>
      <c r="J3126" s="18"/>
      <c r="K3126" s="18"/>
      <c r="L3126" s="18"/>
      <c r="M3126" s="18"/>
      <c r="N3126" s="18"/>
      <c r="O3126" s="18"/>
      <c r="P3126" s="18"/>
      <c r="Q3126" s="19"/>
      <c r="R3126" s="19"/>
      <c r="S3126" s="19"/>
    </row>
    <row r="3127" ht="15.75" customHeight="1">
      <c r="A3127" s="15">
        <v>45796.66318287037</v>
      </c>
      <c r="B3127" s="16" t="s">
        <v>7984</v>
      </c>
      <c r="C3127" s="16" t="s">
        <v>8035</v>
      </c>
      <c r="D3127" s="16" t="s">
        <v>8156</v>
      </c>
      <c r="E3127" s="16" t="s">
        <v>7977</v>
      </c>
      <c r="F3127" s="16"/>
      <c r="G3127" s="16"/>
      <c r="H3127" s="18"/>
      <c r="I3127" s="18"/>
      <c r="J3127" s="18"/>
      <c r="K3127" s="18"/>
      <c r="L3127" s="18"/>
      <c r="M3127" s="18"/>
      <c r="N3127" s="18"/>
      <c r="O3127" s="18"/>
      <c r="P3127" s="18"/>
      <c r="Q3127" s="19"/>
      <c r="R3127" s="19"/>
      <c r="S3127" s="19"/>
    </row>
    <row r="3128" ht="15.75" customHeight="1">
      <c r="A3128" s="15">
        <v>45797.128645833334</v>
      </c>
      <c r="B3128" s="16" t="s">
        <v>8143</v>
      </c>
      <c r="C3128" s="16" t="s">
        <v>8035</v>
      </c>
      <c r="D3128" s="20" t="str">
        <f>?utf-8?Q?Oh=20no!=20Your=20Dynamic=20QR=20Codes=20will=20expire=20in=203=20days?=</f>
        <v>#ERROR!</v>
      </c>
      <c r="E3128" s="16" t="s">
        <v>8157</v>
      </c>
      <c r="F3128" s="16"/>
      <c r="G3128" s="16"/>
      <c r="H3128" s="18"/>
      <c r="I3128" s="18"/>
      <c r="J3128" s="18"/>
      <c r="K3128" s="18"/>
      <c r="L3128" s="18"/>
      <c r="M3128" s="18"/>
      <c r="N3128" s="18"/>
      <c r="O3128" s="18"/>
      <c r="P3128" s="18"/>
      <c r="Q3128" s="19"/>
      <c r="R3128" s="19"/>
      <c r="S3128" s="19"/>
    </row>
    <row r="3129" ht="15.75" customHeight="1">
      <c r="A3129" s="15">
        <v>45797.546273148146</v>
      </c>
      <c r="B3129" s="16" t="s">
        <v>7897</v>
      </c>
      <c r="C3129" s="16" t="s">
        <v>8035</v>
      </c>
      <c r="D3129" s="16" t="s">
        <v>8158</v>
      </c>
      <c r="E3129" s="16" t="s">
        <v>8159</v>
      </c>
      <c r="F3129" s="16"/>
      <c r="G3129" s="16"/>
      <c r="H3129" s="18"/>
      <c r="I3129" s="18"/>
      <c r="J3129" s="18"/>
      <c r="K3129" s="18"/>
      <c r="L3129" s="18"/>
      <c r="M3129" s="18"/>
      <c r="N3129" s="18"/>
      <c r="O3129" s="18"/>
      <c r="P3129" s="18"/>
      <c r="Q3129" s="19"/>
      <c r="R3129" s="19"/>
      <c r="S3129" s="19"/>
    </row>
    <row r="3130" ht="15.75" customHeight="1">
      <c r="A3130" s="15">
        <v>45799.84137731481</v>
      </c>
      <c r="B3130" s="16" t="s">
        <v>7984</v>
      </c>
      <c r="C3130" s="16" t="s">
        <v>8035</v>
      </c>
      <c r="D3130" s="16" t="s">
        <v>8160</v>
      </c>
      <c r="E3130" s="16" t="s">
        <v>7977</v>
      </c>
      <c r="F3130" s="16"/>
      <c r="G3130" s="16"/>
      <c r="H3130" s="18"/>
      <c r="I3130" s="18"/>
      <c r="J3130" s="18"/>
      <c r="K3130" s="18"/>
      <c r="L3130" s="18"/>
      <c r="M3130" s="18"/>
      <c r="N3130" s="18"/>
      <c r="O3130" s="18"/>
      <c r="P3130" s="18"/>
      <c r="Q3130" s="19"/>
      <c r="R3130" s="19"/>
      <c r="S3130" s="19"/>
    </row>
    <row r="3131" ht="15.75" customHeight="1">
      <c r="A3131" s="15">
        <v>45800.128796296296</v>
      </c>
      <c r="B3131" s="16" t="s">
        <v>8143</v>
      </c>
      <c r="C3131" s="16" t="s">
        <v>8035</v>
      </c>
      <c r="D3131" s="20" t="str">
        <f>?utf-8?Q?Your=20QR=20Code=20Generator=20trial=20ended=20today?=</f>
        <v>#ERROR!</v>
      </c>
      <c r="E3131" s="16" t="s">
        <v>8161</v>
      </c>
      <c r="F3131" s="16"/>
      <c r="G3131" s="16"/>
      <c r="H3131" s="18"/>
      <c r="I3131" s="18"/>
      <c r="J3131" s="18"/>
      <c r="K3131" s="18"/>
      <c r="L3131" s="18"/>
      <c r="M3131" s="18"/>
      <c r="N3131" s="18"/>
      <c r="O3131" s="18"/>
      <c r="P3131" s="18"/>
      <c r="Q3131" s="19"/>
      <c r="R3131" s="19"/>
      <c r="S3131" s="19"/>
    </row>
    <row r="3132" ht="15.75" customHeight="1">
      <c r="A3132" s="15">
        <v>45800.650405092594</v>
      </c>
      <c r="B3132" s="16" t="s">
        <v>7978</v>
      </c>
      <c r="C3132" s="16" t="s">
        <v>8035</v>
      </c>
      <c r="D3132" s="16" t="s">
        <v>8142</v>
      </c>
      <c r="E3132" s="16" t="s">
        <v>7977</v>
      </c>
      <c r="F3132" s="16"/>
      <c r="G3132" s="16"/>
      <c r="H3132" s="18"/>
      <c r="I3132" s="18"/>
      <c r="J3132" s="18"/>
      <c r="K3132" s="18"/>
      <c r="L3132" s="18"/>
      <c r="M3132" s="18"/>
      <c r="N3132" s="18"/>
      <c r="O3132" s="18"/>
      <c r="P3132" s="18"/>
      <c r="Q3132" s="19"/>
      <c r="R3132" s="19"/>
      <c r="S3132" s="19"/>
    </row>
    <row r="3133" ht="15.75" customHeight="1">
      <c r="A3133" s="15">
        <v>45800.96525462963</v>
      </c>
      <c r="B3133" s="16" t="s">
        <v>8067</v>
      </c>
      <c r="C3133" s="16" t="s">
        <v>8035</v>
      </c>
      <c r="D3133" s="16" t="s">
        <v>8162</v>
      </c>
      <c r="E3133" s="16" t="s">
        <v>8163</v>
      </c>
      <c r="F3133" s="16"/>
      <c r="G3133" s="16"/>
      <c r="H3133" s="18"/>
      <c r="I3133" s="18"/>
      <c r="J3133" s="18"/>
      <c r="K3133" s="18"/>
      <c r="L3133" s="18"/>
      <c r="M3133" s="18"/>
      <c r="N3133" s="18"/>
      <c r="O3133" s="18"/>
      <c r="P3133" s="18"/>
      <c r="Q3133" s="19"/>
      <c r="R3133" s="19"/>
      <c r="S3133" s="19"/>
    </row>
    <row r="3134" ht="15.75" customHeight="1">
      <c r="A3134" s="15">
        <v>45803.45518518519</v>
      </c>
      <c r="B3134" s="16" t="s">
        <v>7978</v>
      </c>
      <c r="C3134" s="16" t="s">
        <v>8035</v>
      </c>
      <c r="D3134" s="16" t="s">
        <v>6952</v>
      </c>
      <c r="E3134" s="16" t="s">
        <v>7977</v>
      </c>
      <c r="F3134" s="16"/>
      <c r="G3134" s="16"/>
      <c r="H3134" s="18"/>
      <c r="I3134" s="18"/>
      <c r="J3134" s="18"/>
      <c r="K3134" s="18"/>
      <c r="L3134" s="18"/>
      <c r="M3134" s="18"/>
      <c r="N3134" s="18"/>
      <c r="O3134" s="18"/>
      <c r="P3134" s="18"/>
      <c r="Q3134" s="19"/>
      <c r="R3134" s="19"/>
      <c r="S3134" s="19"/>
    </row>
    <row r="3135" ht="15.75" customHeight="1">
      <c r="A3135" s="15">
        <v>45803.76582175926</v>
      </c>
      <c r="B3135" s="16" t="s">
        <v>7984</v>
      </c>
      <c r="C3135" s="16" t="s">
        <v>8035</v>
      </c>
      <c r="D3135" s="20" t="str">
        <f>?UTF-8?q?Check_out_what=E2=80=99s_popular_right_now?=</f>
        <v>#ERROR!</v>
      </c>
      <c r="E3135" s="16" t="s">
        <v>7977</v>
      </c>
      <c r="F3135" s="16"/>
      <c r="G3135" s="16"/>
      <c r="H3135" s="18"/>
      <c r="I3135" s="18"/>
      <c r="J3135" s="18"/>
      <c r="K3135" s="18"/>
      <c r="L3135" s="18"/>
      <c r="M3135" s="18"/>
      <c r="N3135" s="18"/>
      <c r="O3135" s="18"/>
      <c r="P3135" s="18"/>
      <c r="Q3135" s="19"/>
      <c r="R3135" s="19"/>
      <c r="S3135" s="19"/>
    </row>
    <row r="3136" ht="15.75" customHeight="1">
      <c r="A3136" s="15">
        <v>45804.437997685185</v>
      </c>
      <c r="B3136" s="16" t="s">
        <v>7978</v>
      </c>
      <c r="C3136" s="16" t="s">
        <v>8035</v>
      </c>
      <c r="D3136" s="20" t="str">
        <f>?UTF-8?q?50%_off_your_next_3_orders_-_just_for_you_=F0=9F=91=80?=</f>
        <v>#ERROR!</v>
      </c>
      <c r="E3136" s="16" t="s">
        <v>7977</v>
      </c>
      <c r="F3136" s="16"/>
      <c r="G3136" s="16"/>
      <c r="H3136" s="18"/>
      <c r="I3136" s="18"/>
      <c r="J3136" s="18"/>
      <c r="K3136" s="18"/>
      <c r="L3136" s="18"/>
      <c r="M3136" s="18"/>
      <c r="N3136" s="18"/>
      <c r="O3136" s="18"/>
      <c r="P3136" s="18"/>
      <c r="Q3136" s="19"/>
      <c r="R3136" s="19"/>
      <c r="S3136" s="19"/>
    </row>
    <row r="3137" ht="15.75" customHeight="1">
      <c r="A3137" s="15">
        <v>45804.596400462964</v>
      </c>
      <c r="B3137" s="16" t="s">
        <v>7897</v>
      </c>
      <c r="C3137" s="16" t="s">
        <v>8035</v>
      </c>
      <c r="D3137" s="16" t="s">
        <v>8164</v>
      </c>
      <c r="E3137" s="16" t="s">
        <v>8165</v>
      </c>
      <c r="F3137" s="16"/>
      <c r="G3137" s="16"/>
      <c r="H3137" s="18"/>
      <c r="I3137" s="18"/>
      <c r="J3137" s="18"/>
      <c r="K3137" s="18"/>
      <c r="L3137" s="18"/>
      <c r="M3137" s="18"/>
      <c r="N3137" s="18"/>
      <c r="O3137" s="18"/>
      <c r="P3137" s="18"/>
      <c r="Q3137" s="19"/>
      <c r="R3137" s="19"/>
      <c r="S3137" s="19"/>
    </row>
    <row r="3138" ht="15.75" customHeight="1">
      <c r="A3138" s="15">
        <v>45804.65857638889</v>
      </c>
      <c r="B3138" s="16" t="s">
        <v>7978</v>
      </c>
      <c r="C3138" s="16" t="s">
        <v>8035</v>
      </c>
      <c r="D3138" s="16" t="s">
        <v>6874</v>
      </c>
      <c r="E3138" s="16" t="s">
        <v>7977</v>
      </c>
      <c r="F3138" s="16"/>
      <c r="G3138" s="16"/>
      <c r="H3138" s="18"/>
      <c r="I3138" s="18"/>
      <c r="J3138" s="18"/>
      <c r="K3138" s="18"/>
      <c r="L3138" s="18"/>
      <c r="M3138" s="18"/>
      <c r="N3138" s="18"/>
      <c r="O3138" s="18"/>
      <c r="P3138" s="18"/>
      <c r="Q3138" s="19"/>
      <c r="R3138" s="19"/>
      <c r="S3138" s="19"/>
    </row>
    <row r="3139" ht="15.75" customHeight="1">
      <c r="A3139" s="15">
        <v>45805.517372685186</v>
      </c>
      <c r="B3139" s="16" t="s">
        <v>7984</v>
      </c>
      <c r="C3139" s="16" t="s">
        <v>8035</v>
      </c>
      <c r="D3139" s="16" t="s">
        <v>8166</v>
      </c>
      <c r="E3139" s="16" t="s">
        <v>7977</v>
      </c>
      <c r="F3139" s="16"/>
      <c r="G3139" s="16"/>
      <c r="H3139" s="18"/>
      <c r="I3139" s="18"/>
      <c r="J3139" s="18"/>
      <c r="K3139" s="18"/>
      <c r="L3139" s="18"/>
      <c r="M3139" s="18"/>
      <c r="N3139" s="18"/>
      <c r="O3139" s="18"/>
      <c r="P3139" s="18"/>
      <c r="Q3139" s="19"/>
      <c r="R3139" s="19"/>
      <c r="S3139" s="19"/>
    </row>
    <row r="3140" ht="15.75" customHeight="1">
      <c r="A3140" s="15">
        <v>45807.61996527778</v>
      </c>
      <c r="B3140" s="16" t="s">
        <v>8167</v>
      </c>
      <c r="C3140" s="16" t="s">
        <v>8035</v>
      </c>
      <c r="D3140" s="20" t="str">
        <f>?UTF-8?Q?=F0=9F=9A=80_Level_Up_This_Season?=</f>
        <v>#ERROR!</v>
      </c>
      <c r="E3140" s="16" t="s">
        <v>8168</v>
      </c>
      <c r="F3140" s="16"/>
      <c r="G3140" s="16"/>
      <c r="H3140" s="18"/>
      <c r="I3140" s="18"/>
      <c r="J3140" s="18"/>
      <c r="K3140" s="18"/>
      <c r="L3140" s="18"/>
      <c r="M3140" s="18"/>
      <c r="N3140" s="18"/>
      <c r="O3140" s="18"/>
      <c r="P3140" s="18"/>
      <c r="Q3140" s="19"/>
      <c r="R3140" s="19"/>
      <c r="S3140" s="19"/>
    </row>
    <row r="3141" ht="15.75" customHeight="1">
      <c r="A3141" s="15">
        <v>45807.66342592592</v>
      </c>
      <c r="B3141" s="16" t="s">
        <v>8067</v>
      </c>
      <c r="C3141" s="16" t="s">
        <v>8035</v>
      </c>
      <c r="D3141" s="16" t="s">
        <v>8169</v>
      </c>
      <c r="E3141" s="16" t="s">
        <v>8170</v>
      </c>
      <c r="F3141" s="16"/>
      <c r="G3141" s="16"/>
      <c r="H3141" s="18"/>
      <c r="I3141" s="18"/>
      <c r="J3141" s="18"/>
      <c r="K3141" s="18"/>
      <c r="L3141" s="18"/>
      <c r="M3141" s="18"/>
      <c r="N3141" s="18"/>
      <c r="O3141" s="18"/>
      <c r="P3141" s="18"/>
      <c r="Q3141" s="19"/>
      <c r="R3141" s="19"/>
      <c r="S3141" s="19"/>
    </row>
    <row r="3142" ht="15.75" customHeight="1">
      <c r="A3142" s="15">
        <v>45807.66678240741</v>
      </c>
      <c r="B3142" s="16" t="s">
        <v>7978</v>
      </c>
      <c r="C3142" s="16" t="s">
        <v>8035</v>
      </c>
      <c r="D3142" s="16" t="s">
        <v>8142</v>
      </c>
      <c r="E3142" s="16" t="s">
        <v>7977</v>
      </c>
      <c r="F3142" s="16"/>
      <c r="G3142" s="16"/>
      <c r="H3142" s="18"/>
      <c r="I3142" s="18"/>
      <c r="J3142" s="18"/>
      <c r="K3142" s="18"/>
      <c r="L3142" s="18"/>
      <c r="M3142" s="18"/>
      <c r="N3142" s="18"/>
      <c r="O3142" s="18"/>
      <c r="P3142" s="18"/>
      <c r="Q3142" s="19"/>
      <c r="R3142" s="19"/>
      <c r="S3142" s="19"/>
    </row>
    <row r="3143" ht="15.75" customHeight="1">
      <c r="A3143" s="15">
        <v>45807.882893518516</v>
      </c>
      <c r="B3143" s="16" t="s">
        <v>7984</v>
      </c>
      <c r="C3143" s="16" t="s">
        <v>8035</v>
      </c>
      <c r="D3143" s="16" t="s">
        <v>8128</v>
      </c>
      <c r="E3143" s="16" t="s">
        <v>7977</v>
      </c>
      <c r="F3143" s="16"/>
      <c r="G3143" s="16"/>
      <c r="H3143" s="18"/>
      <c r="I3143" s="18"/>
      <c r="J3143" s="18"/>
      <c r="K3143" s="18"/>
      <c r="L3143" s="18"/>
      <c r="M3143" s="18"/>
      <c r="N3143" s="18"/>
      <c r="O3143" s="18"/>
      <c r="P3143" s="18"/>
      <c r="Q3143" s="19"/>
      <c r="R3143" s="19"/>
      <c r="S3143" s="19"/>
    </row>
    <row r="3144" ht="15.75" customHeight="1">
      <c r="A3144" s="15">
        <v>45810.70070601852</v>
      </c>
      <c r="B3144" s="16" t="s">
        <v>7984</v>
      </c>
      <c r="C3144" s="16" t="s">
        <v>8035</v>
      </c>
      <c r="D3144" s="16" t="s">
        <v>6929</v>
      </c>
      <c r="E3144" s="16" t="s">
        <v>7977</v>
      </c>
      <c r="F3144" s="16"/>
      <c r="G3144" s="16"/>
      <c r="H3144" s="18"/>
      <c r="I3144" s="18"/>
      <c r="J3144" s="18"/>
      <c r="K3144" s="18"/>
      <c r="L3144" s="18"/>
      <c r="M3144" s="18"/>
      <c r="N3144" s="18"/>
      <c r="O3144" s="18"/>
      <c r="P3144" s="18"/>
      <c r="Q3144" s="19"/>
      <c r="R3144" s="19"/>
      <c r="S3144" s="19"/>
    </row>
    <row r="3145" ht="15.75" customHeight="1">
      <c r="A3145" s="15">
        <v>45810.88601851852</v>
      </c>
      <c r="B3145" s="16" t="s">
        <v>8171</v>
      </c>
      <c r="C3145" s="16" t="s">
        <v>8035</v>
      </c>
      <c r="D3145" s="16" t="s">
        <v>8172</v>
      </c>
      <c r="E3145" s="16" t="s">
        <v>8173</v>
      </c>
      <c r="F3145" s="16"/>
      <c r="G3145" s="16"/>
      <c r="H3145" s="18"/>
      <c r="I3145" s="18"/>
      <c r="J3145" s="18"/>
      <c r="K3145" s="18"/>
      <c r="L3145" s="18"/>
      <c r="M3145" s="18"/>
      <c r="N3145" s="18"/>
      <c r="O3145" s="18"/>
      <c r="P3145" s="18"/>
      <c r="Q3145" s="19"/>
      <c r="R3145" s="19"/>
      <c r="S3145" s="19"/>
    </row>
    <row r="3146" ht="15.75" customHeight="1">
      <c r="A3146" s="15">
        <v>45810.88752314815</v>
      </c>
      <c r="B3146" s="16" t="s">
        <v>8171</v>
      </c>
      <c r="C3146" s="16" t="s">
        <v>8035</v>
      </c>
      <c r="D3146" s="16" t="s">
        <v>8174</v>
      </c>
      <c r="E3146" s="16" t="s">
        <v>8175</v>
      </c>
      <c r="F3146" s="16"/>
      <c r="G3146" s="16"/>
      <c r="H3146" s="18"/>
      <c r="I3146" s="18"/>
      <c r="J3146" s="18"/>
      <c r="K3146" s="18"/>
      <c r="L3146" s="18"/>
      <c r="M3146" s="18"/>
      <c r="N3146" s="18"/>
      <c r="O3146" s="18"/>
      <c r="P3146" s="18"/>
      <c r="Q3146" s="19"/>
      <c r="R3146" s="19"/>
      <c r="S3146" s="19"/>
    </row>
    <row r="3147" ht="15.75" customHeight="1">
      <c r="A3147" s="15">
        <v>45811.450104166666</v>
      </c>
      <c r="B3147" s="16" t="s">
        <v>7978</v>
      </c>
      <c r="C3147" s="16" t="s">
        <v>8035</v>
      </c>
      <c r="D3147" s="20" t="str">
        <f>?UTF-8?q?50%_off_your_next_3_orders_-_just_for_you_=F0=9F=91=80?=</f>
        <v>#ERROR!</v>
      </c>
      <c r="E3147" s="16" t="s">
        <v>7977</v>
      </c>
      <c r="F3147" s="16"/>
      <c r="G3147" s="16"/>
      <c r="H3147" s="18"/>
      <c r="I3147" s="18"/>
      <c r="J3147" s="18"/>
      <c r="K3147" s="18"/>
      <c r="L3147" s="18"/>
      <c r="M3147" s="18"/>
      <c r="N3147" s="18"/>
      <c r="O3147" s="18"/>
      <c r="P3147" s="18"/>
      <c r="Q3147" s="19"/>
      <c r="R3147" s="19"/>
      <c r="S3147" s="19"/>
    </row>
    <row r="3148" ht="15.75" customHeight="1">
      <c r="A3148" s="15">
        <v>45811.60258101852</v>
      </c>
      <c r="B3148" s="16" t="s">
        <v>7897</v>
      </c>
      <c r="C3148" s="16" t="s">
        <v>8035</v>
      </c>
      <c r="D3148" s="20" t="str">
        <f>?utf-8?B?TGVhZGluZyB0aHJvdWdoIOKAnFRoZSBHcmVhdCBGbGF0dGVuaW5n?=
	=?utf-8?B?4oCd?=</f>
        <v>#ERROR!</v>
      </c>
      <c r="E3148" s="16" t="s">
        <v>8176</v>
      </c>
      <c r="F3148" s="16"/>
      <c r="G3148" s="16"/>
      <c r="H3148" s="18"/>
      <c r="I3148" s="18"/>
      <c r="J3148" s="18"/>
      <c r="K3148" s="18"/>
      <c r="L3148" s="18"/>
      <c r="M3148" s="18"/>
      <c r="N3148" s="18"/>
      <c r="O3148" s="18"/>
      <c r="P3148" s="18"/>
      <c r="Q3148" s="19"/>
      <c r="R3148" s="19"/>
      <c r="S3148" s="19"/>
    </row>
    <row r="3149" ht="15.75" customHeight="1">
      <c r="A3149" s="15">
        <v>45811.65791666666</v>
      </c>
      <c r="B3149" s="16" t="s">
        <v>7978</v>
      </c>
      <c r="C3149" s="16" t="s">
        <v>8035</v>
      </c>
      <c r="D3149" s="16" t="s">
        <v>6874</v>
      </c>
      <c r="E3149" s="16" t="s">
        <v>7977</v>
      </c>
      <c r="F3149" s="16"/>
      <c r="G3149" s="16"/>
      <c r="H3149" s="18"/>
      <c r="I3149" s="18"/>
      <c r="J3149" s="18"/>
      <c r="K3149" s="18"/>
      <c r="L3149" s="18"/>
      <c r="M3149" s="18"/>
      <c r="N3149" s="18"/>
      <c r="O3149" s="18"/>
      <c r="P3149" s="18"/>
      <c r="Q3149" s="19"/>
      <c r="R3149" s="19"/>
      <c r="S3149" s="19"/>
    </row>
    <row r="3150" ht="15.75" customHeight="1">
      <c r="A3150" s="15">
        <v>45812.50009259259</v>
      </c>
      <c r="B3150" s="16" t="s">
        <v>7984</v>
      </c>
      <c r="C3150" s="16" t="s">
        <v>8035</v>
      </c>
      <c r="D3150" s="16" t="s">
        <v>8123</v>
      </c>
      <c r="E3150" s="16" t="s">
        <v>7977</v>
      </c>
      <c r="F3150" s="16"/>
      <c r="G3150" s="16"/>
      <c r="H3150" s="18"/>
      <c r="I3150" s="18"/>
      <c r="J3150" s="18"/>
      <c r="K3150" s="18"/>
      <c r="L3150" s="18"/>
      <c r="M3150" s="18"/>
      <c r="N3150" s="18"/>
      <c r="O3150" s="18"/>
      <c r="P3150" s="18"/>
      <c r="Q3150" s="19"/>
      <c r="R3150" s="19"/>
      <c r="S3150" s="19"/>
    </row>
    <row r="3151" ht="15.75" customHeight="1">
      <c r="A3151" s="15">
        <v>45815.75077546296</v>
      </c>
      <c r="B3151" s="16" t="s">
        <v>7984</v>
      </c>
      <c r="C3151" s="16" t="s">
        <v>8035</v>
      </c>
      <c r="D3151" s="16" t="s">
        <v>7011</v>
      </c>
      <c r="E3151" s="16" t="s">
        <v>7977</v>
      </c>
      <c r="F3151" s="16"/>
      <c r="G3151" s="16"/>
      <c r="H3151" s="18"/>
      <c r="I3151" s="18"/>
      <c r="J3151" s="18"/>
      <c r="K3151" s="18"/>
      <c r="L3151" s="18"/>
      <c r="M3151" s="18"/>
      <c r="N3151" s="18"/>
      <c r="O3151" s="18"/>
      <c r="P3151" s="18"/>
      <c r="Q3151" s="19"/>
      <c r="R3151" s="19"/>
      <c r="S3151" s="19"/>
    </row>
    <row r="3152" ht="15.75" customHeight="1">
      <c r="A3152" s="15">
        <v>45816.68304398148</v>
      </c>
      <c r="B3152" s="16" t="s">
        <v>7992</v>
      </c>
      <c r="C3152" s="16" t="s">
        <v>8035</v>
      </c>
      <c r="D3152" s="16" t="s">
        <v>7993</v>
      </c>
      <c r="E3152" s="16" t="s">
        <v>7977</v>
      </c>
      <c r="F3152" s="16"/>
      <c r="G3152" s="16"/>
      <c r="H3152" s="18"/>
      <c r="I3152" s="18"/>
      <c r="J3152" s="18"/>
      <c r="K3152" s="18"/>
      <c r="L3152" s="18"/>
      <c r="M3152" s="18"/>
      <c r="N3152" s="18"/>
      <c r="O3152" s="18"/>
      <c r="P3152" s="18"/>
      <c r="Q3152" s="19"/>
      <c r="R3152" s="19"/>
      <c r="S3152" s="19"/>
    </row>
    <row r="3153" ht="15.75" customHeight="1">
      <c r="A3153" s="15">
        <v>45817.46618055556</v>
      </c>
      <c r="B3153" s="16" t="s">
        <v>7978</v>
      </c>
      <c r="C3153" s="16" t="s">
        <v>8035</v>
      </c>
      <c r="D3153" s="16" t="s">
        <v>6952</v>
      </c>
      <c r="E3153" s="16" t="s">
        <v>7977</v>
      </c>
      <c r="F3153" s="16"/>
      <c r="G3153" s="16"/>
      <c r="H3153" s="18"/>
      <c r="I3153" s="18"/>
      <c r="J3153" s="18"/>
      <c r="K3153" s="18"/>
      <c r="L3153" s="18"/>
      <c r="M3153" s="18"/>
      <c r="N3153" s="18"/>
      <c r="O3153" s="18"/>
      <c r="P3153" s="18"/>
      <c r="Q3153" s="19"/>
      <c r="R3153" s="19"/>
      <c r="S3153" s="19"/>
    </row>
    <row r="3154" ht="15.75" customHeight="1">
      <c r="A3154" s="15">
        <v>45818.500497685185</v>
      </c>
      <c r="B3154" s="16" t="s">
        <v>7984</v>
      </c>
      <c r="C3154" s="16" t="s">
        <v>8035</v>
      </c>
      <c r="D3154" s="16" t="s">
        <v>8177</v>
      </c>
      <c r="E3154" s="16" t="s">
        <v>7977</v>
      </c>
      <c r="F3154" s="16"/>
      <c r="G3154" s="16"/>
      <c r="H3154" s="18"/>
      <c r="I3154" s="18"/>
      <c r="J3154" s="18"/>
      <c r="K3154" s="18"/>
      <c r="L3154" s="18"/>
      <c r="M3154" s="18"/>
      <c r="N3154" s="18"/>
      <c r="O3154" s="18"/>
      <c r="P3154" s="18"/>
      <c r="Q3154" s="19"/>
      <c r="R3154" s="19"/>
      <c r="S3154" s="19"/>
    </row>
    <row r="3155" ht="15.75" customHeight="1">
      <c r="A3155" s="15">
        <v>45818.86672453704</v>
      </c>
      <c r="B3155" s="16" t="s">
        <v>7992</v>
      </c>
      <c r="C3155" s="16" t="s">
        <v>8035</v>
      </c>
      <c r="D3155" s="16" t="s">
        <v>8066</v>
      </c>
      <c r="E3155" s="16" t="s">
        <v>7977</v>
      </c>
      <c r="F3155" s="16"/>
      <c r="G3155" s="16"/>
      <c r="H3155" s="18"/>
      <c r="I3155" s="18"/>
      <c r="J3155" s="18"/>
      <c r="K3155" s="18"/>
      <c r="L3155" s="18"/>
      <c r="M3155" s="18"/>
      <c r="N3155" s="18"/>
      <c r="O3155" s="18"/>
      <c r="P3155" s="18"/>
      <c r="Q3155" s="19"/>
      <c r="R3155" s="19"/>
      <c r="S3155" s="19"/>
    </row>
    <row r="3156" ht="15.75" customHeight="1">
      <c r="A3156" s="15">
        <v>45819.44672453704</v>
      </c>
      <c r="B3156" s="16" t="s">
        <v>7978</v>
      </c>
      <c r="C3156" s="16" t="s">
        <v>8035</v>
      </c>
      <c r="D3156" s="16" t="s">
        <v>6874</v>
      </c>
      <c r="E3156" s="16" t="s">
        <v>7977</v>
      </c>
      <c r="F3156" s="16"/>
      <c r="G3156" s="16"/>
      <c r="H3156" s="18"/>
      <c r="I3156" s="18"/>
      <c r="J3156" s="18"/>
      <c r="K3156" s="18"/>
      <c r="L3156" s="18"/>
      <c r="M3156" s="18"/>
      <c r="N3156" s="18"/>
      <c r="O3156" s="18"/>
      <c r="P3156" s="18"/>
      <c r="Q3156" s="19"/>
      <c r="R3156" s="19"/>
      <c r="S3156" s="19"/>
    </row>
    <row r="3157" ht="15.75" customHeight="1">
      <c r="A3157" s="15">
        <v>45819.56201388889</v>
      </c>
      <c r="B3157" s="16" t="s">
        <v>8178</v>
      </c>
      <c r="C3157" s="16" t="s">
        <v>8035</v>
      </c>
      <c r="D3157" s="16" t="s">
        <v>8179</v>
      </c>
      <c r="E3157" s="16" t="s">
        <v>8180</v>
      </c>
      <c r="F3157" s="16"/>
      <c r="G3157" s="16"/>
      <c r="H3157" s="18"/>
      <c r="I3157" s="18"/>
      <c r="J3157" s="18"/>
      <c r="K3157" s="18"/>
      <c r="L3157" s="18"/>
      <c r="M3157" s="18"/>
      <c r="N3157" s="18"/>
      <c r="O3157" s="18"/>
      <c r="P3157" s="18"/>
      <c r="Q3157" s="19"/>
      <c r="R3157" s="19"/>
      <c r="S3157" s="19"/>
    </row>
    <row r="3158" ht="15.75" customHeight="1">
      <c r="A3158" s="15">
        <v>45819.75380787037</v>
      </c>
      <c r="B3158" s="16" t="s">
        <v>7984</v>
      </c>
      <c r="C3158" s="16" t="s">
        <v>8035</v>
      </c>
      <c r="D3158" s="16" t="s">
        <v>8160</v>
      </c>
      <c r="E3158" s="16" t="s">
        <v>7977</v>
      </c>
      <c r="F3158" s="16"/>
      <c r="G3158" s="16"/>
      <c r="H3158" s="18"/>
      <c r="I3158" s="18"/>
      <c r="J3158" s="18"/>
      <c r="K3158" s="18"/>
      <c r="L3158" s="18"/>
      <c r="M3158" s="18"/>
      <c r="N3158" s="18"/>
      <c r="O3158" s="18"/>
      <c r="P3158" s="18"/>
      <c r="Q3158" s="19"/>
      <c r="R3158" s="19"/>
      <c r="S3158" s="19"/>
    </row>
    <row r="3159" ht="15.75" customHeight="1">
      <c r="A3159" s="15">
        <v>45821.479467592595</v>
      </c>
      <c r="B3159" s="16" t="s">
        <v>8181</v>
      </c>
      <c r="C3159" s="16" t="s">
        <v>8035</v>
      </c>
      <c r="D3159" s="20" t="str">
        <f>?UTF-8?B?TWVldGluZyByZWNvcmRzOiDigJxoYXJwZXIgbiBkYWTigJ0gSnVuIDEzLCAyMDI1?=</f>
        <v>#ERROR!</v>
      </c>
      <c r="E3159" s="16" t="s">
        <v>8182</v>
      </c>
      <c r="F3159" s="16"/>
      <c r="G3159" s="16"/>
      <c r="H3159" s="18"/>
      <c r="I3159" s="18"/>
      <c r="J3159" s="18"/>
      <c r="K3159" s="18"/>
      <c r="L3159" s="18"/>
      <c r="M3159" s="18"/>
      <c r="N3159" s="18"/>
      <c r="O3159" s="18"/>
      <c r="P3159" s="18"/>
      <c r="Q3159" s="19"/>
      <c r="R3159" s="19"/>
      <c r="S3159" s="19"/>
    </row>
    <row r="3160" ht="15.75" customHeight="1">
      <c r="A3160" s="15">
        <v>45821.65008101852</v>
      </c>
      <c r="B3160" s="16" t="s">
        <v>7978</v>
      </c>
      <c r="C3160" s="16" t="s">
        <v>8035</v>
      </c>
      <c r="D3160" s="16" t="s">
        <v>8142</v>
      </c>
      <c r="E3160" s="16" t="s">
        <v>7977</v>
      </c>
      <c r="F3160" s="16"/>
      <c r="G3160" s="16"/>
      <c r="H3160" s="18"/>
      <c r="I3160" s="18"/>
      <c r="J3160" s="18"/>
      <c r="K3160" s="18"/>
      <c r="L3160" s="18"/>
      <c r="M3160" s="18"/>
      <c r="N3160" s="18"/>
      <c r="O3160" s="18"/>
      <c r="P3160" s="18"/>
      <c r="Q3160" s="19"/>
      <c r="R3160" s="19"/>
      <c r="S3160" s="19"/>
    </row>
    <row r="3161" ht="15.75" customHeight="1">
      <c r="A3161" s="15">
        <v>45822.043599537035</v>
      </c>
      <c r="B3161" s="16" t="s">
        <v>8183</v>
      </c>
      <c r="C3161" s="16" t="s">
        <v>8035</v>
      </c>
      <c r="D3161" s="16" t="s">
        <v>8184</v>
      </c>
      <c r="E3161" s="16" t="s">
        <v>8185</v>
      </c>
      <c r="F3161" s="16"/>
      <c r="G3161" s="16"/>
      <c r="H3161" s="18"/>
      <c r="I3161" s="18"/>
      <c r="J3161" s="18"/>
      <c r="K3161" s="18"/>
      <c r="L3161" s="18"/>
      <c r="M3161" s="18"/>
      <c r="N3161" s="18"/>
      <c r="O3161" s="18"/>
      <c r="P3161" s="18"/>
      <c r="Q3161" s="19"/>
      <c r="R3161" s="19"/>
      <c r="S3161" s="19"/>
    </row>
    <row r="3162" ht="15.75" customHeight="1">
      <c r="A3162" s="15">
        <v>45823.4675462963</v>
      </c>
      <c r="B3162" s="16" t="s">
        <v>7085</v>
      </c>
      <c r="C3162" s="16" t="s">
        <v>8035</v>
      </c>
      <c r="D3162" s="16" t="s">
        <v>8186</v>
      </c>
      <c r="E3162" s="16" t="s">
        <v>8187</v>
      </c>
      <c r="F3162" s="16"/>
      <c r="G3162" s="16"/>
      <c r="H3162" s="18"/>
      <c r="I3162" s="18"/>
      <c r="J3162" s="18"/>
      <c r="K3162" s="18"/>
      <c r="L3162" s="18"/>
      <c r="M3162" s="18"/>
      <c r="N3162" s="18"/>
      <c r="O3162" s="18"/>
      <c r="P3162" s="18"/>
      <c r="Q3162" s="19"/>
      <c r="R3162" s="19"/>
      <c r="S3162" s="19"/>
    </row>
    <row r="3163" ht="15.75" customHeight="1">
      <c r="A3163" s="15">
        <v>45823.75103009259</v>
      </c>
      <c r="B3163" s="16" t="s">
        <v>7984</v>
      </c>
      <c r="C3163" s="16" t="s">
        <v>8035</v>
      </c>
      <c r="D3163" s="16" t="s">
        <v>8188</v>
      </c>
      <c r="E3163" s="16" t="s">
        <v>7977</v>
      </c>
      <c r="F3163" s="16"/>
      <c r="G3163" s="16"/>
      <c r="H3163" s="18"/>
      <c r="I3163" s="18"/>
      <c r="J3163" s="18"/>
      <c r="K3163" s="18"/>
      <c r="L3163" s="18"/>
      <c r="M3163" s="18"/>
      <c r="N3163" s="18"/>
      <c r="O3163" s="18"/>
      <c r="P3163" s="18"/>
      <c r="Q3163" s="19"/>
      <c r="R3163" s="19"/>
      <c r="S3163" s="19"/>
    </row>
    <row r="3164" ht="15.75" customHeight="1">
      <c r="A3164" s="15">
        <v>45824.44497685185</v>
      </c>
      <c r="B3164" s="16" t="s">
        <v>7978</v>
      </c>
      <c r="C3164" s="16" t="s">
        <v>8035</v>
      </c>
      <c r="D3164" s="16" t="s">
        <v>6986</v>
      </c>
      <c r="E3164" s="16" t="s">
        <v>7977</v>
      </c>
      <c r="F3164" s="16"/>
      <c r="G3164" s="16"/>
      <c r="H3164" s="18"/>
      <c r="I3164" s="18"/>
      <c r="J3164" s="18"/>
      <c r="K3164" s="18"/>
      <c r="L3164" s="18"/>
      <c r="M3164" s="18"/>
      <c r="N3164" s="18"/>
      <c r="O3164" s="18"/>
      <c r="P3164" s="18"/>
      <c r="Q3164" s="19"/>
      <c r="R3164" s="19"/>
      <c r="S3164" s="19"/>
    </row>
    <row r="3165" ht="15.75" customHeight="1">
      <c r="A3165" s="15">
        <v>45824.65332175926</v>
      </c>
      <c r="B3165" s="16" t="s">
        <v>7984</v>
      </c>
      <c r="C3165" s="16" t="s">
        <v>8035</v>
      </c>
      <c r="D3165" s="16" t="s">
        <v>7003</v>
      </c>
      <c r="E3165" s="16" t="s">
        <v>7977</v>
      </c>
      <c r="F3165" s="16"/>
      <c r="G3165" s="16"/>
      <c r="H3165" s="18"/>
      <c r="I3165" s="18"/>
      <c r="J3165" s="18"/>
      <c r="K3165" s="18"/>
      <c r="L3165" s="18"/>
      <c r="M3165" s="18"/>
      <c r="N3165" s="18"/>
      <c r="O3165" s="18"/>
      <c r="P3165" s="18"/>
      <c r="Q3165" s="19"/>
      <c r="R3165" s="19"/>
      <c r="S3165" s="19"/>
    </row>
    <row r="3166" ht="15.75" customHeight="1">
      <c r="A3166" s="15">
        <v>45825.44898148148</v>
      </c>
      <c r="B3166" s="16" t="s">
        <v>7978</v>
      </c>
      <c r="C3166" s="16" t="s">
        <v>8035</v>
      </c>
      <c r="D3166" s="20" t="str">
        <f>?UTF-8?q?50%_off_your_next_3_orders_-_just_for_you_=F0=9F=91=80?=</f>
        <v>#ERROR!</v>
      </c>
      <c r="E3166" s="16" t="s">
        <v>7977</v>
      </c>
      <c r="F3166" s="16"/>
      <c r="G3166" s="16"/>
      <c r="H3166" s="18"/>
      <c r="I3166" s="18"/>
      <c r="J3166" s="18"/>
      <c r="K3166" s="18"/>
      <c r="L3166" s="18"/>
      <c r="M3166" s="18"/>
      <c r="N3166" s="18"/>
      <c r="O3166" s="18"/>
      <c r="P3166" s="18"/>
      <c r="Q3166" s="19"/>
      <c r="R3166" s="19"/>
      <c r="S3166" s="19"/>
    </row>
    <row r="3167" ht="15.75" customHeight="1">
      <c r="A3167" s="15">
        <v>45825.526921296296</v>
      </c>
      <c r="B3167" s="16" t="s">
        <v>7897</v>
      </c>
      <c r="C3167" s="16" t="s">
        <v>8035</v>
      </c>
      <c r="D3167" s="16" t="s">
        <v>8189</v>
      </c>
      <c r="E3167" s="16" t="s">
        <v>8190</v>
      </c>
      <c r="F3167" s="16"/>
      <c r="G3167" s="16"/>
      <c r="H3167" s="18"/>
      <c r="I3167" s="18"/>
      <c r="J3167" s="18"/>
      <c r="K3167" s="18"/>
      <c r="L3167" s="18"/>
      <c r="M3167" s="18"/>
      <c r="N3167" s="18"/>
      <c r="O3167" s="18"/>
      <c r="P3167" s="18"/>
      <c r="Q3167" s="19"/>
      <c r="R3167" s="19"/>
      <c r="S3167" s="19"/>
    </row>
    <row r="3168" ht="15.75" customHeight="1">
      <c r="A3168" s="15">
        <v>45825.652662037035</v>
      </c>
      <c r="B3168" s="16" t="s">
        <v>7978</v>
      </c>
      <c r="C3168" s="16" t="s">
        <v>8035</v>
      </c>
      <c r="D3168" s="16" t="s">
        <v>6874</v>
      </c>
      <c r="E3168" s="16" t="s">
        <v>7977</v>
      </c>
      <c r="F3168" s="16"/>
      <c r="G3168" s="16"/>
      <c r="H3168" s="18"/>
      <c r="I3168" s="18"/>
      <c r="J3168" s="18"/>
      <c r="K3168" s="18"/>
      <c r="L3168" s="18"/>
      <c r="M3168" s="18"/>
      <c r="N3168" s="18"/>
      <c r="O3168" s="18"/>
      <c r="P3168" s="18"/>
      <c r="Q3168" s="19"/>
      <c r="R3168" s="19"/>
      <c r="S3168" s="19"/>
    </row>
    <row r="3169" ht="15.75" customHeight="1">
      <c r="A3169" s="15">
        <v>45825.70866898148</v>
      </c>
      <c r="B3169" s="16" t="s">
        <v>8191</v>
      </c>
      <c r="C3169" s="16" t="s">
        <v>8035</v>
      </c>
      <c r="D3169" s="16" t="s">
        <v>8192</v>
      </c>
      <c r="E3169" s="16" t="s">
        <v>8193</v>
      </c>
      <c r="F3169" s="16"/>
      <c r="G3169" s="16"/>
      <c r="H3169" s="18"/>
      <c r="I3169" s="18"/>
      <c r="J3169" s="18"/>
      <c r="K3169" s="18"/>
      <c r="L3169" s="18"/>
      <c r="M3169" s="18"/>
      <c r="N3169" s="18"/>
      <c r="O3169" s="18"/>
      <c r="P3169" s="18"/>
      <c r="Q3169" s="19"/>
      <c r="R3169" s="19"/>
      <c r="S3169" s="19"/>
    </row>
    <row r="3170" ht="15.75" customHeight="1">
      <c r="A3170" s="15">
        <v>45825.943761574075</v>
      </c>
      <c r="B3170" s="16" t="s">
        <v>8194</v>
      </c>
      <c r="C3170" s="16" t="s">
        <v>8035</v>
      </c>
      <c r="D3170" s="16" t="s">
        <v>8195</v>
      </c>
      <c r="E3170" s="16" t="s">
        <v>8196</v>
      </c>
      <c r="F3170" s="16"/>
      <c r="G3170" s="16"/>
      <c r="H3170" s="18"/>
      <c r="I3170" s="18"/>
      <c r="J3170" s="18"/>
      <c r="K3170" s="18"/>
      <c r="L3170" s="18"/>
      <c r="M3170" s="18"/>
      <c r="N3170" s="18"/>
      <c r="O3170" s="18"/>
      <c r="P3170" s="18"/>
      <c r="Q3170" s="19"/>
      <c r="R3170" s="19"/>
      <c r="S3170" s="19"/>
    </row>
    <row r="3171" ht="15.75" customHeight="1">
      <c r="A3171" s="15">
        <v>45827.756064814814</v>
      </c>
      <c r="B3171" s="16" t="s">
        <v>7984</v>
      </c>
      <c r="C3171" s="16" t="s">
        <v>8035</v>
      </c>
      <c r="D3171" s="16" t="s">
        <v>8128</v>
      </c>
      <c r="E3171" s="16" t="s">
        <v>7977</v>
      </c>
      <c r="F3171" s="16"/>
      <c r="G3171" s="16"/>
      <c r="H3171" s="18"/>
      <c r="I3171" s="18"/>
      <c r="J3171" s="18"/>
      <c r="K3171" s="18"/>
      <c r="L3171" s="18"/>
      <c r="M3171" s="18"/>
      <c r="N3171" s="18"/>
      <c r="O3171" s="18"/>
      <c r="P3171" s="18"/>
      <c r="Q3171" s="19"/>
      <c r="R3171" s="19"/>
      <c r="S3171" s="19"/>
    </row>
    <row r="3172" ht="15.75" customHeight="1">
      <c r="A3172" s="15">
        <v>45828.825011574074</v>
      </c>
      <c r="B3172" s="16" t="s">
        <v>7992</v>
      </c>
      <c r="C3172" s="16" t="s">
        <v>8035</v>
      </c>
      <c r="D3172" s="16" t="s">
        <v>8066</v>
      </c>
      <c r="E3172" s="16" t="s">
        <v>7977</v>
      </c>
      <c r="F3172" s="16"/>
      <c r="G3172" s="16"/>
      <c r="H3172" s="18"/>
      <c r="I3172" s="18"/>
      <c r="J3172" s="18"/>
      <c r="K3172" s="18"/>
      <c r="L3172" s="18"/>
      <c r="M3172" s="18"/>
      <c r="N3172" s="18"/>
      <c r="O3172" s="18"/>
      <c r="P3172" s="18"/>
      <c r="Q3172" s="19"/>
      <c r="R3172" s="19"/>
      <c r="S3172" s="19"/>
    </row>
    <row r="3173" ht="15.75" customHeight="1">
      <c r="A3173" s="15">
        <v>45829.750023148146</v>
      </c>
      <c r="B3173" s="16" t="s">
        <v>8191</v>
      </c>
      <c r="C3173" s="16" t="s">
        <v>8035</v>
      </c>
      <c r="D3173" s="20" t="str">
        <f>?UTF-8?B?RG9u4oCZdA==?= forget to activate your Lumin workspace</f>
        <v>#ERROR!</v>
      </c>
      <c r="E3173" s="16" t="s">
        <v>8197</v>
      </c>
      <c r="F3173" s="16"/>
      <c r="G3173" s="16"/>
      <c r="H3173" s="18"/>
      <c r="I3173" s="18"/>
      <c r="J3173" s="18"/>
      <c r="K3173" s="18"/>
      <c r="L3173" s="18"/>
      <c r="M3173" s="18"/>
      <c r="N3173" s="18"/>
      <c r="O3173" s="18"/>
      <c r="P3173" s="18"/>
      <c r="Q3173" s="19"/>
      <c r="R3173" s="19"/>
      <c r="S3173" s="19"/>
    </row>
    <row r="3174" ht="15.75" customHeight="1">
      <c r="A3174" s="15">
        <v>45831.45479166666</v>
      </c>
      <c r="B3174" s="16" t="s">
        <v>7978</v>
      </c>
      <c r="C3174" s="16" t="s">
        <v>8035</v>
      </c>
      <c r="D3174" s="16" t="s">
        <v>6986</v>
      </c>
      <c r="E3174" s="16" t="s">
        <v>7977</v>
      </c>
      <c r="F3174" s="16"/>
      <c r="G3174" s="16"/>
      <c r="H3174" s="18"/>
      <c r="I3174" s="18"/>
      <c r="J3174" s="18"/>
      <c r="K3174" s="18"/>
      <c r="L3174" s="18"/>
      <c r="M3174" s="18"/>
      <c r="N3174" s="18"/>
      <c r="O3174" s="18"/>
      <c r="P3174" s="18"/>
      <c r="Q3174" s="19"/>
      <c r="R3174" s="19"/>
      <c r="S3174" s="19"/>
    </row>
    <row r="3175" ht="15.75" customHeight="1">
      <c r="A3175" s="15">
        <v>45831.76447916667</v>
      </c>
      <c r="B3175" s="16" t="s">
        <v>7984</v>
      </c>
      <c r="C3175" s="16" t="s">
        <v>8035</v>
      </c>
      <c r="D3175" s="16" t="s">
        <v>8198</v>
      </c>
      <c r="E3175" s="16" t="s">
        <v>7977</v>
      </c>
      <c r="F3175" s="16"/>
      <c r="G3175" s="16"/>
      <c r="H3175" s="18"/>
      <c r="I3175" s="18"/>
      <c r="J3175" s="18"/>
      <c r="K3175" s="18"/>
      <c r="L3175" s="18"/>
      <c r="M3175" s="18"/>
      <c r="N3175" s="18"/>
      <c r="O3175" s="18"/>
      <c r="P3175" s="18"/>
      <c r="Q3175" s="19"/>
      <c r="R3175" s="19"/>
      <c r="S3175" s="19"/>
    </row>
    <row r="3176" ht="15.75" customHeight="1">
      <c r="A3176" s="15">
        <v>45832.82104166667</v>
      </c>
      <c r="B3176" s="16" t="s">
        <v>7978</v>
      </c>
      <c r="C3176" s="16" t="s">
        <v>8035</v>
      </c>
      <c r="D3176" s="16" t="s">
        <v>6874</v>
      </c>
      <c r="E3176" s="16" t="s">
        <v>7977</v>
      </c>
      <c r="F3176" s="16"/>
      <c r="G3176" s="16"/>
      <c r="H3176" s="18"/>
      <c r="I3176" s="18"/>
      <c r="J3176" s="18"/>
      <c r="K3176" s="18"/>
      <c r="L3176" s="18"/>
      <c r="M3176" s="18"/>
      <c r="N3176" s="18"/>
      <c r="O3176" s="18"/>
      <c r="P3176" s="18"/>
      <c r="Q3176" s="19"/>
      <c r="R3176" s="19"/>
      <c r="S3176" s="19"/>
    </row>
    <row r="3177" ht="15.75" customHeight="1">
      <c r="A3177" s="15">
        <v>45832.92519675926</v>
      </c>
      <c r="B3177" s="16" t="s">
        <v>8199</v>
      </c>
      <c r="C3177" s="16" t="s">
        <v>8035</v>
      </c>
      <c r="D3177" s="16" t="s">
        <v>8200</v>
      </c>
      <c r="E3177" s="16" t="s">
        <v>7339</v>
      </c>
      <c r="F3177" s="16"/>
      <c r="G3177" s="16"/>
      <c r="H3177" s="18"/>
      <c r="I3177" s="18"/>
      <c r="J3177" s="18"/>
      <c r="K3177" s="18"/>
      <c r="L3177" s="18"/>
      <c r="M3177" s="18"/>
      <c r="N3177" s="18"/>
      <c r="O3177" s="18"/>
      <c r="P3177" s="18"/>
      <c r="Q3177" s="19"/>
      <c r="R3177" s="19"/>
      <c r="S3177" s="19"/>
    </row>
    <row r="3178" ht="15.75" customHeight="1">
      <c r="A3178" s="15">
        <v>45833.48023148148</v>
      </c>
      <c r="B3178" s="16" t="s">
        <v>7984</v>
      </c>
      <c r="C3178" s="16" t="s">
        <v>8035</v>
      </c>
      <c r="D3178" s="16" t="s">
        <v>6929</v>
      </c>
      <c r="E3178" s="16" t="s">
        <v>7977</v>
      </c>
      <c r="F3178" s="16"/>
      <c r="G3178" s="16"/>
      <c r="H3178" s="18"/>
      <c r="I3178" s="18"/>
      <c r="J3178" s="18"/>
      <c r="K3178" s="18"/>
      <c r="L3178" s="18"/>
      <c r="M3178" s="18"/>
      <c r="N3178" s="18"/>
      <c r="O3178" s="18"/>
      <c r="P3178" s="18"/>
      <c r="Q3178" s="19"/>
      <c r="R3178" s="19"/>
      <c r="S3178" s="19"/>
    </row>
    <row r="3179" ht="15.75" customHeight="1">
      <c r="A3179" s="15">
        <v>45834.44184027778</v>
      </c>
      <c r="B3179" s="16" t="s">
        <v>7978</v>
      </c>
      <c r="C3179" s="16" t="s">
        <v>8035</v>
      </c>
      <c r="D3179" s="20" t="str">
        <f>?UTF-8?b?Q2FuYWRhIERheSBEZWFscyDwn4eo8J+Hpg==?=</f>
        <v>#ERROR!</v>
      </c>
      <c r="E3179" s="16" t="s">
        <v>7977</v>
      </c>
      <c r="F3179" s="16"/>
      <c r="G3179" s="16"/>
      <c r="H3179" s="18"/>
      <c r="I3179" s="18"/>
      <c r="J3179" s="18"/>
      <c r="K3179" s="18"/>
      <c r="L3179" s="18"/>
      <c r="M3179" s="18"/>
      <c r="N3179" s="18"/>
      <c r="O3179" s="18"/>
      <c r="P3179" s="18"/>
      <c r="Q3179" s="19"/>
      <c r="R3179" s="19"/>
      <c r="S3179" s="19"/>
    </row>
    <row r="3180" ht="15.75" customHeight="1">
      <c r="A3180" s="15">
        <v>45835.07509259259</v>
      </c>
      <c r="B3180" s="16" t="s">
        <v>8201</v>
      </c>
      <c r="C3180" s="16" t="s">
        <v>8035</v>
      </c>
      <c r="D3180" s="16" t="s">
        <v>8202</v>
      </c>
      <c r="E3180" s="16" t="s">
        <v>7623</v>
      </c>
      <c r="F3180" s="16"/>
      <c r="G3180" s="16"/>
      <c r="H3180" s="18"/>
      <c r="I3180" s="18"/>
      <c r="J3180" s="18"/>
      <c r="K3180" s="18"/>
      <c r="L3180" s="18"/>
      <c r="M3180" s="18"/>
      <c r="N3180" s="18"/>
      <c r="O3180" s="18"/>
      <c r="P3180" s="18"/>
      <c r="Q3180" s="19"/>
      <c r="R3180" s="19"/>
      <c r="S3180" s="19"/>
    </row>
    <row r="3181" ht="15.75" customHeight="1">
      <c r="A3181" s="15">
        <v>45835.08453703704</v>
      </c>
      <c r="B3181" s="16" t="s">
        <v>8201</v>
      </c>
      <c r="C3181" s="16" t="s">
        <v>8035</v>
      </c>
      <c r="D3181" s="16" t="s">
        <v>8202</v>
      </c>
      <c r="E3181" s="16" t="s">
        <v>7277</v>
      </c>
      <c r="F3181" s="16"/>
      <c r="G3181" s="16"/>
      <c r="H3181" s="18"/>
      <c r="I3181" s="18"/>
      <c r="J3181" s="18"/>
      <c r="K3181" s="18"/>
      <c r="L3181" s="18"/>
      <c r="M3181" s="18"/>
      <c r="N3181" s="18"/>
      <c r="O3181" s="18"/>
      <c r="P3181" s="18"/>
      <c r="Q3181" s="19"/>
      <c r="R3181" s="19"/>
      <c r="S3181" s="19"/>
    </row>
    <row r="3182" ht="15.75" customHeight="1">
      <c r="A3182" s="15">
        <v>45835.09028935185</v>
      </c>
      <c r="B3182" s="16" t="s">
        <v>8201</v>
      </c>
      <c r="C3182" s="16" t="s">
        <v>8035</v>
      </c>
      <c r="D3182" s="16" t="s">
        <v>8202</v>
      </c>
      <c r="E3182" s="16" t="s">
        <v>7625</v>
      </c>
      <c r="F3182" s="16"/>
      <c r="G3182" s="16"/>
      <c r="H3182" s="18"/>
      <c r="I3182" s="18"/>
      <c r="J3182" s="18"/>
      <c r="K3182" s="18"/>
      <c r="L3182" s="18"/>
      <c r="M3182" s="18"/>
      <c r="N3182" s="18"/>
      <c r="O3182" s="18"/>
      <c r="P3182" s="18"/>
      <c r="Q3182" s="19"/>
      <c r="R3182" s="19"/>
      <c r="S3182" s="19"/>
    </row>
    <row r="3183" ht="15.75" customHeight="1">
      <c r="A3183" s="15">
        <v>45835.56891203704</v>
      </c>
      <c r="B3183" s="16" t="s">
        <v>7978</v>
      </c>
      <c r="C3183" s="16" t="s">
        <v>8035</v>
      </c>
      <c r="D3183" s="16" t="s">
        <v>6992</v>
      </c>
      <c r="E3183" s="16" t="s">
        <v>7977</v>
      </c>
      <c r="F3183" s="16"/>
      <c r="G3183" s="16"/>
      <c r="H3183" s="18"/>
      <c r="I3183" s="18"/>
      <c r="J3183" s="18"/>
      <c r="K3183" s="18"/>
      <c r="L3183" s="18"/>
      <c r="M3183" s="18"/>
      <c r="N3183" s="18"/>
      <c r="O3183" s="18"/>
      <c r="P3183" s="18"/>
      <c r="Q3183" s="19"/>
      <c r="R3183" s="19"/>
      <c r="S3183" s="19"/>
    </row>
    <row r="3184" ht="15.75" customHeight="1">
      <c r="A3184" s="15">
        <v>45835.75104166667</v>
      </c>
      <c r="B3184" s="16" t="s">
        <v>7984</v>
      </c>
      <c r="C3184" s="16" t="s">
        <v>8035</v>
      </c>
      <c r="D3184" s="16" t="s">
        <v>8203</v>
      </c>
      <c r="E3184" s="16" t="s">
        <v>7977</v>
      </c>
      <c r="F3184" s="16"/>
      <c r="G3184" s="16"/>
      <c r="H3184" s="18"/>
      <c r="I3184" s="18"/>
      <c r="J3184" s="18"/>
      <c r="K3184" s="18"/>
      <c r="L3184" s="18"/>
      <c r="M3184" s="18"/>
      <c r="N3184" s="18"/>
      <c r="O3184" s="18"/>
      <c r="P3184" s="18"/>
      <c r="Q3184" s="19"/>
      <c r="R3184" s="19"/>
      <c r="S3184" s="19"/>
    </row>
    <row r="3185" ht="15.75" customHeight="1">
      <c r="A3185" s="15">
        <v>45836.63862268518</v>
      </c>
      <c r="B3185" s="16" t="s">
        <v>8201</v>
      </c>
      <c r="C3185" s="16" t="s">
        <v>8035</v>
      </c>
      <c r="D3185" s="16" t="s">
        <v>8202</v>
      </c>
      <c r="E3185" s="16" t="s">
        <v>7731</v>
      </c>
      <c r="F3185" s="16"/>
      <c r="G3185" s="16"/>
      <c r="H3185" s="18"/>
      <c r="I3185" s="18"/>
      <c r="J3185" s="18"/>
      <c r="K3185" s="18"/>
      <c r="L3185" s="18"/>
      <c r="M3185" s="18"/>
      <c r="N3185" s="18"/>
      <c r="O3185" s="18"/>
      <c r="P3185" s="18"/>
      <c r="Q3185" s="19"/>
      <c r="R3185" s="19"/>
      <c r="S3185" s="19"/>
    </row>
    <row r="3186" ht="15.75" customHeight="1">
      <c r="A3186" s="15">
        <v>45838.45806712963</v>
      </c>
      <c r="B3186" s="16" t="s">
        <v>7978</v>
      </c>
      <c r="C3186" s="16" t="s">
        <v>8035</v>
      </c>
      <c r="D3186" s="16" t="s">
        <v>6952</v>
      </c>
      <c r="E3186" s="16" t="s">
        <v>7977</v>
      </c>
      <c r="F3186" s="16"/>
      <c r="G3186" s="16"/>
      <c r="H3186" s="18"/>
      <c r="I3186" s="18"/>
      <c r="J3186" s="18"/>
      <c r="K3186" s="18"/>
      <c r="L3186" s="18"/>
      <c r="M3186" s="18"/>
      <c r="N3186" s="18"/>
      <c r="O3186" s="18"/>
      <c r="P3186" s="18"/>
      <c r="Q3186" s="19"/>
      <c r="R3186" s="19"/>
      <c r="S3186" s="19"/>
    </row>
    <row r="3187" ht="15.75" customHeight="1">
      <c r="A3187" s="15">
        <v>45838.627905092595</v>
      </c>
      <c r="B3187" s="16" t="s">
        <v>8181</v>
      </c>
      <c r="C3187" s="16" t="s">
        <v>8035</v>
      </c>
      <c r="D3187" s="20" t="str">
        <f>?UTF-8?B?TWVldGluZyByZWNvcmRzOiDigJxoYXJwZXIgbiBkYWTigJ0gSnVuIDMwLCAyMDI1?=</f>
        <v>#ERROR!</v>
      </c>
      <c r="E3187" s="16" t="s">
        <v>8182</v>
      </c>
      <c r="F3187" s="16"/>
      <c r="G3187" s="16"/>
      <c r="H3187" s="18"/>
      <c r="I3187" s="18"/>
      <c r="J3187" s="18"/>
      <c r="K3187" s="18"/>
      <c r="L3187" s="18"/>
      <c r="M3187" s="18"/>
      <c r="N3187" s="18"/>
      <c r="O3187" s="18"/>
      <c r="P3187" s="18"/>
      <c r="Q3187" s="19"/>
      <c r="R3187" s="19"/>
      <c r="S3187" s="19"/>
    </row>
    <row r="3188" ht="15.75" customHeight="1">
      <c r="A3188" s="15">
        <v>45838.64084490741</v>
      </c>
      <c r="B3188" s="16" t="s">
        <v>7984</v>
      </c>
      <c r="C3188" s="16" t="s">
        <v>8035</v>
      </c>
      <c r="D3188" s="16" t="s">
        <v>8121</v>
      </c>
      <c r="E3188" s="16" t="s">
        <v>7977</v>
      </c>
      <c r="F3188" s="16"/>
      <c r="G3188" s="16"/>
      <c r="H3188" s="18"/>
      <c r="I3188" s="18"/>
      <c r="J3188" s="18"/>
      <c r="K3188" s="18"/>
      <c r="L3188" s="18"/>
      <c r="M3188" s="18"/>
      <c r="N3188" s="18"/>
      <c r="O3188" s="18"/>
      <c r="P3188" s="18"/>
      <c r="Q3188" s="19"/>
      <c r="R3188" s="19"/>
      <c r="S3188" s="19"/>
    </row>
    <row r="3189" ht="15.75" customHeight="1">
      <c r="A3189" s="15">
        <v>45838.68814814815</v>
      </c>
      <c r="B3189" s="16" t="s">
        <v>7992</v>
      </c>
      <c r="C3189" s="16" t="s">
        <v>8035</v>
      </c>
      <c r="D3189" s="16" t="s">
        <v>8066</v>
      </c>
      <c r="E3189" s="16" t="s">
        <v>7977</v>
      </c>
      <c r="F3189" s="16"/>
      <c r="G3189" s="16"/>
      <c r="H3189" s="18"/>
      <c r="I3189" s="18"/>
      <c r="J3189" s="18"/>
      <c r="K3189" s="18"/>
      <c r="L3189" s="18"/>
      <c r="M3189" s="18"/>
      <c r="N3189" s="18"/>
      <c r="O3189" s="18"/>
      <c r="P3189" s="18"/>
      <c r="Q3189" s="19"/>
      <c r="R3189" s="19"/>
      <c r="S3189" s="19"/>
    </row>
    <row r="3190" ht="15.75" customHeight="1">
      <c r="A3190" s="15">
        <v>45838.539502314816</v>
      </c>
      <c r="B3190" s="16" t="s">
        <v>8201</v>
      </c>
      <c r="C3190" s="16" t="s">
        <v>8035</v>
      </c>
      <c r="D3190" s="16" t="s">
        <v>8202</v>
      </c>
      <c r="E3190" s="16" t="s">
        <v>7813</v>
      </c>
      <c r="F3190" s="16"/>
      <c r="G3190" s="16"/>
      <c r="H3190" s="18"/>
      <c r="I3190" s="18"/>
      <c r="J3190" s="18"/>
      <c r="K3190" s="18"/>
      <c r="L3190" s="18"/>
      <c r="M3190" s="18"/>
      <c r="N3190" s="18"/>
      <c r="O3190" s="18"/>
      <c r="P3190" s="18"/>
      <c r="Q3190" s="19"/>
      <c r="R3190" s="19"/>
      <c r="S3190" s="19"/>
    </row>
    <row r="3191" ht="15.75" customHeight="1">
      <c r="A3191" s="15">
        <v>45839.00219907407</v>
      </c>
      <c r="B3191" s="16" t="s">
        <v>8067</v>
      </c>
      <c r="C3191" s="16" t="s">
        <v>8035</v>
      </c>
      <c r="D3191" s="16" t="s">
        <v>8110</v>
      </c>
      <c r="E3191" s="16" t="s">
        <v>8111</v>
      </c>
      <c r="F3191" s="16"/>
      <c r="G3191" s="16"/>
      <c r="H3191" s="18"/>
      <c r="I3191" s="18"/>
      <c r="J3191" s="18"/>
      <c r="K3191" s="18"/>
      <c r="L3191" s="18"/>
      <c r="M3191" s="18"/>
      <c r="N3191" s="18"/>
      <c r="O3191" s="18"/>
      <c r="P3191" s="18"/>
      <c r="Q3191" s="19"/>
      <c r="R3191" s="19"/>
      <c r="S3191" s="19"/>
    </row>
    <row r="3192" ht="15.75" customHeight="1">
      <c r="A3192" s="15">
        <v>45842.56760416667</v>
      </c>
      <c r="B3192" s="16" t="s">
        <v>7978</v>
      </c>
      <c r="C3192" s="16" t="s">
        <v>8035</v>
      </c>
      <c r="D3192" s="16" t="s">
        <v>8142</v>
      </c>
      <c r="E3192" s="16" t="s">
        <v>7977</v>
      </c>
      <c r="F3192" s="16"/>
      <c r="G3192" s="16"/>
      <c r="H3192" s="18"/>
      <c r="I3192" s="18"/>
      <c r="J3192" s="18"/>
      <c r="K3192" s="18"/>
      <c r="L3192" s="18"/>
      <c r="M3192" s="18"/>
      <c r="N3192" s="18"/>
      <c r="O3192" s="18"/>
      <c r="P3192" s="18"/>
      <c r="Q3192" s="19"/>
      <c r="R3192" s="19"/>
      <c r="S3192" s="19"/>
    </row>
    <row r="3193" ht="15.75" customHeight="1">
      <c r="A3193" s="15">
        <v>45843.76390046296</v>
      </c>
      <c r="B3193" s="16" t="s">
        <v>7984</v>
      </c>
      <c r="C3193" s="16" t="s">
        <v>8035</v>
      </c>
      <c r="D3193" s="20" t="str">
        <f>?UTF-8?q?Check_out_what=E2=80=99s_popular_right_now?=</f>
        <v>#ERROR!</v>
      </c>
      <c r="E3193" s="16" t="s">
        <v>7977</v>
      </c>
      <c r="F3193" s="16"/>
      <c r="G3193" s="16"/>
      <c r="H3193" s="18"/>
      <c r="I3193" s="18"/>
      <c r="J3193" s="18"/>
      <c r="K3193" s="18"/>
      <c r="L3193" s="18"/>
      <c r="M3193" s="18"/>
      <c r="N3193" s="18"/>
      <c r="O3193" s="18"/>
      <c r="P3193" s="18"/>
      <c r="Q3193" s="19"/>
      <c r="R3193" s="19"/>
      <c r="S3193" s="19"/>
    </row>
    <row r="3194" ht="15.75" customHeight="1">
      <c r="A3194" s="15">
        <v>45846.621458333335</v>
      </c>
      <c r="B3194" s="16" t="s">
        <v>7897</v>
      </c>
      <c r="C3194" s="16" t="s">
        <v>8035</v>
      </c>
      <c r="D3194" s="16" t="s">
        <v>8204</v>
      </c>
      <c r="E3194" s="16" t="s">
        <v>8205</v>
      </c>
      <c r="F3194" s="16"/>
      <c r="G3194" s="16"/>
      <c r="H3194" s="18"/>
      <c r="I3194" s="18"/>
      <c r="J3194" s="18"/>
      <c r="K3194" s="18"/>
      <c r="L3194" s="18"/>
      <c r="M3194" s="18"/>
      <c r="N3194" s="18"/>
      <c r="O3194" s="18"/>
      <c r="P3194" s="18"/>
      <c r="Q3194" s="19"/>
      <c r="R3194" s="19"/>
      <c r="S3194" s="19"/>
    </row>
    <row r="3195" ht="15.75" customHeight="1">
      <c r="A3195" s="15">
        <v>45846.78158564815</v>
      </c>
      <c r="B3195" s="16" t="s">
        <v>7992</v>
      </c>
      <c r="C3195" s="16" t="s">
        <v>8035</v>
      </c>
      <c r="D3195" s="16" t="s">
        <v>8066</v>
      </c>
      <c r="E3195" s="16" t="s">
        <v>7977</v>
      </c>
      <c r="F3195" s="16"/>
      <c r="G3195" s="16"/>
      <c r="H3195" s="18"/>
      <c r="I3195" s="18"/>
      <c r="J3195" s="18"/>
      <c r="K3195" s="18"/>
      <c r="L3195" s="18"/>
      <c r="M3195" s="18"/>
      <c r="N3195" s="18"/>
      <c r="O3195" s="18"/>
      <c r="P3195" s="18"/>
      <c r="Q3195" s="19"/>
      <c r="R3195" s="19"/>
      <c r="S3195" s="19"/>
    </row>
    <row r="3196" ht="15.75" customHeight="1">
      <c r="A3196" s="15">
        <v>45847.758425925924</v>
      </c>
      <c r="B3196" s="16" t="s">
        <v>7984</v>
      </c>
      <c r="C3196" s="16" t="s">
        <v>8035</v>
      </c>
      <c r="D3196" s="20" t="str">
        <f>?UTF-8?q?Come_back_for_deals=E2=80=94from_products_to_supplies?=</f>
        <v>#ERROR!</v>
      </c>
      <c r="E3196" s="16" t="s">
        <v>7977</v>
      </c>
      <c r="F3196" s="16"/>
      <c r="G3196" s="16"/>
      <c r="H3196" s="18"/>
      <c r="I3196" s="18"/>
      <c r="J3196" s="18"/>
      <c r="K3196" s="18"/>
      <c r="L3196" s="18"/>
      <c r="M3196" s="18"/>
      <c r="N3196" s="18"/>
      <c r="O3196" s="18"/>
      <c r="P3196" s="18"/>
      <c r="Q3196" s="19"/>
      <c r="R3196" s="19"/>
      <c r="S3196" s="19"/>
    </row>
    <row r="3197" ht="15.75" customHeight="1">
      <c r="A3197" s="15">
        <v>45848.919016203705</v>
      </c>
      <c r="B3197" s="16" t="s">
        <v>8206</v>
      </c>
      <c r="C3197" s="16" t="s">
        <v>8035</v>
      </c>
      <c r="D3197" s="20" t="str">
        <f>?utf-8?Q?Hey_CRAIG,_welcome_to_Mo?=
 =?utf-8?Q?z_Pro_=E2=80=93_I=E2=80=99m_here_to_help!?=</f>
        <v>#ERROR!</v>
      </c>
      <c r="E3197" s="16" t="s">
        <v>8207</v>
      </c>
      <c r="F3197" s="16"/>
      <c r="G3197" s="16"/>
      <c r="H3197" s="18"/>
      <c r="I3197" s="18"/>
      <c r="J3197" s="18"/>
      <c r="K3197" s="18"/>
      <c r="L3197" s="18"/>
      <c r="M3197" s="18"/>
      <c r="N3197" s="18"/>
      <c r="O3197" s="18"/>
      <c r="P3197" s="18"/>
      <c r="Q3197" s="19"/>
      <c r="R3197" s="19"/>
      <c r="S3197" s="19"/>
    </row>
    <row r="3198" ht="15.75" customHeight="1">
      <c r="A3198" s="15">
        <v>45852.430451388886</v>
      </c>
      <c r="B3198" s="16" t="s">
        <v>8199</v>
      </c>
      <c r="C3198" s="16" t="s">
        <v>8035</v>
      </c>
      <c r="D3198" s="16" t="s">
        <v>8208</v>
      </c>
      <c r="E3198" s="16" t="s">
        <v>8209</v>
      </c>
      <c r="F3198" s="16"/>
      <c r="G3198" s="16"/>
      <c r="H3198" s="18"/>
      <c r="I3198" s="18"/>
      <c r="J3198" s="18"/>
      <c r="K3198" s="18"/>
      <c r="L3198" s="18"/>
      <c r="M3198" s="18"/>
      <c r="N3198" s="18"/>
      <c r="O3198" s="18"/>
      <c r="P3198" s="18"/>
      <c r="Q3198" s="19"/>
      <c r="R3198" s="19"/>
      <c r="S3198" s="19"/>
    </row>
    <row r="3199" ht="15.75" customHeight="1">
      <c r="A3199" s="15">
        <v>45852.436793981484</v>
      </c>
      <c r="B3199" s="16" t="s">
        <v>8199</v>
      </c>
      <c r="C3199" s="16" t="s">
        <v>8035</v>
      </c>
      <c r="D3199" s="16" t="s">
        <v>8210</v>
      </c>
      <c r="E3199" s="16" t="s">
        <v>8211</v>
      </c>
      <c r="F3199" s="16"/>
      <c r="G3199" s="16"/>
      <c r="H3199" s="18"/>
      <c r="I3199" s="18"/>
      <c r="J3199" s="18"/>
      <c r="K3199" s="18"/>
      <c r="L3199" s="18"/>
      <c r="M3199" s="18"/>
      <c r="N3199" s="18"/>
      <c r="O3199" s="18"/>
      <c r="P3199" s="18"/>
      <c r="Q3199" s="19"/>
      <c r="R3199" s="19"/>
      <c r="S3199" s="19"/>
    </row>
    <row r="3200" ht="15.75" customHeight="1">
      <c r="A3200" s="15">
        <v>45852.44446759259</v>
      </c>
      <c r="B3200" s="16" t="s">
        <v>7978</v>
      </c>
      <c r="C3200" s="16" t="s">
        <v>8035</v>
      </c>
      <c r="D3200" s="16" t="s">
        <v>6952</v>
      </c>
      <c r="E3200" s="16" t="s">
        <v>7977</v>
      </c>
      <c r="F3200" s="16"/>
      <c r="G3200" s="16"/>
      <c r="H3200" s="18"/>
      <c r="I3200" s="18"/>
      <c r="J3200" s="18"/>
      <c r="K3200" s="18"/>
      <c r="L3200" s="18"/>
      <c r="M3200" s="18"/>
      <c r="N3200" s="18"/>
      <c r="O3200" s="18"/>
      <c r="P3200" s="18"/>
      <c r="Q3200" s="19"/>
      <c r="R3200" s="19"/>
      <c r="S3200" s="19"/>
    </row>
    <row r="3201" ht="15.75" customHeight="1">
      <c r="A3201" s="15">
        <v>45852.99115740741</v>
      </c>
      <c r="B3201" s="16" t="s">
        <v>7978</v>
      </c>
      <c r="C3201" s="16" t="s">
        <v>8035</v>
      </c>
      <c r="D3201" s="16" t="s">
        <v>7983</v>
      </c>
      <c r="E3201" s="16" t="s">
        <v>7977</v>
      </c>
      <c r="F3201" s="16"/>
      <c r="G3201" s="16"/>
      <c r="H3201" s="18"/>
      <c r="I3201" s="18"/>
      <c r="J3201" s="18"/>
      <c r="K3201" s="18"/>
      <c r="L3201" s="18"/>
      <c r="M3201" s="18"/>
      <c r="N3201" s="18"/>
      <c r="O3201" s="18"/>
      <c r="P3201" s="18"/>
      <c r="Q3201" s="19"/>
      <c r="R3201" s="19"/>
      <c r="S3201" s="19"/>
    </row>
    <row r="3202" ht="15.75" customHeight="1">
      <c r="A3202" s="15">
        <v>45853.43077546296</v>
      </c>
      <c r="B3202" s="16" t="s">
        <v>7978</v>
      </c>
      <c r="C3202" s="16" t="s">
        <v>8035</v>
      </c>
      <c r="D3202" s="16" t="s">
        <v>6874</v>
      </c>
      <c r="E3202" s="16" t="s">
        <v>7977</v>
      </c>
      <c r="F3202" s="16"/>
      <c r="G3202" s="16"/>
      <c r="H3202" s="18"/>
      <c r="I3202" s="18"/>
      <c r="J3202" s="18"/>
      <c r="K3202" s="18"/>
      <c r="L3202" s="18"/>
      <c r="M3202" s="18"/>
      <c r="N3202" s="18"/>
      <c r="O3202" s="18"/>
      <c r="P3202" s="18"/>
      <c r="Q3202" s="19"/>
      <c r="R3202" s="19"/>
      <c r="S3202" s="19"/>
    </row>
    <row r="3203" ht="15.75" customHeight="1">
      <c r="A3203" s="15">
        <v>45853.61653935185</v>
      </c>
      <c r="B3203" s="16" t="s">
        <v>7897</v>
      </c>
      <c r="C3203" s="16" t="s">
        <v>8035</v>
      </c>
      <c r="D3203" s="16" t="s">
        <v>8212</v>
      </c>
      <c r="E3203" s="16" t="s">
        <v>8213</v>
      </c>
      <c r="F3203" s="16"/>
      <c r="G3203" s="16"/>
      <c r="H3203" s="18"/>
      <c r="I3203" s="18"/>
      <c r="J3203" s="18"/>
      <c r="K3203" s="18"/>
      <c r="L3203" s="18"/>
      <c r="M3203" s="18"/>
      <c r="N3203" s="18"/>
      <c r="O3203" s="18"/>
      <c r="P3203" s="18"/>
      <c r="Q3203" s="19"/>
      <c r="R3203" s="19"/>
      <c r="S3203" s="19"/>
    </row>
    <row r="3204" ht="15.75" customHeight="1">
      <c r="A3204" s="15">
        <v>45853.75133101852</v>
      </c>
      <c r="B3204" s="16" t="s">
        <v>7085</v>
      </c>
      <c r="C3204" s="16" t="s">
        <v>8035</v>
      </c>
      <c r="D3204" s="16" t="s">
        <v>8186</v>
      </c>
      <c r="E3204" s="16" t="s">
        <v>8214</v>
      </c>
      <c r="F3204" s="16"/>
      <c r="G3204" s="16"/>
      <c r="H3204" s="18"/>
      <c r="I3204" s="18"/>
      <c r="J3204" s="18"/>
      <c r="K3204" s="18"/>
      <c r="L3204" s="18"/>
      <c r="M3204" s="18"/>
      <c r="N3204" s="18"/>
      <c r="O3204" s="18"/>
      <c r="P3204" s="18"/>
      <c r="Q3204" s="19"/>
      <c r="R3204" s="19"/>
      <c r="S3204" s="19"/>
    </row>
    <row r="3205" ht="15.75" customHeight="1">
      <c r="A3205" s="15">
        <v>45854.89797453704</v>
      </c>
      <c r="B3205" s="16" t="s">
        <v>8150</v>
      </c>
      <c r="C3205" s="16" t="s">
        <v>8035</v>
      </c>
      <c r="D3205" s="16" t="s">
        <v>7020</v>
      </c>
      <c r="E3205" s="16" t="s">
        <v>7995</v>
      </c>
      <c r="F3205" s="16"/>
      <c r="G3205" s="16"/>
      <c r="H3205" s="18"/>
      <c r="I3205" s="18"/>
      <c r="J3205" s="18"/>
      <c r="K3205" s="18"/>
      <c r="L3205" s="18"/>
      <c r="M3205" s="18"/>
      <c r="N3205" s="18"/>
      <c r="O3205" s="18"/>
      <c r="P3205" s="18"/>
      <c r="Q3205" s="19"/>
      <c r="R3205" s="19"/>
      <c r="S3205" s="19"/>
    </row>
    <row r="3206" ht="15.75" customHeight="1">
      <c r="A3206" s="15">
        <v>45855.61524305555</v>
      </c>
      <c r="B3206" s="16" t="s">
        <v>8215</v>
      </c>
      <c r="C3206" s="16" t="s">
        <v>8035</v>
      </c>
      <c r="D3206" s="20" t="str">
        <f>?utf-8?B?MTEwIGltcHJvdmVtZW50cyBhbHJlYWR5IHNoaXBwZWQgaW4gMjAy?=
	=?utf-8?B?NSEg8J+OiQ==?=</f>
        <v>#ERROR!</v>
      </c>
      <c r="E3206" s="16" t="s">
        <v>8216</v>
      </c>
      <c r="F3206" s="16"/>
      <c r="G3206" s="16"/>
      <c r="H3206" s="18"/>
      <c r="I3206" s="18"/>
      <c r="J3206" s="18"/>
      <c r="K3206" s="18"/>
      <c r="L3206" s="18"/>
      <c r="M3206" s="18"/>
      <c r="N3206" s="18"/>
      <c r="O3206" s="18"/>
      <c r="P3206" s="18"/>
      <c r="Q3206" s="19"/>
      <c r="R3206" s="19"/>
      <c r="S3206" s="19"/>
    </row>
    <row r="3207" ht="15.75" customHeight="1">
      <c r="A3207" s="15">
        <v>45855.759050925924</v>
      </c>
      <c r="B3207" s="16" t="s">
        <v>7984</v>
      </c>
      <c r="C3207" s="16" t="s">
        <v>8035</v>
      </c>
      <c r="D3207" s="16" t="s">
        <v>8128</v>
      </c>
      <c r="E3207" s="16" t="s">
        <v>7977</v>
      </c>
      <c r="F3207" s="16"/>
      <c r="G3207" s="16"/>
      <c r="H3207" s="18"/>
      <c r="I3207" s="18"/>
      <c r="J3207" s="18"/>
      <c r="K3207" s="18"/>
      <c r="L3207" s="18"/>
      <c r="M3207" s="18"/>
      <c r="N3207" s="18"/>
      <c r="O3207" s="18"/>
      <c r="P3207" s="18"/>
      <c r="Q3207" s="19"/>
      <c r="R3207" s="19"/>
      <c r="S3207" s="19"/>
    </row>
    <row r="3208" ht="15.75" customHeight="1">
      <c r="A3208" s="15">
        <v>45856.659375</v>
      </c>
      <c r="B3208" s="16" t="s">
        <v>8217</v>
      </c>
      <c r="C3208" s="16" t="s">
        <v>8035</v>
      </c>
      <c r="D3208" s="20" t="str">
        <f>?utf-8?B?TmV3IEFJIEFnZW50IFVJLCBBdXRvIFJldHJhaW4sIFEmQSBBbmFseXRpY3MsIGFuZCBHcm9rIDQgTm93IExpdmUgb24gQ2hhdGJhc2U=?=</f>
        <v>#ERROR!</v>
      </c>
      <c r="E3208" s="16" t="s">
        <v>8218</v>
      </c>
      <c r="F3208" s="16"/>
      <c r="G3208" s="16"/>
      <c r="H3208" s="18"/>
      <c r="I3208" s="18"/>
      <c r="J3208" s="18"/>
      <c r="K3208" s="18"/>
      <c r="L3208" s="18"/>
      <c r="M3208" s="18"/>
      <c r="N3208" s="18"/>
      <c r="O3208" s="18"/>
      <c r="P3208" s="18"/>
      <c r="Q3208" s="19"/>
      <c r="R3208" s="19"/>
      <c r="S3208" s="19"/>
    </row>
    <row r="3209" ht="15.75" customHeight="1">
      <c r="A3209" s="15">
        <v>45856.7175462963</v>
      </c>
      <c r="B3209" s="16" t="s">
        <v>7978</v>
      </c>
      <c r="C3209" s="16" t="s">
        <v>8035</v>
      </c>
      <c r="D3209" s="16" t="s">
        <v>8219</v>
      </c>
      <c r="E3209" s="16" t="s">
        <v>7977</v>
      </c>
      <c r="F3209" s="16"/>
      <c r="G3209" s="16"/>
      <c r="H3209" s="18"/>
      <c r="I3209" s="18"/>
      <c r="J3209" s="18"/>
      <c r="K3209" s="18"/>
      <c r="L3209" s="18"/>
      <c r="M3209" s="18"/>
      <c r="N3209" s="18"/>
      <c r="O3209" s="18"/>
      <c r="P3209" s="18"/>
      <c r="Q3209" s="19"/>
      <c r="R3209" s="19"/>
      <c r="S3209" s="19"/>
    </row>
    <row r="3210" ht="15.75" customHeight="1">
      <c r="A3210" s="15">
        <v>45858.896574074075</v>
      </c>
      <c r="B3210" s="16" t="s">
        <v>8150</v>
      </c>
      <c r="C3210" s="16" t="s">
        <v>8035</v>
      </c>
      <c r="D3210" s="16" t="s">
        <v>8220</v>
      </c>
      <c r="E3210" s="16" t="s">
        <v>7995</v>
      </c>
      <c r="F3210" s="16"/>
      <c r="G3210" s="16"/>
      <c r="H3210" s="18"/>
      <c r="I3210" s="18"/>
      <c r="J3210" s="18"/>
      <c r="K3210" s="18"/>
      <c r="L3210" s="18"/>
      <c r="M3210" s="18"/>
      <c r="N3210" s="18"/>
      <c r="O3210" s="18"/>
      <c r="P3210" s="18"/>
      <c r="Q3210" s="19"/>
      <c r="R3210" s="19"/>
      <c r="S3210" s="19"/>
    </row>
    <row r="3211" ht="15.75" customHeight="1">
      <c r="A3211" s="15">
        <v>45860.663356481484</v>
      </c>
      <c r="B3211" s="16" t="s">
        <v>7978</v>
      </c>
      <c r="C3211" s="16" t="s">
        <v>8035</v>
      </c>
      <c r="D3211" s="16" t="s">
        <v>7983</v>
      </c>
      <c r="E3211" s="16" t="s">
        <v>7977</v>
      </c>
      <c r="F3211" s="16"/>
      <c r="G3211" s="16"/>
      <c r="H3211" s="18"/>
      <c r="I3211" s="18"/>
      <c r="J3211" s="18"/>
      <c r="K3211" s="18"/>
      <c r="L3211" s="18"/>
      <c r="M3211" s="18"/>
      <c r="N3211" s="18"/>
      <c r="O3211" s="18"/>
      <c r="P3211" s="18"/>
      <c r="Q3211" s="19"/>
      <c r="R3211" s="19"/>
      <c r="S3211" s="19"/>
    </row>
    <row r="3212" ht="15.75" customHeight="1">
      <c r="A3212" s="15">
        <v>45860.86377314815</v>
      </c>
      <c r="B3212" s="16" t="s">
        <v>7978</v>
      </c>
      <c r="C3212" s="16" t="s">
        <v>8035</v>
      </c>
      <c r="D3212" s="16" t="s">
        <v>6874</v>
      </c>
      <c r="E3212" s="16" t="s">
        <v>7977</v>
      </c>
      <c r="F3212" s="16"/>
      <c r="G3212" s="16"/>
      <c r="H3212" s="18"/>
      <c r="I3212" s="18"/>
      <c r="J3212" s="18"/>
      <c r="K3212" s="18"/>
      <c r="L3212" s="18"/>
      <c r="M3212" s="18"/>
      <c r="N3212" s="18"/>
      <c r="O3212" s="18"/>
      <c r="P3212" s="18"/>
      <c r="Q3212" s="19"/>
      <c r="R3212" s="19"/>
      <c r="S3212" s="19"/>
    </row>
    <row r="3213" ht="15.75" customHeight="1">
      <c r="A3213" s="15">
        <v>45861.48237268518</v>
      </c>
      <c r="B3213" s="16" t="s">
        <v>8150</v>
      </c>
      <c r="C3213" s="16" t="s">
        <v>8035</v>
      </c>
      <c r="D3213" s="16" t="s">
        <v>7020</v>
      </c>
      <c r="E3213" s="16" t="s">
        <v>7995</v>
      </c>
      <c r="F3213" s="16"/>
      <c r="G3213" s="16"/>
      <c r="H3213" s="18"/>
      <c r="I3213" s="18"/>
      <c r="J3213" s="18"/>
      <c r="K3213" s="18"/>
      <c r="L3213" s="18"/>
      <c r="M3213" s="18"/>
      <c r="N3213" s="18"/>
      <c r="O3213" s="18"/>
      <c r="P3213" s="18"/>
      <c r="Q3213" s="19"/>
      <c r="R3213" s="19"/>
      <c r="S3213" s="19"/>
    </row>
    <row r="3214" ht="15.75" customHeight="1">
      <c r="A3214" s="15">
        <v>45862.50105324074</v>
      </c>
      <c r="B3214" s="16" t="s">
        <v>8194</v>
      </c>
      <c r="C3214" s="16" t="s">
        <v>8035</v>
      </c>
      <c r="D3214" s="16" t="s">
        <v>8221</v>
      </c>
      <c r="E3214" s="16" t="s">
        <v>8222</v>
      </c>
      <c r="F3214" s="16"/>
      <c r="G3214" s="16"/>
      <c r="H3214" s="18"/>
      <c r="I3214" s="18"/>
      <c r="J3214" s="18"/>
      <c r="K3214" s="18"/>
      <c r="L3214" s="18"/>
      <c r="M3214" s="18"/>
      <c r="N3214" s="18"/>
      <c r="O3214" s="18"/>
      <c r="P3214" s="18"/>
      <c r="Q3214" s="19"/>
      <c r="R3214" s="19"/>
      <c r="S3214" s="19"/>
    </row>
    <row r="3215" ht="15.75" customHeight="1">
      <c r="A3215" s="15">
        <v>45863.7091087963</v>
      </c>
      <c r="B3215" s="16" t="s">
        <v>7978</v>
      </c>
      <c r="C3215" s="16" t="s">
        <v>8035</v>
      </c>
      <c r="D3215" s="16" t="s">
        <v>8142</v>
      </c>
      <c r="E3215" s="16" t="s">
        <v>7977</v>
      </c>
      <c r="F3215" s="16"/>
      <c r="G3215" s="16"/>
      <c r="H3215" s="18"/>
      <c r="I3215" s="18"/>
      <c r="J3215" s="18"/>
      <c r="K3215" s="18"/>
      <c r="L3215" s="18"/>
      <c r="M3215" s="18"/>
      <c r="N3215" s="18"/>
      <c r="O3215" s="18"/>
      <c r="P3215" s="18"/>
      <c r="Q3215" s="19"/>
      <c r="R3215" s="19"/>
      <c r="S3215" s="19"/>
    </row>
    <row r="3216" ht="15.75" customHeight="1">
      <c r="A3216" s="15">
        <v>45864.59846064815</v>
      </c>
      <c r="B3216" s="16" t="s">
        <v>7984</v>
      </c>
      <c r="C3216" s="16" t="s">
        <v>8035</v>
      </c>
      <c r="D3216" s="16" t="s">
        <v>8128</v>
      </c>
      <c r="E3216" s="16" t="s">
        <v>7977</v>
      </c>
      <c r="F3216" s="16"/>
      <c r="G3216" s="16"/>
      <c r="H3216" s="18"/>
      <c r="I3216" s="18"/>
      <c r="J3216" s="18"/>
      <c r="K3216" s="18"/>
      <c r="L3216" s="18"/>
      <c r="M3216" s="18"/>
      <c r="N3216" s="18"/>
      <c r="O3216" s="18"/>
      <c r="P3216" s="18"/>
      <c r="Q3216" s="19"/>
      <c r="R3216" s="19"/>
      <c r="S3216" s="19"/>
    </row>
    <row r="3217" ht="15.75" customHeight="1">
      <c r="A3217" s="15">
        <v>45865.483935185184</v>
      </c>
      <c r="B3217" s="16" t="s">
        <v>8150</v>
      </c>
      <c r="C3217" s="16" t="s">
        <v>8035</v>
      </c>
      <c r="D3217" s="16" t="s">
        <v>8220</v>
      </c>
      <c r="E3217" s="16" t="s">
        <v>7995</v>
      </c>
      <c r="F3217" s="16"/>
      <c r="G3217" s="16"/>
      <c r="H3217" s="18"/>
      <c r="I3217" s="18"/>
      <c r="J3217" s="18"/>
      <c r="K3217" s="18"/>
      <c r="L3217" s="18"/>
      <c r="M3217" s="18"/>
      <c r="N3217" s="18"/>
      <c r="O3217" s="18"/>
      <c r="P3217" s="18"/>
      <c r="Q3217" s="19"/>
      <c r="R3217" s="19"/>
      <c r="S3217" s="19"/>
    </row>
    <row r="3218" ht="15.75" customHeight="1">
      <c r="A3218" s="15">
        <v>45866.52961805555</v>
      </c>
      <c r="B3218" s="16" t="s">
        <v>8223</v>
      </c>
      <c r="C3218" s="16" t="s">
        <v>8035</v>
      </c>
      <c r="D3218" s="16" t="s">
        <v>8224</v>
      </c>
      <c r="E3218" s="16" t="s">
        <v>8225</v>
      </c>
      <c r="F3218" s="16"/>
      <c r="G3218" s="16"/>
      <c r="H3218" s="18"/>
      <c r="I3218" s="18"/>
      <c r="J3218" s="18"/>
      <c r="K3218" s="18"/>
      <c r="L3218" s="18"/>
      <c r="M3218" s="18"/>
      <c r="N3218" s="18"/>
      <c r="O3218" s="18"/>
      <c r="P3218" s="18"/>
      <c r="Q3218" s="19"/>
      <c r="R3218" s="19"/>
      <c r="S3218" s="19"/>
    </row>
    <row r="3219" ht="15.75" customHeight="1">
      <c r="A3219" s="15">
        <v>45867.626909722225</v>
      </c>
      <c r="B3219" s="16" t="s">
        <v>7897</v>
      </c>
      <c r="C3219" s="16" t="s">
        <v>8035</v>
      </c>
      <c r="D3219" s="16" t="s">
        <v>8226</v>
      </c>
      <c r="E3219" s="16" t="s">
        <v>8227</v>
      </c>
      <c r="F3219" s="16"/>
      <c r="G3219" s="16"/>
      <c r="H3219" s="18"/>
      <c r="I3219" s="18"/>
      <c r="J3219" s="18"/>
      <c r="K3219" s="18"/>
      <c r="L3219" s="18"/>
      <c r="M3219" s="18"/>
      <c r="N3219" s="18"/>
      <c r="O3219" s="18"/>
      <c r="P3219" s="18"/>
      <c r="Q3219" s="19"/>
      <c r="R3219" s="19"/>
      <c r="S3219" s="19"/>
    </row>
    <row r="3220" ht="15.75" customHeight="1">
      <c r="A3220" s="15">
        <v>45867.75408564815</v>
      </c>
      <c r="B3220" s="16" t="s">
        <v>7984</v>
      </c>
      <c r="C3220" s="16" t="s">
        <v>8035</v>
      </c>
      <c r="D3220" s="16" t="s">
        <v>8188</v>
      </c>
      <c r="E3220" s="16" t="s">
        <v>7977</v>
      </c>
      <c r="F3220" s="16"/>
      <c r="G3220" s="16"/>
      <c r="H3220" s="18"/>
      <c r="I3220" s="18"/>
      <c r="J3220" s="18"/>
      <c r="K3220" s="18"/>
      <c r="L3220" s="18"/>
      <c r="M3220" s="18"/>
      <c r="N3220" s="18"/>
      <c r="O3220" s="18"/>
      <c r="P3220" s="18"/>
      <c r="Q3220" s="19"/>
      <c r="R3220" s="19"/>
      <c r="S3220" s="19"/>
    </row>
    <row r="3221" ht="15.75" customHeight="1">
      <c r="A3221" s="15">
        <v>45868.91096064815</v>
      </c>
      <c r="B3221" s="16" t="s">
        <v>8150</v>
      </c>
      <c r="C3221" s="16" t="s">
        <v>8035</v>
      </c>
      <c r="D3221" s="16" t="s">
        <v>7020</v>
      </c>
      <c r="E3221" s="16" t="s">
        <v>7995</v>
      </c>
      <c r="F3221" s="16"/>
      <c r="G3221" s="16"/>
      <c r="H3221" s="18"/>
      <c r="I3221" s="18"/>
      <c r="J3221" s="18"/>
      <c r="K3221" s="18"/>
      <c r="L3221" s="18"/>
      <c r="M3221" s="18"/>
      <c r="N3221" s="18"/>
      <c r="O3221" s="18"/>
      <c r="P3221" s="18"/>
      <c r="Q3221" s="19"/>
      <c r="R3221" s="19"/>
      <c r="S3221" s="19"/>
    </row>
    <row r="3222" ht="15.75" customHeight="1">
      <c r="A3222" s="15">
        <v>45869.53996527778</v>
      </c>
      <c r="B3222" s="16" t="s">
        <v>8228</v>
      </c>
      <c r="C3222" s="16" t="s">
        <v>8035</v>
      </c>
      <c r="D3222" s="20" t="str">
        <f>?utf-8?Q?Our_biggest_design_update?=
 =?utf-8?Q?_yet_=E2=80=94_see_what=E2=80=99s_new_=F0=9F=8E=A8=C2=A0?=</f>
        <v>#ERROR!</v>
      </c>
      <c r="E3222" s="16" t="s">
        <v>8229</v>
      </c>
      <c r="F3222" s="16"/>
      <c r="G3222" s="16"/>
      <c r="H3222" s="18"/>
      <c r="I3222" s="18"/>
      <c r="J3222" s="18"/>
      <c r="K3222" s="18"/>
      <c r="L3222" s="18"/>
      <c r="M3222" s="18"/>
      <c r="N3222" s="18"/>
      <c r="O3222" s="18"/>
      <c r="P3222" s="18"/>
      <c r="Q3222" s="19"/>
      <c r="R3222" s="19"/>
      <c r="S3222" s="19"/>
    </row>
    <row r="3223" ht="15.75" customHeight="1">
      <c r="A3223" s="15">
        <v>45870.63311342592</v>
      </c>
      <c r="B3223" s="16" t="s">
        <v>8167</v>
      </c>
      <c r="C3223" s="16" t="s">
        <v>8035</v>
      </c>
      <c r="D3223" s="20" t="str">
        <f>?UTF-8?Q?=F0=9F=9A=80_Big_Upgrades_to_Shed_Suite!?=</f>
        <v>#ERROR!</v>
      </c>
      <c r="E3223" s="16" t="s">
        <v>8230</v>
      </c>
      <c r="F3223" s="16"/>
      <c r="G3223" s="16"/>
      <c r="H3223" s="18"/>
      <c r="I3223" s="18"/>
      <c r="J3223" s="18"/>
      <c r="K3223" s="18"/>
      <c r="L3223" s="18"/>
      <c r="M3223" s="18"/>
      <c r="N3223" s="18"/>
      <c r="O3223" s="18"/>
      <c r="P3223" s="18"/>
      <c r="Q3223" s="19"/>
      <c r="R3223" s="19"/>
      <c r="S3223" s="19"/>
    </row>
    <row r="3224" ht="15.75" customHeight="1">
      <c r="A3224" s="15">
        <v>45871.75708333333</v>
      </c>
      <c r="B3224" s="16" t="s">
        <v>7984</v>
      </c>
      <c r="C3224" s="16" t="s">
        <v>8035</v>
      </c>
      <c r="D3224" s="20" t="str">
        <f>?UTF-8?q?See_what=E2=80=99s_trending_today?=</f>
        <v>#ERROR!</v>
      </c>
      <c r="E3224" s="16" t="s">
        <v>7977</v>
      </c>
      <c r="F3224" s="16"/>
      <c r="G3224" s="16"/>
      <c r="H3224" s="18"/>
      <c r="I3224" s="18"/>
      <c r="J3224" s="18"/>
      <c r="K3224" s="18"/>
      <c r="L3224" s="18"/>
      <c r="M3224" s="18"/>
      <c r="N3224" s="18"/>
      <c r="O3224" s="18"/>
      <c r="P3224" s="18"/>
      <c r="Q3224" s="19"/>
      <c r="R3224" s="19"/>
      <c r="S3224" s="19"/>
    </row>
    <row r="3225" ht="15.75" customHeight="1">
      <c r="A3225" s="15">
        <v>45872.48116898148</v>
      </c>
      <c r="B3225" s="16" t="s">
        <v>7984</v>
      </c>
      <c r="C3225" s="16" t="s">
        <v>8035</v>
      </c>
      <c r="D3225" s="16" t="s">
        <v>6994</v>
      </c>
      <c r="E3225" s="16" t="s">
        <v>7977</v>
      </c>
      <c r="F3225" s="16"/>
      <c r="G3225" s="16"/>
      <c r="H3225" s="18"/>
      <c r="I3225" s="18"/>
      <c r="J3225" s="18"/>
      <c r="K3225" s="18"/>
      <c r="L3225" s="18"/>
      <c r="M3225" s="18"/>
      <c r="N3225" s="18"/>
      <c r="O3225" s="18"/>
      <c r="P3225" s="18"/>
      <c r="Q3225" s="19"/>
      <c r="R3225" s="19"/>
      <c r="S3225" s="19"/>
    </row>
    <row r="3226" ht="15.75" customHeight="1">
      <c r="A3226" s="15">
        <v>45872.90703703704</v>
      </c>
      <c r="B3226" s="16" t="s">
        <v>8150</v>
      </c>
      <c r="C3226" s="16" t="s">
        <v>8035</v>
      </c>
      <c r="D3226" s="16" t="s">
        <v>8220</v>
      </c>
      <c r="E3226" s="16" t="s">
        <v>7995</v>
      </c>
      <c r="F3226" s="16"/>
      <c r="G3226" s="16"/>
      <c r="H3226" s="18"/>
      <c r="I3226" s="18"/>
      <c r="J3226" s="18"/>
      <c r="K3226" s="18"/>
      <c r="L3226" s="18"/>
      <c r="M3226" s="18"/>
      <c r="N3226" s="18"/>
      <c r="O3226" s="18"/>
      <c r="P3226" s="18"/>
      <c r="Q3226" s="19"/>
      <c r="R3226" s="19"/>
      <c r="S3226" s="19"/>
    </row>
    <row r="3227" ht="15.75" customHeight="1">
      <c r="A3227" s="15">
        <v>45873.44908564815</v>
      </c>
      <c r="B3227" s="16" t="s">
        <v>7978</v>
      </c>
      <c r="C3227" s="16" t="s">
        <v>8035</v>
      </c>
      <c r="D3227" s="16" t="s">
        <v>6952</v>
      </c>
      <c r="E3227" s="16" t="s">
        <v>7977</v>
      </c>
      <c r="F3227" s="16"/>
      <c r="G3227" s="16"/>
      <c r="H3227" s="18"/>
      <c r="I3227" s="18"/>
      <c r="J3227" s="18"/>
      <c r="K3227" s="18"/>
      <c r="L3227" s="18"/>
      <c r="M3227" s="18"/>
      <c r="N3227" s="18"/>
      <c r="O3227" s="18"/>
      <c r="P3227" s="18"/>
      <c r="Q3227" s="19"/>
      <c r="R3227" s="19"/>
      <c r="S3227" s="19"/>
    </row>
    <row r="3228" ht="15.75" customHeight="1">
      <c r="A3228" s="15">
        <v>45874.49725694444</v>
      </c>
      <c r="B3228" s="16" t="s">
        <v>7984</v>
      </c>
      <c r="C3228" s="16" t="s">
        <v>8035</v>
      </c>
      <c r="D3228" s="16" t="s">
        <v>8177</v>
      </c>
      <c r="E3228" s="16" t="s">
        <v>7977</v>
      </c>
      <c r="F3228" s="16"/>
      <c r="G3228" s="16"/>
      <c r="H3228" s="18"/>
      <c r="I3228" s="18"/>
      <c r="J3228" s="18"/>
      <c r="K3228" s="18"/>
      <c r="L3228" s="18"/>
      <c r="M3228" s="18"/>
      <c r="N3228" s="18"/>
      <c r="O3228" s="18"/>
      <c r="P3228" s="18"/>
      <c r="Q3228" s="19"/>
      <c r="R3228" s="19"/>
      <c r="S3228" s="19"/>
    </row>
    <row r="3229" ht="15.75" customHeight="1">
      <c r="A3229" s="15">
        <v>45874.686006944445</v>
      </c>
      <c r="B3229" s="16" t="s">
        <v>7897</v>
      </c>
      <c r="C3229" s="16" t="s">
        <v>8035</v>
      </c>
      <c r="D3229" s="16" t="s">
        <v>7899</v>
      </c>
      <c r="E3229" s="16" t="s">
        <v>8231</v>
      </c>
      <c r="F3229" s="16"/>
      <c r="G3229" s="16"/>
      <c r="H3229" s="18"/>
      <c r="I3229" s="18"/>
      <c r="J3229" s="18"/>
      <c r="K3229" s="18"/>
      <c r="L3229" s="18"/>
      <c r="M3229" s="18"/>
      <c r="N3229" s="18"/>
      <c r="O3229" s="18"/>
      <c r="P3229" s="18"/>
      <c r="Q3229" s="19"/>
      <c r="R3229" s="19"/>
      <c r="S3229" s="19"/>
    </row>
    <row r="3230" ht="15.75" customHeight="1">
      <c r="A3230" s="15">
        <v>45874.95427083333</v>
      </c>
      <c r="B3230" s="16" t="s">
        <v>8063</v>
      </c>
      <c r="C3230" s="16" t="s">
        <v>8035</v>
      </c>
      <c r="D3230" s="20" t="str">
        <f>?UTF-8?q?Earn_250_Aeroplan_points_towards_your_next_trip=E2=9C=88?=
 =?UTF-8?q?=EF=B8=8F?=</f>
        <v>#ERROR!</v>
      </c>
      <c r="E3230" s="16" t="s">
        <v>7977</v>
      </c>
      <c r="F3230" s="16"/>
      <c r="G3230" s="16"/>
      <c r="H3230" s="18"/>
      <c r="I3230" s="18"/>
      <c r="J3230" s="18"/>
      <c r="K3230" s="18"/>
      <c r="L3230" s="18"/>
      <c r="M3230" s="18"/>
      <c r="N3230" s="18"/>
      <c r="O3230" s="18"/>
      <c r="P3230" s="18"/>
      <c r="Q3230" s="19"/>
      <c r="R3230" s="19"/>
      <c r="S3230" s="19"/>
    </row>
    <row r="3231" ht="15.75" customHeight="1">
      <c r="A3231" s="15">
        <v>45875.752546296295</v>
      </c>
      <c r="B3231" s="16" t="s">
        <v>7984</v>
      </c>
      <c r="C3231" s="16" t="s">
        <v>8035</v>
      </c>
      <c r="D3231" s="16" t="s">
        <v>8128</v>
      </c>
      <c r="E3231" s="16" t="s">
        <v>7977</v>
      </c>
      <c r="F3231" s="16"/>
      <c r="G3231" s="16"/>
      <c r="H3231" s="18"/>
      <c r="I3231" s="18"/>
      <c r="J3231" s="18"/>
      <c r="K3231" s="18"/>
      <c r="L3231" s="18"/>
      <c r="M3231" s="18"/>
      <c r="N3231" s="18"/>
      <c r="O3231" s="18"/>
      <c r="P3231" s="18"/>
      <c r="Q3231" s="19"/>
      <c r="R3231" s="19"/>
      <c r="S3231" s="19"/>
    </row>
    <row r="3232" ht="15.75" customHeight="1">
      <c r="A3232" s="15">
        <v>45876.47002314815</v>
      </c>
      <c r="B3232" s="16" t="s">
        <v>8150</v>
      </c>
      <c r="C3232" s="16" t="s">
        <v>8035</v>
      </c>
      <c r="D3232" s="16" t="s">
        <v>7020</v>
      </c>
      <c r="E3232" s="16" t="s">
        <v>7995</v>
      </c>
      <c r="F3232" s="16"/>
      <c r="G3232" s="16"/>
      <c r="H3232" s="18"/>
      <c r="I3232" s="18"/>
      <c r="J3232" s="18"/>
      <c r="K3232" s="18"/>
      <c r="L3232" s="18"/>
      <c r="M3232" s="18"/>
      <c r="N3232" s="18"/>
      <c r="O3232" s="18"/>
      <c r="P3232" s="18"/>
      <c r="Q3232" s="19"/>
      <c r="R3232" s="19"/>
      <c r="S3232" s="19"/>
    </row>
    <row r="3233" ht="15.75" customHeight="1">
      <c r="A3233" s="15">
        <v>45876.91684027778</v>
      </c>
      <c r="B3233" s="16" t="s">
        <v>8194</v>
      </c>
      <c r="C3233" s="16" t="s">
        <v>8035</v>
      </c>
      <c r="D3233" s="20" t="str">
        <f>?UTF-8?q?=F0=9F=9A=80_Time_to_ship:_Get_your_mobile_app_live_and_win_big?=
 =?UTF-8?q?!?=</f>
        <v>#ERROR!</v>
      </c>
      <c r="E3233" s="16" t="s">
        <v>8232</v>
      </c>
      <c r="F3233" s="16"/>
      <c r="G3233" s="16"/>
      <c r="H3233" s="18"/>
      <c r="I3233" s="18"/>
      <c r="J3233" s="18"/>
      <c r="K3233" s="18"/>
      <c r="L3233" s="18"/>
      <c r="M3233" s="18"/>
      <c r="N3233" s="18"/>
      <c r="O3233" s="18"/>
      <c r="P3233" s="18"/>
      <c r="Q3233" s="19"/>
      <c r="R3233" s="19"/>
      <c r="S3233" s="19"/>
    </row>
    <row r="3234" ht="15.75" customHeight="1">
      <c r="A3234" s="15">
        <v>45877.67818287037</v>
      </c>
      <c r="B3234" s="16" t="s">
        <v>7978</v>
      </c>
      <c r="C3234" s="16" t="s">
        <v>8035</v>
      </c>
      <c r="D3234" s="16" t="s">
        <v>8142</v>
      </c>
      <c r="E3234" s="16" t="s">
        <v>7977</v>
      </c>
      <c r="F3234" s="16"/>
      <c r="G3234" s="16"/>
      <c r="H3234" s="18"/>
      <c r="I3234" s="18"/>
      <c r="J3234" s="18"/>
      <c r="K3234" s="18"/>
      <c r="L3234" s="18"/>
      <c r="M3234" s="18"/>
      <c r="N3234" s="18"/>
      <c r="O3234" s="18"/>
      <c r="P3234" s="18"/>
      <c r="Q3234" s="19"/>
      <c r="R3234" s="19"/>
      <c r="S3234" s="19"/>
    </row>
    <row r="3235" ht="15.75" customHeight="1">
      <c r="A3235" s="15">
        <v>45879.755590277775</v>
      </c>
      <c r="B3235" s="16" t="s">
        <v>7984</v>
      </c>
      <c r="C3235" s="16" t="s">
        <v>8035</v>
      </c>
      <c r="D3235" s="20" t="str">
        <f>?UTF-8?q?Shopping_made_easy=E2=80=94see_what=E2=80=99s_popular_and_ready?=
 =?UTF-8?q?_for_you.?=</f>
        <v>#ERROR!</v>
      </c>
      <c r="E3235" s="16" t="s">
        <v>7977</v>
      </c>
      <c r="F3235" s="16"/>
      <c r="G3235" s="16"/>
      <c r="H3235" s="18"/>
      <c r="I3235" s="18"/>
      <c r="J3235" s="18"/>
      <c r="K3235" s="18"/>
      <c r="L3235" s="18"/>
      <c r="M3235" s="18"/>
      <c r="N3235" s="18"/>
      <c r="O3235" s="18"/>
      <c r="P3235" s="18"/>
      <c r="Q3235" s="19"/>
      <c r="R3235" s="19"/>
      <c r="S3235" s="19"/>
    </row>
    <row r="3236" ht="15.75" customHeight="1">
      <c r="A3236" s="15">
        <v>45880.46314814815</v>
      </c>
      <c r="B3236" s="16" t="s">
        <v>8150</v>
      </c>
      <c r="C3236" s="16" t="s">
        <v>8035</v>
      </c>
      <c r="D3236" s="16" t="s">
        <v>8220</v>
      </c>
      <c r="E3236" s="16" t="s">
        <v>7995</v>
      </c>
      <c r="F3236" s="16"/>
      <c r="G3236" s="16"/>
      <c r="H3236" s="18"/>
      <c r="I3236" s="18"/>
      <c r="J3236" s="18"/>
      <c r="K3236" s="18"/>
      <c r="L3236" s="18"/>
      <c r="M3236" s="18"/>
      <c r="N3236" s="18"/>
      <c r="O3236" s="18"/>
      <c r="P3236" s="18"/>
      <c r="Q3236" s="19"/>
      <c r="R3236" s="19"/>
      <c r="S3236" s="19"/>
    </row>
    <row r="3237" ht="15.75" customHeight="1">
      <c r="A3237" s="15">
        <v>45881.43787037037</v>
      </c>
      <c r="B3237" s="16" t="s">
        <v>7978</v>
      </c>
      <c r="C3237" s="16" t="s">
        <v>8035</v>
      </c>
      <c r="D3237" s="20" t="str">
        <f>?UTF-8?q?50%_off_your_next_3_orders_-_just_for_you_=F0=9F=91=80?=</f>
        <v>#ERROR!</v>
      </c>
      <c r="E3237" s="16" t="s">
        <v>7977</v>
      </c>
      <c r="F3237" s="16"/>
      <c r="G3237" s="16"/>
      <c r="H3237" s="18"/>
      <c r="I3237" s="18"/>
      <c r="J3237" s="18"/>
      <c r="K3237" s="18"/>
      <c r="L3237" s="18"/>
      <c r="M3237" s="18"/>
      <c r="N3237" s="18"/>
      <c r="O3237" s="18"/>
      <c r="P3237" s="18"/>
      <c r="Q3237" s="19"/>
      <c r="R3237" s="19"/>
      <c r="S3237" s="19"/>
    </row>
    <row r="3238" ht="15.75" customHeight="1">
      <c r="A3238" s="15">
        <v>45881.62552083333</v>
      </c>
      <c r="B3238" s="16" t="s">
        <v>8233</v>
      </c>
      <c r="C3238" s="16" t="s">
        <v>8035</v>
      </c>
      <c r="D3238" s="16" t="s">
        <v>8234</v>
      </c>
      <c r="E3238" s="16" t="s">
        <v>8235</v>
      </c>
      <c r="F3238" s="16"/>
      <c r="G3238" s="16"/>
      <c r="H3238" s="18"/>
      <c r="I3238" s="18"/>
      <c r="J3238" s="18"/>
      <c r="K3238" s="18"/>
      <c r="L3238" s="18"/>
      <c r="M3238" s="18"/>
      <c r="N3238" s="18"/>
      <c r="O3238" s="18"/>
      <c r="P3238" s="18"/>
      <c r="Q3238" s="19"/>
      <c r="R3238" s="19"/>
      <c r="S3238" s="19"/>
    </row>
    <row r="3239" ht="15.75" customHeight="1">
      <c r="A3239" s="15">
        <v>45881.66028935185</v>
      </c>
      <c r="B3239" s="16" t="s">
        <v>7978</v>
      </c>
      <c r="C3239" s="16" t="s">
        <v>8035</v>
      </c>
      <c r="D3239" s="16" t="s">
        <v>6874</v>
      </c>
      <c r="E3239" s="16" t="s">
        <v>7977</v>
      </c>
      <c r="F3239" s="16"/>
      <c r="G3239" s="16"/>
      <c r="H3239" s="18"/>
      <c r="I3239" s="18"/>
      <c r="J3239" s="18"/>
      <c r="K3239" s="18"/>
      <c r="L3239" s="18"/>
      <c r="M3239" s="18"/>
      <c r="N3239" s="18"/>
      <c r="O3239" s="18"/>
      <c r="P3239" s="18"/>
      <c r="Q3239" s="19"/>
      <c r="R3239" s="19"/>
      <c r="S3239" s="19"/>
    </row>
    <row r="3240" ht="15.75" customHeight="1">
      <c r="A3240" s="15">
        <v>45882.45013888889</v>
      </c>
      <c r="B3240" s="16" t="s">
        <v>8063</v>
      </c>
      <c r="C3240" s="16" t="s">
        <v>8035</v>
      </c>
      <c r="D3240" s="20" t="str">
        <f>?UTF-8?q?Last_chance_to_score_250_Aeroplan_points=E2=9C=88=EF=B8=8F?=</f>
        <v>#ERROR!</v>
      </c>
      <c r="E3240" s="16" t="s">
        <v>7977</v>
      </c>
      <c r="F3240" s="16"/>
      <c r="G3240" s="16"/>
      <c r="H3240" s="18"/>
      <c r="I3240" s="18"/>
      <c r="J3240" s="18"/>
      <c r="K3240" s="18"/>
      <c r="L3240" s="18"/>
      <c r="M3240" s="18"/>
      <c r="N3240" s="18"/>
      <c r="O3240" s="18"/>
      <c r="P3240" s="18"/>
      <c r="Q3240" s="19"/>
      <c r="R3240" s="19"/>
      <c r="S3240" s="19"/>
    </row>
    <row r="3241" ht="15.75" customHeight="1">
      <c r="A3241" s="15">
        <v>45883.68890046296</v>
      </c>
      <c r="B3241" s="16" t="s">
        <v>8236</v>
      </c>
      <c r="C3241" s="16" t="s">
        <v>8035</v>
      </c>
      <c r="D3241" s="16" t="s">
        <v>8237</v>
      </c>
      <c r="E3241" s="16" t="s">
        <v>8238</v>
      </c>
      <c r="F3241" s="16"/>
      <c r="G3241" s="16"/>
      <c r="H3241" s="18"/>
      <c r="I3241" s="18"/>
      <c r="J3241" s="18"/>
      <c r="K3241" s="18"/>
      <c r="L3241" s="18"/>
      <c r="M3241" s="18"/>
      <c r="N3241" s="18"/>
      <c r="O3241" s="18"/>
      <c r="P3241" s="18"/>
      <c r="Q3241" s="19"/>
      <c r="R3241" s="19"/>
      <c r="S3241" s="19"/>
    </row>
    <row r="3242" ht="15.75" customHeight="1">
      <c r="A3242" s="15">
        <v>45888.65255787037</v>
      </c>
      <c r="B3242" s="16" t="s">
        <v>7978</v>
      </c>
      <c r="C3242" s="16" t="s">
        <v>8035</v>
      </c>
      <c r="D3242" s="16" t="s">
        <v>6874</v>
      </c>
      <c r="E3242" s="16" t="s">
        <v>7977</v>
      </c>
      <c r="F3242" s="16"/>
      <c r="G3242" s="16"/>
      <c r="H3242" s="18"/>
      <c r="I3242" s="18"/>
      <c r="J3242" s="18"/>
      <c r="K3242" s="18"/>
      <c r="L3242" s="18"/>
      <c r="M3242" s="18"/>
      <c r="N3242" s="18"/>
      <c r="O3242" s="18"/>
      <c r="P3242" s="18"/>
      <c r="Q3242" s="19"/>
      <c r="R3242" s="19"/>
      <c r="S3242" s="19"/>
    </row>
    <row r="3243" ht="15.75" customHeight="1">
      <c r="A3243" s="15">
        <v>45890.95612268519</v>
      </c>
      <c r="B3243" s="16" t="s">
        <v>8239</v>
      </c>
      <c r="C3243" s="16" t="s">
        <v>8035</v>
      </c>
      <c r="D3243" s="20" t="str">
        <f>?utf-8?B?U2NhbGUgYW5kIGNlbnRyYWxpemUgeW91ciB0ZWFtJ3MgcmVzZWFyY2g=?=</f>
        <v>#ERROR!</v>
      </c>
      <c r="E3243" s="16" t="s">
        <v>8240</v>
      </c>
      <c r="F3243" s="16"/>
      <c r="G3243" s="16"/>
      <c r="H3243" s="18"/>
      <c r="I3243" s="18"/>
      <c r="J3243" s="18"/>
      <c r="K3243" s="18"/>
      <c r="L3243" s="18"/>
      <c r="M3243" s="18"/>
      <c r="N3243" s="18"/>
      <c r="O3243" s="18"/>
      <c r="P3243" s="18"/>
      <c r="Q3243" s="19"/>
      <c r="R3243" s="19"/>
      <c r="S3243" s="19"/>
    </row>
    <row r="3244" ht="15.75" customHeight="1">
      <c r="A3244" s="15">
        <v>45891.66054398148</v>
      </c>
      <c r="B3244" s="16" t="s">
        <v>7978</v>
      </c>
      <c r="C3244" s="16" t="s">
        <v>8035</v>
      </c>
      <c r="D3244" s="16" t="s">
        <v>8219</v>
      </c>
      <c r="E3244" s="16" t="s">
        <v>7977</v>
      </c>
      <c r="F3244" s="16"/>
      <c r="G3244" s="16"/>
      <c r="H3244" s="18"/>
      <c r="I3244" s="18"/>
      <c r="J3244" s="18"/>
      <c r="K3244" s="18"/>
      <c r="L3244" s="18"/>
      <c r="M3244" s="18"/>
      <c r="N3244" s="18"/>
      <c r="O3244" s="18"/>
      <c r="P3244" s="18"/>
      <c r="Q3244" s="19"/>
      <c r="R3244" s="19"/>
      <c r="S3244" s="19"/>
    </row>
    <row r="3245" ht="15.75" customHeight="1">
      <c r="A3245" s="15">
        <v>45891.86671296296</v>
      </c>
      <c r="B3245" s="16" t="s">
        <v>7984</v>
      </c>
      <c r="C3245" s="16" t="s">
        <v>8035</v>
      </c>
      <c r="D3245" s="20" t="str">
        <f>?UTF-8?q?Shop._Save._Repeat._=F0=9F=94=81?=</f>
        <v>#ERROR!</v>
      </c>
      <c r="E3245" s="16" t="s">
        <v>7977</v>
      </c>
      <c r="F3245" s="16"/>
      <c r="G3245" s="16"/>
      <c r="H3245" s="18"/>
      <c r="I3245" s="18"/>
      <c r="J3245" s="18"/>
      <c r="K3245" s="18"/>
      <c r="L3245" s="18"/>
      <c r="M3245" s="18"/>
      <c r="N3245" s="18"/>
      <c r="O3245" s="18"/>
      <c r="P3245" s="18"/>
      <c r="Q3245" s="19"/>
      <c r="R3245" s="19"/>
      <c r="S3245" s="19"/>
    </row>
    <row r="3246" ht="15.75" customHeight="1">
      <c r="A3246" s="15">
        <v>45894.4465625</v>
      </c>
      <c r="B3246" s="16" t="s">
        <v>7978</v>
      </c>
      <c r="C3246" s="16" t="s">
        <v>8035</v>
      </c>
      <c r="D3246" s="16" t="s">
        <v>6952</v>
      </c>
      <c r="E3246" s="16" t="s">
        <v>7977</v>
      </c>
      <c r="F3246" s="16"/>
      <c r="G3246" s="16"/>
      <c r="H3246" s="18"/>
      <c r="I3246" s="18"/>
      <c r="J3246" s="18"/>
      <c r="K3246" s="18"/>
      <c r="L3246" s="18"/>
      <c r="M3246" s="18"/>
      <c r="N3246" s="18"/>
      <c r="O3246" s="18"/>
      <c r="P3246" s="18"/>
      <c r="Q3246" s="19"/>
      <c r="R3246" s="19"/>
      <c r="S3246" s="19"/>
    </row>
    <row r="3247" ht="15.75" customHeight="1">
      <c r="A3247" s="15">
        <v>45894.66443287037</v>
      </c>
      <c r="B3247" s="16" t="s">
        <v>7984</v>
      </c>
      <c r="C3247" s="16" t="s">
        <v>8035</v>
      </c>
      <c r="D3247" s="16" t="s">
        <v>8121</v>
      </c>
      <c r="E3247" s="16" t="s">
        <v>7977</v>
      </c>
      <c r="F3247" s="16"/>
      <c r="G3247" s="16"/>
      <c r="H3247" s="18"/>
      <c r="I3247" s="18"/>
      <c r="J3247" s="18"/>
      <c r="K3247" s="18"/>
      <c r="L3247" s="18"/>
      <c r="M3247" s="18"/>
      <c r="N3247" s="18"/>
      <c r="O3247" s="18"/>
      <c r="P3247" s="18"/>
      <c r="Q3247" s="19"/>
      <c r="R3247" s="19"/>
      <c r="S3247" s="19"/>
    </row>
    <row r="3248" ht="15.75" customHeight="1">
      <c r="A3248" s="15">
        <v>45894.66993055555</v>
      </c>
      <c r="B3248" s="16" t="s">
        <v>8241</v>
      </c>
      <c r="C3248" s="16" t="s">
        <v>8035</v>
      </c>
      <c r="D3248" s="20" t="str">
        <f>?utf-8?B?V2hhdCdzIE5ldyBpbiBQZXJwbGV4aXR5IEVudGVycHJpc2UgUHJv?=</f>
        <v>#ERROR!</v>
      </c>
      <c r="E3248" s="16" t="s">
        <v>8242</v>
      </c>
      <c r="F3248" s="16"/>
      <c r="G3248" s="16"/>
      <c r="H3248" s="18"/>
      <c r="I3248" s="18"/>
      <c r="J3248" s="18"/>
      <c r="K3248" s="18"/>
      <c r="L3248" s="18"/>
      <c r="M3248" s="18"/>
      <c r="N3248" s="18"/>
      <c r="O3248" s="18"/>
      <c r="P3248" s="18"/>
      <c r="Q3248" s="19"/>
      <c r="R3248" s="19"/>
      <c r="S3248" s="19"/>
    </row>
    <row r="3249" ht="15.75" customHeight="1">
      <c r="A3249" s="15">
        <v>45894.49060185185</v>
      </c>
      <c r="B3249" s="16" t="s">
        <v>8201</v>
      </c>
      <c r="C3249" s="16" t="s">
        <v>8035</v>
      </c>
      <c r="D3249" s="16" t="s">
        <v>8243</v>
      </c>
      <c r="E3249" s="16" t="s">
        <v>7067</v>
      </c>
      <c r="F3249" s="16"/>
      <c r="G3249" s="16"/>
      <c r="H3249" s="18"/>
      <c r="I3249" s="18"/>
      <c r="J3249" s="18"/>
      <c r="K3249" s="18"/>
      <c r="L3249" s="18"/>
      <c r="M3249" s="18"/>
      <c r="N3249" s="18"/>
      <c r="O3249" s="18"/>
      <c r="P3249" s="18"/>
      <c r="Q3249" s="19"/>
      <c r="R3249" s="19"/>
      <c r="S3249" s="19"/>
    </row>
    <row r="3250" ht="15.75" customHeight="1">
      <c r="A3250" s="15">
        <v>45895.461909722224</v>
      </c>
      <c r="B3250" s="16" t="s">
        <v>8150</v>
      </c>
      <c r="C3250" s="16" t="s">
        <v>8035</v>
      </c>
      <c r="D3250" s="16" t="s">
        <v>8220</v>
      </c>
      <c r="E3250" s="16" t="s">
        <v>7995</v>
      </c>
      <c r="F3250" s="16"/>
      <c r="G3250" s="16"/>
      <c r="H3250" s="18"/>
      <c r="I3250" s="18"/>
      <c r="J3250" s="18"/>
      <c r="K3250" s="18"/>
      <c r="L3250" s="18"/>
      <c r="M3250" s="18"/>
      <c r="N3250" s="18"/>
      <c r="O3250" s="18"/>
      <c r="P3250" s="18"/>
      <c r="Q3250" s="19"/>
      <c r="R3250" s="19"/>
      <c r="S3250" s="19"/>
    </row>
    <row r="3251" ht="15.75" customHeight="1">
      <c r="A3251" s="15">
        <v>45895.3906712963</v>
      </c>
      <c r="B3251" s="16" t="s">
        <v>8201</v>
      </c>
      <c r="C3251" s="16" t="s">
        <v>8035</v>
      </c>
      <c r="D3251" s="16" t="s">
        <v>8243</v>
      </c>
      <c r="E3251" s="16" t="s">
        <v>7067</v>
      </c>
      <c r="F3251" s="16"/>
      <c r="G3251" s="16"/>
      <c r="H3251" s="18"/>
      <c r="I3251" s="18"/>
      <c r="J3251" s="18"/>
      <c r="K3251" s="18"/>
      <c r="L3251" s="18"/>
      <c r="M3251" s="18"/>
      <c r="N3251" s="18"/>
      <c r="O3251" s="18"/>
      <c r="P3251" s="18"/>
      <c r="Q3251" s="19"/>
      <c r="R3251" s="19"/>
      <c r="S3251" s="19"/>
    </row>
    <row r="3252" ht="15.75" customHeight="1">
      <c r="A3252" s="15">
        <v>45895.76375</v>
      </c>
      <c r="B3252" s="16" t="s">
        <v>7984</v>
      </c>
      <c r="C3252" s="16" t="s">
        <v>8035</v>
      </c>
      <c r="D3252" s="20" t="str">
        <f>?UTF-8?q?Check_out_what=E2=80=99s_popular_right_now?=</f>
        <v>#ERROR!</v>
      </c>
      <c r="E3252" s="16" t="s">
        <v>7977</v>
      </c>
      <c r="F3252" s="16"/>
      <c r="G3252" s="16"/>
      <c r="H3252" s="18"/>
      <c r="I3252" s="18"/>
      <c r="J3252" s="18"/>
      <c r="K3252" s="18"/>
      <c r="L3252" s="18"/>
      <c r="M3252" s="18"/>
      <c r="N3252" s="18"/>
      <c r="O3252" s="18"/>
      <c r="P3252" s="18"/>
      <c r="Q3252" s="19"/>
      <c r="R3252" s="19"/>
      <c r="S3252" s="19"/>
    </row>
    <row r="3253" ht="15.75" customHeight="1">
      <c r="A3253" s="15">
        <v>45896.52496527778</v>
      </c>
      <c r="B3253" s="16" t="s">
        <v>7984</v>
      </c>
      <c r="C3253" s="16" t="s">
        <v>8035</v>
      </c>
      <c r="D3253" s="16" t="s">
        <v>8244</v>
      </c>
      <c r="E3253" s="16" t="s">
        <v>7977</v>
      </c>
      <c r="F3253" s="16"/>
      <c r="G3253" s="16"/>
      <c r="H3253" s="18"/>
      <c r="I3253" s="18"/>
      <c r="J3253" s="18"/>
      <c r="K3253" s="18"/>
      <c r="L3253" s="18"/>
      <c r="M3253" s="18"/>
      <c r="N3253" s="18"/>
      <c r="O3253" s="18"/>
      <c r="P3253" s="18"/>
      <c r="Q3253" s="19"/>
      <c r="R3253" s="19"/>
      <c r="S3253" s="19"/>
    </row>
    <row r="3254" ht="15.75" customHeight="1">
      <c r="A3254" s="15">
        <v>45896.40380787037</v>
      </c>
      <c r="B3254" s="16" t="s">
        <v>8201</v>
      </c>
      <c r="C3254" s="16" t="s">
        <v>8035</v>
      </c>
      <c r="D3254" s="16" t="s">
        <v>8202</v>
      </c>
      <c r="E3254" s="16" t="s">
        <v>7067</v>
      </c>
      <c r="F3254" s="16"/>
      <c r="G3254" s="16"/>
      <c r="H3254" s="18"/>
      <c r="I3254" s="18"/>
      <c r="J3254" s="18"/>
      <c r="K3254" s="18"/>
      <c r="L3254" s="18"/>
      <c r="M3254" s="18"/>
      <c r="N3254" s="18"/>
      <c r="O3254" s="18"/>
      <c r="P3254" s="18"/>
      <c r="Q3254" s="19"/>
      <c r="R3254" s="19"/>
      <c r="S3254" s="19"/>
    </row>
    <row r="3255" ht="15.75" customHeight="1">
      <c r="A3255" s="15">
        <v>45897.72809027778</v>
      </c>
      <c r="B3255" s="16" t="s">
        <v>8084</v>
      </c>
      <c r="C3255" s="16" t="s">
        <v>8035</v>
      </c>
      <c r="D3255" s="16" t="s">
        <v>8245</v>
      </c>
      <c r="E3255" s="16" t="s">
        <v>8246</v>
      </c>
      <c r="F3255" s="16"/>
      <c r="G3255" s="16"/>
      <c r="H3255" s="18"/>
      <c r="I3255" s="18"/>
      <c r="J3255" s="18"/>
      <c r="K3255" s="18"/>
      <c r="L3255" s="18"/>
      <c r="M3255" s="18"/>
      <c r="N3255" s="18"/>
      <c r="O3255" s="18"/>
      <c r="P3255" s="18"/>
      <c r="Q3255" s="19"/>
      <c r="R3255" s="19"/>
      <c r="S3255" s="19"/>
    </row>
    <row r="3256" ht="15.75" customHeight="1">
      <c r="A3256" s="15">
        <v>45898.59326388889</v>
      </c>
      <c r="B3256" s="16" t="s">
        <v>7978</v>
      </c>
      <c r="C3256" s="16" t="s">
        <v>8035</v>
      </c>
      <c r="D3256" s="16" t="s">
        <v>8219</v>
      </c>
      <c r="E3256" s="16" t="s">
        <v>7977</v>
      </c>
      <c r="F3256" s="16"/>
      <c r="G3256" s="16"/>
      <c r="H3256" s="18"/>
      <c r="I3256" s="18"/>
      <c r="J3256" s="18"/>
      <c r="K3256" s="18"/>
      <c r="L3256" s="18"/>
      <c r="M3256" s="18"/>
      <c r="N3256" s="18"/>
      <c r="O3256" s="18"/>
      <c r="P3256" s="18"/>
      <c r="Q3256" s="19"/>
      <c r="R3256" s="19"/>
      <c r="S3256" s="19"/>
    </row>
    <row r="3257" ht="15.75" customHeight="1">
      <c r="A3257" s="15">
        <v>45899.75792824074</v>
      </c>
      <c r="B3257" s="16" t="s">
        <v>7984</v>
      </c>
      <c r="C3257" s="16" t="s">
        <v>8035</v>
      </c>
      <c r="D3257" s="20" t="str">
        <f>?UTF-8?q?There=E2=80=99s_no_better_time_to_order_again=E2=80=94save_now?=</f>
        <v>#ERROR!</v>
      </c>
      <c r="E3257" s="16" t="s">
        <v>7977</v>
      </c>
      <c r="F3257" s="16"/>
      <c r="G3257" s="16"/>
      <c r="H3257" s="18"/>
      <c r="I3257" s="18"/>
      <c r="J3257" s="18"/>
      <c r="K3257" s="18"/>
      <c r="L3257" s="18"/>
      <c r="M3257" s="18"/>
      <c r="N3257" s="18"/>
      <c r="O3257" s="18"/>
      <c r="P3257" s="18"/>
      <c r="Q3257" s="19"/>
      <c r="R3257" s="19"/>
      <c r="S3257" s="19"/>
    </row>
    <row r="3258" ht="15.75" customHeight="1">
      <c r="A3258" s="15">
        <v>45899.55425925926</v>
      </c>
      <c r="B3258" s="16" t="s">
        <v>8247</v>
      </c>
      <c r="C3258" s="16" t="s">
        <v>8035</v>
      </c>
      <c r="D3258" s="16" t="s">
        <v>8248</v>
      </c>
      <c r="E3258" s="16" t="s">
        <v>8249</v>
      </c>
      <c r="F3258" s="16"/>
      <c r="G3258" s="16"/>
      <c r="H3258" s="18"/>
      <c r="I3258" s="18"/>
      <c r="J3258" s="18"/>
      <c r="K3258" s="18"/>
      <c r="L3258" s="18"/>
      <c r="M3258" s="18"/>
      <c r="N3258" s="18"/>
      <c r="O3258" s="18"/>
      <c r="P3258" s="18"/>
      <c r="Q3258" s="19"/>
      <c r="R3258" s="19"/>
      <c r="S3258" s="19"/>
    </row>
    <row r="3259" ht="15.75" customHeight="1">
      <c r="A3259" s="15">
        <v>45901.45502314815</v>
      </c>
      <c r="B3259" s="16" t="s">
        <v>7978</v>
      </c>
      <c r="C3259" s="16" t="s">
        <v>8035</v>
      </c>
      <c r="D3259" s="16" t="s">
        <v>6952</v>
      </c>
      <c r="E3259" s="16" t="s">
        <v>7977</v>
      </c>
      <c r="F3259" s="16"/>
      <c r="G3259" s="16"/>
      <c r="H3259" s="18"/>
      <c r="I3259" s="18"/>
      <c r="J3259" s="18"/>
      <c r="K3259" s="18"/>
      <c r="L3259" s="18"/>
      <c r="M3259" s="18"/>
      <c r="N3259" s="18"/>
      <c r="O3259" s="18"/>
      <c r="P3259" s="18"/>
      <c r="Q3259" s="19"/>
      <c r="R3259" s="19"/>
      <c r="S3259" s="19"/>
    </row>
    <row r="3260" ht="15.75" customHeight="1">
      <c r="A3260" s="15">
        <v>45902.664988425924</v>
      </c>
      <c r="B3260" s="16" t="s">
        <v>7897</v>
      </c>
      <c r="C3260" s="16" t="s">
        <v>8035</v>
      </c>
      <c r="D3260" s="16" t="s">
        <v>7912</v>
      </c>
      <c r="E3260" s="16" t="s">
        <v>8250</v>
      </c>
      <c r="F3260" s="16"/>
      <c r="G3260" s="16"/>
      <c r="H3260" s="18"/>
      <c r="I3260" s="18"/>
      <c r="J3260" s="18"/>
      <c r="K3260" s="18"/>
      <c r="L3260" s="18"/>
      <c r="M3260" s="18"/>
      <c r="N3260" s="18"/>
      <c r="O3260" s="18"/>
      <c r="P3260" s="18"/>
      <c r="Q3260" s="19"/>
      <c r="R3260" s="19"/>
      <c r="S3260" s="19"/>
    </row>
    <row r="3261" ht="15.75" customHeight="1">
      <c r="A3261" s="15">
        <v>45902.80815972222</v>
      </c>
      <c r="B3261" s="16" t="s">
        <v>8150</v>
      </c>
      <c r="C3261" s="16" t="s">
        <v>8035</v>
      </c>
      <c r="D3261" s="16" t="s">
        <v>8251</v>
      </c>
      <c r="E3261" s="16" t="s">
        <v>7977</v>
      </c>
      <c r="F3261" s="16"/>
      <c r="G3261" s="16"/>
      <c r="H3261" s="18"/>
      <c r="I3261" s="18"/>
      <c r="J3261" s="18"/>
      <c r="K3261" s="18"/>
      <c r="L3261" s="18"/>
      <c r="M3261" s="18"/>
      <c r="N3261" s="18"/>
      <c r="O3261" s="18"/>
      <c r="P3261" s="18"/>
      <c r="Q3261" s="19"/>
      <c r="R3261" s="19"/>
      <c r="S3261" s="19"/>
    </row>
    <row r="3262" ht="15.75" customHeight="1">
      <c r="A3262" s="15">
        <v>45905.66614583333</v>
      </c>
      <c r="B3262" s="16" t="s">
        <v>7978</v>
      </c>
      <c r="C3262" s="16" t="s">
        <v>8035</v>
      </c>
      <c r="D3262" s="16" t="s">
        <v>8142</v>
      </c>
      <c r="E3262" s="16" t="s">
        <v>7977</v>
      </c>
      <c r="F3262" s="16"/>
      <c r="G3262" s="16"/>
      <c r="H3262" s="18"/>
      <c r="I3262" s="18"/>
      <c r="J3262" s="18"/>
      <c r="K3262" s="18"/>
      <c r="L3262" s="18"/>
      <c r="M3262" s="18"/>
      <c r="N3262" s="18"/>
      <c r="O3262" s="18"/>
      <c r="P3262" s="18"/>
      <c r="Q3262" s="19"/>
      <c r="R3262" s="19"/>
      <c r="S3262" s="19"/>
    </row>
    <row r="3263" ht="15.75" customHeight="1">
      <c r="A3263" s="15">
        <v>45906.47646990741</v>
      </c>
      <c r="B3263" s="16" t="s">
        <v>7984</v>
      </c>
      <c r="C3263" s="16" t="s">
        <v>8035</v>
      </c>
      <c r="D3263" s="20" t="str">
        <f>?UTF-8?q?Back_on_Uber_Eats=3F_We_got_it_all_=F0=9F=9B=92?=</f>
        <v>#ERROR!</v>
      </c>
      <c r="E3263" s="16" t="s">
        <v>7977</v>
      </c>
      <c r="F3263" s="16"/>
      <c r="G3263" s="16"/>
      <c r="H3263" s="18"/>
      <c r="I3263" s="18"/>
      <c r="J3263" s="18"/>
      <c r="K3263" s="18"/>
      <c r="L3263" s="18"/>
      <c r="M3263" s="18"/>
      <c r="N3263" s="18"/>
      <c r="O3263" s="18"/>
      <c r="P3263" s="18"/>
      <c r="Q3263" s="19"/>
      <c r="R3263" s="19"/>
      <c r="S3263" s="19"/>
    </row>
    <row r="3264" ht="15.75" customHeight="1">
      <c r="A3264" s="15">
        <v>45908.45449074074</v>
      </c>
      <c r="B3264" s="16" t="s">
        <v>7978</v>
      </c>
      <c r="C3264" s="16" t="s">
        <v>8035</v>
      </c>
      <c r="D3264" s="16" t="s">
        <v>6952</v>
      </c>
      <c r="E3264" s="16" t="s">
        <v>7977</v>
      </c>
      <c r="F3264" s="16"/>
      <c r="G3264" s="16"/>
      <c r="H3264" s="18"/>
      <c r="I3264" s="18"/>
      <c r="J3264" s="18"/>
      <c r="K3264" s="18"/>
      <c r="L3264" s="18"/>
      <c r="M3264" s="18"/>
      <c r="N3264" s="18"/>
      <c r="O3264" s="18"/>
      <c r="P3264" s="18"/>
      <c r="Q3264" s="19"/>
      <c r="R3264" s="19"/>
      <c r="S3264" s="19"/>
    </row>
    <row r="3265" ht="15.75" customHeight="1">
      <c r="A3265" s="15">
        <v>45908.722766203704</v>
      </c>
      <c r="B3265" s="16" t="s">
        <v>8239</v>
      </c>
      <c r="C3265" s="16" t="s">
        <v>8035</v>
      </c>
      <c r="D3265" s="20" t="str">
        <f>?utf-8?B?WW91J3JlIGludml0ZWQ6IFRoZSBicm93c2VyIHVzZXJzIG5ldmVyIHN3aXRjaCBmcm9t?=</f>
        <v>#ERROR!</v>
      </c>
      <c r="E3265" s="16" t="s">
        <v>8252</v>
      </c>
      <c r="F3265" s="16"/>
      <c r="G3265" s="16"/>
      <c r="H3265" s="18"/>
      <c r="I3265" s="18"/>
      <c r="J3265" s="18"/>
      <c r="K3265" s="18"/>
      <c r="L3265" s="18"/>
      <c r="M3265" s="18"/>
      <c r="N3265" s="18"/>
      <c r="O3265" s="18"/>
      <c r="P3265" s="18"/>
      <c r="Q3265" s="19"/>
      <c r="R3265" s="19"/>
      <c r="S3265" s="19"/>
    </row>
    <row r="3266" ht="15.75" customHeight="1">
      <c r="A3266" s="15">
        <v>45908.98304398148</v>
      </c>
      <c r="B3266" s="16" t="s">
        <v>8253</v>
      </c>
      <c r="C3266" s="16" t="s">
        <v>8035</v>
      </c>
      <c r="D3266" s="16" t="s">
        <v>8254</v>
      </c>
      <c r="E3266" s="16" t="s">
        <v>8255</v>
      </c>
      <c r="F3266" s="16"/>
      <c r="G3266" s="16"/>
      <c r="H3266" s="18"/>
      <c r="I3266" s="18"/>
      <c r="J3266" s="18"/>
      <c r="K3266" s="18"/>
      <c r="L3266" s="18"/>
      <c r="M3266" s="18"/>
      <c r="N3266" s="18"/>
      <c r="O3266" s="18"/>
      <c r="P3266" s="18"/>
      <c r="Q3266" s="19"/>
      <c r="R3266" s="19"/>
      <c r="S3266" s="19"/>
    </row>
    <row r="3267" ht="15.75" customHeight="1">
      <c r="A3267" s="15">
        <v>45909.62390046296</v>
      </c>
      <c r="B3267" s="16" t="s">
        <v>7978</v>
      </c>
      <c r="C3267" s="16" t="s">
        <v>8035</v>
      </c>
      <c r="D3267" s="20" t="str">
        <f>?UTF-8?q?50%_off_your_next_3_orders_-_just_for_you_=F0=9F=91=80?=</f>
        <v>#ERROR!</v>
      </c>
      <c r="E3267" s="16" t="s">
        <v>7977</v>
      </c>
      <c r="F3267" s="16"/>
      <c r="G3267" s="16"/>
      <c r="H3267" s="18"/>
      <c r="I3267" s="18"/>
      <c r="J3267" s="18"/>
      <c r="K3267" s="18"/>
      <c r="L3267" s="18"/>
      <c r="M3267" s="18"/>
      <c r="N3267" s="18"/>
      <c r="O3267" s="18"/>
      <c r="P3267" s="18"/>
      <c r="Q3267" s="19"/>
      <c r="R3267" s="19"/>
      <c r="S3267" s="19"/>
    </row>
    <row r="3268" ht="15.75" customHeight="1">
      <c r="A3268" s="15">
        <v>45909.638645833336</v>
      </c>
      <c r="B3268" s="16" t="s">
        <v>7897</v>
      </c>
      <c r="C3268" s="16" t="s">
        <v>8035</v>
      </c>
      <c r="D3268" s="16" t="s">
        <v>7917</v>
      </c>
      <c r="E3268" s="16" t="s">
        <v>8256</v>
      </c>
      <c r="F3268" s="16"/>
      <c r="G3268" s="16"/>
      <c r="H3268" s="18"/>
      <c r="I3268" s="18"/>
      <c r="J3268" s="18"/>
      <c r="K3268" s="18"/>
      <c r="L3268" s="18"/>
      <c r="M3268" s="18"/>
      <c r="N3268" s="18"/>
      <c r="O3268" s="18"/>
      <c r="P3268" s="18"/>
      <c r="Q3268" s="19"/>
      <c r="R3268" s="19"/>
      <c r="S3268" s="19"/>
    </row>
    <row r="3269" ht="15.75" customHeight="1">
      <c r="A3269" s="15">
        <v>45909.82811342592</v>
      </c>
      <c r="B3269" s="16" t="s">
        <v>8150</v>
      </c>
      <c r="C3269" s="16" t="s">
        <v>8035</v>
      </c>
      <c r="D3269" s="16" t="s">
        <v>8257</v>
      </c>
      <c r="E3269" s="16" t="s">
        <v>7995</v>
      </c>
      <c r="F3269" s="16"/>
      <c r="G3269" s="16"/>
      <c r="H3269" s="18"/>
      <c r="I3269" s="18"/>
      <c r="J3269" s="18"/>
      <c r="K3269" s="18"/>
      <c r="L3269" s="18"/>
      <c r="M3269" s="18"/>
      <c r="N3269" s="18"/>
      <c r="O3269" s="18"/>
      <c r="P3269" s="18"/>
      <c r="Q3269" s="19"/>
      <c r="R3269" s="19"/>
      <c r="S3269" s="19"/>
    </row>
    <row r="3270" ht="15.75" customHeight="1">
      <c r="A3270" s="15">
        <v>45910.03533564815</v>
      </c>
      <c r="B3270" s="16" t="s">
        <v>7978</v>
      </c>
      <c r="C3270" s="16" t="s">
        <v>8035</v>
      </c>
      <c r="D3270" s="16" t="s">
        <v>6874</v>
      </c>
      <c r="E3270" s="16" t="s">
        <v>7977</v>
      </c>
      <c r="F3270" s="16"/>
      <c r="G3270" s="16"/>
      <c r="H3270" s="18"/>
      <c r="I3270" s="18"/>
      <c r="J3270" s="18"/>
      <c r="K3270" s="18"/>
      <c r="L3270" s="18"/>
      <c r="M3270" s="18"/>
      <c r="N3270" s="18"/>
      <c r="O3270" s="18"/>
      <c r="P3270" s="18"/>
      <c r="Q3270" s="19"/>
      <c r="R3270" s="19"/>
      <c r="S3270" s="19"/>
    </row>
    <row r="3271" ht="15.75" customHeight="1">
      <c r="A3271" s="15">
        <v>45910.50309027778</v>
      </c>
      <c r="B3271" s="16" t="s">
        <v>7984</v>
      </c>
      <c r="C3271" s="16" t="s">
        <v>8035</v>
      </c>
      <c r="D3271" s="16" t="s">
        <v>8258</v>
      </c>
      <c r="E3271" s="16" t="s">
        <v>7977</v>
      </c>
      <c r="F3271" s="16"/>
      <c r="G3271" s="16"/>
      <c r="H3271" s="18"/>
      <c r="I3271" s="18"/>
      <c r="J3271" s="18"/>
      <c r="K3271" s="18"/>
      <c r="L3271" s="18"/>
      <c r="M3271" s="18"/>
      <c r="N3271" s="18"/>
      <c r="O3271" s="18"/>
      <c r="P3271" s="18"/>
      <c r="Q3271" s="19"/>
      <c r="R3271" s="19"/>
      <c r="S3271" s="19"/>
    </row>
    <row r="3272" ht="15.75" customHeight="1">
      <c r="A3272" s="15">
        <v>45911.72277777778</v>
      </c>
      <c r="B3272" s="16" t="s">
        <v>8239</v>
      </c>
      <c r="C3272" s="16" t="s">
        <v>8035</v>
      </c>
      <c r="D3272" s="16" t="s">
        <v>8259</v>
      </c>
      <c r="E3272" s="16" t="s">
        <v>8260</v>
      </c>
      <c r="F3272" s="16"/>
      <c r="G3272" s="16"/>
      <c r="H3272" s="18"/>
      <c r="I3272" s="18"/>
      <c r="J3272" s="18"/>
      <c r="K3272" s="18"/>
      <c r="L3272" s="18"/>
      <c r="M3272" s="18"/>
      <c r="N3272" s="18"/>
      <c r="O3272" s="18"/>
      <c r="P3272" s="18"/>
      <c r="Q3272" s="19"/>
      <c r="R3272" s="19"/>
      <c r="S3272" s="19"/>
    </row>
    <row r="3273" ht="15.75" customHeight="1">
      <c r="A3273" s="15">
        <v>45912.738391203704</v>
      </c>
      <c r="B3273" s="16" t="s">
        <v>7978</v>
      </c>
      <c r="C3273" s="16" t="s">
        <v>8035</v>
      </c>
      <c r="D3273" s="16" t="s">
        <v>8142</v>
      </c>
      <c r="E3273" s="16" t="s">
        <v>7977</v>
      </c>
      <c r="F3273" s="16"/>
      <c r="G3273" s="16"/>
      <c r="H3273" s="18"/>
      <c r="I3273" s="18"/>
      <c r="J3273" s="18"/>
      <c r="K3273" s="18"/>
      <c r="L3273" s="18"/>
      <c r="M3273" s="18"/>
      <c r="N3273" s="18"/>
      <c r="O3273" s="18"/>
      <c r="P3273" s="18"/>
      <c r="Q3273" s="19"/>
      <c r="R3273" s="19"/>
      <c r="S3273" s="19"/>
    </row>
    <row r="3274" ht="15.75" customHeight="1">
      <c r="A3274" s="15">
        <v>45912.75184027778</v>
      </c>
      <c r="B3274" s="16" t="s">
        <v>8084</v>
      </c>
      <c r="C3274" s="16" t="s">
        <v>8035</v>
      </c>
      <c r="D3274" s="20" t="str">
        <f>?UTF-8?Q?=F0=9F=93=B7_Make_impossible_selfies_with_Gemini?=</f>
        <v>#ERROR!</v>
      </c>
      <c r="E3274" s="16" t="s">
        <v>8261</v>
      </c>
      <c r="F3274" s="16"/>
      <c r="G3274" s="16"/>
      <c r="H3274" s="18"/>
      <c r="I3274" s="18"/>
      <c r="J3274" s="18"/>
      <c r="K3274" s="18"/>
      <c r="L3274" s="18"/>
      <c r="M3274" s="18"/>
      <c r="N3274" s="18"/>
      <c r="O3274" s="18"/>
      <c r="P3274" s="18"/>
      <c r="Q3274" s="19"/>
      <c r="R3274" s="19"/>
      <c r="S3274" s="19"/>
    </row>
    <row r="3275" ht="15.75" customHeight="1">
      <c r="A3275" s="15">
        <v>45914.47592592592</v>
      </c>
      <c r="B3275" s="16" t="s">
        <v>7984</v>
      </c>
      <c r="C3275" s="16" t="s">
        <v>8035</v>
      </c>
      <c r="D3275" s="16" t="s">
        <v>8262</v>
      </c>
      <c r="E3275" s="16" t="s">
        <v>7977</v>
      </c>
      <c r="F3275" s="16"/>
      <c r="G3275" s="16"/>
      <c r="H3275" s="18"/>
      <c r="I3275" s="18"/>
      <c r="J3275" s="18"/>
      <c r="K3275" s="18"/>
      <c r="L3275" s="18"/>
      <c r="M3275" s="18"/>
      <c r="N3275" s="18"/>
      <c r="O3275" s="18"/>
      <c r="P3275" s="18"/>
      <c r="Q3275" s="19"/>
      <c r="R3275" s="19"/>
      <c r="S3275" s="19"/>
    </row>
    <row r="3276" ht="15.75" customHeight="1">
      <c r="A3276" s="15">
        <v>45915.72278935185</v>
      </c>
      <c r="B3276" s="16" t="s">
        <v>8239</v>
      </c>
      <c r="C3276" s="16" t="s">
        <v>8035</v>
      </c>
      <c r="D3276" s="16" t="s">
        <v>8263</v>
      </c>
      <c r="E3276" s="16" t="s">
        <v>8260</v>
      </c>
      <c r="F3276" s="16"/>
      <c r="G3276" s="16"/>
      <c r="H3276" s="18"/>
      <c r="I3276" s="18"/>
      <c r="J3276" s="18"/>
      <c r="K3276" s="18"/>
      <c r="L3276" s="18"/>
      <c r="M3276" s="18"/>
      <c r="N3276" s="18"/>
      <c r="O3276" s="18"/>
      <c r="P3276" s="18"/>
      <c r="Q3276" s="19"/>
      <c r="R3276" s="19"/>
      <c r="S3276" s="19"/>
    </row>
    <row r="3277" ht="15.75" customHeight="1">
      <c r="A3277" s="15">
        <v>45923.42083333333</v>
      </c>
      <c r="B3277" s="16" t="s">
        <v>8264</v>
      </c>
      <c r="C3277" s="16" t="s">
        <v>8035</v>
      </c>
      <c r="D3277" s="20" t="str">
        <f>?UTF-8?Q?=E2=8F=B0?= How does 3 extra billable hours per day
 sound?</f>
        <v>#ERROR!</v>
      </c>
      <c r="E3277" s="16" t="s">
        <v>8265</v>
      </c>
      <c r="F3277" s="16"/>
      <c r="G3277" s="16"/>
      <c r="H3277" s="18"/>
      <c r="I3277" s="18"/>
      <c r="J3277" s="18"/>
      <c r="K3277" s="18"/>
      <c r="L3277" s="18"/>
      <c r="M3277" s="18"/>
      <c r="N3277" s="18"/>
      <c r="O3277" s="18"/>
      <c r="P3277" s="18"/>
      <c r="Q3277" s="19"/>
      <c r="R3277" s="19"/>
      <c r="S3277" s="19"/>
    </row>
    <row r="3278" ht="15.75" customHeight="1">
      <c r="A3278" s="15">
        <v>45924.35011574074</v>
      </c>
      <c r="B3278" s="16" t="s">
        <v>8264</v>
      </c>
      <c r="C3278" s="16" t="s">
        <v>8035</v>
      </c>
      <c r="D3278" s="16" t="s">
        <v>8266</v>
      </c>
      <c r="E3278" s="16" t="s">
        <v>8267</v>
      </c>
      <c r="F3278" s="16"/>
      <c r="G3278" s="16"/>
      <c r="H3278" s="18"/>
      <c r="I3278" s="18"/>
      <c r="J3278" s="18"/>
      <c r="K3278" s="18"/>
      <c r="L3278" s="18"/>
      <c r="M3278" s="18"/>
      <c r="N3278" s="18"/>
      <c r="O3278" s="18"/>
      <c r="P3278" s="18"/>
      <c r="Q3278" s="19"/>
      <c r="R3278" s="19"/>
      <c r="S3278" s="19"/>
    </row>
    <row r="3279" ht="15.75" customHeight="1">
      <c r="A3279" s="15">
        <v>45926.494421296295</v>
      </c>
      <c r="B3279" s="16" t="s">
        <v>7984</v>
      </c>
      <c r="C3279" s="16" t="s">
        <v>8035</v>
      </c>
      <c r="D3279" s="20" t="str">
        <f>?UTF-8?q?You_deserve_delivery_deals_=F0=9F=A4=91?=</f>
        <v>#ERROR!</v>
      </c>
      <c r="E3279" s="16" t="s">
        <v>7977</v>
      </c>
      <c r="F3279" s="16"/>
      <c r="G3279" s="16"/>
      <c r="H3279" s="18"/>
      <c r="I3279" s="18"/>
      <c r="J3279" s="18"/>
      <c r="K3279" s="18"/>
      <c r="L3279" s="18"/>
      <c r="M3279" s="18"/>
      <c r="N3279" s="18"/>
      <c r="O3279" s="18"/>
      <c r="P3279" s="18"/>
      <c r="Q3279" s="19"/>
      <c r="R3279" s="19"/>
      <c r="S3279" s="19"/>
    </row>
    <row r="3280" ht="15.75" customHeight="1">
      <c r="A3280" s="15">
        <v>45929.44268518518</v>
      </c>
      <c r="B3280" s="16" t="s">
        <v>7978</v>
      </c>
      <c r="C3280" s="16" t="s">
        <v>8035</v>
      </c>
      <c r="D3280" s="16" t="s">
        <v>6952</v>
      </c>
      <c r="E3280" s="16" t="s">
        <v>7977</v>
      </c>
      <c r="F3280" s="16"/>
      <c r="G3280" s="16"/>
      <c r="H3280" s="18"/>
      <c r="I3280" s="18"/>
      <c r="J3280" s="18"/>
      <c r="K3280" s="18"/>
      <c r="L3280" s="18"/>
      <c r="M3280" s="18"/>
      <c r="N3280" s="18"/>
      <c r="O3280" s="18"/>
      <c r="P3280" s="18"/>
      <c r="Q3280" s="19"/>
      <c r="R3280" s="19"/>
      <c r="S3280" s="19"/>
    </row>
    <row r="3281" ht="15.75" customHeight="1">
      <c r="A3281" s="15">
        <v>45929.564479166664</v>
      </c>
      <c r="B3281" s="16" t="s">
        <v>8268</v>
      </c>
      <c r="C3281" s="16" t="s">
        <v>8035</v>
      </c>
      <c r="D3281" s="16" t="s">
        <v>8269</v>
      </c>
      <c r="E3281" s="16" t="s">
        <v>8270</v>
      </c>
      <c r="F3281" s="16"/>
      <c r="G3281" s="16"/>
      <c r="H3281" s="18"/>
      <c r="I3281" s="18"/>
      <c r="J3281" s="18"/>
      <c r="K3281" s="18"/>
      <c r="L3281" s="18"/>
      <c r="M3281" s="18"/>
      <c r="N3281" s="18"/>
      <c r="O3281" s="18"/>
      <c r="P3281" s="18"/>
      <c r="Q3281" s="19"/>
      <c r="R3281" s="19"/>
      <c r="S3281" s="19"/>
    </row>
    <row r="3282" ht="15.75" customHeight="1">
      <c r="A3282" s="15">
        <v>45930.58693287037</v>
      </c>
      <c r="B3282" s="16" t="s">
        <v>7897</v>
      </c>
      <c r="C3282" s="16" t="s">
        <v>8035</v>
      </c>
      <c r="D3282" s="16" t="s">
        <v>7927</v>
      </c>
      <c r="E3282" s="16" t="s">
        <v>8271</v>
      </c>
      <c r="F3282" s="16"/>
      <c r="G3282" s="16"/>
      <c r="H3282" s="18"/>
      <c r="I3282" s="18"/>
      <c r="J3282" s="18"/>
      <c r="K3282" s="18"/>
      <c r="L3282" s="18"/>
      <c r="M3282" s="18"/>
      <c r="N3282" s="18"/>
      <c r="O3282" s="18"/>
      <c r="P3282" s="18"/>
      <c r="Q3282" s="19"/>
      <c r="R3282" s="19"/>
      <c r="S3282" s="19"/>
    </row>
    <row r="3283" ht="15.75" customHeight="1">
      <c r="A3283" s="15">
        <v>45932.682962962965</v>
      </c>
      <c r="B3283" s="16" t="s">
        <v>8241</v>
      </c>
      <c r="C3283" s="16" t="s">
        <v>8035</v>
      </c>
      <c r="D3283" s="20" t="str">
        <f>?utf-8?B?TGFicy9TcGFjZXMgaWRlYXM6IERhdGEgYW5hbHlzaXMgYW5kIGJ1aWxkIGJlc3QtaW4tY2xhc3M=?=</f>
        <v>#ERROR!</v>
      </c>
      <c r="E3283" s="16" t="s">
        <v>8272</v>
      </c>
      <c r="F3283" s="16"/>
      <c r="G3283" s="16"/>
      <c r="H3283" s="18"/>
      <c r="I3283" s="18"/>
      <c r="J3283" s="18"/>
      <c r="K3283" s="18"/>
      <c r="L3283" s="18"/>
      <c r="M3283" s="18"/>
      <c r="N3283" s="18"/>
      <c r="O3283" s="18"/>
      <c r="P3283" s="18"/>
      <c r="Q3283" s="19"/>
      <c r="R3283" s="19"/>
      <c r="S3283" s="19"/>
    </row>
    <row r="3284" ht="15.75" customHeight="1">
      <c r="A3284" s="15">
        <v>45933.1490162037</v>
      </c>
      <c r="B3284" s="16" t="s">
        <v>8273</v>
      </c>
      <c r="C3284" s="16" t="s">
        <v>8035</v>
      </c>
      <c r="D3284" s="16" t="s">
        <v>8274</v>
      </c>
      <c r="E3284" s="16" t="s">
        <v>8275</v>
      </c>
      <c r="F3284" s="16"/>
      <c r="G3284" s="16"/>
      <c r="H3284" s="18"/>
      <c r="I3284" s="18"/>
      <c r="J3284" s="18"/>
      <c r="K3284" s="18"/>
      <c r="L3284" s="18"/>
      <c r="M3284" s="18"/>
      <c r="N3284" s="18"/>
      <c r="O3284" s="18"/>
      <c r="P3284" s="18"/>
      <c r="Q3284" s="19"/>
      <c r="R3284" s="19"/>
      <c r="S3284" s="19"/>
    </row>
    <row r="3285" ht="15.75" customHeight="1">
      <c r="A3285" s="15">
        <v>45933.44939814815</v>
      </c>
      <c r="B3285" s="16" t="s">
        <v>8063</v>
      </c>
      <c r="C3285" s="16" t="s">
        <v>8035</v>
      </c>
      <c r="D3285" s="16" t="s">
        <v>8276</v>
      </c>
      <c r="E3285" s="16" t="s">
        <v>7977</v>
      </c>
      <c r="F3285" s="16"/>
      <c r="G3285" s="16"/>
      <c r="H3285" s="18"/>
      <c r="I3285" s="18"/>
      <c r="J3285" s="18"/>
      <c r="K3285" s="18"/>
      <c r="L3285" s="18"/>
      <c r="M3285" s="18"/>
      <c r="N3285" s="18"/>
      <c r="O3285" s="18"/>
      <c r="P3285" s="18"/>
      <c r="Q3285" s="19"/>
      <c r="R3285" s="19"/>
      <c r="S3285" s="19"/>
    </row>
    <row r="3286" ht="15.75" customHeight="1">
      <c r="A3286" s="15">
        <v>45933.65755787037</v>
      </c>
      <c r="B3286" s="16" t="s">
        <v>7978</v>
      </c>
      <c r="C3286" s="16" t="s">
        <v>8035</v>
      </c>
      <c r="D3286" s="16" t="s">
        <v>8219</v>
      </c>
      <c r="E3286" s="16" t="s">
        <v>7977</v>
      </c>
      <c r="F3286" s="16"/>
      <c r="G3286" s="16"/>
      <c r="H3286" s="18"/>
      <c r="I3286" s="18"/>
      <c r="J3286" s="18"/>
      <c r="K3286" s="18"/>
      <c r="L3286" s="18"/>
      <c r="M3286" s="18"/>
      <c r="N3286" s="18"/>
      <c r="O3286" s="18"/>
      <c r="P3286" s="18"/>
      <c r="Q3286" s="19"/>
      <c r="R3286" s="19"/>
      <c r="S3286" s="19"/>
    </row>
    <row r="3287" ht="15.75" customHeight="1">
      <c r="A3287" s="15">
        <v>45934.13222222222</v>
      </c>
      <c r="B3287" s="16" t="s">
        <v>8277</v>
      </c>
      <c r="C3287" s="16" t="s">
        <v>8035</v>
      </c>
      <c r="D3287" s="16" t="s">
        <v>8278</v>
      </c>
      <c r="E3287" s="16" t="s">
        <v>8279</v>
      </c>
      <c r="F3287" s="16"/>
      <c r="G3287" s="16"/>
      <c r="H3287" s="18"/>
      <c r="I3287" s="18"/>
      <c r="J3287" s="18"/>
      <c r="K3287" s="18"/>
      <c r="L3287" s="18"/>
      <c r="M3287" s="18"/>
      <c r="N3287" s="18"/>
      <c r="O3287" s="18"/>
      <c r="P3287" s="18"/>
      <c r="Q3287" s="19"/>
      <c r="R3287" s="19"/>
      <c r="S3287" s="19"/>
    </row>
    <row r="3288" ht="15.75" customHeight="1">
      <c r="A3288" s="15">
        <v>45935.6327662037</v>
      </c>
      <c r="B3288" s="16" t="s">
        <v>8280</v>
      </c>
      <c r="C3288" s="16" t="s">
        <v>8035</v>
      </c>
      <c r="D3288" s="16" t="s">
        <v>8281</v>
      </c>
      <c r="E3288" s="16" t="s">
        <v>8282</v>
      </c>
      <c r="F3288" s="16"/>
      <c r="G3288" s="16"/>
      <c r="H3288" s="18"/>
      <c r="I3288" s="18"/>
      <c r="J3288" s="18"/>
      <c r="K3288" s="18"/>
      <c r="L3288" s="18"/>
      <c r="M3288" s="18"/>
      <c r="N3288" s="18"/>
      <c r="O3288" s="18"/>
      <c r="P3288" s="18"/>
      <c r="Q3288" s="19"/>
      <c r="R3288" s="19"/>
      <c r="S3288" s="19"/>
    </row>
    <row r="3289" ht="15.75" customHeight="1">
      <c r="A3289" s="15">
        <v>45937.419953703706</v>
      </c>
      <c r="B3289" s="16" t="s">
        <v>8283</v>
      </c>
      <c r="C3289" s="16" t="s">
        <v>8035</v>
      </c>
      <c r="D3289" s="16" t="s">
        <v>8284</v>
      </c>
      <c r="E3289" s="16" t="s">
        <v>8285</v>
      </c>
      <c r="F3289" s="16"/>
      <c r="G3289" s="16"/>
      <c r="H3289" s="18"/>
      <c r="I3289" s="18"/>
      <c r="J3289" s="18"/>
      <c r="K3289" s="18"/>
      <c r="L3289" s="18"/>
      <c r="M3289" s="18"/>
      <c r="N3289" s="18"/>
      <c r="O3289" s="18"/>
      <c r="P3289" s="18"/>
      <c r="Q3289" s="19"/>
      <c r="R3289" s="19"/>
      <c r="S3289" s="19"/>
    </row>
    <row r="3290" ht="15.75" customHeight="1">
      <c r="A3290" s="15">
        <v>45937.84458333333</v>
      </c>
      <c r="B3290" s="16" t="s">
        <v>8067</v>
      </c>
      <c r="C3290" s="16" t="s">
        <v>8035</v>
      </c>
      <c r="D3290" s="16" t="s">
        <v>8286</v>
      </c>
      <c r="E3290" s="16" t="s">
        <v>8287</v>
      </c>
      <c r="F3290" s="16"/>
      <c r="G3290" s="16"/>
      <c r="H3290" s="18"/>
      <c r="I3290" s="18"/>
      <c r="J3290" s="18"/>
      <c r="K3290" s="18"/>
      <c r="L3290" s="18"/>
      <c r="M3290" s="18"/>
      <c r="N3290" s="18"/>
      <c r="O3290" s="18"/>
      <c r="P3290" s="18"/>
      <c r="Q3290" s="19"/>
      <c r="R3290" s="19"/>
      <c r="S3290" s="19"/>
    </row>
    <row r="3291" ht="15.75" customHeight="1">
      <c r="A3291" s="15">
        <v>45939.68298611111</v>
      </c>
      <c r="B3291" s="16" t="s">
        <v>8241</v>
      </c>
      <c r="C3291" s="16" t="s">
        <v>8035</v>
      </c>
      <c r="D3291" s="20" t="str">
        <f>?utf-8?B?TGFicy9TcGFjZXMgaWRlYXM6IE1hcmtldCByZXBvcnRzIGFuZCBwcm9zcGVjdCByZXNlYXJjaA==?=</f>
        <v>#ERROR!</v>
      </c>
      <c r="E3291" s="16" t="s">
        <v>8272</v>
      </c>
      <c r="F3291" s="16"/>
      <c r="G3291" s="16"/>
      <c r="H3291" s="18"/>
      <c r="I3291" s="18"/>
      <c r="J3291" s="18"/>
      <c r="K3291" s="18"/>
      <c r="L3291" s="18"/>
      <c r="M3291" s="18"/>
      <c r="N3291" s="18"/>
      <c r="O3291" s="18"/>
      <c r="P3291" s="18"/>
      <c r="Q3291" s="19"/>
      <c r="R3291" s="19"/>
      <c r="S3291" s="19"/>
    </row>
    <row r="3292" ht="15.75" customHeight="1">
      <c r="A3292" s="15">
        <v>45940.15723379629</v>
      </c>
      <c r="B3292" s="16" t="s">
        <v>8067</v>
      </c>
      <c r="C3292" s="16" t="s">
        <v>8035</v>
      </c>
      <c r="D3292" s="16" t="s">
        <v>8288</v>
      </c>
      <c r="E3292" s="16" t="s">
        <v>8289</v>
      </c>
      <c r="F3292" s="16"/>
      <c r="G3292" s="16"/>
      <c r="H3292" s="18"/>
      <c r="I3292" s="18"/>
      <c r="J3292" s="18"/>
      <c r="K3292" s="18"/>
      <c r="L3292" s="18"/>
      <c r="M3292" s="18"/>
      <c r="N3292" s="18"/>
      <c r="O3292" s="18"/>
      <c r="P3292" s="18"/>
      <c r="Q3292" s="19"/>
      <c r="R3292" s="19"/>
      <c r="S3292" s="19"/>
    </row>
    <row r="3293" ht="15.75" customHeight="1">
      <c r="A3293" s="15">
        <v>45941.16207175926</v>
      </c>
      <c r="B3293" s="16" t="s">
        <v>8290</v>
      </c>
      <c r="C3293" s="16" t="s">
        <v>8035</v>
      </c>
      <c r="D3293" s="16" t="s">
        <v>8291</v>
      </c>
      <c r="E3293" s="16" t="s">
        <v>8292</v>
      </c>
      <c r="F3293" s="16"/>
      <c r="G3293" s="16"/>
      <c r="H3293" s="18"/>
      <c r="I3293" s="18"/>
      <c r="J3293" s="18"/>
      <c r="K3293" s="18"/>
      <c r="L3293" s="18"/>
      <c r="M3293" s="18"/>
      <c r="N3293" s="18"/>
      <c r="O3293" s="18"/>
      <c r="P3293" s="18"/>
      <c r="Q3293" s="19"/>
      <c r="R3293" s="19"/>
      <c r="S3293" s="19"/>
    </row>
    <row r="3294" ht="15.75" customHeight="1">
      <c r="A3294" s="15">
        <v>45941.162083333336</v>
      </c>
      <c r="B3294" s="16" t="s">
        <v>8290</v>
      </c>
      <c r="C3294" s="16" t="s">
        <v>8035</v>
      </c>
      <c r="D3294" s="16" t="s">
        <v>8291</v>
      </c>
      <c r="E3294" s="16" t="s">
        <v>8292</v>
      </c>
      <c r="F3294" s="16"/>
      <c r="G3294" s="16"/>
      <c r="H3294" s="18"/>
      <c r="I3294" s="18"/>
      <c r="J3294" s="18"/>
      <c r="K3294" s="18"/>
      <c r="L3294" s="18"/>
      <c r="M3294" s="18"/>
      <c r="N3294" s="18"/>
      <c r="O3294" s="18"/>
      <c r="P3294" s="18"/>
      <c r="Q3294" s="19"/>
      <c r="R3294" s="19"/>
      <c r="S3294" s="19"/>
    </row>
    <row r="3295" ht="15.75" customHeight="1">
      <c r="A3295" s="15">
        <v>45943.4525</v>
      </c>
      <c r="B3295" s="16" t="s">
        <v>7978</v>
      </c>
      <c r="C3295" s="16" t="s">
        <v>8035</v>
      </c>
      <c r="D3295" s="16" t="s">
        <v>6952</v>
      </c>
      <c r="E3295" s="16" t="s">
        <v>7977</v>
      </c>
      <c r="F3295" s="16"/>
      <c r="G3295" s="16"/>
      <c r="H3295" s="18"/>
      <c r="I3295" s="18"/>
      <c r="J3295" s="18"/>
      <c r="K3295" s="18"/>
      <c r="L3295" s="18"/>
      <c r="M3295" s="18"/>
      <c r="N3295" s="18"/>
      <c r="O3295" s="18"/>
      <c r="P3295" s="18"/>
      <c r="Q3295" s="19"/>
      <c r="R3295" s="19"/>
      <c r="S3295" s="19"/>
    </row>
    <row r="3296" ht="15.75" customHeight="1">
      <c r="A3296" s="15">
        <v>45943.64027777778</v>
      </c>
      <c r="B3296" s="16" t="s">
        <v>7984</v>
      </c>
      <c r="C3296" s="16" t="s">
        <v>8035</v>
      </c>
      <c r="D3296" s="16" t="s">
        <v>8149</v>
      </c>
      <c r="E3296" s="16" t="s">
        <v>7977</v>
      </c>
      <c r="F3296" s="16"/>
      <c r="G3296" s="16"/>
      <c r="H3296" s="18"/>
      <c r="I3296" s="18"/>
      <c r="J3296" s="18"/>
      <c r="K3296" s="18"/>
      <c r="L3296" s="18"/>
      <c r="M3296" s="18"/>
      <c r="N3296" s="18"/>
      <c r="O3296" s="18"/>
      <c r="P3296" s="18"/>
      <c r="Q3296" s="19"/>
      <c r="R3296" s="19"/>
      <c r="S3296" s="19"/>
    </row>
    <row r="3297" ht="15.75" customHeight="1">
      <c r="A3297" s="15">
        <v>45944.64179398148</v>
      </c>
      <c r="B3297" s="16" t="s">
        <v>7897</v>
      </c>
      <c r="C3297" s="16" t="s">
        <v>8035</v>
      </c>
      <c r="D3297" s="16" t="s">
        <v>7937</v>
      </c>
      <c r="E3297" s="16" t="s">
        <v>8293</v>
      </c>
      <c r="F3297" s="16"/>
      <c r="G3297" s="16"/>
      <c r="H3297" s="18"/>
      <c r="I3297" s="18"/>
      <c r="J3297" s="18"/>
      <c r="K3297" s="18"/>
      <c r="L3297" s="18"/>
      <c r="M3297" s="18"/>
      <c r="N3297" s="18"/>
      <c r="O3297" s="18"/>
      <c r="P3297" s="18"/>
      <c r="Q3297" s="19"/>
      <c r="R3297" s="19"/>
      <c r="S3297" s="19"/>
    </row>
    <row r="3298" ht="15.75" customHeight="1">
      <c r="A3298" s="15">
        <v>45945.717199074075</v>
      </c>
      <c r="B3298" s="16" t="s">
        <v>7978</v>
      </c>
      <c r="C3298" s="16" t="s">
        <v>8035</v>
      </c>
      <c r="D3298" s="20" t="str">
        <f>?UTF-8?q?50%_off_your_next_3_orders_-_just_for_you_=F0=9F=91=80?=</f>
        <v>#ERROR!</v>
      </c>
      <c r="E3298" s="16" t="s">
        <v>7977</v>
      </c>
      <c r="F3298" s="16"/>
      <c r="G3298" s="16"/>
      <c r="H3298" s="18"/>
      <c r="I3298" s="18"/>
      <c r="J3298" s="18"/>
      <c r="K3298" s="18"/>
      <c r="L3298" s="18"/>
      <c r="M3298" s="18"/>
      <c r="N3298" s="18"/>
      <c r="O3298" s="18"/>
      <c r="P3298" s="18"/>
      <c r="Q3298" s="19"/>
      <c r="R3298" s="19"/>
      <c r="S3298" s="19"/>
    </row>
    <row r="3299" ht="15.75" customHeight="1">
      <c r="A3299" s="15">
        <v>45946.68300925926</v>
      </c>
      <c r="B3299" s="16" t="s">
        <v>8241</v>
      </c>
      <c r="C3299" s="16" t="s">
        <v>8035</v>
      </c>
      <c r="D3299" s="20" t="str">
        <f>?utf-8?B?TGFicy9TcGFjZXMgaWRlYXM6IEJ1c2luZXNzIGZpbmFuY2VzIGFuZCBzdGFydHVwIGFkdmlzb3I=?=</f>
        <v>#ERROR!</v>
      </c>
      <c r="E3299" s="16" t="s">
        <v>8272</v>
      </c>
      <c r="F3299" s="16"/>
      <c r="G3299" s="16"/>
      <c r="H3299" s="18"/>
      <c r="I3299" s="18"/>
      <c r="J3299" s="18"/>
      <c r="K3299" s="18"/>
      <c r="L3299" s="18"/>
      <c r="M3299" s="18"/>
      <c r="N3299" s="18"/>
      <c r="O3299" s="18"/>
      <c r="P3299" s="18"/>
      <c r="Q3299" s="19"/>
      <c r="R3299" s="19"/>
      <c r="S3299" s="19"/>
    </row>
    <row r="3300" ht="15.75" customHeight="1">
      <c r="A3300" s="15">
        <v>45947.581238425926</v>
      </c>
      <c r="B3300" s="16" t="s">
        <v>7978</v>
      </c>
      <c r="C3300" s="16" t="s">
        <v>8035</v>
      </c>
      <c r="D3300" s="16" t="s">
        <v>8219</v>
      </c>
      <c r="E3300" s="16" t="s">
        <v>7977</v>
      </c>
      <c r="F3300" s="16"/>
      <c r="G3300" s="16"/>
      <c r="H3300" s="18"/>
      <c r="I3300" s="18"/>
      <c r="J3300" s="18"/>
      <c r="K3300" s="18"/>
      <c r="L3300" s="18"/>
      <c r="M3300" s="18"/>
      <c r="N3300" s="18"/>
      <c r="O3300" s="18"/>
      <c r="P3300" s="18"/>
      <c r="Q3300" s="19"/>
      <c r="R3300" s="19"/>
      <c r="S3300" s="19"/>
    </row>
    <row r="3301" ht="15.75" customHeight="1">
      <c r="A3301" s="15">
        <v>45950.44898148148</v>
      </c>
      <c r="B3301" s="16" t="s">
        <v>7978</v>
      </c>
      <c r="C3301" s="16" t="s">
        <v>8035</v>
      </c>
      <c r="D3301" s="16" t="s">
        <v>6952</v>
      </c>
      <c r="E3301" s="16" t="s">
        <v>7977</v>
      </c>
      <c r="F3301" s="16"/>
      <c r="G3301" s="16"/>
      <c r="H3301" s="18"/>
      <c r="I3301" s="18"/>
      <c r="J3301" s="18"/>
      <c r="K3301" s="18"/>
      <c r="L3301" s="18"/>
      <c r="M3301" s="18"/>
      <c r="N3301" s="18"/>
      <c r="O3301" s="18"/>
      <c r="P3301" s="18"/>
      <c r="Q3301" s="19"/>
      <c r="R3301" s="19"/>
      <c r="S3301" s="19"/>
    </row>
    <row r="3302" ht="15.75" customHeight="1">
      <c r="A3302" s="15">
        <v>45951.0180787037</v>
      </c>
      <c r="B3302" s="16" t="s">
        <v>7978</v>
      </c>
      <c r="C3302" s="16" t="s">
        <v>8035</v>
      </c>
      <c r="D3302" s="20" t="str">
        <f>?UTF-8?q?50%_off_your_next_3_orders_-_just_for_you_=F0=9F=91=80?=</f>
        <v>#ERROR!</v>
      </c>
      <c r="E3302" s="16" t="s">
        <v>7977</v>
      </c>
      <c r="F3302" s="16"/>
      <c r="G3302" s="16"/>
      <c r="H3302" s="18"/>
      <c r="I3302" s="18"/>
      <c r="J3302" s="18"/>
      <c r="K3302" s="18"/>
      <c r="L3302" s="18"/>
      <c r="M3302" s="18"/>
      <c r="N3302" s="18"/>
      <c r="O3302" s="18"/>
      <c r="P3302" s="18"/>
      <c r="Q3302" s="19"/>
      <c r="R3302" s="19"/>
      <c r="S3302" s="19"/>
    </row>
    <row r="3303" ht="15.75" customHeight="1">
      <c r="A3303" s="15">
        <v>45938.01483796296</v>
      </c>
      <c r="B3303" s="16" t="s">
        <v>8294</v>
      </c>
      <c r="C3303" s="16" t="s">
        <v>8295</v>
      </c>
      <c r="D3303" s="16" t="s">
        <v>8296</v>
      </c>
      <c r="E3303" s="16" t="s">
        <v>8297</v>
      </c>
      <c r="F3303" s="16"/>
      <c r="G3303" s="16"/>
      <c r="H3303" s="18"/>
      <c r="I3303" s="18"/>
      <c r="J3303" s="18"/>
      <c r="K3303" s="18"/>
      <c r="L3303" s="18"/>
      <c r="M3303" s="18"/>
      <c r="N3303" s="18"/>
      <c r="O3303" s="18"/>
      <c r="P3303" s="18"/>
      <c r="Q3303" s="19"/>
      <c r="R3303" s="19"/>
      <c r="S3303" s="19"/>
    </row>
    <row r="3304" ht="15.75" customHeight="1">
      <c r="A3304" s="15">
        <v>45938.01484953704</v>
      </c>
      <c r="B3304" s="16" t="s">
        <v>8294</v>
      </c>
      <c r="C3304" s="16" t="s">
        <v>8295</v>
      </c>
      <c r="D3304" s="16" t="s">
        <v>8298</v>
      </c>
      <c r="E3304" s="16" t="s">
        <v>8299</v>
      </c>
      <c r="F3304" s="16"/>
      <c r="G3304" s="16"/>
      <c r="H3304" s="18"/>
      <c r="I3304" s="18"/>
      <c r="J3304" s="18"/>
      <c r="K3304" s="18"/>
      <c r="L3304" s="18"/>
      <c r="M3304" s="18"/>
      <c r="N3304" s="18"/>
      <c r="O3304" s="18"/>
      <c r="P3304" s="18"/>
      <c r="Q3304" s="19"/>
      <c r="R3304" s="19"/>
      <c r="S3304" s="19"/>
    </row>
    <row r="3305" ht="15.75" customHeight="1">
      <c r="A3305" s="15">
        <v>45938.018912037034</v>
      </c>
      <c r="B3305" s="16" t="s">
        <v>8294</v>
      </c>
      <c r="C3305" s="16" t="s">
        <v>8295</v>
      </c>
      <c r="D3305" s="16" t="s">
        <v>8296</v>
      </c>
      <c r="E3305" s="16" t="s">
        <v>8300</v>
      </c>
      <c r="F3305" s="16"/>
      <c r="G3305" s="16"/>
      <c r="H3305" s="18"/>
      <c r="I3305" s="18"/>
      <c r="J3305" s="18"/>
      <c r="K3305" s="18"/>
      <c r="L3305" s="18"/>
      <c r="M3305" s="18"/>
      <c r="N3305" s="18"/>
      <c r="O3305" s="18"/>
      <c r="P3305" s="18"/>
      <c r="Q3305" s="19"/>
      <c r="R3305" s="19"/>
      <c r="S3305" s="19"/>
    </row>
    <row r="3306" ht="15.75" customHeight="1">
      <c r="A3306" s="15">
        <v>45938.02119212963</v>
      </c>
      <c r="B3306" s="16" t="s">
        <v>8294</v>
      </c>
      <c r="C3306" s="16" t="s">
        <v>8295</v>
      </c>
      <c r="D3306" s="16" t="s">
        <v>8301</v>
      </c>
      <c r="E3306" s="16" t="s">
        <v>8302</v>
      </c>
      <c r="F3306" s="16"/>
      <c r="G3306" s="16"/>
      <c r="H3306" s="18"/>
      <c r="I3306" s="18"/>
      <c r="J3306" s="18"/>
      <c r="K3306" s="18"/>
      <c r="L3306" s="18"/>
      <c r="M3306" s="18"/>
      <c r="N3306" s="18"/>
      <c r="O3306" s="18"/>
      <c r="P3306" s="18"/>
      <c r="Q3306" s="19"/>
      <c r="R3306" s="19"/>
      <c r="S3306" s="19"/>
    </row>
    <row r="3307" ht="15.75" customHeight="1">
      <c r="A3307" s="15">
        <v>45671.473969907405</v>
      </c>
      <c r="B3307" s="16" t="s">
        <v>7483</v>
      </c>
      <c r="C3307" s="16" t="s">
        <v>8303</v>
      </c>
      <c r="D3307" s="16" t="s">
        <v>8304</v>
      </c>
      <c r="E3307" s="16" t="s">
        <v>8305</v>
      </c>
      <c r="F3307" s="16"/>
      <c r="G3307" s="16"/>
      <c r="H3307" s="18"/>
      <c r="I3307" s="18"/>
      <c r="J3307" s="18"/>
      <c r="K3307" s="18"/>
      <c r="L3307" s="18"/>
      <c r="M3307" s="18"/>
      <c r="N3307" s="18"/>
      <c r="O3307" s="18"/>
      <c r="P3307" s="18"/>
      <c r="Q3307" s="19"/>
      <c r="R3307" s="19"/>
      <c r="S3307" s="19"/>
    </row>
    <row r="3308" ht="15.75" customHeight="1">
      <c r="A3308" s="15">
        <v>45698.43877314815</v>
      </c>
      <c r="B3308" s="16" t="s">
        <v>6654</v>
      </c>
      <c r="C3308" s="16" t="s">
        <v>8303</v>
      </c>
      <c r="D3308" s="20" t="str">
        <f>IFERROR(__xludf.DUMMYFUNCTION("AI("""")"),"The full content of the message is not visible in the provided table snippet, making it impossible to generate an accurate summary.")</f>
        <v>The full content of the message is not visible in the provided table snippet, making it impossible to generate an accurate summary.</v>
      </c>
      <c r="E3308" s="16" t="s">
        <v>7419</v>
      </c>
      <c r="F3308" s="16"/>
      <c r="G3308" s="16"/>
      <c r="H3308" s="18"/>
      <c r="I3308" s="18"/>
      <c r="J3308" s="18"/>
      <c r="K3308" s="18"/>
      <c r="L3308" s="18"/>
      <c r="M3308" s="18"/>
      <c r="N3308" s="18"/>
      <c r="O3308" s="18"/>
      <c r="P3308" s="18"/>
      <c r="Q3308" s="19"/>
      <c r="R3308" s="19"/>
      <c r="S3308" s="19"/>
    </row>
    <row r="3309" ht="15.75" customHeight="1">
      <c r="A3309" s="15">
        <v>45899.89741898148</v>
      </c>
      <c r="B3309" s="16" t="s">
        <v>6591</v>
      </c>
      <c r="C3309" s="16" t="s">
        <v>8303</v>
      </c>
      <c r="D3309" s="16" t="s">
        <v>8306</v>
      </c>
      <c r="E3309" s="16" t="s">
        <v>8307</v>
      </c>
      <c r="F3309" s="16"/>
      <c r="G3309" s="16"/>
      <c r="H3309" s="18"/>
      <c r="I3309" s="18"/>
      <c r="J3309" s="18"/>
      <c r="K3309" s="18"/>
      <c r="L3309" s="18"/>
      <c r="M3309" s="18"/>
      <c r="N3309" s="18"/>
      <c r="O3309" s="18"/>
      <c r="P3309" s="18"/>
      <c r="Q3309" s="19"/>
      <c r="R3309" s="19"/>
      <c r="S3309" s="19"/>
    </row>
    <row r="3310" ht="15.75" customHeight="1">
      <c r="A3310" s="15">
        <v>45899.98291666667</v>
      </c>
      <c r="B3310" s="16" t="s">
        <v>6591</v>
      </c>
      <c r="C3310" s="16" t="s">
        <v>8303</v>
      </c>
      <c r="D3310" s="16" t="s">
        <v>8308</v>
      </c>
      <c r="E3310" s="16" t="s">
        <v>8309</v>
      </c>
      <c r="F3310" s="16"/>
      <c r="G3310" s="16"/>
      <c r="H3310" s="18"/>
      <c r="I3310" s="18"/>
      <c r="J3310" s="18"/>
      <c r="K3310" s="18"/>
      <c r="L3310" s="18"/>
      <c r="M3310" s="18"/>
      <c r="N3310" s="18"/>
      <c r="O3310" s="18"/>
      <c r="P3310" s="18"/>
      <c r="Q3310" s="19"/>
      <c r="R3310" s="19"/>
      <c r="S3310" s="19"/>
    </row>
    <row r="3311" ht="15.75" customHeight="1">
      <c r="A3311" s="15">
        <v>45926.338483796295</v>
      </c>
      <c r="B3311" s="16" t="s">
        <v>6591</v>
      </c>
      <c r="C3311" s="16" t="s">
        <v>8303</v>
      </c>
      <c r="D3311" s="16" t="s">
        <v>8310</v>
      </c>
      <c r="E3311" s="16" t="s">
        <v>7053</v>
      </c>
      <c r="F3311" s="16"/>
      <c r="G3311" s="16"/>
      <c r="H3311" s="18"/>
      <c r="I3311" s="18"/>
      <c r="J3311" s="18"/>
      <c r="K3311" s="18"/>
      <c r="L3311" s="18"/>
      <c r="M3311" s="18"/>
      <c r="N3311" s="18"/>
      <c r="O3311" s="18"/>
      <c r="P3311" s="18"/>
      <c r="Q3311" s="19"/>
      <c r="R3311" s="19"/>
      <c r="S3311" s="19"/>
    </row>
    <row r="3312" ht="15.75" customHeight="1">
      <c r="A3312" s="15">
        <v>45936.620891203704</v>
      </c>
      <c r="B3312" s="16" t="s">
        <v>6591</v>
      </c>
      <c r="C3312" s="16" t="s">
        <v>8303</v>
      </c>
      <c r="D3312" s="16" t="s">
        <v>8311</v>
      </c>
      <c r="E3312" s="16" t="s">
        <v>7053</v>
      </c>
      <c r="F3312" s="16"/>
      <c r="G3312" s="16"/>
      <c r="H3312" s="18"/>
      <c r="I3312" s="18"/>
      <c r="J3312" s="18"/>
      <c r="K3312" s="18"/>
      <c r="L3312" s="18"/>
      <c r="M3312" s="18"/>
      <c r="N3312" s="18"/>
      <c r="O3312" s="18"/>
      <c r="P3312" s="18"/>
      <c r="Q3312" s="19"/>
      <c r="R3312" s="19"/>
      <c r="S3312" s="19"/>
    </row>
    <row r="3313" ht="15.75" customHeight="1">
      <c r="A3313" s="15">
        <v>45903.59788194444</v>
      </c>
      <c r="B3313" s="16" t="s">
        <v>6591</v>
      </c>
      <c r="C3313" s="16" t="s">
        <v>8312</v>
      </c>
      <c r="D3313" s="16" t="s">
        <v>8313</v>
      </c>
      <c r="E3313" s="16" t="s">
        <v>7053</v>
      </c>
      <c r="F3313" s="16"/>
      <c r="G3313" s="16"/>
      <c r="H3313" s="18"/>
      <c r="I3313" s="18"/>
      <c r="J3313" s="18"/>
      <c r="K3313" s="18"/>
      <c r="L3313" s="18"/>
      <c r="M3313" s="18"/>
      <c r="N3313" s="18"/>
      <c r="O3313" s="18"/>
      <c r="P3313" s="18"/>
      <c r="Q3313" s="19"/>
      <c r="R3313" s="19"/>
      <c r="S3313" s="19"/>
    </row>
    <row r="3314" ht="15.75" customHeight="1">
      <c r="A3314" s="15">
        <v>45900.01614583333</v>
      </c>
      <c r="B3314" s="16" t="s">
        <v>6591</v>
      </c>
      <c r="C3314" s="16" t="s">
        <v>8314</v>
      </c>
      <c r="D3314" s="16" t="s">
        <v>8315</v>
      </c>
      <c r="E3314" s="16" t="s">
        <v>8316</v>
      </c>
      <c r="F3314" s="16"/>
      <c r="G3314" s="16"/>
      <c r="H3314" s="18"/>
      <c r="I3314" s="18"/>
      <c r="J3314" s="18"/>
      <c r="K3314" s="18"/>
      <c r="L3314" s="18"/>
      <c r="M3314" s="18"/>
      <c r="N3314" s="18"/>
      <c r="O3314" s="18"/>
      <c r="P3314" s="18"/>
      <c r="Q3314" s="19"/>
      <c r="R3314" s="19"/>
      <c r="S3314" s="19"/>
    </row>
    <row r="3315" ht="15.75" customHeight="1">
      <c r="A3315" s="21">
        <v>45615.0</v>
      </c>
      <c r="B3315" s="21"/>
      <c r="C3315" s="22" t="s">
        <v>8</v>
      </c>
      <c r="D3315" s="22" t="s">
        <v>9</v>
      </c>
      <c r="E3315" s="22" t="s">
        <v>10</v>
      </c>
      <c r="F3315" s="22" t="s">
        <v>11</v>
      </c>
      <c r="G3315" s="22" t="s">
        <v>12</v>
      </c>
      <c r="H3315" s="18"/>
      <c r="I3315" s="18"/>
      <c r="J3315" s="18"/>
      <c r="K3315" s="18"/>
      <c r="L3315" s="18"/>
      <c r="M3315" s="18"/>
      <c r="N3315" s="18"/>
      <c r="O3315" s="18"/>
      <c r="P3315" s="18"/>
      <c r="Q3315" s="19"/>
      <c r="R3315" s="19"/>
      <c r="S3315" s="19"/>
      <c r="T3315" s="18"/>
      <c r="U3315" s="18"/>
      <c r="V3315" s="18"/>
      <c r="W3315" s="18"/>
      <c r="X3315" s="18"/>
      <c r="Y3315" s="18"/>
      <c r="Z3315" s="18"/>
    </row>
    <row r="3316" ht="15.75" customHeight="1">
      <c r="A3316" s="23">
        <v>45820.0</v>
      </c>
      <c r="B3316" s="23"/>
      <c r="C3316" s="24" t="s">
        <v>7</v>
      </c>
      <c r="D3316" s="24" t="s">
        <v>9</v>
      </c>
      <c r="E3316" s="24" t="s">
        <v>8317</v>
      </c>
      <c r="F3316" s="24" t="s">
        <v>14</v>
      </c>
      <c r="G3316" s="24"/>
      <c r="H3316" s="18"/>
      <c r="I3316" s="18"/>
      <c r="J3316" s="18"/>
      <c r="K3316" s="18"/>
      <c r="L3316" s="18"/>
      <c r="M3316" s="18"/>
      <c r="N3316" s="18"/>
      <c r="O3316" s="18"/>
      <c r="P3316" s="18"/>
      <c r="Q3316" s="19"/>
      <c r="R3316" s="19"/>
      <c r="S3316" s="19"/>
      <c r="T3316" s="18"/>
      <c r="U3316" s="18"/>
      <c r="V3316" s="18"/>
      <c r="W3316" s="18"/>
      <c r="X3316" s="18"/>
      <c r="Y3316" s="18"/>
      <c r="Z3316" s="18"/>
    </row>
    <row r="3317" ht="15.75" customHeight="1">
      <c r="A3317" s="22" t="s">
        <v>15</v>
      </c>
      <c r="B3317" s="25"/>
      <c r="C3317" s="22" t="s">
        <v>8</v>
      </c>
      <c r="D3317" s="22" t="s">
        <v>9</v>
      </c>
      <c r="E3317" s="22" t="s">
        <v>16</v>
      </c>
      <c r="F3317" s="22" t="s">
        <v>17</v>
      </c>
      <c r="G3317" s="22"/>
      <c r="H3317" s="18"/>
      <c r="I3317" s="18"/>
      <c r="J3317" s="18"/>
      <c r="K3317" s="18"/>
      <c r="L3317" s="18"/>
      <c r="M3317" s="18"/>
      <c r="N3317" s="18"/>
      <c r="O3317" s="18"/>
      <c r="P3317" s="18"/>
      <c r="Q3317" s="19"/>
      <c r="R3317" s="19"/>
      <c r="S3317" s="19"/>
      <c r="T3317" s="18"/>
      <c r="U3317" s="18"/>
      <c r="V3317" s="18"/>
      <c r="W3317" s="18"/>
      <c r="X3317" s="18"/>
      <c r="Y3317" s="18"/>
      <c r="Z3317" s="18"/>
    </row>
    <row r="3318" ht="15.75" customHeight="1">
      <c r="A3318" s="24" t="s">
        <v>15</v>
      </c>
      <c r="B3318" s="26"/>
      <c r="C3318" s="24" t="s">
        <v>8</v>
      </c>
      <c r="D3318" s="24" t="s">
        <v>9</v>
      </c>
      <c r="E3318" s="24" t="s">
        <v>18</v>
      </c>
      <c r="F3318" s="24" t="s">
        <v>19</v>
      </c>
      <c r="G3318" s="24"/>
      <c r="H3318" s="18"/>
      <c r="I3318" s="18"/>
      <c r="J3318" s="18"/>
      <c r="K3318" s="18"/>
      <c r="L3318" s="18"/>
      <c r="M3318" s="18"/>
      <c r="N3318" s="18"/>
      <c r="O3318" s="18"/>
      <c r="P3318" s="18"/>
      <c r="Q3318" s="19"/>
      <c r="R3318" s="19"/>
      <c r="S3318" s="19"/>
      <c r="T3318" s="18"/>
      <c r="U3318" s="18"/>
      <c r="V3318" s="18"/>
      <c r="W3318" s="18"/>
      <c r="X3318" s="18"/>
      <c r="Y3318" s="18"/>
      <c r="Z3318" s="18"/>
    </row>
    <row r="3319" ht="15.75" customHeight="1">
      <c r="A3319" s="22" t="s">
        <v>15</v>
      </c>
      <c r="B3319" s="25"/>
      <c r="C3319" s="22" t="s">
        <v>7</v>
      </c>
      <c r="D3319" s="22" t="s">
        <v>9</v>
      </c>
      <c r="E3319" s="22" t="s">
        <v>20</v>
      </c>
      <c r="F3319" s="22" t="s">
        <v>21</v>
      </c>
      <c r="G3319" s="22"/>
      <c r="H3319" s="18"/>
      <c r="I3319" s="18"/>
      <c r="J3319" s="18"/>
      <c r="K3319" s="18"/>
      <c r="L3319" s="18"/>
      <c r="M3319" s="18"/>
      <c r="N3319" s="18"/>
      <c r="O3319" s="18"/>
      <c r="P3319" s="18"/>
      <c r="Q3319" s="19"/>
      <c r="R3319" s="19"/>
      <c r="S3319" s="19"/>
      <c r="T3319" s="18"/>
      <c r="U3319" s="18"/>
      <c r="V3319" s="18"/>
      <c r="W3319" s="18"/>
      <c r="X3319" s="18"/>
      <c r="Y3319" s="18"/>
      <c r="Z3319" s="18"/>
    </row>
    <row r="3320" ht="15.75" customHeight="1">
      <c r="A3320" s="24" t="s">
        <v>15</v>
      </c>
      <c r="B3320" s="26"/>
      <c r="C3320" s="24" t="s">
        <v>7</v>
      </c>
      <c r="D3320" s="24" t="s">
        <v>9</v>
      </c>
      <c r="E3320" s="24" t="s">
        <v>22</v>
      </c>
      <c r="F3320" s="24" t="s">
        <v>23</v>
      </c>
      <c r="G3320" s="24"/>
      <c r="H3320" s="18"/>
      <c r="I3320" s="18"/>
      <c r="J3320" s="18"/>
      <c r="K3320" s="18"/>
      <c r="L3320" s="18"/>
      <c r="M3320" s="18"/>
      <c r="N3320" s="18"/>
      <c r="O3320" s="18"/>
      <c r="P3320" s="18"/>
      <c r="Q3320" s="19"/>
      <c r="R3320" s="19"/>
      <c r="S3320" s="19"/>
      <c r="T3320" s="18"/>
      <c r="U3320" s="18"/>
      <c r="V3320" s="18"/>
      <c r="W3320" s="18"/>
      <c r="X3320" s="18"/>
      <c r="Y3320" s="18"/>
      <c r="Z3320" s="18"/>
    </row>
    <row r="3321" ht="15.75" customHeight="1">
      <c r="A3321" s="22" t="s">
        <v>15</v>
      </c>
      <c r="B3321" s="25"/>
      <c r="C3321" s="22" t="s">
        <v>8</v>
      </c>
      <c r="D3321" s="22" t="s">
        <v>9</v>
      </c>
      <c r="E3321" s="22" t="s">
        <v>24</v>
      </c>
      <c r="F3321" s="22" t="s">
        <v>25</v>
      </c>
      <c r="G3321" s="22"/>
      <c r="H3321" s="18"/>
      <c r="I3321" s="18"/>
      <c r="J3321" s="18"/>
      <c r="K3321" s="18"/>
      <c r="L3321" s="18"/>
      <c r="M3321" s="18"/>
      <c r="N3321" s="18"/>
      <c r="O3321" s="18"/>
      <c r="P3321" s="18"/>
      <c r="Q3321" s="19"/>
      <c r="R3321" s="19"/>
      <c r="S3321" s="19"/>
      <c r="T3321" s="18"/>
      <c r="U3321" s="18"/>
      <c r="V3321" s="18"/>
      <c r="W3321" s="18"/>
      <c r="X3321" s="18"/>
      <c r="Y3321" s="18"/>
      <c r="Z3321" s="18"/>
    </row>
    <row r="3322" ht="15.75" customHeight="1">
      <c r="A3322" s="24" t="s">
        <v>15</v>
      </c>
      <c r="B3322" s="26"/>
      <c r="C3322" s="24" t="s">
        <v>8</v>
      </c>
      <c r="D3322" s="24" t="s">
        <v>9</v>
      </c>
      <c r="E3322" s="24" t="s">
        <v>26</v>
      </c>
      <c r="F3322" s="24" t="s">
        <v>27</v>
      </c>
      <c r="G3322" s="24"/>
      <c r="H3322" s="18"/>
      <c r="I3322" s="18"/>
      <c r="J3322" s="18"/>
      <c r="K3322" s="18"/>
      <c r="L3322" s="18"/>
      <c r="M3322" s="18"/>
      <c r="N3322" s="18"/>
      <c r="O3322" s="18"/>
      <c r="P3322" s="18"/>
      <c r="Q3322" s="19"/>
      <c r="R3322" s="19"/>
      <c r="S3322" s="19"/>
      <c r="T3322" s="18"/>
      <c r="U3322" s="18"/>
      <c r="V3322" s="18"/>
      <c r="W3322" s="18"/>
      <c r="X3322" s="18"/>
      <c r="Y3322" s="18"/>
      <c r="Z3322" s="18"/>
    </row>
    <row r="3323" ht="15.75" customHeight="1">
      <c r="A3323" s="22" t="s">
        <v>15</v>
      </c>
      <c r="B3323" s="25"/>
      <c r="C3323" s="22" t="s">
        <v>7</v>
      </c>
      <c r="D3323" s="22" t="s">
        <v>9</v>
      </c>
      <c r="E3323" s="22" t="s">
        <v>28</v>
      </c>
      <c r="F3323" s="22" t="s">
        <v>29</v>
      </c>
      <c r="G3323" s="22"/>
      <c r="H3323" s="18"/>
      <c r="I3323" s="18"/>
      <c r="J3323" s="18"/>
      <c r="K3323" s="18"/>
      <c r="L3323" s="18"/>
      <c r="M3323" s="18"/>
      <c r="N3323" s="18"/>
      <c r="O3323" s="18"/>
      <c r="P3323" s="18"/>
      <c r="Q3323" s="19"/>
      <c r="R3323" s="19"/>
      <c r="S3323" s="19"/>
      <c r="T3323" s="18"/>
      <c r="U3323" s="18"/>
      <c r="V3323" s="18"/>
      <c r="W3323" s="18"/>
      <c r="X3323" s="18"/>
      <c r="Y3323" s="18"/>
      <c r="Z3323" s="18"/>
    </row>
    <row r="3324" ht="15.75" customHeight="1">
      <c r="A3324" s="24" t="s">
        <v>15</v>
      </c>
      <c r="B3324" s="26"/>
      <c r="C3324" s="24" t="s">
        <v>8</v>
      </c>
      <c r="D3324" s="24" t="s">
        <v>9</v>
      </c>
      <c r="E3324" s="24" t="s">
        <v>30</v>
      </c>
      <c r="F3324" s="24" t="s">
        <v>31</v>
      </c>
      <c r="G3324" s="24"/>
      <c r="H3324" s="18"/>
      <c r="I3324" s="18"/>
      <c r="J3324" s="18"/>
      <c r="K3324" s="18"/>
      <c r="L3324" s="18"/>
      <c r="M3324" s="18"/>
      <c r="N3324" s="18"/>
      <c r="O3324" s="18"/>
      <c r="P3324" s="18"/>
      <c r="Q3324" s="19"/>
      <c r="R3324" s="19"/>
      <c r="S3324" s="19"/>
      <c r="T3324" s="18"/>
      <c r="U3324" s="18"/>
      <c r="V3324" s="18"/>
      <c r="W3324" s="18"/>
      <c r="X3324" s="18"/>
      <c r="Y3324" s="18"/>
      <c r="Z3324" s="18"/>
    </row>
    <row r="3325" ht="15.75" customHeight="1">
      <c r="A3325" s="22" t="s">
        <v>15</v>
      </c>
      <c r="B3325" s="25"/>
      <c r="C3325" s="22" t="s">
        <v>7</v>
      </c>
      <c r="D3325" s="22" t="s">
        <v>9</v>
      </c>
      <c r="E3325" s="22" t="s">
        <v>32</v>
      </c>
      <c r="F3325" s="22" t="s">
        <v>33</v>
      </c>
      <c r="G3325" s="22"/>
      <c r="H3325" s="18"/>
      <c r="I3325" s="18"/>
      <c r="J3325" s="18"/>
      <c r="K3325" s="18"/>
      <c r="L3325" s="18"/>
      <c r="M3325" s="18"/>
      <c r="N3325" s="18"/>
      <c r="O3325" s="18"/>
      <c r="P3325" s="18"/>
      <c r="Q3325" s="19"/>
      <c r="R3325" s="19"/>
      <c r="S3325" s="19"/>
      <c r="T3325" s="18"/>
      <c r="U3325" s="18"/>
      <c r="V3325" s="18"/>
      <c r="W3325" s="18"/>
      <c r="X3325" s="18"/>
      <c r="Y3325" s="18"/>
      <c r="Z3325" s="18"/>
    </row>
    <row r="3326" ht="15.75" customHeight="1">
      <c r="A3326" s="27">
        <v>45629.84930555556</v>
      </c>
      <c r="B3326" s="27"/>
      <c r="C3326" s="24" t="s">
        <v>8</v>
      </c>
      <c r="D3326" s="24" t="s">
        <v>9</v>
      </c>
      <c r="E3326" s="24" t="s">
        <v>35</v>
      </c>
      <c r="F3326" s="24" t="s">
        <v>36</v>
      </c>
      <c r="G3326" s="24"/>
      <c r="H3326" s="18"/>
      <c r="I3326" s="18"/>
      <c r="J3326" s="18"/>
      <c r="K3326" s="18"/>
      <c r="L3326" s="18"/>
      <c r="M3326" s="18"/>
      <c r="N3326" s="18"/>
      <c r="O3326" s="18"/>
      <c r="P3326" s="18"/>
      <c r="Q3326" s="19"/>
      <c r="R3326" s="19"/>
      <c r="S3326" s="19"/>
      <c r="T3326" s="18"/>
      <c r="U3326" s="18"/>
      <c r="V3326" s="18"/>
      <c r="W3326" s="18"/>
      <c r="X3326" s="18"/>
      <c r="Y3326" s="18"/>
      <c r="Z3326" s="18"/>
    </row>
    <row r="3327" ht="15.75" customHeight="1">
      <c r="A3327" s="28">
        <v>45635.618055555555</v>
      </c>
      <c r="B3327" s="28"/>
      <c r="C3327" s="22" t="s">
        <v>8</v>
      </c>
      <c r="D3327" s="22" t="s">
        <v>9</v>
      </c>
      <c r="E3327" s="22" t="s">
        <v>37</v>
      </c>
      <c r="F3327" s="22" t="s">
        <v>38</v>
      </c>
      <c r="G3327" s="22"/>
      <c r="H3327" s="18"/>
      <c r="I3327" s="18"/>
      <c r="J3327" s="18"/>
      <c r="K3327" s="18"/>
      <c r="L3327" s="18"/>
      <c r="M3327" s="18"/>
      <c r="N3327" s="18"/>
      <c r="O3327" s="18"/>
      <c r="P3327" s="18"/>
      <c r="Q3327" s="19"/>
      <c r="R3327" s="19"/>
      <c r="S3327" s="19"/>
      <c r="T3327" s="18"/>
      <c r="U3327" s="18"/>
      <c r="V3327" s="18"/>
      <c r="W3327" s="18"/>
      <c r="X3327" s="18"/>
      <c r="Y3327" s="18"/>
      <c r="Z3327" s="18"/>
    </row>
    <row r="3328" ht="15.75" customHeight="1">
      <c r="A3328" s="27">
        <v>45635.618055555555</v>
      </c>
      <c r="B3328" s="27"/>
      <c r="C3328" s="24" t="s">
        <v>8</v>
      </c>
      <c r="D3328" s="24" t="s">
        <v>9</v>
      </c>
      <c r="E3328" s="24" t="s">
        <v>39</v>
      </c>
      <c r="F3328" s="24" t="s">
        <v>40</v>
      </c>
      <c r="G3328" s="24"/>
      <c r="H3328" s="18"/>
      <c r="I3328" s="18"/>
      <c r="J3328" s="18"/>
      <c r="K3328" s="18"/>
      <c r="L3328" s="18"/>
      <c r="M3328" s="18"/>
      <c r="N3328" s="18"/>
      <c r="O3328" s="18"/>
      <c r="P3328" s="18"/>
      <c r="Q3328" s="19"/>
      <c r="R3328" s="19"/>
      <c r="S3328" s="19"/>
      <c r="T3328" s="18"/>
      <c r="U3328" s="18"/>
      <c r="V3328" s="18"/>
      <c r="W3328" s="18"/>
      <c r="X3328" s="18"/>
      <c r="Y3328" s="18"/>
      <c r="Z3328" s="18"/>
    </row>
    <row r="3329" ht="15.75" customHeight="1">
      <c r="A3329" s="22" t="s">
        <v>41</v>
      </c>
      <c r="B3329" s="25"/>
      <c r="C3329" s="22" t="s">
        <v>7</v>
      </c>
      <c r="D3329" s="22" t="s">
        <v>9</v>
      </c>
      <c r="E3329" s="22" t="s">
        <v>42</v>
      </c>
      <c r="F3329" s="22" t="s">
        <v>43</v>
      </c>
      <c r="G3329" s="22"/>
      <c r="H3329" s="18"/>
      <c r="I3329" s="18"/>
      <c r="J3329" s="18"/>
      <c r="K3329" s="18"/>
      <c r="L3329" s="18"/>
      <c r="M3329" s="18"/>
      <c r="N3329" s="18"/>
      <c r="O3329" s="18"/>
      <c r="P3329" s="18"/>
      <c r="Q3329" s="19"/>
      <c r="R3329" s="19"/>
      <c r="S3329" s="19"/>
      <c r="T3329" s="18"/>
      <c r="U3329" s="18"/>
      <c r="V3329" s="18"/>
      <c r="W3329" s="18"/>
      <c r="X3329" s="18"/>
      <c r="Y3329" s="18"/>
      <c r="Z3329" s="18"/>
    </row>
    <row r="3330" ht="15.75" customHeight="1">
      <c r="A3330" s="24" t="s">
        <v>41</v>
      </c>
      <c r="B3330" s="26"/>
      <c r="C3330" s="24" t="s">
        <v>7</v>
      </c>
      <c r="D3330" s="24" t="s">
        <v>9</v>
      </c>
      <c r="E3330" s="24" t="s">
        <v>44</v>
      </c>
      <c r="F3330" s="24" t="s">
        <v>45</v>
      </c>
      <c r="G3330" s="24"/>
      <c r="H3330" s="18"/>
      <c r="I3330" s="18"/>
      <c r="J3330" s="18"/>
      <c r="K3330" s="18"/>
      <c r="L3330" s="18"/>
      <c r="M3330" s="18"/>
      <c r="N3330" s="18"/>
      <c r="O3330" s="18"/>
      <c r="P3330" s="18"/>
      <c r="Q3330" s="19"/>
      <c r="R3330" s="19"/>
      <c r="S3330" s="19"/>
      <c r="T3330" s="18"/>
      <c r="U3330" s="18"/>
      <c r="V3330" s="18"/>
      <c r="W3330" s="18"/>
      <c r="X3330" s="18"/>
      <c r="Y3330" s="18"/>
      <c r="Z3330" s="18"/>
    </row>
    <row r="3331" ht="15.75" customHeight="1">
      <c r="A3331" s="22" t="s">
        <v>41</v>
      </c>
      <c r="B3331" s="25"/>
      <c r="C3331" s="22" t="s">
        <v>8</v>
      </c>
      <c r="D3331" s="22" t="s">
        <v>9</v>
      </c>
      <c r="E3331" s="22" t="s">
        <v>46</v>
      </c>
      <c r="F3331" s="22" t="s">
        <v>47</v>
      </c>
      <c r="G3331" s="22"/>
      <c r="H3331" s="18"/>
      <c r="I3331" s="18"/>
      <c r="J3331" s="18"/>
      <c r="K3331" s="18"/>
      <c r="L3331" s="18"/>
      <c r="M3331" s="18"/>
      <c r="N3331" s="18"/>
      <c r="O3331" s="18"/>
      <c r="P3331" s="18"/>
      <c r="Q3331" s="19"/>
      <c r="R3331" s="19"/>
      <c r="S3331" s="19"/>
      <c r="T3331" s="18"/>
      <c r="U3331" s="18"/>
      <c r="V3331" s="18"/>
      <c r="W3331" s="18"/>
      <c r="X3331" s="18"/>
      <c r="Y3331" s="18"/>
      <c r="Z3331" s="18"/>
    </row>
    <row r="3332" ht="15.75" customHeight="1">
      <c r="A3332" s="24" t="s">
        <v>15</v>
      </c>
      <c r="B3332" s="26"/>
      <c r="C3332" s="24" t="s">
        <v>8</v>
      </c>
      <c r="D3332" s="24" t="s">
        <v>9</v>
      </c>
      <c r="E3332" s="24" t="s">
        <v>48</v>
      </c>
      <c r="F3332" s="24" t="s">
        <v>49</v>
      </c>
      <c r="G3332" s="24"/>
      <c r="H3332" s="18"/>
      <c r="I3332" s="18"/>
      <c r="J3332" s="18"/>
      <c r="K3332" s="18"/>
      <c r="L3332" s="18"/>
      <c r="M3332" s="18"/>
      <c r="N3332" s="18"/>
      <c r="O3332" s="18"/>
      <c r="P3332" s="18"/>
      <c r="Q3332" s="19"/>
      <c r="R3332" s="19"/>
      <c r="S3332" s="19"/>
      <c r="T3332" s="18"/>
      <c r="U3332" s="18"/>
      <c r="V3332" s="18"/>
      <c r="W3332" s="18"/>
      <c r="X3332" s="18"/>
      <c r="Y3332" s="18"/>
      <c r="Z3332" s="18"/>
    </row>
    <row r="3333" ht="15.75" customHeight="1">
      <c r="A3333" s="22" t="s">
        <v>15</v>
      </c>
      <c r="B3333" s="25"/>
      <c r="C3333" s="22" t="s">
        <v>7</v>
      </c>
      <c r="D3333" s="22" t="s">
        <v>9</v>
      </c>
      <c r="E3333" s="22" t="s">
        <v>50</v>
      </c>
      <c r="F3333" s="22" t="s">
        <v>51</v>
      </c>
      <c r="G3333" s="22"/>
      <c r="H3333" s="18"/>
      <c r="I3333" s="18"/>
      <c r="J3333" s="18"/>
      <c r="K3333" s="18"/>
      <c r="L3333" s="18"/>
      <c r="M3333" s="18"/>
      <c r="N3333" s="18"/>
      <c r="O3333" s="18"/>
      <c r="P3333" s="18"/>
      <c r="Q3333" s="19"/>
      <c r="R3333" s="19"/>
      <c r="S3333" s="19"/>
      <c r="T3333" s="18"/>
      <c r="U3333" s="18"/>
      <c r="V3333" s="18"/>
      <c r="W3333" s="18"/>
      <c r="X3333" s="18"/>
      <c r="Y3333" s="18"/>
      <c r="Z3333" s="18"/>
    </row>
    <row r="3334" ht="15.75" customHeight="1">
      <c r="A3334" s="24" t="s">
        <v>15</v>
      </c>
      <c r="B3334" s="26"/>
      <c r="C3334" s="24" t="s">
        <v>8</v>
      </c>
      <c r="D3334" s="24" t="s">
        <v>9</v>
      </c>
      <c r="E3334" s="24" t="s">
        <v>52</v>
      </c>
      <c r="F3334" s="24" t="s">
        <v>53</v>
      </c>
      <c r="G3334" s="24"/>
      <c r="H3334" s="18"/>
      <c r="I3334" s="18"/>
      <c r="J3334" s="18"/>
      <c r="K3334" s="18"/>
      <c r="L3334" s="18"/>
      <c r="M3334" s="18"/>
      <c r="N3334" s="18"/>
      <c r="O3334" s="18"/>
      <c r="P3334" s="18"/>
      <c r="Q3334" s="19"/>
      <c r="R3334" s="19"/>
      <c r="S3334" s="19"/>
      <c r="T3334" s="18"/>
      <c r="U3334" s="18"/>
      <c r="V3334" s="18"/>
      <c r="W3334" s="18"/>
      <c r="X3334" s="18"/>
      <c r="Y3334" s="18"/>
      <c r="Z3334" s="18"/>
    </row>
    <row r="3335" ht="15.75" customHeight="1">
      <c r="A3335" s="28">
        <v>45617.308333333334</v>
      </c>
      <c r="B3335" s="28"/>
      <c r="C3335" s="22" t="s">
        <v>7</v>
      </c>
      <c r="D3335" s="22" t="s">
        <v>9</v>
      </c>
      <c r="E3335" s="22" t="s">
        <v>54</v>
      </c>
      <c r="F3335" s="22" t="s">
        <v>55</v>
      </c>
      <c r="G3335" s="22"/>
      <c r="H3335" s="18"/>
      <c r="I3335" s="18"/>
      <c r="J3335" s="18"/>
      <c r="K3335" s="18"/>
      <c r="L3335" s="18"/>
      <c r="M3335" s="18"/>
      <c r="N3335" s="18"/>
      <c r="O3335" s="18"/>
      <c r="P3335" s="18"/>
      <c r="Q3335" s="19"/>
      <c r="R3335" s="19"/>
      <c r="S3335" s="19"/>
      <c r="T3335" s="18"/>
      <c r="U3335" s="18"/>
      <c r="V3335" s="18"/>
      <c r="W3335" s="18"/>
      <c r="X3335" s="18"/>
      <c r="Y3335" s="18"/>
      <c r="Z3335" s="18"/>
    </row>
    <row r="3336" ht="15.75" customHeight="1">
      <c r="A3336" s="27">
        <v>45617.308333333334</v>
      </c>
      <c r="B3336" s="27"/>
      <c r="C3336" s="24" t="s">
        <v>8</v>
      </c>
      <c r="D3336" s="24" t="s">
        <v>9</v>
      </c>
      <c r="E3336" s="24" t="s">
        <v>56</v>
      </c>
      <c r="F3336" s="24" t="s">
        <v>57</v>
      </c>
      <c r="G3336" s="24"/>
      <c r="H3336" s="18"/>
      <c r="I3336" s="18"/>
      <c r="J3336" s="18"/>
      <c r="K3336" s="18"/>
      <c r="L3336" s="18"/>
      <c r="M3336" s="18"/>
      <c r="N3336" s="18"/>
      <c r="O3336" s="18"/>
      <c r="P3336" s="18"/>
      <c r="Q3336" s="19"/>
      <c r="R3336" s="19"/>
      <c r="S3336" s="19"/>
      <c r="T3336" s="18"/>
      <c r="U3336" s="18"/>
      <c r="V3336" s="18"/>
      <c r="W3336" s="18"/>
      <c r="X3336" s="18"/>
      <c r="Y3336" s="18"/>
      <c r="Z3336" s="18"/>
    </row>
    <row r="3337" ht="15.75" customHeight="1">
      <c r="A3337" s="28">
        <v>45617.308333333334</v>
      </c>
      <c r="B3337" s="28"/>
      <c r="C3337" s="22" t="s">
        <v>7</v>
      </c>
      <c r="D3337" s="22" t="s">
        <v>9</v>
      </c>
      <c r="E3337" s="22" t="s">
        <v>58</v>
      </c>
      <c r="F3337" s="22" t="s">
        <v>59</v>
      </c>
      <c r="G3337" s="22"/>
      <c r="H3337" s="18"/>
      <c r="I3337" s="18"/>
      <c r="J3337" s="18"/>
      <c r="K3337" s="18"/>
      <c r="L3337" s="18"/>
      <c r="M3337" s="18"/>
      <c r="N3337" s="18"/>
      <c r="O3337" s="18"/>
      <c r="P3337" s="18"/>
      <c r="Q3337" s="19"/>
      <c r="R3337" s="19"/>
      <c r="S3337" s="19"/>
      <c r="T3337" s="18"/>
      <c r="U3337" s="18"/>
      <c r="V3337" s="18"/>
      <c r="W3337" s="18"/>
      <c r="X3337" s="18"/>
      <c r="Y3337" s="18"/>
      <c r="Z3337" s="18"/>
    </row>
    <row r="3338" ht="15.75" customHeight="1">
      <c r="A3338" s="27">
        <v>45618.413194444445</v>
      </c>
      <c r="B3338" s="27"/>
      <c r="C3338" s="24" t="s">
        <v>7</v>
      </c>
      <c r="D3338" s="24" t="s">
        <v>9</v>
      </c>
      <c r="E3338" s="24" t="s">
        <v>60</v>
      </c>
      <c r="F3338" s="24" t="s">
        <v>61</v>
      </c>
      <c r="G3338" s="24"/>
      <c r="H3338" s="18"/>
      <c r="I3338" s="18"/>
      <c r="J3338" s="18"/>
      <c r="K3338" s="18"/>
      <c r="L3338" s="18"/>
      <c r="M3338" s="18"/>
      <c r="N3338" s="18"/>
      <c r="O3338" s="18"/>
      <c r="P3338" s="18"/>
      <c r="Q3338" s="19"/>
      <c r="R3338" s="19"/>
      <c r="S3338" s="19"/>
      <c r="T3338" s="18"/>
      <c r="U3338" s="18"/>
      <c r="V3338" s="18"/>
      <c r="W3338" s="18"/>
      <c r="X3338" s="18"/>
      <c r="Y3338" s="18"/>
      <c r="Z3338" s="18"/>
    </row>
    <row r="3339" ht="15.75" customHeight="1">
      <c r="A3339" s="22" t="s">
        <v>15</v>
      </c>
      <c r="B3339" s="25"/>
      <c r="C3339" s="22" t="s">
        <v>8</v>
      </c>
      <c r="D3339" s="22" t="s">
        <v>9</v>
      </c>
      <c r="E3339" s="22" t="s">
        <v>62</v>
      </c>
      <c r="F3339" s="22" t="s">
        <v>63</v>
      </c>
      <c r="G3339" s="22"/>
      <c r="H3339" s="18"/>
      <c r="I3339" s="18"/>
      <c r="J3339" s="18"/>
      <c r="K3339" s="18"/>
      <c r="L3339" s="18"/>
      <c r="M3339" s="18"/>
      <c r="N3339" s="18"/>
      <c r="O3339" s="18"/>
      <c r="P3339" s="18"/>
      <c r="Q3339" s="19"/>
      <c r="R3339" s="19"/>
      <c r="S3339" s="19"/>
      <c r="T3339" s="18"/>
      <c r="U3339" s="18"/>
      <c r="V3339" s="18"/>
      <c r="W3339" s="18"/>
      <c r="X3339" s="18"/>
      <c r="Y3339" s="18"/>
      <c r="Z3339" s="18"/>
    </row>
    <row r="3340" ht="15.75" customHeight="1">
      <c r="A3340" s="24" t="s">
        <v>15</v>
      </c>
      <c r="B3340" s="26"/>
      <c r="C3340" s="24" t="s">
        <v>8</v>
      </c>
      <c r="D3340" s="24" t="s">
        <v>9</v>
      </c>
      <c r="E3340" s="24" t="s">
        <v>64</v>
      </c>
      <c r="F3340" s="24" t="s">
        <v>65</v>
      </c>
      <c r="G3340" s="24"/>
      <c r="H3340" s="18"/>
      <c r="I3340" s="18"/>
      <c r="J3340" s="18"/>
      <c r="K3340" s="18"/>
      <c r="L3340" s="18"/>
      <c r="M3340" s="18"/>
      <c r="N3340" s="18"/>
      <c r="O3340" s="18"/>
      <c r="P3340" s="18"/>
      <c r="Q3340" s="19"/>
      <c r="R3340" s="19"/>
      <c r="S3340" s="19"/>
      <c r="T3340" s="18"/>
      <c r="U3340" s="18"/>
      <c r="V3340" s="18"/>
      <c r="W3340" s="18"/>
      <c r="X3340" s="18"/>
      <c r="Y3340" s="18"/>
      <c r="Z3340" s="18"/>
    </row>
    <row r="3341" ht="15.75" customHeight="1">
      <c r="A3341" s="22" t="s">
        <v>15</v>
      </c>
      <c r="B3341" s="25"/>
      <c r="C3341" s="22" t="s">
        <v>8</v>
      </c>
      <c r="D3341" s="22" t="s">
        <v>9</v>
      </c>
      <c r="E3341" s="22" t="s">
        <v>66</v>
      </c>
      <c r="F3341" s="22" t="s">
        <v>67</v>
      </c>
      <c r="G3341" s="22"/>
      <c r="H3341" s="18"/>
      <c r="I3341" s="18"/>
      <c r="J3341" s="18"/>
      <c r="K3341" s="18"/>
      <c r="L3341" s="18"/>
      <c r="M3341" s="18"/>
      <c r="N3341" s="18"/>
      <c r="O3341" s="18"/>
      <c r="P3341" s="18"/>
      <c r="Q3341" s="19"/>
      <c r="R3341" s="19"/>
      <c r="S3341" s="19"/>
      <c r="T3341" s="18"/>
      <c r="U3341" s="18"/>
      <c r="V3341" s="18"/>
      <c r="W3341" s="18"/>
      <c r="X3341" s="18"/>
      <c r="Y3341" s="18"/>
      <c r="Z3341" s="18"/>
    </row>
    <row r="3342" ht="15.75" customHeight="1">
      <c r="A3342" s="27">
        <v>45567.79027777778</v>
      </c>
      <c r="B3342" s="27"/>
      <c r="C3342" s="24" t="s">
        <v>7</v>
      </c>
      <c r="D3342" s="24" t="s">
        <v>9</v>
      </c>
      <c r="E3342" s="24" t="s">
        <v>68</v>
      </c>
      <c r="F3342" s="24" t="s">
        <v>69</v>
      </c>
      <c r="G3342" s="24"/>
      <c r="H3342" s="18"/>
      <c r="I3342" s="18"/>
      <c r="J3342" s="18"/>
      <c r="K3342" s="18"/>
      <c r="L3342" s="18"/>
      <c r="M3342" s="18"/>
      <c r="N3342" s="18"/>
      <c r="O3342" s="18"/>
      <c r="P3342" s="18"/>
      <c r="Q3342" s="19"/>
      <c r="R3342" s="19"/>
      <c r="S3342" s="19"/>
      <c r="T3342" s="18"/>
      <c r="U3342" s="18"/>
      <c r="V3342" s="18"/>
      <c r="W3342" s="18"/>
      <c r="X3342" s="18"/>
      <c r="Y3342" s="18"/>
      <c r="Z3342" s="18"/>
    </row>
    <row r="3343" ht="15.75" customHeight="1">
      <c r="A3343" s="22" t="s">
        <v>15</v>
      </c>
      <c r="B3343" s="25"/>
      <c r="C3343" s="22" t="s">
        <v>8</v>
      </c>
      <c r="D3343" s="22" t="s">
        <v>9</v>
      </c>
      <c r="E3343" s="22" t="s">
        <v>70</v>
      </c>
      <c r="F3343" s="22" t="s">
        <v>71</v>
      </c>
      <c r="G3343" s="22"/>
      <c r="H3343" s="18"/>
      <c r="I3343" s="18"/>
      <c r="J3343" s="18"/>
      <c r="K3343" s="18"/>
      <c r="L3343" s="18"/>
      <c r="M3343" s="18"/>
      <c r="N3343" s="18"/>
      <c r="O3343" s="18"/>
      <c r="P3343" s="18"/>
      <c r="Q3343" s="19"/>
      <c r="R3343" s="19"/>
      <c r="S3343" s="19"/>
      <c r="T3343" s="18"/>
      <c r="U3343" s="18"/>
      <c r="V3343" s="18"/>
      <c r="W3343" s="18"/>
      <c r="X3343" s="18"/>
      <c r="Y3343" s="18"/>
      <c r="Z3343" s="18"/>
    </row>
    <row r="3344" ht="15.75" customHeight="1">
      <c r="A3344" s="24" t="s">
        <v>15</v>
      </c>
      <c r="B3344" s="26"/>
      <c r="C3344" s="24" t="s">
        <v>8</v>
      </c>
      <c r="D3344" s="24" t="s">
        <v>9</v>
      </c>
      <c r="E3344" s="24" t="s">
        <v>72</v>
      </c>
      <c r="F3344" s="24" t="s">
        <v>73</v>
      </c>
      <c r="G3344" s="24"/>
      <c r="H3344" s="18"/>
      <c r="I3344" s="18"/>
      <c r="J3344" s="18"/>
      <c r="K3344" s="18"/>
      <c r="L3344" s="18"/>
      <c r="M3344" s="18"/>
      <c r="N3344" s="18"/>
      <c r="O3344" s="18"/>
      <c r="P3344" s="18"/>
      <c r="Q3344" s="19"/>
      <c r="R3344" s="19"/>
      <c r="S3344" s="19"/>
      <c r="T3344" s="18"/>
      <c r="U3344" s="18"/>
      <c r="V3344" s="18"/>
      <c r="W3344" s="18"/>
      <c r="X3344" s="18"/>
      <c r="Y3344" s="18"/>
      <c r="Z3344" s="18"/>
    </row>
    <row r="3345" ht="15.75" customHeight="1">
      <c r="A3345" s="22" t="s">
        <v>74</v>
      </c>
      <c r="B3345" s="25"/>
      <c r="C3345" s="22" t="s">
        <v>8</v>
      </c>
      <c r="D3345" s="22" t="s">
        <v>76</v>
      </c>
      <c r="E3345" s="22" t="s">
        <v>77</v>
      </c>
      <c r="F3345" s="22" t="s">
        <v>78</v>
      </c>
      <c r="G3345" s="22"/>
      <c r="H3345" s="18"/>
      <c r="I3345" s="18"/>
      <c r="J3345" s="18"/>
      <c r="K3345" s="18"/>
      <c r="L3345" s="18"/>
      <c r="M3345" s="18"/>
      <c r="N3345" s="18"/>
      <c r="O3345" s="18"/>
      <c r="P3345" s="18"/>
      <c r="Q3345" s="19"/>
      <c r="R3345" s="19"/>
      <c r="S3345" s="19"/>
      <c r="T3345" s="18"/>
      <c r="U3345" s="18"/>
      <c r="V3345" s="18"/>
      <c r="W3345" s="18"/>
      <c r="X3345" s="18"/>
      <c r="Y3345" s="18"/>
      <c r="Z3345" s="18"/>
    </row>
    <row r="3346" ht="15.75" customHeight="1">
      <c r="A3346" s="24" t="s">
        <v>74</v>
      </c>
      <c r="B3346" s="26"/>
      <c r="C3346" s="24" t="s">
        <v>8</v>
      </c>
      <c r="D3346" s="24" t="s">
        <v>76</v>
      </c>
      <c r="E3346" s="24" t="s">
        <v>79</v>
      </c>
      <c r="F3346" s="24" t="s">
        <v>80</v>
      </c>
      <c r="G3346" s="24"/>
      <c r="H3346" s="18"/>
      <c r="I3346" s="18"/>
      <c r="J3346" s="18"/>
      <c r="K3346" s="18"/>
      <c r="L3346" s="18"/>
      <c r="M3346" s="18"/>
      <c r="N3346" s="18"/>
      <c r="O3346" s="18"/>
      <c r="P3346" s="18"/>
      <c r="Q3346" s="19"/>
      <c r="R3346" s="19"/>
      <c r="S3346" s="19"/>
      <c r="T3346" s="18"/>
      <c r="U3346" s="18"/>
      <c r="V3346" s="18"/>
      <c r="W3346" s="18"/>
      <c r="X3346" s="18"/>
      <c r="Y3346" s="18"/>
      <c r="Z3346" s="18"/>
    </row>
    <row r="3347" ht="15.75" customHeight="1">
      <c r="A3347" s="22" t="s">
        <v>74</v>
      </c>
      <c r="B3347" s="25"/>
      <c r="C3347" s="22" t="s">
        <v>81</v>
      </c>
      <c r="D3347" s="22" t="s">
        <v>76</v>
      </c>
      <c r="E3347" s="22" t="s">
        <v>82</v>
      </c>
      <c r="F3347" s="22" t="s">
        <v>83</v>
      </c>
      <c r="G3347" s="22"/>
      <c r="H3347" s="18"/>
      <c r="I3347" s="18"/>
      <c r="J3347" s="18"/>
      <c r="K3347" s="18"/>
      <c r="L3347" s="18"/>
      <c r="M3347" s="18"/>
      <c r="N3347" s="18"/>
      <c r="O3347" s="18"/>
      <c r="P3347" s="18"/>
      <c r="Q3347" s="19"/>
      <c r="R3347" s="19"/>
      <c r="S3347" s="19"/>
      <c r="T3347" s="18"/>
      <c r="U3347" s="18"/>
      <c r="V3347" s="18"/>
      <c r="W3347" s="18"/>
      <c r="X3347" s="18"/>
      <c r="Y3347" s="18"/>
      <c r="Z3347" s="18"/>
    </row>
    <row r="3348" ht="15.75" customHeight="1">
      <c r="A3348" s="23">
        <v>45813.0</v>
      </c>
      <c r="B3348" s="23"/>
      <c r="C3348" s="24" t="s">
        <v>8</v>
      </c>
      <c r="D3348" s="24" t="s">
        <v>84</v>
      </c>
      <c r="E3348" s="24" t="s">
        <v>85</v>
      </c>
      <c r="F3348" s="24" t="s">
        <v>86</v>
      </c>
      <c r="G3348" s="24"/>
      <c r="H3348" s="18"/>
      <c r="I3348" s="18"/>
      <c r="J3348" s="18"/>
      <c r="K3348" s="18"/>
      <c r="L3348" s="18"/>
      <c r="M3348" s="18"/>
      <c r="N3348" s="18"/>
      <c r="O3348" s="18"/>
      <c r="P3348" s="18"/>
      <c r="Q3348" s="19"/>
      <c r="R3348" s="19"/>
      <c r="S3348" s="19"/>
      <c r="T3348" s="18"/>
      <c r="U3348" s="18"/>
      <c r="V3348" s="18"/>
      <c r="W3348" s="18"/>
      <c r="X3348" s="18"/>
      <c r="Y3348" s="18"/>
      <c r="Z3348" s="18"/>
    </row>
    <row r="3349" ht="15.75" customHeight="1">
      <c r="A3349" s="22" t="s">
        <v>87</v>
      </c>
      <c r="B3349" s="25"/>
      <c r="C3349" s="22" t="s">
        <v>8</v>
      </c>
      <c r="D3349" s="22" t="s">
        <v>76</v>
      </c>
      <c r="E3349" s="22" t="s">
        <v>88</v>
      </c>
      <c r="F3349" s="22" t="s">
        <v>89</v>
      </c>
      <c r="G3349" s="22"/>
      <c r="H3349" s="18"/>
      <c r="I3349" s="18"/>
      <c r="J3349" s="18"/>
      <c r="K3349" s="18"/>
      <c r="L3349" s="18"/>
      <c r="M3349" s="18"/>
      <c r="N3349" s="18"/>
      <c r="O3349" s="18"/>
      <c r="P3349" s="18"/>
      <c r="Q3349" s="19"/>
      <c r="R3349" s="19"/>
      <c r="S3349" s="19"/>
      <c r="T3349" s="18"/>
      <c r="U3349" s="18"/>
      <c r="V3349" s="18"/>
      <c r="W3349" s="18"/>
      <c r="X3349" s="18"/>
      <c r="Y3349" s="18"/>
      <c r="Z3349" s="18"/>
    </row>
    <row r="3350" ht="15.75" customHeight="1">
      <c r="A3350" s="23">
        <v>45812.0</v>
      </c>
      <c r="B3350" s="23"/>
      <c r="C3350" s="24" t="s">
        <v>8</v>
      </c>
      <c r="D3350" s="24" t="s">
        <v>90</v>
      </c>
      <c r="E3350" s="24" t="s">
        <v>91</v>
      </c>
      <c r="F3350" s="24" t="s">
        <v>92</v>
      </c>
      <c r="G3350" s="24"/>
      <c r="H3350" s="18"/>
      <c r="I3350" s="18"/>
      <c r="J3350" s="18"/>
      <c r="K3350" s="18"/>
      <c r="L3350" s="18"/>
      <c r="M3350" s="18"/>
      <c r="N3350" s="18"/>
      <c r="O3350" s="18"/>
      <c r="P3350" s="18"/>
      <c r="Q3350" s="19"/>
      <c r="R3350" s="19"/>
      <c r="S3350" s="19"/>
      <c r="T3350" s="18"/>
      <c r="U3350" s="18"/>
      <c r="V3350" s="18"/>
      <c r="W3350" s="18"/>
      <c r="X3350" s="18"/>
      <c r="Y3350" s="18"/>
      <c r="Z3350" s="18"/>
    </row>
    <row r="3351" ht="15.75" customHeight="1">
      <c r="A3351" s="21">
        <v>45826.0</v>
      </c>
      <c r="B3351" s="21"/>
      <c r="C3351" s="22" t="s">
        <v>8</v>
      </c>
      <c r="D3351" s="22" t="s">
        <v>90</v>
      </c>
      <c r="E3351" s="22" t="s">
        <v>91</v>
      </c>
      <c r="F3351" s="22" t="s">
        <v>93</v>
      </c>
      <c r="G3351" s="22"/>
      <c r="H3351" s="18"/>
      <c r="I3351" s="18"/>
      <c r="J3351" s="18"/>
      <c r="K3351" s="18"/>
      <c r="L3351" s="18"/>
      <c r="M3351" s="18"/>
      <c r="N3351" s="18"/>
      <c r="O3351" s="18"/>
      <c r="P3351" s="18"/>
      <c r="Q3351" s="19"/>
      <c r="R3351" s="19"/>
      <c r="S3351" s="19"/>
      <c r="T3351" s="18"/>
      <c r="U3351" s="18"/>
      <c r="V3351" s="18"/>
      <c r="W3351" s="18"/>
      <c r="X3351" s="18"/>
      <c r="Y3351" s="18"/>
      <c r="Z3351" s="18"/>
    </row>
    <row r="3352" ht="15.75" customHeight="1">
      <c r="A3352" s="23">
        <v>45826.0</v>
      </c>
      <c r="B3352" s="23"/>
      <c r="C3352" s="24" t="s">
        <v>8</v>
      </c>
      <c r="D3352" s="24" t="s">
        <v>76</v>
      </c>
      <c r="E3352" s="24" t="s">
        <v>94</v>
      </c>
      <c r="F3352" s="24" t="s">
        <v>95</v>
      </c>
      <c r="G3352" s="24"/>
      <c r="H3352" s="18"/>
      <c r="I3352" s="18"/>
      <c r="J3352" s="18"/>
      <c r="K3352" s="18"/>
      <c r="L3352" s="18"/>
      <c r="M3352" s="18"/>
      <c r="N3352" s="18"/>
      <c r="O3352" s="18"/>
      <c r="P3352" s="18"/>
      <c r="Q3352" s="19"/>
      <c r="R3352" s="19"/>
      <c r="S3352" s="19"/>
      <c r="T3352" s="18"/>
      <c r="U3352" s="18"/>
      <c r="V3352" s="18"/>
      <c r="W3352" s="18"/>
      <c r="X3352" s="18"/>
      <c r="Y3352" s="18"/>
      <c r="Z3352" s="18"/>
    </row>
    <row r="3353" ht="15.75" customHeight="1">
      <c r="A3353" s="22" t="s">
        <v>74</v>
      </c>
      <c r="B3353" s="25"/>
      <c r="C3353" s="22" t="s">
        <v>7</v>
      </c>
      <c r="D3353" s="22" t="s">
        <v>76</v>
      </c>
      <c r="E3353" s="22" t="s">
        <v>97</v>
      </c>
      <c r="F3353" s="22" t="s">
        <v>98</v>
      </c>
      <c r="G3353" s="22"/>
      <c r="H3353" s="18"/>
      <c r="I3353" s="18"/>
      <c r="J3353" s="18"/>
      <c r="K3353" s="18"/>
      <c r="L3353" s="18"/>
      <c r="M3353" s="18"/>
      <c r="N3353" s="18"/>
      <c r="O3353" s="18"/>
      <c r="P3353" s="18"/>
      <c r="Q3353" s="19"/>
      <c r="R3353" s="19"/>
      <c r="S3353" s="19"/>
      <c r="T3353" s="18"/>
      <c r="U3353" s="18"/>
      <c r="V3353" s="18"/>
      <c r="W3353" s="18"/>
      <c r="X3353" s="18"/>
      <c r="Y3353" s="18"/>
      <c r="Z3353" s="18"/>
    </row>
    <row r="3354" ht="15.75" customHeight="1">
      <c r="A3354" s="24" t="s">
        <v>99</v>
      </c>
      <c r="B3354" s="26"/>
      <c r="C3354" s="24" t="s">
        <v>7</v>
      </c>
      <c r="D3354" s="24" t="s">
        <v>76</v>
      </c>
      <c r="E3354" s="24" t="s">
        <v>101</v>
      </c>
      <c r="F3354" s="24" t="s">
        <v>102</v>
      </c>
      <c r="G3354" s="24"/>
      <c r="H3354" s="18"/>
      <c r="I3354" s="18"/>
      <c r="J3354" s="18"/>
      <c r="K3354" s="18"/>
      <c r="L3354" s="18"/>
      <c r="M3354" s="18"/>
      <c r="N3354" s="18"/>
      <c r="O3354" s="18"/>
      <c r="P3354" s="18"/>
      <c r="Q3354" s="19"/>
      <c r="R3354" s="19"/>
      <c r="S3354" s="19"/>
      <c r="T3354" s="18"/>
      <c r="U3354" s="18"/>
      <c r="V3354" s="18"/>
      <c r="W3354" s="18"/>
      <c r="X3354" s="18"/>
      <c r="Y3354" s="18"/>
      <c r="Z3354" s="18"/>
    </row>
    <row r="3355" ht="15.75" customHeight="1">
      <c r="A3355" s="22" t="s">
        <v>103</v>
      </c>
      <c r="B3355" s="25"/>
      <c r="C3355" s="22" t="s">
        <v>8</v>
      </c>
      <c r="D3355" s="22" t="s">
        <v>9</v>
      </c>
      <c r="E3355" s="22" t="s">
        <v>104</v>
      </c>
      <c r="F3355" s="22" t="s">
        <v>105</v>
      </c>
      <c r="G3355" s="22"/>
      <c r="H3355" s="18"/>
      <c r="I3355" s="18"/>
      <c r="J3355" s="18"/>
      <c r="K3355" s="18"/>
      <c r="L3355" s="18"/>
      <c r="M3355" s="18"/>
      <c r="N3355" s="18"/>
      <c r="O3355" s="18"/>
      <c r="P3355" s="18"/>
      <c r="Q3355" s="19"/>
      <c r="R3355" s="19"/>
      <c r="S3355" s="19"/>
      <c r="T3355" s="18"/>
      <c r="U3355" s="18"/>
      <c r="V3355" s="18"/>
      <c r="W3355" s="18"/>
      <c r="X3355" s="18"/>
      <c r="Y3355" s="18"/>
      <c r="Z3355" s="18"/>
    </row>
    <row r="3356" ht="15.75" customHeight="1">
      <c r="A3356" s="24" t="s">
        <v>103</v>
      </c>
      <c r="B3356" s="26"/>
      <c r="C3356" s="24" t="s">
        <v>106</v>
      </c>
      <c r="D3356" s="24" t="s">
        <v>107</v>
      </c>
      <c r="E3356" s="24" t="s">
        <v>108</v>
      </c>
      <c r="F3356" s="24" t="s">
        <v>109</v>
      </c>
      <c r="G3356" s="24"/>
      <c r="H3356" s="18"/>
      <c r="I3356" s="18"/>
      <c r="J3356" s="18"/>
      <c r="K3356" s="18"/>
      <c r="L3356" s="18"/>
      <c r="M3356" s="18"/>
      <c r="N3356" s="18"/>
      <c r="O3356" s="18"/>
      <c r="P3356" s="18"/>
      <c r="Q3356" s="19"/>
      <c r="R3356" s="19"/>
      <c r="S3356" s="19"/>
      <c r="T3356" s="18"/>
      <c r="U3356" s="18"/>
      <c r="V3356" s="18"/>
      <c r="W3356" s="18"/>
      <c r="X3356" s="18"/>
      <c r="Y3356" s="18"/>
      <c r="Z3356" s="18"/>
    </row>
    <row r="3357" ht="15.75" customHeight="1">
      <c r="A3357" s="22" t="s">
        <v>15</v>
      </c>
      <c r="B3357" s="25"/>
      <c r="C3357" s="22" t="s">
        <v>8</v>
      </c>
      <c r="D3357" s="22" t="s">
        <v>110</v>
      </c>
      <c r="E3357" s="22" t="s">
        <v>111</v>
      </c>
      <c r="F3357" s="22" t="s">
        <v>112</v>
      </c>
      <c r="G3357" s="22"/>
      <c r="H3357" s="18"/>
      <c r="I3357" s="18"/>
      <c r="J3357" s="18"/>
      <c r="K3357" s="18"/>
      <c r="L3357" s="18"/>
      <c r="M3357" s="18"/>
      <c r="N3357" s="18"/>
      <c r="O3357" s="18"/>
      <c r="P3357" s="18"/>
      <c r="Q3357" s="19"/>
      <c r="R3357" s="19"/>
      <c r="S3357" s="19"/>
      <c r="T3357" s="18"/>
      <c r="U3357" s="18"/>
      <c r="V3357" s="18"/>
      <c r="W3357" s="18"/>
      <c r="X3357" s="18"/>
      <c r="Y3357" s="18"/>
      <c r="Z3357" s="18"/>
    </row>
    <row r="3358" ht="15.75" customHeight="1">
      <c r="A3358" s="24" t="s">
        <v>15</v>
      </c>
      <c r="B3358" s="26"/>
      <c r="C3358" s="24" t="s">
        <v>7</v>
      </c>
      <c r="D3358" s="24" t="s">
        <v>9</v>
      </c>
      <c r="E3358" s="24" t="s">
        <v>113</v>
      </c>
      <c r="F3358" s="24" t="s">
        <v>114</v>
      </c>
      <c r="G3358" s="24"/>
      <c r="H3358" s="18"/>
      <c r="I3358" s="18"/>
      <c r="J3358" s="18"/>
      <c r="K3358" s="18"/>
      <c r="L3358" s="18"/>
      <c r="M3358" s="18"/>
      <c r="N3358" s="18"/>
      <c r="O3358" s="18"/>
      <c r="P3358" s="18"/>
      <c r="Q3358" s="19"/>
      <c r="R3358" s="19"/>
      <c r="S3358" s="19"/>
      <c r="T3358" s="18"/>
      <c r="U3358" s="18"/>
      <c r="V3358" s="18"/>
      <c r="W3358" s="18"/>
      <c r="X3358" s="18"/>
      <c r="Y3358" s="18"/>
      <c r="Z3358" s="18"/>
    </row>
    <row r="3359" ht="15.75" customHeight="1">
      <c r="A3359" s="22" t="s">
        <v>15</v>
      </c>
      <c r="B3359" s="25"/>
      <c r="C3359" s="22" t="s">
        <v>8</v>
      </c>
      <c r="D3359" s="22" t="s">
        <v>9</v>
      </c>
      <c r="E3359" s="22" t="s">
        <v>115</v>
      </c>
      <c r="F3359" s="22" t="s">
        <v>116</v>
      </c>
      <c r="G3359" s="22"/>
      <c r="H3359" s="18"/>
      <c r="I3359" s="18"/>
      <c r="J3359" s="18"/>
      <c r="K3359" s="18"/>
      <c r="L3359" s="18"/>
      <c r="M3359" s="18"/>
      <c r="N3359" s="18"/>
      <c r="O3359" s="18"/>
      <c r="P3359" s="18"/>
      <c r="Q3359" s="19"/>
      <c r="R3359" s="19"/>
      <c r="S3359" s="19"/>
      <c r="T3359" s="18"/>
      <c r="U3359" s="18"/>
      <c r="V3359" s="18"/>
      <c r="W3359" s="18"/>
      <c r="X3359" s="18"/>
      <c r="Y3359" s="18"/>
      <c r="Z3359" s="18"/>
    </row>
    <row r="3360" ht="15.75" customHeight="1">
      <c r="A3360" s="24" t="s">
        <v>15</v>
      </c>
      <c r="B3360" s="26"/>
      <c r="C3360" s="24" t="s">
        <v>8</v>
      </c>
      <c r="D3360" s="24" t="s">
        <v>9</v>
      </c>
      <c r="E3360" s="24" t="s">
        <v>117</v>
      </c>
      <c r="F3360" s="24" t="s">
        <v>118</v>
      </c>
      <c r="G3360" s="24"/>
      <c r="H3360" s="18"/>
      <c r="I3360" s="18"/>
      <c r="J3360" s="18"/>
      <c r="K3360" s="18"/>
      <c r="L3360" s="18"/>
      <c r="M3360" s="18"/>
      <c r="N3360" s="18"/>
      <c r="O3360" s="18"/>
      <c r="P3360" s="18"/>
      <c r="Q3360" s="19"/>
      <c r="R3360" s="19"/>
      <c r="S3360" s="19"/>
      <c r="T3360" s="18"/>
      <c r="U3360" s="18"/>
      <c r="V3360" s="18"/>
      <c r="W3360" s="18"/>
      <c r="X3360" s="18"/>
      <c r="Y3360" s="18"/>
      <c r="Z3360" s="18"/>
    </row>
    <row r="3361" ht="15.75" customHeight="1">
      <c r="A3361" s="22" t="s">
        <v>87</v>
      </c>
      <c r="B3361" s="25"/>
      <c r="C3361" s="22"/>
      <c r="D3361" s="22" t="s">
        <v>120</v>
      </c>
      <c r="E3361" s="22" t="s">
        <v>121</v>
      </c>
      <c r="F3361" s="22" t="s">
        <v>122</v>
      </c>
      <c r="G3361" s="22"/>
      <c r="H3361" s="18"/>
      <c r="I3361" s="18"/>
      <c r="J3361" s="18"/>
      <c r="K3361" s="18"/>
      <c r="L3361" s="18"/>
      <c r="M3361" s="18"/>
      <c r="N3361" s="18"/>
      <c r="O3361" s="18"/>
      <c r="P3361" s="18"/>
      <c r="Q3361" s="19"/>
      <c r="R3361" s="19"/>
      <c r="S3361" s="19"/>
      <c r="T3361" s="18"/>
      <c r="U3361" s="18"/>
      <c r="V3361" s="18"/>
      <c r="W3361" s="18"/>
      <c r="X3361" s="18"/>
      <c r="Y3361" s="18"/>
      <c r="Z3361" s="18"/>
    </row>
    <row r="3362" ht="15.75" customHeight="1">
      <c r="A3362" s="24" t="s">
        <v>87</v>
      </c>
      <c r="B3362" s="26"/>
      <c r="C3362" s="24" t="s">
        <v>8</v>
      </c>
      <c r="D3362" s="24" t="s">
        <v>76</v>
      </c>
      <c r="E3362" s="24" t="s">
        <v>123</v>
      </c>
      <c r="F3362" s="24" t="s">
        <v>124</v>
      </c>
      <c r="G3362" s="24"/>
      <c r="H3362" s="18"/>
      <c r="I3362" s="18"/>
      <c r="J3362" s="18"/>
      <c r="K3362" s="18"/>
      <c r="L3362" s="18"/>
      <c r="M3362" s="18"/>
      <c r="N3362" s="18"/>
      <c r="O3362" s="18"/>
      <c r="P3362" s="18"/>
      <c r="Q3362" s="19"/>
      <c r="R3362" s="19"/>
      <c r="S3362" s="19"/>
      <c r="T3362" s="18"/>
      <c r="U3362" s="18"/>
      <c r="V3362" s="18"/>
      <c r="W3362" s="18"/>
      <c r="X3362" s="18"/>
      <c r="Y3362" s="18"/>
      <c r="Z3362" s="18"/>
    </row>
    <row r="3363" ht="15.75" customHeight="1">
      <c r="A3363" s="21">
        <v>45831.0</v>
      </c>
      <c r="B3363" s="21"/>
      <c r="C3363" s="22" t="s">
        <v>8</v>
      </c>
      <c r="D3363" s="22" t="s">
        <v>90</v>
      </c>
      <c r="E3363" s="22" t="s">
        <v>91</v>
      </c>
      <c r="F3363" s="22" t="s">
        <v>125</v>
      </c>
      <c r="G3363" s="22"/>
      <c r="H3363" s="18"/>
      <c r="I3363" s="18"/>
      <c r="J3363" s="18"/>
      <c r="K3363" s="18"/>
      <c r="L3363" s="18"/>
      <c r="M3363" s="18"/>
      <c r="N3363" s="18"/>
      <c r="O3363" s="18"/>
      <c r="P3363" s="18"/>
      <c r="Q3363" s="19"/>
      <c r="R3363" s="19"/>
      <c r="S3363" s="19"/>
      <c r="T3363" s="18"/>
      <c r="U3363" s="18"/>
      <c r="V3363" s="18"/>
      <c r="W3363" s="18"/>
      <c r="X3363" s="18"/>
      <c r="Y3363" s="18"/>
      <c r="Z3363" s="18"/>
    </row>
    <row r="3364" ht="15.75" customHeight="1">
      <c r="A3364" s="23">
        <v>45828.0</v>
      </c>
      <c r="B3364" s="23"/>
      <c r="C3364" s="24" t="s">
        <v>8</v>
      </c>
      <c r="D3364" s="24" t="s">
        <v>126</v>
      </c>
      <c r="E3364" s="24" t="s">
        <v>94</v>
      </c>
      <c r="F3364" s="24" t="s">
        <v>127</v>
      </c>
      <c r="G3364" s="24"/>
      <c r="H3364" s="18"/>
      <c r="I3364" s="18"/>
      <c r="J3364" s="18"/>
      <c r="K3364" s="18"/>
      <c r="L3364" s="18"/>
      <c r="M3364" s="18"/>
      <c r="N3364" s="18"/>
      <c r="O3364" s="18"/>
      <c r="P3364" s="18"/>
      <c r="Q3364" s="19"/>
      <c r="R3364" s="19"/>
      <c r="S3364" s="19"/>
      <c r="T3364" s="18"/>
      <c r="U3364" s="18"/>
      <c r="V3364" s="18"/>
      <c r="W3364" s="18"/>
      <c r="X3364" s="18"/>
      <c r="Y3364" s="18"/>
      <c r="Z3364" s="18"/>
    </row>
    <row r="3365" ht="15.75" customHeight="1">
      <c r="A3365" s="22" t="s">
        <v>74</v>
      </c>
      <c r="B3365" s="25"/>
      <c r="C3365" s="22" t="s">
        <v>8</v>
      </c>
      <c r="D3365" s="22" t="s">
        <v>76</v>
      </c>
      <c r="E3365" s="22" t="s">
        <v>129</v>
      </c>
      <c r="F3365" s="22" t="s">
        <v>130</v>
      </c>
      <c r="G3365" s="22"/>
      <c r="H3365" s="18"/>
      <c r="I3365" s="18"/>
      <c r="J3365" s="18"/>
      <c r="K3365" s="18"/>
      <c r="L3365" s="18"/>
      <c r="M3365" s="18"/>
      <c r="N3365" s="18"/>
      <c r="O3365" s="18"/>
      <c r="P3365" s="18"/>
      <c r="Q3365" s="19"/>
      <c r="R3365" s="19"/>
      <c r="S3365" s="19"/>
      <c r="T3365" s="18"/>
      <c r="U3365" s="18"/>
      <c r="V3365" s="18"/>
      <c r="W3365" s="18"/>
      <c r="X3365" s="18"/>
      <c r="Y3365" s="18"/>
      <c r="Z3365" s="18"/>
    </row>
    <row r="3366" ht="15.75" customHeight="1">
      <c r="A3366" s="23">
        <v>45613.0</v>
      </c>
      <c r="B3366" s="23"/>
      <c r="C3366" s="24" t="s">
        <v>131</v>
      </c>
      <c r="D3366" s="24" t="s">
        <v>132</v>
      </c>
      <c r="E3366" s="24" t="s">
        <v>133</v>
      </c>
      <c r="F3366" s="24" t="s">
        <v>134</v>
      </c>
      <c r="G3366" s="24"/>
      <c r="H3366" s="18"/>
      <c r="I3366" s="18"/>
      <c r="J3366" s="18"/>
      <c r="K3366" s="18"/>
      <c r="L3366" s="18"/>
      <c r="M3366" s="18"/>
      <c r="N3366" s="18"/>
      <c r="O3366" s="18"/>
      <c r="P3366" s="18"/>
      <c r="Q3366" s="19"/>
      <c r="R3366" s="19"/>
      <c r="S3366" s="19"/>
      <c r="T3366" s="18"/>
      <c r="U3366" s="18"/>
      <c r="V3366" s="18"/>
      <c r="W3366" s="18"/>
      <c r="X3366" s="18"/>
      <c r="Y3366" s="18"/>
      <c r="Z3366" s="18"/>
    </row>
    <row r="3367" ht="15.75" customHeight="1">
      <c r="A3367" s="21">
        <v>45621.0</v>
      </c>
      <c r="B3367" s="21"/>
      <c r="C3367" s="22" t="s">
        <v>131</v>
      </c>
      <c r="D3367" s="22" t="s">
        <v>132</v>
      </c>
      <c r="E3367" s="22" t="s">
        <v>135</v>
      </c>
      <c r="F3367" s="22" t="s">
        <v>134</v>
      </c>
      <c r="G3367" s="22"/>
      <c r="H3367" s="18"/>
      <c r="I3367" s="18"/>
      <c r="J3367" s="18"/>
      <c r="K3367" s="18"/>
      <c r="L3367" s="18"/>
      <c r="M3367" s="18"/>
      <c r="N3367" s="18"/>
      <c r="O3367" s="18"/>
      <c r="P3367" s="18"/>
      <c r="Q3367" s="19"/>
      <c r="R3367" s="19"/>
      <c r="S3367" s="19"/>
      <c r="T3367" s="18"/>
      <c r="U3367" s="18"/>
      <c r="V3367" s="18"/>
      <c r="W3367" s="18"/>
      <c r="X3367" s="18"/>
      <c r="Y3367" s="18"/>
      <c r="Z3367" s="18"/>
    </row>
    <row r="3368" ht="15.75" customHeight="1">
      <c r="A3368" s="23">
        <v>45621.0</v>
      </c>
      <c r="B3368" s="23"/>
      <c r="C3368" s="24" t="s">
        <v>137</v>
      </c>
      <c r="D3368" s="24" t="s">
        <v>138</v>
      </c>
      <c r="E3368" s="24" t="s">
        <v>139</v>
      </c>
      <c r="F3368" s="24" t="s">
        <v>140</v>
      </c>
      <c r="G3368" s="24"/>
      <c r="H3368" s="18"/>
      <c r="I3368" s="18"/>
      <c r="J3368" s="18"/>
      <c r="K3368" s="18"/>
      <c r="L3368" s="18"/>
      <c r="M3368" s="18"/>
      <c r="N3368" s="18"/>
      <c r="O3368" s="18"/>
      <c r="P3368" s="18"/>
      <c r="Q3368" s="19"/>
      <c r="R3368" s="19"/>
      <c r="S3368" s="19"/>
      <c r="T3368" s="18"/>
      <c r="U3368" s="18"/>
      <c r="V3368" s="18"/>
      <c r="W3368" s="18"/>
      <c r="X3368" s="18"/>
      <c r="Y3368" s="18"/>
      <c r="Z3368" s="18"/>
    </row>
    <row r="3369" ht="15.75" customHeight="1">
      <c r="A3369" s="22" t="s">
        <v>99</v>
      </c>
      <c r="B3369" s="25"/>
      <c r="C3369" s="22" t="s">
        <v>137</v>
      </c>
      <c r="D3369" s="22" t="s">
        <v>138</v>
      </c>
      <c r="E3369" s="22" t="s">
        <v>142</v>
      </c>
      <c r="F3369" s="22" t="s">
        <v>143</v>
      </c>
      <c r="G3369" s="22"/>
      <c r="H3369" s="18"/>
      <c r="I3369" s="18"/>
      <c r="J3369" s="18"/>
      <c r="K3369" s="18"/>
      <c r="L3369" s="18"/>
      <c r="M3369" s="18"/>
      <c r="N3369" s="18"/>
      <c r="O3369" s="18"/>
      <c r="P3369" s="18"/>
      <c r="Q3369" s="19"/>
      <c r="R3369" s="19"/>
      <c r="S3369" s="19"/>
      <c r="T3369" s="18"/>
      <c r="U3369" s="18"/>
      <c r="V3369" s="18"/>
      <c r="W3369" s="18"/>
      <c r="X3369" s="18"/>
      <c r="Y3369" s="18"/>
      <c r="Z3369" s="18"/>
    </row>
    <row r="3370" ht="15.75" customHeight="1">
      <c r="A3370" s="23">
        <v>45838.0</v>
      </c>
      <c r="B3370" s="23"/>
      <c r="C3370" s="24" t="s">
        <v>34</v>
      </c>
      <c r="D3370" s="24" t="s">
        <v>144</v>
      </c>
      <c r="E3370" s="24" t="s">
        <v>145</v>
      </c>
      <c r="F3370" s="24" t="s">
        <v>146</v>
      </c>
      <c r="G3370" s="24"/>
      <c r="H3370" s="18"/>
      <c r="I3370" s="18"/>
      <c r="J3370" s="18"/>
      <c r="K3370" s="18"/>
      <c r="L3370" s="18"/>
      <c r="M3370" s="18"/>
      <c r="N3370" s="18"/>
      <c r="O3370" s="18"/>
      <c r="P3370" s="18"/>
      <c r="Q3370" s="19"/>
      <c r="R3370" s="19"/>
      <c r="S3370" s="19"/>
      <c r="T3370" s="18"/>
      <c r="U3370" s="18"/>
      <c r="V3370" s="18"/>
      <c r="W3370" s="18"/>
      <c r="X3370" s="18"/>
      <c r="Y3370" s="18"/>
      <c r="Z3370" s="18"/>
    </row>
    <row r="3371" ht="15.75" customHeight="1">
      <c r="A3371" s="21">
        <v>45838.0</v>
      </c>
      <c r="B3371" s="21"/>
      <c r="C3371" s="22" t="s">
        <v>34</v>
      </c>
      <c r="D3371" s="22" t="s">
        <v>9</v>
      </c>
      <c r="E3371" s="22" t="s">
        <v>147</v>
      </c>
      <c r="F3371" s="22" t="s">
        <v>146</v>
      </c>
      <c r="G3371" s="22"/>
      <c r="H3371" s="18"/>
      <c r="I3371" s="18"/>
      <c r="J3371" s="18"/>
      <c r="K3371" s="18"/>
      <c r="L3371" s="18"/>
      <c r="M3371" s="18"/>
      <c r="N3371" s="18"/>
      <c r="O3371" s="18"/>
      <c r="P3371" s="18"/>
      <c r="Q3371" s="19"/>
      <c r="R3371" s="19"/>
      <c r="S3371" s="19"/>
      <c r="T3371" s="18"/>
      <c r="U3371" s="18"/>
      <c r="V3371" s="18"/>
      <c r="W3371" s="18"/>
      <c r="X3371" s="18"/>
      <c r="Y3371" s="18"/>
      <c r="Z3371" s="18"/>
    </row>
    <row r="3372" ht="15.75" customHeight="1">
      <c r="A3372" s="24" t="s">
        <v>15</v>
      </c>
      <c r="B3372" s="26"/>
      <c r="C3372" s="24" t="s">
        <v>148</v>
      </c>
      <c r="D3372" s="24" t="s">
        <v>149</v>
      </c>
      <c r="E3372" s="24" t="s">
        <v>150</v>
      </c>
      <c r="F3372" s="24" t="s">
        <v>151</v>
      </c>
      <c r="G3372" s="24"/>
      <c r="H3372" s="18"/>
      <c r="I3372" s="18"/>
      <c r="J3372" s="18"/>
      <c r="K3372" s="18"/>
      <c r="L3372" s="18"/>
      <c r="M3372" s="18"/>
      <c r="N3372" s="18"/>
      <c r="O3372" s="18"/>
      <c r="P3372" s="18"/>
      <c r="Q3372" s="19"/>
      <c r="R3372" s="19"/>
      <c r="S3372" s="19"/>
      <c r="T3372" s="18"/>
      <c r="U3372" s="18"/>
      <c r="V3372" s="18"/>
      <c r="W3372" s="18"/>
      <c r="X3372" s="18"/>
      <c r="Y3372" s="18"/>
      <c r="Z3372" s="18"/>
    </row>
    <row r="3373" ht="15.75" customHeight="1">
      <c r="A3373" s="22" t="s">
        <v>41</v>
      </c>
      <c r="B3373" s="25"/>
      <c r="C3373" s="22" t="s">
        <v>152</v>
      </c>
      <c r="D3373" s="22" t="s">
        <v>153</v>
      </c>
      <c r="E3373" s="22" t="s">
        <v>154</v>
      </c>
      <c r="F3373" s="22" t="s">
        <v>155</v>
      </c>
      <c r="G3373" s="22"/>
      <c r="H3373" s="18"/>
      <c r="I3373" s="18"/>
      <c r="J3373" s="18"/>
      <c r="K3373" s="18"/>
      <c r="L3373" s="18"/>
      <c r="M3373" s="18"/>
      <c r="N3373" s="18"/>
      <c r="O3373" s="18"/>
      <c r="P3373" s="18"/>
      <c r="Q3373" s="19"/>
      <c r="R3373" s="19"/>
      <c r="S3373" s="19"/>
      <c r="T3373" s="18"/>
      <c r="U3373" s="18"/>
      <c r="V3373" s="18"/>
      <c r="W3373" s="18"/>
      <c r="X3373" s="18"/>
      <c r="Y3373" s="18"/>
      <c r="Z3373" s="18"/>
    </row>
    <row r="3374" ht="15.75" customHeight="1">
      <c r="A3374" s="24" t="s">
        <v>41</v>
      </c>
      <c r="B3374" s="26"/>
      <c r="C3374" s="24" t="s">
        <v>137</v>
      </c>
      <c r="D3374" s="24" t="s">
        <v>156</v>
      </c>
      <c r="E3374" s="24" t="s">
        <v>157</v>
      </c>
      <c r="F3374" s="24" t="s">
        <v>158</v>
      </c>
      <c r="G3374" s="24"/>
      <c r="H3374" s="18"/>
      <c r="I3374" s="18"/>
      <c r="J3374" s="18"/>
      <c r="K3374" s="18"/>
      <c r="L3374" s="18"/>
      <c r="M3374" s="18"/>
      <c r="N3374" s="18"/>
      <c r="O3374" s="18"/>
      <c r="P3374" s="18"/>
      <c r="Q3374" s="19"/>
      <c r="R3374" s="19"/>
      <c r="S3374" s="19"/>
      <c r="T3374" s="18"/>
      <c r="U3374" s="18"/>
      <c r="V3374" s="18"/>
      <c r="W3374" s="18"/>
      <c r="X3374" s="18"/>
      <c r="Y3374" s="18"/>
      <c r="Z3374" s="18"/>
    </row>
    <row r="3375" ht="15.75" customHeight="1">
      <c r="A3375" s="21">
        <v>45506.0</v>
      </c>
      <c r="B3375" s="29">
        <v>0.5034722222222222</v>
      </c>
      <c r="C3375" s="22" t="s">
        <v>160</v>
      </c>
      <c r="D3375" s="22" t="s">
        <v>161</v>
      </c>
      <c r="E3375" s="22" t="s">
        <v>162</v>
      </c>
      <c r="F3375" s="22" t="s">
        <v>163</v>
      </c>
      <c r="G3375" s="22" t="s">
        <v>164</v>
      </c>
      <c r="H3375" s="18"/>
      <c r="I3375" s="18"/>
      <c r="J3375" s="18"/>
      <c r="K3375" s="18"/>
      <c r="L3375" s="18"/>
      <c r="M3375" s="18"/>
      <c r="N3375" s="18"/>
      <c r="O3375" s="18"/>
      <c r="P3375" s="18"/>
      <c r="Q3375" s="19"/>
      <c r="R3375" s="19"/>
      <c r="S3375" s="19"/>
      <c r="T3375" s="18"/>
      <c r="U3375" s="18"/>
      <c r="V3375" s="18"/>
      <c r="W3375" s="18"/>
      <c r="X3375" s="18"/>
      <c r="Y3375" s="18"/>
      <c r="Z3375" s="18"/>
    </row>
    <row r="3376" ht="15.75" customHeight="1">
      <c r="A3376" s="23">
        <v>45517.0</v>
      </c>
      <c r="B3376" s="30">
        <v>0.5972222222222222</v>
      </c>
      <c r="C3376" s="24" t="s">
        <v>160</v>
      </c>
      <c r="D3376" s="24" t="s">
        <v>161</v>
      </c>
      <c r="E3376" s="24" t="s">
        <v>165</v>
      </c>
      <c r="F3376" s="24" t="s">
        <v>166</v>
      </c>
      <c r="G3376" s="24" t="s">
        <v>167</v>
      </c>
      <c r="H3376" s="18"/>
      <c r="I3376" s="18"/>
      <c r="J3376" s="18"/>
      <c r="K3376" s="18"/>
      <c r="L3376" s="18"/>
      <c r="M3376" s="18"/>
      <c r="N3376" s="18"/>
      <c r="O3376" s="18"/>
      <c r="P3376" s="18"/>
      <c r="Q3376" s="19"/>
      <c r="R3376" s="19"/>
      <c r="S3376" s="19"/>
      <c r="T3376" s="18"/>
      <c r="U3376" s="18"/>
      <c r="V3376" s="18"/>
      <c r="W3376" s="18"/>
      <c r="X3376" s="18"/>
      <c r="Y3376" s="18"/>
      <c r="Z3376" s="18"/>
    </row>
    <row r="3377" ht="15.75" customHeight="1">
      <c r="A3377" s="21">
        <v>45529.0</v>
      </c>
      <c r="B3377" s="29">
        <v>0.6319444444444444</v>
      </c>
      <c r="C3377" s="22" t="s">
        <v>160</v>
      </c>
      <c r="D3377" s="22" t="s">
        <v>161</v>
      </c>
      <c r="E3377" s="22" t="s">
        <v>168</v>
      </c>
      <c r="F3377" s="22" t="s">
        <v>169</v>
      </c>
      <c r="G3377" s="22" t="s">
        <v>167</v>
      </c>
      <c r="H3377" s="18"/>
      <c r="I3377" s="18"/>
      <c r="J3377" s="18"/>
      <c r="K3377" s="18"/>
      <c r="L3377" s="18"/>
      <c r="M3377" s="18"/>
      <c r="N3377" s="18"/>
      <c r="O3377" s="18"/>
      <c r="P3377" s="18"/>
      <c r="Q3377" s="19"/>
      <c r="R3377" s="19"/>
      <c r="S3377" s="19"/>
      <c r="T3377" s="18"/>
      <c r="U3377" s="18"/>
      <c r="V3377" s="18"/>
      <c r="W3377" s="18"/>
      <c r="X3377" s="18"/>
      <c r="Y3377" s="18"/>
      <c r="Z3377" s="18"/>
    </row>
    <row r="3378" ht="15.75" customHeight="1">
      <c r="A3378" s="23">
        <v>45536.0</v>
      </c>
      <c r="B3378" s="30">
        <v>0.8888888888888888</v>
      </c>
      <c r="C3378" s="24" t="s">
        <v>160</v>
      </c>
      <c r="D3378" s="24" t="s">
        <v>161</v>
      </c>
      <c r="E3378" s="24" t="s">
        <v>170</v>
      </c>
      <c r="F3378" s="24" t="s">
        <v>171</v>
      </c>
      <c r="G3378" s="24" t="s">
        <v>167</v>
      </c>
      <c r="H3378" s="18"/>
      <c r="I3378" s="18"/>
      <c r="J3378" s="18"/>
      <c r="K3378" s="18"/>
      <c r="L3378" s="18"/>
      <c r="M3378" s="18"/>
      <c r="N3378" s="18"/>
      <c r="O3378" s="18"/>
      <c r="P3378" s="18"/>
      <c r="Q3378" s="19"/>
      <c r="R3378" s="19"/>
      <c r="S3378" s="19"/>
      <c r="T3378" s="18"/>
      <c r="U3378" s="18"/>
      <c r="V3378" s="18"/>
      <c r="W3378" s="18"/>
      <c r="X3378" s="18"/>
      <c r="Y3378" s="18"/>
      <c r="Z3378" s="18"/>
    </row>
    <row r="3379" ht="15.75" customHeight="1">
      <c r="A3379" s="21">
        <v>45536.0</v>
      </c>
      <c r="B3379" s="29">
        <v>0.9</v>
      </c>
      <c r="C3379" s="22" t="s">
        <v>160</v>
      </c>
      <c r="D3379" s="22" t="s">
        <v>161</v>
      </c>
      <c r="E3379" s="22" t="s">
        <v>172</v>
      </c>
      <c r="F3379" s="22" t="s">
        <v>173</v>
      </c>
      <c r="G3379" s="22" t="s">
        <v>167</v>
      </c>
      <c r="H3379" s="18"/>
      <c r="I3379" s="18"/>
      <c r="J3379" s="18"/>
      <c r="K3379" s="18"/>
      <c r="L3379" s="18"/>
      <c r="M3379" s="18"/>
      <c r="N3379" s="18"/>
      <c r="O3379" s="18"/>
      <c r="P3379" s="18"/>
      <c r="Q3379" s="19"/>
      <c r="R3379" s="19"/>
      <c r="S3379" s="19"/>
      <c r="T3379" s="18"/>
      <c r="U3379" s="18"/>
      <c r="V3379" s="18"/>
      <c r="W3379" s="18"/>
      <c r="X3379" s="18"/>
      <c r="Y3379" s="18"/>
      <c r="Z3379" s="18"/>
    </row>
    <row r="3380" ht="15.75" customHeight="1">
      <c r="A3380" s="23">
        <v>45567.0</v>
      </c>
      <c r="B3380" s="30">
        <v>0.7902777777777777</v>
      </c>
      <c r="C3380" s="24" t="s">
        <v>160</v>
      </c>
      <c r="D3380" s="24" t="s">
        <v>161</v>
      </c>
      <c r="E3380" s="24" t="s">
        <v>174</v>
      </c>
      <c r="F3380" s="24" t="s">
        <v>175</v>
      </c>
      <c r="G3380" s="24" t="s">
        <v>164</v>
      </c>
      <c r="H3380" s="18"/>
      <c r="I3380" s="18"/>
      <c r="J3380" s="18"/>
      <c r="K3380" s="18"/>
      <c r="L3380" s="18"/>
      <c r="M3380" s="18"/>
      <c r="N3380" s="18"/>
      <c r="O3380" s="18"/>
      <c r="P3380" s="18"/>
      <c r="Q3380" s="19"/>
      <c r="R3380" s="19"/>
      <c r="S3380" s="19"/>
      <c r="T3380" s="18"/>
      <c r="U3380" s="18"/>
      <c r="V3380" s="18"/>
      <c r="W3380" s="18"/>
      <c r="X3380" s="18"/>
      <c r="Y3380" s="18"/>
      <c r="Z3380" s="18"/>
    </row>
    <row r="3381" ht="15.75" customHeight="1">
      <c r="A3381" s="21">
        <v>45571.0</v>
      </c>
      <c r="B3381" s="29">
        <v>0.79375</v>
      </c>
      <c r="C3381" s="22" t="s">
        <v>177</v>
      </c>
      <c r="D3381" s="22" t="s">
        <v>9</v>
      </c>
      <c r="E3381" s="22" t="s">
        <v>178</v>
      </c>
      <c r="F3381" s="22" t="s">
        <v>179</v>
      </c>
      <c r="G3381" s="22" t="s">
        <v>180</v>
      </c>
      <c r="H3381" s="18"/>
      <c r="I3381" s="18"/>
      <c r="J3381" s="18"/>
      <c r="K3381" s="18"/>
      <c r="L3381" s="18"/>
      <c r="M3381" s="18"/>
      <c r="N3381" s="18"/>
      <c r="O3381" s="18"/>
      <c r="P3381" s="18"/>
      <c r="Q3381" s="19"/>
      <c r="R3381" s="19"/>
      <c r="S3381" s="19"/>
      <c r="T3381" s="18"/>
      <c r="U3381" s="18"/>
      <c r="V3381" s="18"/>
      <c r="W3381" s="18"/>
      <c r="X3381" s="18"/>
      <c r="Y3381" s="18"/>
      <c r="Z3381" s="18"/>
    </row>
    <row r="3382" ht="15.75" customHeight="1">
      <c r="A3382" s="31">
        <v>45571.0</v>
      </c>
      <c r="B3382" s="24" t="s">
        <v>8318</v>
      </c>
      <c r="C3382" s="24" t="s">
        <v>176</v>
      </c>
      <c r="D3382" s="24" t="s">
        <v>9</v>
      </c>
      <c r="E3382" s="24" t="s">
        <v>182</v>
      </c>
      <c r="F3382" s="24" t="s">
        <v>183</v>
      </c>
      <c r="G3382" s="24" t="s">
        <v>180</v>
      </c>
      <c r="H3382" s="18"/>
      <c r="I3382" s="18"/>
      <c r="J3382" s="18"/>
      <c r="K3382" s="18"/>
      <c r="L3382" s="18"/>
      <c r="M3382" s="18"/>
      <c r="N3382" s="18"/>
      <c r="O3382" s="18"/>
      <c r="P3382" s="18"/>
      <c r="Q3382" s="19"/>
      <c r="R3382" s="19"/>
      <c r="S3382" s="19"/>
      <c r="T3382" s="18"/>
      <c r="U3382" s="18"/>
      <c r="V3382" s="18"/>
      <c r="W3382" s="18"/>
      <c r="X3382" s="18"/>
      <c r="Y3382" s="18"/>
      <c r="Z3382" s="18"/>
    </row>
    <row r="3383" ht="15.75" customHeight="1">
      <c r="A3383" s="21">
        <v>45576.0</v>
      </c>
      <c r="B3383" s="21"/>
      <c r="C3383" s="22" t="s">
        <v>184</v>
      </c>
      <c r="D3383" s="22" t="s">
        <v>185</v>
      </c>
      <c r="E3383" s="22" t="s">
        <v>186</v>
      </c>
      <c r="F3383" s="22" t="s">
        <v>187</v>
      </c>
      <c r="G3383" s="22" t="s">
        <v>188</v>
      </c>
      <c r="H3383" s="18"/>
      <c r="I3383" s="18"/>
      <c r="J3383" s="18"/>
      <c r="K3383" s="18"/>
      <c r="L3383" s="18"/>
      <c r="M3383" s="18"/>
      <c r="N3383" s="18"/>
      <c r="O3383" s="18"/>
      <c r="P3383" s="18"/>
      <c r="Q3383" s="19"/>
      <c r="R3383" s="19"/>
      <c r="S3383" s="19"/>
      <c r="T3383" s="18"/>
      <c r="U3383" s="18"/>
      <c r="V3383" s="18"/>
      <c r="W3383" s="18"/>
      <c r="X3383" s="18"/>
      <c r="Y3383" s="18"/>
      <c r="Z3383" s="18"/>
    </row>
    <row r="3384" ht="15.75" customHeight="1">
      <c r="A3384" s="31">
        <v>45589.0</v>
      </c>
      <c r="B3384" s="24" t="s">
        <v>8319</v>
      </c>
      <c r="C3384" s="24" t="s">
        <v>191</v>
      </c>
      <c r="D3384" s="24" t="s">
        <v>161</v>
      </c>
      <c r="E3384" s="24" t="s">
        <v>192</v>
      </c>
      <c r="F3384" s="24" t="s">
        <v>193</v>
      </c>
      <c r="G3384" s="24" t="s">
        <v>194</v>
      </c>
      <c r="H3384" s="18"/>
      <c r="I3384" s="18"/>
      <c r="J3384" s="18"/>
      <c r="K3384" s="18"/>
      <c r="L3384" s="18"/>
      <c r="M3384" s="18"/>
      <c r="N3384" s="18"/>
      <c r="O3384" s="18"/>
      <c r="P3384" s="18"/>
      <c r="Q3384" s="19"/>
      <c r="R3384" s="19"/>
      <c r="S3384" s="19"/>
      <c r="T3384" s="18"/>
      <c r="U3384" s="18"/>
      <c r="V3384" s="18"/>
      <c r="W3384" s="18"/>
      <c r="X3384" s="18"/>
      <c r="Y3384" s="18"/>
      <c r="Z3384" s="18"/>
    </row>
    <row r="3385" ht="15.75" customHeight="1">
      <c r="A3385" s="32">
        <v>45590.0</v>
      </c>
      <c r="B3385" s="22" t="s">
        <v>8319</v>
      </c>
      <c r="C3385" s="22" t="s">
        <v>190</v>
      </c>
      <c r="D3385" s="22" t="s">
        <v>161</v>
      </c>
      <c r="E3385" s="22" t="s">
        <v>196</v>
      </c>
      <c r="F3385" s="22" t="s">
        <v>197</v>
      </c>
      <c r="G3385" s="22" t="s">
        <v>194</v>
      </c>
      <c r="H3385" s="18"/>
      <c r="I3385" s="18"/>
      <c r="J3385" s="18"/>
      <c r="K3385" s="18"/>
      <c r="L3385" s="18"/>
      <c r="M3385" s="18"/>
      <c r="N3385" s="18"/>
      <c r="O3385" s="18"/>
      <c r="P3385" s="18"/>
      <c r="Q3385" s="19"/>
      <c r="R3385" s="19"/>
      <c r="S3385" s="19"/>
      <c r="T3385" s="18"/>
      <c r="U3385" s="18"/>
      <c r="V3385" s="18"/>
      <c r="W3385" s="18"/>
      <c r="X3385" s="18"/>
      <c r="Y3385" s="18"/>
      <c r="Z3385" s="18"/>
    </row>
    <row r="3386" ht="15.75" customHeight="1">
      <c r="A3386" s="31">
        <v>45590.0</v>
      </c>
      <c r="B3386" s="24" t="s">
        <v>8319</v>
      </c>
      <c r="C3386" s="24" t="s">
        <v>190</v>
      </c>
      <c r="D3386" s="24" t="s">
        <v>161</v>
      </c>
      <c r="E3386" s="24" t="s">
        <v>198</v>
      </c>
      <c r="F3386" s="24" t="s">
        <v>199</v>
      </c>
      <c r="G3386" s="24" t="s">
        <v>194</v>
      </c>
      <c r="H3386" s="18"/>
      <c r="I3386" s="18"/>
      <c r="J3386" s="18"/>
      <c r="K3386" s="18"/>
      <c r="L3386" s="18"/>
      <c r="M3386" s="18"/>
      <c r="N3386" s="18"/>
      <c r="O3386" s="18"/>
      <c r="P3386" s="18"/>
      <c r="Q3386" s="19"/>
      <c r="R3386" s="19"/>
      <c r="S3386" s="19"/>
      <c r="T3386" s="18"/>
      <c r="U3386" s="18"/>
      <c r="V3386" s="18"/>
      <c r="W3386" s="18"/>
      <c r="X3386" s="18"/>
      <c r="Y3386" s="18"/>
      <c r="Z3386" s="18"/>
    </row>
    <row r="3387" ht="15.75" customHeight="1">
      <c r="A3387" s="21">
        <v>45591.0</v>
      </c>
      <c r="B3387" s="29">
        <v>0.6131944444444445</v>
      </c>
      <c r="C3387" s="22" t="s">
        <v>191</v>
      </c>
      <c r="D3387" s="22" t="s">
        <v>161</v>
      </c>
      <c r="E3387" s="22" t="s">
        <v>200</v>
      </c>
      <c r="F3387" s="22" t="s">
        <v>201</v>
      </c>
      <c r="G3387" s="22" t="s">
        <v>194</v>
      </c>
      <c r="H3387" s="18"/>
      <c r="I3387" s="18"/>
      <c r="J3387" s="18"/>
      <c r="K3387" s="18"/>
      <c r="L3387" s="18"/>
      <c r="M3387" s="18"/>
      <c r="N3387" s="18"/>
      <c r="O3387" s="18"/>
      <c r="P3387" s="18"/>
      <c r="Q3387" s="19"/>
      <c r="R3387" s="19"/>
      <c r="S3387" s="19"/>
      <c r="T3387" s="18"/>
      <c r="U3387" s="18"/>
      <c r="V3387" s="18"/>
      <c r="W3387" s="18"/>
      <c r="X3387" s="18"/>
      <c r="Y3387" s="18"/>
      <c r="Z3387" s="18"/>
    </row>
    <row r="3388" ht="15.75" customHeight="1">
      <c r="A3388" s="31">
        <v>45592.0</v>
      </c>
      <c r="B3388" s="24" t="s">
        <v>8319</v>
      </c>
      <c r="C3388" s="24" t="s">
        <v>191</v>
      </c>
      <c r="D3388" s="24" t="s">
        <v>161</v>
      </c>
      <c r="E3388" s="24" t="s">
        <v>203</v>
      </c>
      <c r="F3388" s="24" t="s">
        <v>204</v>
      </c>
      <c r="G3388" s="24" t="s">
        <v>194</v>
      </c>
      <c r="H3388" s="18"/>
      <c r="I3388" s="18"/>
      <c r="J3388" s="18"/>
      <c r="K3388" s="18"/>
      <c r="L3388" s="18"/>
      <c r="M3388" s="18"/>
      <c r="N3388" s="18"/>
      <c r="O3388" s="18"/>
      <c r="P3388" s="18"/>
      <c r="Q3388" s="19"/>
      <c r="R3388" s="19"/>
      <c r="S3388" s="19"/>
      <c r="T3388" s="18"/>
      <c r="U3388" s="18"/>
      <c r="V3388" s="18"/>
      <c r="W3388" s="18"/>
      <c r="X3388" s="18"/>
      <c r="Y3388" s="18"/>
      <c r="Z3388" s="18"/>
    </row>
    <row r="3389" ht="15.75" customHeight="1">
      <c r="A3389" s="32">
        <v>45592.0</v>
      </c>
      <c r="B3389" s="22" t="s">
        <v>8319</v>
      </c>
      <c r="C3389" s="22" t="s">
        <v>191</v>
      </c>
      <c r="D3389" s="22" t="s">
        <v>161</v>
      </c>
      <c r="E3389" s="22" t="s">
        <v>205</v>
      </c>
      <c r="F3389" s="22" t="s">
        <v>206</v>
      </c>
      <c r="G3389" s="22" t="s">
        <v>194</v>
      </c>
      <c r="H3389" s="18"/>
      <c r="I3389" s="18"/>
      <c r="J3389" s="18"/>
      <c r="K3389" s="18"/>
      <c r="L3389" s="18"/>
      <c r="M3389" s="18"/>
      <c r="N3389" s="18"/>
      <c r="O3389" s="18"/>
      <c r="P3389" s="18"/>
      <c r="Q3389" s="19"/>
      <c r="R3389" s="19"/>
      <c r="S3389" s="19"/>
      <c r="T3389" s="18"/>
      <c r="U3389" s="18"/>
      <c r="V3389" s="18"/>
      <c r="W3389" s="18"/>
      <c r="X3389" s="18"/>
      <c r="Y3389" s="18"/>
      <c r="Z3389" s="18"/>
    </row>
    <row r="3390" ht="15.75" customHeight="1">
      <c r="A3390" s="23">
        <v>45596.0</v>
      </c>
      <c r="B3390" s="30">
        <v>0.8430555555555556</v>
      </c>
      <c r="C3390" s="24" t="s">
        <v>190</v>
      </c>
      <c r="D3390" s="24" t="s">
        <v>208</v>
      </c>
      <c r="E3390" s="24" t="s">
        <v>209</v>
      </c>
      <c r="F3390" s="24" t="s">
        <v>210</v>
      </c>
      <c r="G3390" s="24" t="s">
        <v>211</v>
      </c>
      <c r="H3390" s="18"/>
      <c r="I3390" s="18"/>
      <c r="J3390" s="18"/>
      <c r="K3390" s="18"/>
      <c r="L3390" s="18"/>
      <c r="M3390" s="18"/>
      <c r="N3390" s="18"/>
      <c r="O3390" s="18"/>
      <c r="P3390" s="18"/>
      <c r="Q3390" s="19"/>
      <c r="R3390" s="19"/>
      <c r="S3390" s="19"/>
      <c r="T3390" s="18"/>
      <c r="U3390" s="18"/>
      <c r="V3390" s="18"/>
      <c r="W3390" s="18"/>
      <c r="X3390" s="18"/>
      <c r="Y3390" s="18"/>
      <c r="Z3390" s="18"/>
    </row>
    <row r="3391" ht="15.75" customHeight="1">
      <c r="A3391" s="21">
        <v>45596.0</v>
      </c>
      <c r="B3391" s="29">
        <v>0.8569444444444444</v>
      </c>
      <c r="C3391" s="22" t="s">
        <v>207</v>
      </c>
      <c r="D3391" s="22" t="s">
        <v>208</v>
      </c>
      <c r="E3391" s="22" t="s">
        <v>212</v>
      </c>
      <c r="F3391" s="22" t="s">
        <v>213</v>
      </c>
      <c r="G3391" s="22" t="s">
        <v>211</v>
      </c>
      <c r="H3391" s="18"/>
      <c r="I3391" s="18"/>
      <c r="J3391" s="18"/>
      <c r="K3391" s="18"/>
      <c r="L3391" s="18"/>
      <c r="M3391" s="18"/>
      <c r="N3391" s="18"/>
      <c r="O3391" s="18"/>
      <c r="P3391" s="18"/>
      <c r="Q3391" s="19"/>
      <c r="R3391" s="19"/>
      <c r="S3391" s="19"/>
      <c r="T3391" s="18"/>
      <c r="U3391" s="18"/>
      <c r="V3391" s="18"/>
      <c r="W3391" s="18"/>
      <c r="X3391" s="18"/>
      <c r="Y3391" s="18"/>
      <c r="Z3391" s="18"/>
    </row>
    <row r="3392" ht="15.75" customHeight="1">
      <c r="A3392" s="31">
        <v>45597.0</v>
      </c>
      <c r="B3392" s="24" t="s">
        <v>8319</v>
      </c>
      <c r="C3392" s="24" t="s">
        <v>191</v>
      </c>
      <c r="D3392" s="24" t="s">
        <v>161</v>
      </c>
      <c r="E3392" s="24" t="s">
        <v>215</v>
      </c>
      <c r="F3392" s="24" t="s">
        <v>216</v>
      </c>
      <c r="G3392" s="24" t="s">
        <v>194</v>
      </c>
      <c r="H3392" s="18"/>
      <c r="I3392" s="18"/>
      <c r="J3392" s="18"/>
      <c r="K3392" s="18"/>
      <c r="L3392" s="18"/>
      <c r="M3392" s="18"/>
      <c r="N3392" s="18"/>
      <c r="O3392" s="18"/>
      <c r="P3392" s="18"/>
      <c r="Q3392" s="19"/>
      <c r="R3392" s="19"/>
      <c r="S3392" s="19"/>
      <c r="T3392" s="18"/>
      <c r="U3392" s="18"/>
      <c r="V3392" s="18"/>
      <c r="W3392" s="18"/>
      <c r="X3392" s="18"/>
      <c r="Y3392" s="18"/>
      <c r="Z3392" s="18"/>
    </row>
    <row r="3393" ht="15.75" customHeight="1">
      <c r="A3393" s="32">
        <v>45597.0</v>
      </c>
      <c r="B3393" s="22" t="s">
        <v>8319</v>
      </c>
      <c r="C3393" s="22" t="s">
        <v>191</v>
      </c>
      <c r="D3393" s="22" t="s">
        <v>161</v>
      </c>
      <c r="E3393" s="22" t="s">
        <v>217</v>
      </c>
      <c r="F3393" s="22" t="s">
        <v>218</v>
      </c>
      <c r="G3393" s="22" t="s">
        <v>194</v>
      </c>
      <c r="H3393" s="18"/>
      <c r="I3393" s="18"/>
      <c r="J3393" s="18"/>
      <c r="K3393" s="18"/>
      <c r="L3393" s="18"/>
      <c r="M3393" s="18"/>
      <c r="N3393" s="18"/>
      <c r="O3393" s="18"/>
      <c r="P3393" s="18"/>
      <c r="Q3393" s="19"/>
      <c r="R3393" s="19"/>
      <c r="S3393" s="19"/>
      <c r="T3393" s="18"/>
      <c r="U3393" s="18"/>
      <c r="V3393" s="18"/>
      <c r="W3393" s="18"/>
      <c r="X3393" s="18"/>
      <c r="Y3393" s="18"/>
      <c r="Z3393" s="18"/>
    </row>
    <row r="3394" ht="15.75" customHeight="1">
      <c r="A3394" s="23">
        <v>45604.0</v>
      </c>
      <c r="B3394" s="30">
        <v>0.5673611111111111</v>
      </c>
      <c r="C3394" s="24" t="s">
        <v>190</v>
      </c>
      <c r="D3394" s="24" t="s">
        <v>161</v>
      </c>
      <c r="E3394" s="24" t="s">
        <v>219</v>
      </c>
      <c r="F3394" s="24" t="s">
        <v>220</v>
      </c>
      <c r="G3394" s="24" t="s">
        <v>221</v>
      </c>
      <c r="H3394" s="18"/>
      <c r="I3394" s="18"/>
      <c r="J3394" s="18"/>
      <c r="K3394" s="18"/>
      <c r="L3394" s="18"/>
      <c r="M3394" s="18"/>
      <c r="N3394" s="18"/>
      <c r="O3394" s="18"/>
      <c r="P3394" s="18"/>
      <c r="Q3394" s="19"/>
      <c r="R3394" s="19"/>
      <c r="S3394" s="19"/>
      <c r="T3394" s="18"/>
      <c r="U3394" s="18"/>
      <c r="V3394" s="18"/>
      <c r="W3394" s="18"/>
      <c r="X3394" s="18"/>
      <c r="Y3394" s="18"/>
      <c r="Z3394" s="18"/>
    </row>
    <row r="3395" ht="15.75" customHeight="1">
      <c r="A3395" s="21">
        <v>45605.0</v>
      </c>
      <c r="B3395" s="29">
        <v>0.21180555555555555</v>
      </c>
      <c r="C3395" s="22" t="s">
        <v>191</v>
      </c>
      <c r="D3395" s="22" t="s">
        <v>161</v>
      </c>
      <c r="E3395" s="22" t="s">
        <v>222</v>
      </c>
      <c r="F3395" s="22" t="s">
        <v>223</v>
      </c>
      <c r="G3395" s="22" t="s">
        <v>221</v>
      </c>
      <c r="H3395" s="18"/>
      <c r="I3395" s="18"/>
      <c r="J3395" s="18"/>
      <c r="K3395" s="18"/>
      <c r="L3395" s="18"/>
      <c r="M3395" s="18"/>
      <c r="N3395" s="18"/>
      <c r="O3395" s="18"/>
      <c r="P3395" s="18"/>
      <c r="Q3395" s="19"/>
      <c r="R3395" s="19"/>
      <c r="S3395" s="19"/>
      <c r="T3395" s="18"/>
      <c r="U3395" s="18"/>
      <c r="V3395" s="18"/>
      <c r="W3395" s="18"/>
      <c r="X3395" s="18"/>
      <c r="Y3395" s="18"/>
      <c r="Z3395" s="18"/>
    </row>
    <row r="3396" ht="15.75" customHeight="1">
      <c r="A3396" s="31">
        <v>45609.0</v>
      </c>
      <c r="B3396" s="24" t="s">
        <v>8319</v>
      </c>
      <c r="C3396" s="24" t="s">
        <v>191</v>
      </c>
      <c r="D3396" s="24" t="s">
        <v>225</v>
      </c>
      <c r="E3396" s="24" t="s">
        <v>226</v>
      </c>
      <c r="F3396" s="24" t="s">
        <v>227</v>
      </c>
      <c r="G3396" s="24" t="s">
        <v>221</v>
      </c>
      <c r="H3396" s="18"/>
      <c r="I3396" s="18"/>
      <c r="J3396" s="18"/>
      <c r="K3396" s="18"/>
      <c r="L3396" s="18"/>
      <c r="M3396" s="18"/>
      <c r="N3396" s="18"/>
      <c r="O3396" s="18"/>
      <c r="P3396" s="18"/>
      <c r="Q3396" s="19"/>
      <c r="R3396" s="19"/>
      <c r="S3396" s="19"/>
      <c r="T3396" s="18"/>
      <c r="U3396" s="18"/>
      <c r="V3396" s="18"/>
      <c r="W3396" s="18"/>
      <c r="X3396" s="18"/>
      <c r="Y3396" s="18"/>
      <c r="Z3396" s="18"/>
    </row>
    <row r="3397" ht="15.75" customHeight="1">
      <c r="A3397" s="21">
        <v>45629.0</v>
      </c>
      <c r="B3397" s="29">
        <v>0.8173611111111111</v>
      </c>
      <c r="C3397" s="22" t="s">
        <v>191</v>
      </c>
      <c r="D3397" s="22" t="s">
        <v>161</v>
      </c>
      <c r="E3397" s="22" t="s">
        <v>228</v>
      </c>
      <c r="F3397" s="22" t="s">
        <v>229</v>
      </c>
      <c r="G3397" s="22" t="s">
        <v>230</v>
      </c>
      <c r="H3397" s="18"/>
      <c r="I3397" s="18"/>
      <c r="J3397" s="18"/>
      <c r="K3397" s="18"/>
      <c r="L3397" s="18"/>
      <c r="M3397" s="18"/>
      <c r="N3397" s="18"/>
      <c r="O3397" s="18"/>
      <c r="P3397" s="18"/>
      <c r="Q3397" s="19"/>
      <c r="R3397" s="19"/>
      <c r="S3397" s="19"/>
      <c r="T3397" s="18"/>
      <c r="U3397" s="18"/>
      <c r="V3397" s="18"/>
      <c r="W3397" s="18"/>
      <c r="X3397" s="18"/>
      <c r="Y3397" s="18"/>
      <c r="Z3397" s="18"/>
    </row>
    <row r="3398" ht="15.75" customHeight="1">
      <c r="A3398" s="23">
        <v>45629.0</v>
      </c>
      <c r="B3398" s="30">
        <v>0.8493055555555555</v>
      </c>
      <c r="C3398" s="24" t="s">
        <v>191</v>
      </c>
      <c r="D3398" s="24" t="s">
        <v>161</v>
      </c>
      <c r="E3398" s="24" t="s">
        <v>231</v>
      </c>
      <c r="F3398" s="24" t="s">
        <v>232</v>
      </c>
      <c r="G3398" s="24" t="s">
        <v>164</v>
      </c>
      <c r="H3398" s="18"/>
      <c r="I3398" s="18"/>
      <c r="J3398" s="18"/>
      <c r="K3398" s="18"/>
      <c r="L3398" s="18"/>
      <c r="M3398" s="18"/>
      <c r="N3398" s="18"/>
      <c r="O3398" s="18"/>
      <c r="P3398" s="18"/>
      <c r="Q3398" s="19"/>
      <c r="R3398" s="19"/>
      <c r="S3398" s="19"/>
      <c r="T3398" s="18"/>
      <c r="U3398" s="18"/>
      <c r="V3398" s="18"/>
      <c r="W3398" s="18"/>
      <c r="X3398" s="18"/>
      <c r="Y3398" s="18"/>
      <c r="Z3398" s="18"/>
    </row>
    <row r="3399" ht="15.75" customHeight="1">
      <c r="A3399" s="21">
        <v>45630.0</v>
      </c>
      <c r="B3399" s="29">
        <v>0.5</v>
      </c>
      <c r="C3399" s="22" t="s">
        <v>191</v>
      </c>
      <c r="D3399" s="22" t="s">
        <v>161</v>
      </c>
      <c r="E3399" s="22" t="s">
        <v>233</v>
      </c>
      <c r="F3399" s="22" t="s">
        <v>234</v>
      </c>
      <c r="G3399" s="22" t="s">
        <v>164</v>
      </c>
      <c r="H3399" s="18"/>
      <c r="I3399" s="18"/>
      <c r="J3399" s="18"/>
      <c r="K3399" s="18"/>
      <c r="L3399" s="18"/>
      <c r="M3399" s="18"/>
      <c r="N3399" s="18"/>
      <c r="O3399" s="18"/>
      <c r="P3399" s="18"/>
      <c r="Q3399" s="19"/>
      <c r="R3399" s="19"/>
      <c r="S3399" s="19"/>
      <c r="T3399" s="18"/>
      <c r="U3399" s="18"/>
      <c r="V3399" s="18"/>
      <c r="W3399" s="18"/>
      <c r="X3399" s="18"/>
      <c r="Y3399" s="18"/>
      <c r="Z3399" s="18"/>
    </row>
    <row r="3400" ht="15.75" customHeight="1">
      <c r="A3400" s="23">
        <v>45630.0</v>
      </c>
      <c r="B3400" s="30">
        <v>0.6180555555555556</v>
      </c>
      <c r="C3400" s="24" t="s">
        <v>191</v>
      </c>
      <c r="D3400" s="24" t="s">
        <v>161</v>
      </c>
      <c r="E3400" s="24" t="s">
        <v>235</v>
      </c>
      <c r="F3400" s="24" t="s">
        <v>236</v>
      </c>
      <c r="G3400" s="24" t="s">
        <v>164</v>
      </c>
      <c r="H3400" s="18"/>
      <c r="I3400" s="18"/>
      <c r="J3400" s="18"/>
      <c r="K3400" s="18"/>
      <c r="L3400" s="18"/>
      <c r="M3400" s="18"/>
      <c r="N3400" s="18"/>
      <c r="O3400" s="18"/>
      <c r="P3400" s="18"/>
      <c r="Q3400" s="19"/>
      <c r="R3400" s="19"/>
      <c r="S3400" s="19"/>
      <c r="T3400" s="18"/>
      <c r="U3400" s="18"/>
      <c r="V3400" s="18"/>
      <c r="W3400" s="18"/>
      <c r="X3400" s="18"/>
      <c r="Y3400" s="18"/>
      <c r="Z3400" s="18"/>
    </row>
    <row r="3401" ht="15.75" customHeight="1">
      <c r="A3401" s="21">
        <v>45632.0</v>
      </c>
      <c r="B3401" s="29">
        <v>0.5020833333333333</v>
      </c>
      <c r="C3401" s="22" t="s">
        <v>191</v>
      </c>
      <c r="D3401" s="22" t="s">
        <v>161</v>
      </c>
      <c r="E3401" s="22" t="s">
        <v>237</v>
      </c>
      <c r="F3401" s="22" t="s">
        <v>238</v>
      </c>
      <c r="G3401" s="22" t="s">
        <v>164</v>
      </c>
      <c r="H3401" s="18"/>
      <c r="I3401" s="18"/>
      <c r="J3401" s="18"/>
      <c r="K3401" s="18"/>
      <c r="L3401" s="18"/>
      <c r="M3401" s="18"/>
      <c r="N3401" s="18"/>
      <c r="O3401" s="18"/>
      <c r="P3401" s="18"/>
      <c r="Q3401" s="19"/>
      <c r="R3401" s="19"/>
      <c r="S3401" s="19"/>
      <c r="T3401" s="18"/>
      <c r="U3401" s="18"/>
      <c r="V3401" s="18"/>
      <c r="W3401" s="18"/>
      <c r="X3401" s="18"/>
      <c r="Y3401" s="18"/>
      <c r="Z3401" s="18"/>
    </row>
    <row r="3402" ht="15.75" customHeight="1">
      <c r="A3402" s="23">
        <v>45632.0</v>
      </c>
      <c r="B3402" s="30">
        <v>0.6472222222222223</v>
      </c>
      <c r="C3402" s="24" t="s">
        <v>159</v>
      </c>
      <c r="D3402" s="24" t="s">
        <v>161</v>
      </c>
      <c r="E3402" s="24" t="s">
        <v>239</v>
      </c>
      <c r="F3402" s="24" t="s">
        <v>240</v>
      </c>
      <c r="G3402" s="24" t="s">
        <v>164</v>
      </c>
      <c r="H3402" s="18"/>
      <c r="I3402" s="18"/>
      <c r="J3402" s="18"/>
      <c r="K3402" s="18"/>
      <c r="L3402" s="18"/>
      <c r="M3402" s="18"/>
      <c r="N3402" s="18"/>
      <c r="O3402" s="18"/>
      <c r="P3402" s="18"/>
      <c r="Q3402" s="19"/>
      <c r="R3402" s="19"/>
      <c r="S3402" s="19"/>
      <c r="T3402" s="18"/>
      <c r="U3402" s="18"/>
      <c r="V3402" s="18"/>
      <c r="W3402" s="18"/>
      <c r="X3402" s="18"/>
      <c r="Y3402" s="18"/>
      <c r="Z3402" s="18"/>
    </row>
    <row r="3403" ht="15.75" customHeight="1">
      <c r="A3403" s="21">
        <v>45632.0</v>
      </c>
      <c r="B3403" s="29">
        <v>0.6868055555555556</v>
      </c>
      <c r="C3403" s="22" t="s">
        <v>190</v>
      </c>
      <c r="D3403" s="22" t="s">
        <v>208</v>
      </c>
      <c r="E3403" s="22" t="s">
        <v>241</v>
      </c>
      <c r="F3403" s="22" t="s">
        <v>242</v>
      </c>
      <c r="G3403" s="22" t="s">
        <v>211</v>
      </c>
      <c r="H3403" s="18"/>
      <c r="I3403" s="18"/>
      <c r="J3403" s="18"/>
      <c r="K3403" s="18"/>
      <c r="L3403" s="18"/>
      <c r="M3403" s="18"/>
      <c r="N3403" s="18"/>
      <c r="O3403" s="18"/>
      <c r="P3403" s="18"/>
      <c r="Q3403" s="19"/>
      <c r="R3403" s="19"/>
      <c r="S3403" s="19"/>
      <c r="T3403" s="18"/>
      <c r="U3403" s="18"/>
      <c r="V3403" s="18"/>
      <c r="W3403" s="18"/>
      <c r="X3403" s="18"/>
      <c r="Y3403" s="18"/>
      <c r="Z3403" s="18"/>
    </row>
    <row r="3404" ht="15.75" customHeight="1">
      <c r="A3404" s="31">
        <v>45632.0</v>
      </c>
      <c r="B3404" s="24" t="s">
        <v>8320</v>
      </c>
      <c r="C3404" s="24" t="s">
        <v>207</v>
      </c>
      <c r="D3404" s="24" t="s">
        <v>208</v>
      </c>
      <c r="E3404" s="24" t="s">
        <v>244</v>
      </c>
      <c r="F3404" s="24" t="s">
        <v>245</v>
      </c>
      <c r="G3404" s="24" t="s">
        <v>211</v>
      </c>
      <c r="H3404" s="18"/>
      <c r="I3404" s="18"/>
      <c r="J3404" s="18"/>
      <c r="K3404" s="18"/>
      <c r="L3404" s="18"/>
      <c r="M3404" s="18"/>
      <c r="N3404" s="18"/>
      <c r="O3404" s="18"/>
      <c r="P3404" s="18"/>
      <c r="Q3404" s="19"/>
      <c r="R3404" s="19"/>
      <c r="S3404" s="19"/>
      <c r="T3404" s="18"/>
      <c r="U3404" s="18"/>
      <c r="V3404" s="18"/>
      <c r="W3404" s="18"/>
      <c r="X3404" s="18"/>
      <c r="Y3404" s="18"/>
      <c r="Z3404" s="18"/>
    </row>
    <row r="3405" ht="15.75" customHeight="1">
      <c r="A3405" s="21">
        <v>45635.0</v>
      </c>
      <c r="B3405" s="29">
        <v>0.6180555555555556</v>
      </c>
      <c r="C3405" s="22" t="s">
        <v>160</v>
      </c>
      <c r="D3405" s="22" t="s">
        <v>161</v>
      </c>
      <c r="E3405" s="22" t="s">
        <v>246</v>
      </c>
      <c r="F3405" s="22" t="s">
        <v>247</v>
      </c>
      <c r="G3405" s="22" t="s">
        <v>164</v>
      </c>
      <c r="H3405" s="18"/>
      <c r="I3405" s="18"/>
      <c r="J3405" s="18"/>
      <c r="K3405" s="18"/>
      <c r="L3405" s="18"/>
      <c r="M3405" s="18"/>
      <c r="N3405" s="18"/>
      <c r="O3405" s="18"/>
      <c r="P3405" s="18"/>
      <c r="Q3405" s="19"/>
      <c r="R3405" s="19"/>
      <c r="S3405" s="19"/>
      <c r="T3405" s="18"/>
      <c r="U3405" s="18"/>
      <c r="V3405" s="18"/>
      <c r="W3405" s="18"/>
      <c r="X3405" s="18"/>
      <c r="Y3405" s="18"/>
      <c r="Z3405" s="18"/>
    </row>
    <row r="3406" ht="15.75" customHeight="1">
      <c r="A3406" s="23">
        <v>45635.0</v>
      </c>
      <c r="B3406" s="30">
        <v>0.7430555555555556</v>
      </c>
      <c r="C3406" s="24" t="s">
        <v>160</v>
      </c>
      <c r="D3406" s="24" t="s">
        <v>161</v>
      </c>
      <c r="E3406" s="24" t="s">
        <v>248</v>
      </c>
      <c r="F3406" s="24" t="s">
        <v>249</v>
      </c>
      <c r="G3406" s="24" t="s">
        <v>164</v>
      </c>
      <c r="H3406" s="18"/>
      <c r="I3406" s="18"/>
      <c r="J3406" s="18"/>
      <c r="K3406" s="18"/>
      <c r="L3406" s="18"/>
      <c r="M3406" s="18"/>
      <c r="N3406" s="18"/>
      <c r="O3406" s="18"/>
      <c r="P3406" s="18"/>
      <c r="Q3406" s="19"/>
      <c r="R3406" s="19"/>
      <c r="S3406" s="19"/>
      <c r="T3406" s="18"/>
      <c r="U3406" s="18"/>
      <c r="V3406" s="18"/>
      <c r="W3406" s="18"/>
      <c r="X3406" s="18"/>
      <c r="Y3406" s="18"/>
      <c r="Z3406" s="18"/>
    </row>
    <row r="3407" ht="15.75" customHeight="1">
      <c r="A3407" s="32">
        <v>45635.0</v>
      </c>
      <c r="B3407" s="22" t="s">
        <v>8321</v>
      </c>
      <c r="C3407" s="22" t="s">
        <v>34</v>
      </c>
      <c r="D3407" s="22" t="s">
        <v>161</v>
      </c>
      <c r="E3407" s="22" t="s">
        <v>251</v>
      </c>
      <c r="F3407" s="22" t="s">
        <v>252</v>
      </c>
      <c r="G3407" s="22" t="s">
        <v>164</v>
      </c>
      <c r="H3407" s="18"/>
      <c r="I3407" s="18"/>
      <c r="J3407" s="18"/>
      <c r="K3407" s="18"/>
      <c r="L3407" s="18"/>
      <c r="M3407" s="18"/>
      <c r="N3407" s="18"/>
      <c r="O3407" s="18"/>
      <c r="P3407" s="18"/>
      <c r="Q3407" s="19"/>
      <c r="R3407" s="19"/>
      <c r="S3407" s="19"/>
      <c r="T3407" s="18"/>
      <c r="U3407" s="18"/>
      <c r="V3407" s="18"/>
      <c r="W3407" s="18"/>
      <c r="X3407" s="18"/>
      <c r="Y3407" s="18"/>
      <c r="Z3407" s="18"/>
    </row>
    <row r="3408" ht="15.75" customHeight="1">
      <c r="A3408" s="23">
        <v>45635.0</v>
      </c>
      <c r="B3408" s="30">
        <v>0.7555555555555555</v>
      </c>
      <c r="C3408" s="24" t="s">
        <v>34</v>
      </c>
      <c r="D3408" s="24" t="s">
        <v>161</v>
      </c>
      <c r="E3408" s="24" t="s">
        <v>253</v>
      </c>
      <c r="F3408" s="24" t="s">
        <v>254</v>
      </c>
      <c r="G3408" s="24" t="s">
        <v>164</v>
      </c>
      <c r="H3408" s="18"/>
      <c r="I3408" s="18"/>
      <c r="J3408" s="18"/>
      <c r="K3408" s="18"/>
      <c r="L3408" s="18"/>
      <c r="M3408" s="18"/>
      <c r="N3408" s="18"/>
      <c r="O3408" s="18"/>
      <c r="P3408" s="18"/>
      <c r="Q3408" s="19"/>
      <c r="R3408" s="19"/>
      <c r="S3408" s="19"/>
      <c r="T3408" s="18"/>
      <c r="U3408" s="18"/>
      <c r="V3408" s="18"/>
      <c r="W3408" s="18"/>
      <c r="X3408" s="18"/>
      <c r="Y3408" s="18"/>
      <c r="Z3408" s="18"/>
    </row>
    <row r="3409" ht="15.75" customHeight="1">
      <c r="A3409" s="21">
        <v>45635.0</v>
      </c>
      <c r="B3409" s="29">
        <v>0.7854166666666667</v>
      </c>
      <c r="C3409" s="22" t="s">
        <v>160</v>
      </c>
      <c r="D3409" s="22" t="s">
        <v>161</v>
      </c>
      <c r="E3409" s="22" t="s">
        <v>255</v>
      </c>
      <c r="F3409" s="22" t="s">
        <v>256</v>
      </c>
      <c r="G3409" s="22" t="s">
        <v>164</v>
      </c>
      <c r="H3409" s="18"/>
      <c r="I3409" s="18"/>
      <c r="J3409" s="18"/>
      <c r="K3409" s="18"/>
      <c r="L3409" s="18"/>
      <c r="M3409" s="18"/>
      <c r="N3409" s="18"/>
      <c r="O3409" s="18"/>
      <c r="P3409" s="18"/>
      <c r="Q3409" s="19"/>
      <c r="R3409" s="19"/>
      <c r="S3409" s="19"/>
      <c r="T3409" s="18"/>
      <c r="U3409" s="18"/>
      <c r="V3409" s="18"/>
      <c r="W3409" s="18"/>
      <c r="X3409" s="18"/>
      <c r="Y3409" s="18"/>
      <c r="Z3409" s="18"/>
    </row>
    <row r="3410" ht="15.75" customHeight="1">
      <c r="A3410" s="31">
        <v>45635.0</v>
      </c>
      <c r="B3410" s="24" t="s">
        <v>8322</v>
      </c>
      <c r="C3410" s="24" t="s">
        <v>160</v>
      </c>
      <c r="D3410" s="24" t="s">
        <v>161</v>
      </c>
      <c r="E3410" s="24" t="s">
        <v>258</v>
      </c>
      <c r="F3410" s="24" t="s">
        <v>259</v>
      </c>
      <c r="G3410" s="24" t="s">
        <v>164</v>
      </c>
      <c r="H3410" s="18"/>
      <c r="I3410" s="18"/>
      <c r="J3410" s="18"/>
      <c r="K3410" s="18"/>
      <c r="L3410" s="18"/>
      <c r="M3410" s="18"/>
      <c r="N3410" s="18"/>
      <c r="O3410" s="18"/>
      <c r="P3410" s="18"/>
      <c r="Q3410" s="19"/>
      <c r="R3410" s="19"/>
      <c r="S3410" s="19"/>
      <c r="T3410" s="18"/>
      <c r="U3410" s="18"/>
      <c r="V3410" s="18"/>
      <c r="W3410" s="18"/>
      <c r="X3410" s="18"/>
      <c r="Y3410" s="18"/>
      <c r="Z3410" s="18"/>
    </row>
    <row r="3411" ht="15.75" customHeight="1">
      <c r="A3411" s="32">
        <v>45635.0</v>
      </c>
      <c r="B3411" s="22" t="s">
        <v>8322</v>
      </c>
      <c r="C3411" s="22" t="s">
        <v>34</v>
      </c>
      <c r="D3411" s="22" t="s">
        <v>161</v>
      </c>
      <c r="E3411" s="22" t="s">
        <v>260</v>
      </c>
      <c r="F3411" s="22" t="s">
        <v>261</v>
      </c>
      <c r="G3411" s="22" t="s">
        <v>164</v>
      </c>
      <c r="H3411" s="18"/>
      <c r="I3411" s="18"/>
      <c r="J3411" s="18"/>
      <c r="K3411" s="18"/>
      <c r="L3411" s="18"/>
      <c r="M3411" s="18"/>
      <c r="N3411" s="18"/>
      <c r="O3411" s="18"/>
      <c r="P3411" s="18"/>
      <c r="Q3411" s="19"/>
      <c r="R3411" s="19"/>
      <c r="S3411" s="19"/>
      <c r="T3411" s="18"/>
      <c r="U3411" s="18"/>
      <c r="V3411" s="18"/>
      <c r="W3411" s="18"/>
      <c r="X3411" s="18"/>
      <c r="Y3411" s="18"/>
      <c r="Z3411" s="18"/>
    </row>
    <row r="3412" ht="15.75" customHeight="1">
      <c r="A3412" s="31">
        <v>45635.0</v>
      </c>
      <c r="B3412" s="24" t="s">
        <v>8322</v>
      </c>
      <c r="C3412" s="24" t="s">
        <v>160</v>
      </c>
      <c r="D3412" s="24" t="s">
        <v>161</v>
      </c>
      <c r="E3412" s="24" t="s">
        <v>262</v>
      </c>
      <c r="F3412" s="24" t="s">
        <v>263</v>
      </c>
      <c r="G3412" s="24" t="s">
        <v>164</v>
      </c>
      <c r="H3412" s="18"/>
      <c r="I3412" s="18"/>
      <c r="J3412" s="18"/>
      <c r="K3412" s="18"/>
      <c r="L3412" s="18"/>
      <c r="M3412" s="18"/>
      <c r="N3412" s="18"/>
      <c r="O3412" s="18"/>
      <c r="P3412" s="18"/>
      <c r="Q3412" s="19"/>
      <c r="R3412" s="19"/>
      <c r="S3412" s="19"/>
      <c r="T3412" s="18"/>
      <c r="U3412" s="18"/>
      <c r="V3412" s="18"/>
      <c r="W3412" s="18"/>
      <c r="X3412" s="18"/>
      <c r="Y3412" s="18"/>
      <c r="Z3412" s="18"/>
    </row>
    <row r="3413" ht="15.75" customHeight="1">
      <c r="A3413" s="21">
        <v>45636.0</v>
      </c>
      <c r="B3413" s="29">
        <v>0.3576388888888889</v>
      </c>
      <c r="C3413" s="22" t="s">
        <v>264</v>
      </c>
      <c r="D3413" s="22" t="s">
        <v>9</v>
      </c>
      <c r="E3413" s="22" t="s">
        <v>265</v>
      </c>
      <c r="F3413" s="22" t="s">
        <v>266</v>
      </c>
      <c r="G3413" s="22" t="s">
        <v>267</v>
      </c>
      <c r="H3413" s="18"/>
      <c r="I3413" s="18"/>
      <c r="J3413" s="18"/>
      <c r="K3413" s="18"/>
      <c r="L3413" s="18"/>
      <c r="M3413" s="18"/>
      <c r="N3413" s="18"/>
      <c r="O3413" s="18"/>
      <c r="P3413" s="18"/>
      <c r="Q3413" s="19"/>
      <c r="R3413" s="19"/>
      <c r="S3413" s="19"/>
      <c r="T3413" s="18"/>
      <c r="U3413" s="18"/>
      <c r="V3413" s="18"/>
      <c r="W3413" s="18"/>
      <c r="X3413" s="18"/>
      <c r="Y3413" s="18"/>
      <c r="Z3413" s="18"/>
    </row>
    <row r="3414" ht="15.75" customHeight="1">
      <c r="A3414" s="23">
        <v>45636.0</v>
      </c>
      <c r="B3414" s="30">
        <v>0.3861111111111111</v>
      </c>
      <c r="C3414" s="24" t="s">
        <v>160</v>
      </c>
      <c r="D3414" s="24" t="s">
        <v>161</v>
      </c>
      <c r="E3414" s="24" t="s">
        <v>268</v>
      </c>
      <c r="F3414" s="24" t="s">
        <v>269</v>
      </c>
      <c r="G3414" s="24" t="s">
        <v>164</v>
      </c>
      <c r="H3414" s="18"/>
      <c r="I3414" s="18"/>
      <c r="J3414" s="18"/>
      <c r="K3414" s="18"/>
      <c r="L3414" s="18"/>
      <c r="M3414" s="18"/>
      <c r="N3414" s="18"/>
      <c r="O3414" s="18"/>
      <c r="P3414" s="18"/>
      <c r="Q3414" s="19"/>
      <c r="R3414" s="19"/>
      <c r="S3414" s="19"/>
      <c r="T3414" s="18"/>
      <c r="U3414" s="18"/>
      <c r="V3414" s="18"/>
      <c r="W3414" s="18"/>
      <c r="X3414" s="18"/>
      <c r="Y3414" s="18"/>
      <c r="Z3414" s="18"/>
    </row>
    <row r="3415" ht="15.75" customHeight="1">
      <c r="A3415" s="21">
        <v>45636.0</v>
      </c>
      <c r="B3415" s="29">
        <v>0.40069444444444446</v>
      </c>
      <c r="C3415" s="22" t="s">
        <v>160</v>
      </c>
      <c r="D3415" s="22" t="s">
        <v>9</v>
      </c>
      <c r="E3415" s="22" t="s">
        <v>270</v>
      </c>
      <c r="F3415" s="22" t="s">
        <v>271</v>
      </c>
      <c r="G3415" s="22" t="s">
        <v>267</v>
      </c>
      <c r="H3415" s="18"/>
      <c r="I3415" s="18"/>
      <c r="J3415" s="18"/>
      <c r="K3415" s="18"/>
      <c r="L3415" s="18"/>
      <c r="M3415" s="18"/>
      <c r="N3415" s="18"/>
      <c r="O3415" s="18"/>
      <c r="P3415" s="18"/>
      <c r="Q3415" s="19"/>
      <c r="R3415" s="19"/>
      <c r="S3415" s="19"/>
      <c r="T3415" s="18"/>
      <c r="U3415" s="18"/>
      <c r="V3415" s="18"/>
      <c r="W3415" s="18"/>
      <c r="X3415" s="18"/>
      <c r="Y3415" s="18"/>
      <c r="Z3415" s="18"/>
    </row>
    <row r="3416" ht="15.75" customHeight="1">
      <c r="A3416" s="23">
        <v>45636.0</v>
      </c>
      <c r="B3416" s="30">
        <v>0.6805555555555556</v>
      </c>
      <c r="C3416" s="24" t="s">
        <v>264</v>
      </c>
      <c r="D3416" s="24" t="s">
        <v>9</v>
      </c>
      <c r="E3416" s="24" t="s">
        <v>272</v>
      </c>
      <c r="F3416" s="24" t="s">
        <v>273</v>
      </c>
      <c r="G3416" s="24" t="s">
        <v>267</v>
      </c>
      <c r="H3416" s="18"/>
      <c r="I3416" s="18"/>
      <c r="J3416" s="18"/>
      <c r="K3416" s="18"/>
      <c r="L3416" s="18"/>
      <c r="M3416" s="18"/>
      <c r="N3416" s="18"/>
      <c r="O3416" s="18"/>
      <c r="P3416" s="18"/>
      <c r="Q3416" s="19"/>
      <c r="R3416" s="19"/>
      <c r="S3416" s="19"/>
      <c r="T3416" s="18"/>
      <c r="U3416" s="18"/>
      <c r="V3416" s="18"/>
      <c r="W3416" s="18"/>
      <c r="X3416" s="18"/>
      <c r="Y3416" s="18"/>
      <c r="Z3416" s="18"/>
    </row>
    <row r="3417" ht="15.75" customHeight="1">
      <c r="A3417" s="21">
        <v>45636.0</v>
      </c>
      <c r="B3417" s="29">
        <v>0.6986111111111111</v>
      </c>
      <c r="C3417" s="22" t="s">
        <v>160</v>
      </c>
      <c r="D3417" s="22" t="s">
        <v>9</v>
      </c>
      <c r="E3417" s="22" t="s">
        <v>274</v>
      </c>
      <c r="F3417" s="22" t="s">
        <v>275</v>
      </c>
      <c r="G3417" s="22" t="s">
        <v>267</v>
      </c>
      <c r="H3417" s="18"/>
      <c r="I3417" s="18"/>
      <c r="J3417" s="18"/>
      <c r="K3417" s="18"/>
      <c r="L3417" s="18"/>
      <c r="M3417" s="18"/>
      <c r="N3417" s="18"/>
      <c r="O3417" s="18"/>
      <c r="P3417" s="18"/>
      <c r="Q3417" s="19"/>
      <c r="R3417" s="19"/>
      <c r="S3417" s="19"/>
      <c r="T3417" s="18"/>
      <c r="U3417" s="18"/>
      <c r="V3417" s="18"/>
      <c r="W3417" s="18"/>
      <c r="X3417" s="18"/>
      <c r="Y3417" s="18"/>
      <c r="Z3417" s="18"/>
    </row>
    <row r="3418" ht="15.75" customHeight="1">
      <c r="A3418" s="23">
        <v>45636.0</v>
      </c>
      <c r="B3418" s="30">
        <v>0.7208333333333333</v>
      </c>
      <c r="C3418" s="24" t="s">
        <v>264</v>
      </c>
      <c r="D3418" s="24" t="s">
        <v>9</v>
      </c>
      <c r="E3418" s="24" t="s">
        <v>276</v>
      </c>
      <c r="F3418" s="24" t="s">
        <v>277</v>
      </c>
      <c r="G3418" s="24" t="s">
        <v>267</v>
      </c>
      <c r="H3418" s="18"/>
      <c r="I3418" s="18"/>
      <c r="J3418" s="18"/>
      <c r="K3418" s="18"/>
      <c r="L3418" s="18"/>
      <c r="M3418" s="18"/>
      <c r="N3418" s="18"/>
      <c r="O3418" s="18"/>
      <c r="P3418" s="18"/>
      <c r="Q3418" s="19"/>
      <c r="R3418" s="19"/>
      <c r="S3418" s="19"/>
      <c r="T3418" s="18"/>
      <c r="U3418" s="18"/>
      <c r="V3418" s="18"/>
      <c r="W3418" s="18"/>
      <c r="X3418" s="18"/>
      <c r="Y3418" s="18"/>
      <c r="Z3418" s="18"/>
    </row>
    <row r="3419" ht="15.75" customHeight="1">
      <c r="A3419" s="21">
        <v>45636.0</v>
      </c>
      <c r="B3419" s="29">
        <v>0.83125</v>
      </c>
      <c r="C3419" s="22" t="s">
        <v>160</v>
      </c>
      <c r="D3419" s="22" t="s">
        <v>161</v>
      </c>
      <c r="E3419" s="22" t="s">
        <v>278</v>
      </c>
      <c r="F3419" s="22" t="s">
        <v>279</v>
      </c>
      <c r="G3419" s="22" t="s">
        <v>164</v>
      </c>
      <c r="H3419" s="18"/>
      <c r="I3419" s="18"/>
      <c r="J3419" s="18"/>
      <c r="K3419" s="18"/>
      <c r="L3419" s="18"/>
      <c r="M3419" s="18"/>
      <c r="N3419" s="18"/>
      <c r="O3419" s="18"/>
      <c r="P3419" s="18"/>
      <c r="Q3419" s="19"/>
      <c r="R3419" s="19"/>
      <c r="S3419" s="19"/>
      <c r="T3419" s="18"/>
      <c r="U3419" s="18"/>
      <c r="V3419" s="18"/>
      <c r="W3419" s="18"/>
      <c r="X3419" s="18"/>
      <c r="Y3419" s="18"/>
      <c r="Z3419" s="18"/>
    </row>
    <row r="3420" ht="15.75" customHeight="1">
      <c r="A3420" s="31">
        <v>45636.0</v>
      </c>
      <c r="B3420" s="24" t="s">
        <v>8323</v>
      </c>
      <c r="C3420" s="24" t="s">
        <v>160</v>
      </c>
      <c r="D3420" s="24" t="s">
        <v>9</v>
      </c>
      <c r="E3420" s="24" t="s">
        <v>281</v>
      </c>
      <c r="F3420" s="24" t="s">
        <v>282</v>
      </c>
      <c r="G3420" s="24" t="s">
        <v>267</v>
      </c>
      <c r="H3420" s="18"/>
      <c r="I3420" s="18"/>
      <c r="J3420" s="18"/>
      <c r="K3420" s="18"/>
      <c r="L3420" s="18"/>
      <c r="M3420" s="18"/>
      <c r="N3420" s="18"/>
      <c r="O3420" s="18"/>
      <c r="P3420" s="18"/>
      <c r="Q3420" s="19"/>
      <c r="R3420" s="19"/>
      <c r="S3420" s="19"/>
      <c r="T3420" s="18"/>
      <c r="U3420" s="18"/>
      <c r="V3420" s="18"/>
      <c r="W3420" s="18"/>
      <c r="X3420" s="18"/>
      <c r="Y3420" s="18"/>
      <c r="Z3420" s="18"/>
    </row>
    <row r="3421" ht="15.75" customHeight="1">
      <c r="A3421" s="21">
        <v>45637.0</v>
      </c>
      <c r="B3421" s="29">
        <v>0.020833333333333332</v>
      </c>
      <c r="C3421" s="22" t="s">
        <v>160</v>
      </c>
      <c r="D3421" s="22" t="s">
        <v>161</v>
      </c>
      <c r="E3421" s="22" t="s">
        <v>283</v>
      </c>
      <c r="F3421" s="22" t="s">
        <v>284</v>
      </c>
      <c r="G3421" s="22" t="s">
        <v>164</v>
      </c>
      <c r="H3421" s="18"/>
      <c r="I3421" s="18"/>
      <c r="J3421" s="18"/>
      <c r="K3421" s="18"/>
      <c r="L3421" s="18"/>
      <c r="M3421" s="18"/>
      <c r="N3421" s="18"/>
      <c r="O3421" s="18"/>
      <c r="P3421" s="18"/>
      <c r="Q3421" s="19"/>
      <c r="R3421" s="19"/>
      <c r="S3421" s="19"/>
      <c r="T3421" s="18"/>
      <c r="U3421" s="18"/>
      <c r="V3421" s="18"/>
      <c r="W3421" s="18"/>
      <c r="X3421" s="18"/>
      <c r="Y3421" s="18"/>
      <c r="Z3421" s="18"/>
    </row>
    <row r="3422" ht="15.75" customHeight="1">
      <c r="A3422" s="23">
        <v>45637.0</v>
      </c>
      <c r="B3422" s="30">
        <v>0.06111111111111111</v>
      </c>
      <c r="C3422" s="24" t="s">
        <v>160</v>
      </c>
      <c r="D3422" s="24" t="s">
        <v>161</v>
      </c>
      <c r="E3422" s="24" t="s">
        <v>285</v>
      </c>
      <c r="F3422" s="24" t="s">
        <v>286</v>
      </c>
      <c r="G3422" s="24" t="s">
        <v>164</v>
      </c>
      <c r="H3422" s="18"/>
      <c r="I3422" s="18"/>
      <c r="J3422" s="18"/>
      <c r="K3422" s="18"/>
      <c r="L3422" s="18"/>
      <c r="M3422" s="18"/>
      <c r="N3422" s="18"/>
      <c r="O3422" s="18"/>
      <c r="P3422" s="18"/>
      <c r="Q3422" s="19"/>
      <c r="R3422" s="19"/>
      <c r="S3422" s="19"/>
      <c r="T3422" s="18"/>
      <c r="U3422" s="18"/>
      <c r="V3422" s="18"/>
      <c r="W3422" s="18"/>
      <c r="X3422" s="18"/>
      <c r="Y3422" s="18"/>
      <c r="Z3422" s="18"/>
    </row>
    <row r="3423" ht="15.75" customHeight="1">
      <c r="A3423" s="21">
        <v>45637.0</v>
      </c>
      <c r="B3423" s="29">
        <v>0.34930555555555554</v>
      </c>
      <c r="C3423" s="22" t="s">
        <v>287</v>
      </c>
      <c r="D3423" s="22" t="s">
        <v>161</v>
      </c>
      <c r="E3423" s="22" t="s">
        <v>288</v>
      </c>
      <c r="F3423" s="22" t="s">
        <v>289</v>
      </c>
      <c r="G3423" s="22" t="s">
        <v>164</v>
      </c>
      <c r="H3423" s="18"/>
      <c r="I3423" s="18"/>
      <c r="J3423" s="18"/>
      <c r="K3423" s="18"/>
      <c r="L3423" s="18"/>
      <c r="M3423" s="18"/>
      <c r="N3423" s="18"/>
      <c r="O3423" s="18"/>
      <c r="P3423" s="18"/>
      <c r="Q3423" s="19"/>
      <c r="R3423" s="19"/>
      <c r="S3423" s="19"/>
      <c r="T3423" s="18"/>
      <c r="U3423" s="18"/>
      <c r="V3423" s="18"/>
      <c r="W3423" s="18"/>
      <c r="X3423" s="18"/>
      <c r="Y3423" s="18"/>
      <c r="Z3423" s="18"/>
    </row>
    <row r="3424" ht="15.75" customHeight="1">
      <c r="A3424" s="23">
        <v>45637.0</v>
      </c>
      <c r="B3424" s="30">
        <v>0.5444444444444444</v>
      </c>
      <c r="C3424" s="24" t="s">
        <v>160</v>
      </c>
      <c r="D3424" s="24" t="s">
        <v>161</v>
      </c>
      <c r="E3424" s="24" t="s">
        <v>290</v>
      </c>
      <c r="F3424" s="24" t="s">
        <v>291</v>
      </c>
      <c r="G3424" s="24" t="s">
        <v>164</v>
      </c>
      <c r="H3424" s="18"/>
      <c r="I3424" s="18"/>
      <c r="J3424" s="18"/>
      <c r="K3424" s="18"/>
      <c r="L3424" s="18"/>
      <c r="M3424" s="18"/>
      <c r="N3424" s="18"/>
      <c r="O3424" s="18"/>
      <c r="P3424" s="18"/>
      <c r="Q3424" s="19"/>
      <c r="R3424" s="19"/>
      <c r="S3424" s="19"/>
      <c r="T3424" s="18"/>
      <c r="U3424" s="18"/>
      <c r="V3424" s="18"/>
      <c r="W3424" s="18"/>
      <c r="X3424" s="18"/>
      <c r="Y3424" s="18"/>
      <c r="Z3424" s="18"/>
    </row>
    <row r="3425" ht="15.75" customHeight="1">
      <c r="A3425" s="21">
        <v>45637.0</v>
      </c>
      <c r="B3425" s="29">
        <v>0.5736111111111111</v>
      </c>
      <c r="C3425" s="22" t="s">
        <v>160</v>
      </c>
      <c r="D3425" s="22" t="s">
        <v>161</v>
      </c>
      <c r="E3425" s="22" t="s">
        <v>292</v>
      </c>
      <c r="F3425" s="22" t="s">
        <v>293</v>
      </c>
      <c r="G3425" s="22" t="s">
        <v>164</v>
      </c>
      <c r="H3425" s="18"/>
      <c r="I3425" s="18"/>
      <c r="J3425" s="18"/>
      <c r="K3425" s="18"/>
      <c r="L3425" s="18"/>
      <c r="M3425" s="18"/>
      <c r="N3425" s="18"/>
      <c r="O3425" s="18"/>
      <c r="P3425" s="18"/>
      <c r="Q3425" s="19"/>
      <c r="R3425" s="19"/>
      <c r="S3425" s="19"/>
      <c r="T3425" s="18"/>
      <c r="U3425" s="18"/>
      <c r="V3425" s="18"/>
      <c r="W3425" s="18"/>
      <c r="X3425" s="18"/>
      <c r="Y3425" s="18"/>
      <c r="Z3425" s="18"/>
    </row>
    <row r="3426" ht="15.75" customHeight="1">
      <c r="A3426" s="23">
        <v>45637.0</v>
      </c>
      <c r="B3426" s="30">
        <v>0.6027777777777777</v>
      </c>
      <c r="C3426" s="24" t="s">
        <v>160</v>
      </c>
      <c r="D3426" s="24" t="s">
        <v>161</v>
      </c>
      <c r="E3426" s="24" t="s">
        <v>294</v>
      </c>
      <c r="F3426" s="24" t="s">
        <v>295</v>
      </c>
      <c r="G3426" s="24" t="s">
        <v>164</v>
      </c>
      <c r="H3426" s="18"/>
      <c r="I3426" s="18"/>
      <c r="J3426" s="18"/>
      <c r="K3426" s="18"/>
      <c r="L3426" s="18"/>
      <c r="M3426" s="18"/>
      <c r="N3426" s="18"/>
      <c r="O3426" s="18"/>
      <c r="P3426" s="18"/>
      <c r="Q3426" s="19"/>
      <c r="R3426" s="19"/>
      <c r="S3426" s="19"/>
      <c r="T3426" s="18"/>
      <c r="U3426" s="18"/>
      <c r="V3426" s="18"/>
      <c r="W3426" s="18"/>
      <c r="X3426" s="18"/>
      <c r="Y3426" s="18"/>
      <c r="Z3426" s="18"/>
    </row>
    <row r="3427" ht="15.75" customHeight="1">
      <c r="A3427" s="21">
        <v>45638.0</v>
      </c>
      <c r="B3427" s="29">
        <v>0.8611111111111112</v>
      </c>
      <c r="C3427" s="22" t="s">
        <v>264</v>
      </c>
      <c r="D3427" s="22" t="s">
        <v>9</v>
      </c>
      <c r="E3427" s="22" t="s">
        <v>296</v>
      </c>
      <c r="F3427" s="22" t="s">
        <v>297</v>
      </c>
      <c r="G3427" s="22" t="s">
        <v>267</v>
      </c>
      <c r="H3427" s="18"/>
      <c r="I3427" s="18"/>
      <c r="J3427" s="18"/>
      <c r="K3427" s="18"/>
      <c r="L3427" s="18"/>
      <c r="M3427" s="18"/>
      <c r="N3427" s="18"/>
      <c r="O3427" s="18"/>
      <c r="P3427" s="18"/>
      <c r="Q3427" s="19"/>
      <c r="R3427" s="19"/>
      <c r="S3427" s="19"/>
      <c r="T3427" s="18"/>
      <c r="U3427" s="18"/>
      <c r="V3427" s="18"/>
      <c r="W3427" s="18"/>
      <c r="X3427" s="18"/>
      <c r="Y3427" s="18"/>
      <c r="Z3427" s="18"/>
    </row>
    <row r="3428" ht="15.75" customHeight="1">
      <c r="A3428" s="31">
        <v>45638.0</v>
      </c>
      <c r="B3428" s="24" t="s">
        <v>8323</v>
      </c>
      <c r="C3428" s="24" t="s">
        <v>160</v>
      </c>
      <c r="D3428" s="24" t="s">
        <v>9</v>
      </c>
      <c r="E3428" s="24" t="s">
        <v>299</v>
      </c>
      <c r="F3428" s="24" t="s">
        <v>300</v>
      </c>
      <c r="G3428" s="24" t="s">
        <v>267</v>
      </c>
      <c r="H3428" s="18"/>
      <c r="I3428" s="18"/>
      <c r="J3428" s="18"/>
      <c r="K3428" s="18"/>
      <c r="L3428" s="18"/>
      <c r="M3428" s="18"/>
      <c r="N3428" s="18"/>
      <c r="O3428" s="18"/>
      <c r="P3428" s="18"/>
      <c r="Q3428" s="19"/>
      <c r="R3428" s="19"/>
      <c r="S3428" s="19"/>
      <c r="T3428" s="18"/>
      <c r="U3428" s="18"/>
      <c r="V3428" s="18"/>
      <c r="W3428" s="18"/>
      <c r="X3428" s="18"/>
      <c r="Y3428" s="18"/>
      <c r="Z3428" s="18"/>
    </row>
    <row r="3429" ht="15.75" customHeight="1">
      <c r="A3429" s="21">
        <v>45639.0</v>
      </c>
      <c r="B3429" s="29">
        <v>0.2708333333333333</v>
      </c>
      <c r="C3429" s="22" t="s">
        <v>160</v>
      </c>
      <c r="D3429" s="22" t="s">
        <v>9</v>
      </c>
      <c r="E3429" s="22" t="s">
        <v>301</v>
      </c>
      <c r="F3429" s="22" t="s">
        <v>302</v>
      </c>
      <c r="G3429" s="22" t="s">
        <v>267</v>
      </c>
      <c r="H3429" s="18"/>
      <c r="I3429" s="18"/>
      <c r="J3429" s="18"/>
      <c r="K3429" s="18"/>
      <c r="L3429" s="18"/>
      <c r="M3429" s="18"/>
      <c r="N3429" s="18"/>
      <c r="O3429" s="18"/>
      <c r="P3429" s="18"/>
      <c r="Q3429" s="19"/>
      <c r="R3429" s="19"/>
      <c r="S3429" s="19"/>
      <c r="T3429" s="18"/>
      <c r="U3429" s="18"/>
      <c r="V3429" s="18"/>
      <c r="W3429" s="18"/>
      <c r="X3429" s="18"/>
      <c r="Y3429" s="18"/>
      <c r="Z3429" s="18"/>
    </row>
    <row r="3430" ht="15.75" customHeight="1">
      <c r="A3430" s="23">
        <v>45639.0</v>
      </c>
      <c r="B3430" s="30">
        <v>0.2875</v>
      </c>
      <c r="C3430" s="24" t="s">
        <v>264</v>
      </c>
      <c r="D3430" s="24" t="s">
        <v>9</v>
      </c>
      <c r="E3430" s="24" t="s">
        <v>303</v>
      </c>
      <c r="F3430" s="24" t="s">
        <v>304</v>
      </c>
      <c r="G3430" s="24" t="s">
        <v>267</v>
      </c>
      <c r="H3430" s="18"/>
      <c r="I3430" s="18"/>
      <c r="J3430" s="18"/>
      <c r="K3430" s="18"/>
      <c r="L3430" s="18"/>
      <c r="M3430" s="18"/>
      <c r="N3430" s="18"/>
      <c r="O3430" s="18"/>
      <c r="P3430" s="18"/>
      <c r="Q3430" s="19"/>
      <c r="R3430" s="19"/>
      <c r="S3430" s="19"/>
      <c r="T3430" s="18"/>
      <c r="U3430" s="18"/>
      <c r="V3430" s="18"/>
      <c r="W3430" s="18"/>
      <c r="X3430" s="18"/>
      <c r="Y3430" s="18"/>
      <c r="Z3430" s="18"/>
    </row>
    <row r="3431" ht="15.75" customHeight="1">
      <c r="A3431" s="32">
        <v>45639.0</v>
      </c>
      <c r="B3431" s="22" t="s">
        <v>8323</v>
      </c>
      <c r="C3431" s="22" t="s">
        <v>160</v>
      </c>
      <c r="D3431" s="22" t="s">
        <v>9</v>
      </c>
      <c r="E3431" s="22" t="s">
        <v>306</v>
      </c>
      <c r="F3431" s="22" t="s">
        <v>307</v>
      </c>
      <c r="G3431" s="22" t="s">
        <v>267</v>
      </c>
      <c r="H3431" s="18"/>
      <c r="I3431" s="18"/>
      <c r="J3431" s="18"/>
      <c r="K3431" s="18"/>
      <c r="L3431" s="18"/>
      <c r="M3431" s="18"/>
      <c r="N3431" s="18"/>
      <c r="O3431" s="18"/>
      <c r="P3431" s="18"/>
      <c r="Q3431" s="19"/>
      <c r="R3431" s="19"/>
      <c r="S3431" s="19"/>
      <c r="T3431" s="18"/>
      <c r="U3431" s="18"/>
      <c r="V3431" s="18"/>
      <c r="W3431" s="18"/>
      <c r="X3431" s="18"/>
      <c r="Y3431" s="18"/>
      <c r="Z3431" s="18"/>
    </row>
    <row r="3432" ht="15.75" customHeight="1">
      <c r="A3432" s="23">
        <v>45639.0</v>
      </c>
      <c r="B3432" s="30">
        <v>0.8895833333333333</v>
      </c>
      <c r="C3432" s="24" t="s">
        <v>264</v>
      </c>
      <c r="D3432" s="24" t="s">
        <v>9</v>
      </c>
      <c r="E3432" s="24" t="s">
        <v>308</v>
      </c>
      <c r="F3432" s="24" t="s">
        <v>309</v>
      </c>
      <c r="G3432" s="24" t="s">
        <v>267</v>
      </c>
      <c r="H3432" s="18"/>
      <c r="I3432" s="18"/>
      <c r="J3432" s="18"/>
      <c r="K3432" s="18"/>
      <c r="L3432" s="18"/>
      <c r="M3432" s="18"/>
      <c r="N3432" s="18"/>
      <c r="O3432" s="18"/>
      <c r="P3432" s="18"/>
      <c r="Q3432" s="19"/>
      <c r="R3432" s="19"/>
      <c r="S3432" s="19"/>
      <c r="T3432" s="18"/>
      <c r="U3432" s="18"/>
      <c r="V3432" s="18"/>
      <c r="W3432" s="18"/>
      <c r="X3432" s="18"/>
      <c r="Y3432" s="18"/>
      <c r="Z3432" s="18"/>
    </row>
    <row r="3433" ht="15.75" customHeight="1">
      <c r="A3433" s="32">
        <v>45640.0</v>
      </c>
      <c r="B3433" s="22" t="s">
        <v>8324</v>
      </c>
      <c r="C3433" s="22" t="s">
        <v>160</v>
      </c>
      <c r="D3433" s="22" t="s">
        <v>311</v>
      </c>
      <c r="E3433" s="22" t="s">
        <v>312</v>
      </c>
      <c r="F3433" s="22" t="s">
        <v>313</v>
      </c>
      <c r="G3433" s="22"/>
      <c r="H3433" s="18"/>
      <c r="I3433" s="18"/>
      <c r="J3433" s="18"/>
      <c r="K3433" s="18"/>
      <c r="L3433" s="18"/>
      <c r="M3433" s="18"/>
      <c r="N3433" s="18"/>
      <c r="O3433" s="18"/>
      <c r="P3433" s="18"/>
      <c r="Q3433" s="19"/>
      <c r="R3433" s="19"/>
      <c r="S3433" s="19"/>
      <c r="T3433" s="18"/>
      <c r="U3433" s="18"/>
      <c r="V3433" s="18"/>
      <c r="W3433" s="18"/>
      <c r="X3433" s="18"/>
      <c r="Y3433" s="18"/>
      <c r="Z3433" s="18"/>
    </row>
    <row r="3434" ht="15.75" customHeight="1">
      <c r="A3434" s="32"/>
      <c r="B3434" s="22"/>
      <c r="C3434" s="22"/>
      <c r="D3434" s="22"/>
      <c r="E3434" s="22"/>
      <c r="F3434" s="22"/>
      <c r="G3434" s="22"/>
      <c r="H3434" s="18"/>
      <c r="I3434" s="18"/>
      <c r="J3434" s="18"/>
      <c r="K3434" s="18"/>
      <c r="L3434" s="18"/>
      <c r="M3434" s="18"/>
      <c r="N3434" s="18"/>
      <c r="O3434" s="18"/>
      <c r="P3434" s="18"/>
      <c r="Q3434" s="19"/>
      <c r="R3434" s="19"/>
      <c r="S3434" s="19"/>
      <c r="T3434" s="18"/>
      <c r="U3434" s="18"/>
      <c r="V3434" s="18"/>
      <c r="W3434" s="18"/>
      <c r="X3434" s="18"/>
      <c r="Y3434" s="18"/>
      <c r="Z3434" s="18"/>
    </row>
    <row r="3435" ht="15.75" customHeight="1">
      <c r="A3435" s="32"/>
      <c r="B3435" s="22"/>
      <c r="C3435" s="22"/>
      <c r="D3435" s="22"/>
      <c r="E3435" s="22"/>
      <c r="F3435" s="22"/>
      <c r="G3435" s="22"/>
      <c r="H3435" s="18"/>
      <c r="I3435" s="18"/>
      <c r="J3435" s="18"/>
      <c r="K3435" s="18"/>
      <c r="L3435" s="18"/>
      <c r="M3435" s="18"/>
      <c r="N3435" s="18"/>
      <c r="O3435" s="18"/>
      <c r="P3435" s="18"/>
      <c r="Q3435" s="19"/>
      <c r="R3435" s="19"/>
      <c r="S3435" s="19"/>
      <c r="T3435" s="18"/>
      <c r="U3435" s="18"/>
      <c r="V3435" s="18"/>
      <c r="W3435" s="18"/>
      <c r="X3435" s="18"/>
      <c r="Y3435" s="18"/>
      <c r="Z3435" s="18"/>
    </row>
    <row r="3436" ht="15.75" customHeight="1">
      <c r="A3436" s="32"/>
      <c r="B3436" s="22"/>
      <c r="C3436" s="22"/>
      <c r="D3436" s="22"/>
      <c r="E3436" s="22"/>
      <c r="F3436" s="22"/>
      <c r="G3436" s="22"/>
      <c r="H3436" s="18"/>
      <c r="I3436" s="18"/>
      <c r="J3436" s="18"/>
      <c r="K3436" s="18"/>
      <c r="L3436" s="18"/>
      <c r="M3436" s="18"/>
      <c r="N3436" s="18"/>
      <c r="O3436" s="18"/>
      <c r="P3436" s="18"/>
      <c r="Q3436" s="19"/>
      <c r="R3436" s="19"/>
      <c r="S3436" s="19"/>
      <c r="T3436" s="18"/>
      <c r="U3436" s="18"/>
      <c r="V3436" s="18"/>
      <c r="W3436" s="18"/>
      <c r="X3436" s="18"/>
      <c r="Y3436" s="18"/>
      <c r="Z3436" s="18"/>
    </row>
    <row r="3437" ht="15.75" customHeight="1">
      <c r="A3437" s="32"/>
      <c r="B3437" s="22"/>
      <c r="C3437" s="22"/>
      <c r="D3437" s="22"/>
      <c r="E3437" s="22"/>
      <c r="F3437" s="22"/>
      <c r="G3437" s="22"/>
      <c r="H3437" s="18"/>
      <c r="I3437" s="18"/>
      <c r="J3437" s="18"/>
      <c r="K3437" s="18"/>
      <c r="L3437" s="18"/>
      <c r="M3437" s="18"/>
      <c r="N3437" s="18"/>
      <c r="O3437" s="18"/>
      <c r="P3437" s="18"/>
      <c r="Q3437" s="19"/>
      <c r="R3437" s="19"/>
      <c r="S3437" s="19"/>
      <c r="T3437" s="18"/>
      <c r="U3437" s="18"/>
      <c r="V3437" s="18"/>
      <c r="W3437" s="18"/>
      <c r="X3437" s="18"/>
      <c r="Y3437" s="18"/>
      <c r="Z3437" s="18"/>
    </row>
    <row r="3438" ht="15.75" customHeight="1">
      <c r="A3438" s="32"/>
      <c r="B3438" s="22"/>
      <c r="C3438" s="22"/>
      <c r="D3438" s="22"/>
      <c r="E3438" s="22"/>
      <c r="F3438" s="22"/>
      <c r="G3438" s="22"/>
      <c r="H3438" s="18"/>
      <c r="I3438" s="18"/>
      <c r="J3438" s="18"/>
      <c r="K3438" s="18"/>
      <c r="L3438" s="18"/>
      <c r="M3438" s="18"/>
      <c r="N3438" s="18"/>
      <c r="O3438" s="18"/>
      <c r="P3438" s="18"/>
      <c r="Q3438" s="19"/>
      <c r="R3438" s="19"/>
      <c r="S3438" s="19"/>
      <c r="T3438" s="18"/>
      <c r="U3438" s="18"/>
      <c r="V3438" s="18"/>
      <c r="W3438" s="18"/>
      <c r="X3438" s="18"/>
      <c r="Y3438" s="18"/>
      <c r="Z3438" s="18"/>
    </row>
    <row r="3439" ht="15.75" customHeight="1">
      <c r="A3439" s="32"/>
      <c r="B3439" s="22"/>
      <c r="C3439" s="22"/>
      <c r="D3439" s="22"/>
      <c r="E3439" s="22"/>
      <c r="F3439" s="22"/>
      <c r="G3439" s="22"/>
      <c r="H3439" s="18"/>
      <c r="I3439" s="18"/>
      <c r="J3439" s="18"/>
      <c r="K3439" s="18"/>
      <c r="L3439" s="18"/>
      <c r="M3439" s="18"/>
      <c r="N3439" s="18"/>
      <c r="O3439" s="18"/>
      <c r="P3439" s="18"/>
      <c r="Q3439" s="19"/>
      <c r="R3439" s="19"/>
      <c r="S3439" s="19"/>
      <c r="T3439" s="18"/>
      <c r="U3439" s="18"/>
      <c r="V3439" s="18"/>
      <c r="W3439" s="18"/>
      <c r="X3439" s="18"/>
      <c r="Y3439" s="18"/>
      <c r="Z3439" s="18"/>
    </row>
    <row r="3440" ht="15.75" customHeight="1">
      <c r="A3440" s="32"/>
      <c r="B3440" s="22"/>
      <c r="C3440" s="22"/>
      <c r="D3440" s="22"/>
      <c r="E3440" s="22"/>
      <c r="F3440" s="22"/>
      <c r="G3440" s="22"/>
      <c r="H3440" s="18"/>
      <c r="I3440" s="18"/>
      <c r="J3440" s="18"/>
      <c r="K3440" s="18"/>
      <c r="L3440" s="18"/>
      <c r="M3440" s="18"/>
      <c r="N3440" s="18"/>
      <c r="O3440" s="18"/>
      <c r="P3440" s="18"/>
      <c r="Q3440" s="19"/>
      <c r="R3440" s="19"/>
      <c r="S3440" s="19"/>
      <c r="T3440" s="18"/>
      <c r="U3440" s="18"/>
      <c r="V3440" s="18"/>
      <c r="W3440" s="18"/>
      <c r="X3440" s="18"/>
      <c r="Y3440" s="18"/>
      <c r="Z3440" s="18"/>
    </row>
    <row r="3441" ht="15.75" customHeight="1">
      <c r="A3441" s="32"/>
      <c r="B3441" s="22"/>
      <c r="C3441" s="22"/>
      <c r="D3441" s="22"/>
      <c r="E3441" s="22"/>
      <c r="F3441" s="22"/>
      <c r="G3441" s="22"/>
      <c r="H3441" s="18"/>
      <c r="I3441" s="18"/>
      <c r="J3441" s="18"/>
      <c r="K3441" s="18"/>
      <c r="L3441" s="18"/>
      <c r="M3441" s="18"/>
      <c r="N3441" s="18"/>
      <c r="O3441" s="18"/>
      <c r="P3441" s="18"/>
      <c r="Q3441" s="19"/>
      <c r="R3441" s="19"/>
      <c r="S3441" s="19"/>
      <c r="T3441" s="18"/>
      <c r="U3441" s="18"/>
      <c r="V3441" s="18"/>
      <c r="W3441" s="18"/>
      <c r="X3441" s="18"/>
      <c r="Y3441" s="18"/>
      <c r="Z3441" s="18"/>
    </row>
    <row r="3442" ht="15.75" customHeight="1">
      <c r="A3442" s="32"/>
      <c r="B3442" s="22"/>
      <c r="C3442" s="22"/>
      <c r="D3442" s="22"/>
      <c r="E3442" s="22"/>
      <c r="F3442" s="22"/>
      <c r="G3442" s="22"/>
      <c r="H3442" s="18"/>
      <c r="I3442" s="18"/>
      <c r="J3442" s="18"/>
      <c r="K3442" s="18"/>
      <c r="L3442" s="18"/>
      <c r="M3442" s="18"/>
      <c r="N3442" s="18"/>
      <c r="O3442" s="18"/>
      <c r="P3442" s="18"/>
      <c r="Q3442" s="19"/>
      <c r="R3442" s="19"/>
      <c r="S3442" s="19"/>
      <c r="T3442" s="18"/>
      <c r="U3442" s="18"/>
      <c r="V3442" s="18"/>
      <c r="W3442" s="18"/>
      <c r="X3442" s="18"/>
      <c r="Y3442" s="18"/>
      <c r="Z3442" s="18"/>
    </row>
    <row r="3443" ht="15.75" customHeight="1">
      <c r="A3443" s="32"/>
      <c r="B3443" s="22"/>
      <c r="C3443" s="22"/>
      <c r="D3443" s="22"/>
      <c r="E3443" s="22"/>
      <c r="F3443" s="22"/>
      <c r="G3443" s="22"/>
      <c r="H3443" s="18"/>
      <c r="I3443" s="18"/>
      <c r="J3443" s="18"/>
      <c r="K3443" s="18"/>
      <c r="L3443" s="18"/>
      <c r="M3443" s="18"/>
      <c r="N3443" s="18"/>
      <c r="O3443" s="18"/>
      <c r="P3443" s="18"/>
      <c r="Q3443" s="19"/>
      <c r="R3443" s="19"/>
      <c r="S3443" s="19"/>
      <c r="T3443" s="18"/>
      <c r="U3443" s="18"/>
      <c r="V3443" s="18"/>
      <c r="W3443" s="18"/>
      <c r="X3443" s="18"/>
      <c r="Y3443" s="18"/>
      <c r="Z3443" s="18"/>
    </row>
    <row r="3444" ht="15.75" customHeight="1">
      <c r="A3444" s="32"/>
      <c r="B3444" s="22"/>
      <c r="C3444" s="22"/>
      <c r="D3444" s="22"/>
      <c r="E3444" s="22"/>
      <c r="F3444" s="22"/>
      <c r="G3444" s="22"/>
      <c r="H3444" s="18"/>
      <c r="I3444" s="18"/>
      <c r="J3444" s="18"/>
      <c r="K3444" s="18"/>
      <c r="L3444" s="18"/>
      <c r="M3444" s="18"/>
      <c r="N3444" s="18"/>
      <c r="O3444" s="18"/>
      <c r="P3444" s="18"/>
      <c r="Q3444" s="19"/>
      <c r="R3444" s="19"/>
      <c r="S3444" s="19"/>
      <c r="T3444" s="18"/>
      <c r="U3444" s="18"/>
      <c r="V3444" s="18"/>
      <c r="W3444" s="18"/>
      <c r="X3444" s="18"/>
      <c r="Y3444" s="18"/>
      <c r="Z3444" s="18"/>
    </row>
    <row r="3445" ht="15.75" customHeight="1">
      <c r="A3445" s="32"/>
      <c r="B3445" s="22"/>
      <c r="C3445" s="22"/>
      <c r="D3445" s="22"/>
      <c r="E3445" s="22"/>
      <c r="F3445" s="22"/>
      <c r="G3445" s="22"/>
      <c r="H3445" s="18"/>
      <c r="I3445" s="18"/>
      <c r="J3445" s="18"/>
      <c r="K3445" s="18"/>
      <c r="L3445" s="18"/>
      <c r="M3445" s="18"/>
      <c r="N3445" s="18"/>
      <c r="O3445" s="18"/>
      <c r="P3445" s="18"/>
      <c r="Q3445" s="19"/>
      <c r="R3445" s="19"/>
      <c r="S3445" s="19"/>
      <c r="T3445" s="18"/>
      <c r="U3445" s="18"/>
      <c r="V3445" s="18"/>
      <c r="W3445" s="18"/>
      <c r="X3445" s="18"/>
      <c r="Y3445" s="18"/>
      <c r="Z3445" s="18"/>
    </row>
    <row r="3446" ht="15.75" customHeight="1">
      <c r="A3446" s="32"/>
      <c r="B3446" s="22"/>
      <c r="C3446" s="22"/>
      <c r="D3446" s="22"/>
      <c r="E3446" s="22"/>
      <c r="F3446" s="22"/>
      <c r="G3446" s="22"/>
      <c r="H3446" s="18"/>
      <c r="I3446" s="18"/>
      <c r="J3446" s="18"/>
      <c r="K3446" s="18"/>
      <c r="L3446" s="18"/>
      <c r="M3446" s="18"/>
      <c r="N3446" s="18"/>
      <c r="O3446" s="18"/>
      <c r="P3446" s="18"/>
      <c r="Q3446" s="19"/>
      <c r="R3446" s="19"/>
      <c r="S3446" s="19"/>
      <c r="T3446" s="18"/>
      <c r="U3446" s="18"/>
      <c r="V3446" s="18"/>
      <c r="W3446" s="18"/>
      <c r="X3446" s="18"/>
      <c r="Y3446" s="18"/>
      <c r="Z3446" s="18"/>
    </row>
    <row r="3447" ht="15.75" customHeight="1">
      <c r="A3447" s="32"/>
      <c r="B3447" s="22"/>
      <c r="C3447" s="22"/>
      <c r="D3447" s="22"/>
      <c r="E3447" s="22"/>
      <c r="F3447" s="22"/>
      <c r="G3447" s="22"/>
      <c r="H3447" s="18"/>
      <c r="I3447" s="18"/>
      <c r="J3447" s="18"/>
      <c r="K3447" s="18"/>
      <c r="L3447" s="18"/>
      <c r="M3447" s="18"/>
      <c r="N3447" s="18"/>
      <c r="O3447" s="18"/>
      <c r="P3447" s="18"/>
      <c r="Q3447" s="19"/>
      <c r="R3447" s="19"/>
      <c r="S3447" s="19"/>
      <c r="T3447" s="18"/>
      <c r="U3447" s="18"/>
      <c r="V3447" s="18"/>
      <c r="W3447" s="18"/>
      <c r="X3447" s="18"/>
      <c r="Y3447" s="18"/>
      <c r="Z3447" s="18"/>
    </row>
    <row r="3448" ht="15.75" customHeight="1">
      <c r="A3448" s="32"/>
      <c r="B3448" s="22"/>
      <c r="C3448" s="22"/>
      <c r="D3448" s="22"/>
      <c r="E3448" s="22"/>
      <c r="F3448" s="22"/>
      <c r="G3448" s="22"/>
      <c r="H3448" s="18"/>
      <c r="I3448" s="18"/>
      <c r="J3448" s="18"/>
      <c r="K3448" s="18"/>
      <c r="L3448" s="18"/>
      <c r="M3448" s="18"/>
      <c r="N3448" s="18"/>
      <c r="O3448" s="18"/>
      <c r="P3448" s="18"/>
      <c r="Q3448" s="19"/>
      <c r="R3448" s="19"/>
      <c r="S3448" s="19"/>
      <c r="T3448" s="18"/>
      <c r="U3448" s="18"/>
      <c r="V3448" s="18"/>
      <c r="W3448" s="18"/>
      <c r="X3448" s="18"/>
      <c r="Y3448" s="18"/>
      <c r="Z3448" s="18"/>
    </row>
    <row r="3449" ht="15.75" customHeight="1">
      <c r="A3449" s="32"/>
      <c r="B3449" s="22"/>
      <c r="C3449" s="22"/>
      <c r="D3449" s="22"/>
      <c r="E3449" s="22"/>
      <c r="F3449" s="22"/>
      <c r="G3449" s="22"/>
      <c r="H3449" s="18"/>
      <c r="I3449" s="18"/>
      <c r="J3449" s="18"/>
      <c r="K3449" s="18"/>
      <c r="L3449" s="18"/>
      <c r="M3449" s="18"/>
      <c r="N3449" s="18"/>
      <c r="O3449" s="18"/>
      <c r="P3449" s="18"/>
      <c r="Q3449" s="19"/>
      <c r="R3449" s="19"/>
      <c r="S3449" s="19"/>
      <c r="T3449" s="18"/>
      <c r="U3449" s="18"/>
      <c r="V3449" s="18"/>
      <c r="W3449" s="18"/>
      <c r="X3449" s="18"/>
      <c r="Y3449" s="18"/>
      <c r="Z3449" s="18"/>
    </row>
    <row r="3450" ht="15.75" customHeight="1">
      <c r="A3450" s="32"/>
      <c r="B3450" s="22"/>
      <c r="C3450" s="22"/>
      <c r="D3450" s="22"/>
      <c r="E3450" s="22"/>
      <c r="F3450" s="22"/>
      <c r="G3450" s="22"/>
      <c r="H3450" s="18"/>
      <c r="I3450" s="18"/>
      <c r="J3450" s="18"/>
      <c r="K3450" s="18"/>
      <c r="L3450" s="18"/>
      <c r="M3450" s="18"/>
      <c r="N3450" s="18"/>
      <c r="O3450" s="18"/>
      <c r="P3450" s="18"/>
      <c r="Q3450" s="19"/>
      <c r="R3450" s="19"/>
      <c r="S3450" s="19"/>
      <c r="T3450" s="18"/>
      <c r="U3450" s="18"/>
      <c r="V3450" s="18"/>
      <c r="W3450" s="18"/>
      <c r="X3450" s="18"/>
      <c r="Y3450" s="18"/>
      <c r="Z3450" s="18"/>
    </row>
    <row r="3451" ht="15.75" customHeight="1">
      <c r="A3451" s="32"/>
      <c r="B3451" s="22"/>
      <c r="C3451" s="22"/>
      <c r="D3451" s="22"/>
      <c r="E3451" s="22"/>
      <c r="F3451" s="22"/>
      <c r="G3451" s="22"/>
      <c r="H3451" s="18"/>
      <c r="I3451" s="18"/>
      <c r="J3451" s="18"/>
      <c r="K3451" s="18"/>
      <c r="L3451" s="18"/>
      <c r="M3451" s="18"/>
      <c r="N3451" s="18"/>
      <c r="O3451" s="18"/>
      <c r="P3451" s="18"/>
      <c r="Q3451" s="19"/>
      <c r="R3451" s="19"/>
      <c r="S3451" s="19"/>
      <c r="T3451" s="18"/>
      <c r="U3451" s="18"/>
      <c r="V3451" s="18"/>
      <c r="W3451" s="18"/>
      <c r="X3451" s="18"/>
      <c r="Y3451" s="18"/>
      <c r="Z3451" s="18"/>
    </row>
    <row r="3452" ht="15.75" customHeight="1">
      <c r="A3452" s="32"/>
      <c r="B3452" s="22"/>
      <c r="C3452" s="22"/>
      <c r="D3452" s="22"/>
      <c r="E3452" s="22"/>
      <c r="F3452" s="22"/>
      <c r="G3452" s="22"/>
      <c r="H3452" s="18"/>
      <c r="I3452" s="18"/>
      <c r="J3452" s="18"/>
      <c r="K3452" s="18"/>
      <c r="L3452" s="18"/>
      <c r="M3452" s="18"/>
      <c r="N3452" s="18"/>
      <c r="O3452" s="18"/>
      <c r="P3452" s="18"/>
      <c r="Q3452" s="19"/>
      <c r="R3452" s="19"/>
      <c r="S3452" s="19"/>
      <c r="T3452" s="18"/>
      <c r="U3452" s="18"/>
      <c r="V3452" s="18"/>
      <c r="W3452" s="18"/>
      <c r="X3452" s="18"/>
      <c r="Y3452" s="18"/>
      <c r="Z3452" s="18"/>
    </row>
    <row r="3453" ht="15.75" customHeight="1">
      <c r="A3453" s="32"/>
      <c r="B3453" s="22"/>
      <c r="C3453" s="22"/>
      <c r="D3453" s="22"/>
      <c r="E3453" s="22"/>
      <c r="F3453" s="22"/>
      <c r="G3453" s="22"/>
      <c r="H3453" s="18"/>
      <c r="I3453" s="18"/>
      <c r="J3453" s="18"/>
      <c r="K3453" s="18"/>
      <c r="L3453" s="18"/>
      <c r="M3453" s="18"/>
      <c r="N3453" s="18"/>
      <c r="O3453" s="18"/>
      <c r="P3453" s="18"/>
      <c r="Q3453" s="19"/>
      <c r="R3453" s="19"/>
      <c r="S3453" s="19"/>
      <c r="T3453" s="18"/>
      <c r="U3453" s="18"/>
      <c r="V3453" s="18"/>
      <c r="W3453" s="18"/>
      <c r="X3453" s="18"/>
      <c r="Y3453" s="18"/>
      <c r="Z3453" s="18"/>
    </row>
    <row r="3454" ht="15.75" customHeight="1">
      <c r="A3454" s="32"/>
      <c r="B3454" s="22"/>
      <c r="C3454" s="22"/>
      <c r="D3454" s="22"/>
      <c r="E3454" s="22"/>
      <c r="F3454" s="22"/>
      <c r="G3454" s="22"/>
      <c r="H3454" s="18"/>
      <c r="I3454" s="18"/>
      <c r="J3454" s="18"/>
      <c r="K3454" s="18"/>
      <c r="L3454" s="18"/>
      <c r="M3454" s="18"/>
      <c r="N3454" s="18"/>
      <c r="O3454" s="18"/>
      <c r="P3454" s="18"/>
      <c r="Q3454" s="19"/>
      <c r="R3454" s="19"/>
      <c r="S3454" s="19"/>
      <c r="T3454" s="18"/>
      <c r="U3454" s="18"/>
      <c r="V3454" s="18"/>
      <c r="W3454" s="18"/>
      <c r="X3454" s="18"/>
      <c r="Y3454" s="18"/>
      <c r="Z3454" s="18"/>
    </row>
    <row r="3455" ht="15.75" customHeight="1">
      <c r="A3455" s="32"/>
      <c r="B3455" s="22"/>
      <c r="C3455" s="22"/>
      <c r="D3455" s="22"/>
      <c r="E3455" s="22"/>
      <c r="F3455" s="22"/>
      <c r="G3455" s="22"/>
      <c r="H3455" s="18"/>
      <c r="I3455" s="18"/>
      <c r="J3455" s="18"/>
      <c r="K3455" s="18"/>
      <c r="L3455" s="18"/>
      <c r="M3455" s="18"/>
      <c r="N3455" s="18"/>
      <c r="O3455" s="18"/>
      <c r="P3455" s="18"/>
      <c r="Q3455" s="19"/>
      <c r="R3455" s="19"/>
      <c r="S3455" s="19"/>
      <c r="T3455" s="18"/>
      <c r="U3455" s="18"/>
      <c r="V3455" s="18"/>
      <c r="W3455" s="18"/>
      <c r="X3455" s="18"/>
      <c r="Y3455" s="18"/>
      <c r="Z3455" s="18"/>
    </row>
    <row r="3456" ht="15.75" customHeight="1">
      <c r="A3456" s="32"/>
      <c r="B3456" s="22"/>
      <c r="C3456" s="22"/>
      <c r="D3456" s="22"/>
      <c r="E3456" s="22"/>
      <c r="F3456" s="22"/>
      <c r="G3456" s="22"/>
      <c r="H3456" s="18"/>
      <c r="I3456" s="18"/>
      <c r="J3456" s="18"/>
      <c r="K3456" s="18"/>
      <c r="L3456" s="18"/>
      <c r="M3456" s="18"/>
      <c r="N3456" s="18"/>
      <c r="O3456" s="18"/>
      <c r="P3456" s="18"/>
      <c r="Q3456" s="19"/>
      <c r="R3456" s="19"/>
      <c r="S3456" s="19"/>
      <c r="T3456" s="18"/>
      <c r="U3456" s="18"/>
      <c r="V3456" s="18"/>
      <c r="W3456" s="18"/>
      <c r="X3456" s="18"/>
      <c r="Y3456" s="18"/>
      <c r="Z3456" s="18"/>
    </row>
    <row r="3457" ht="15.75" customHeight="1">
      <c r="A3457" s="32"/>
      <c r="B3457" s="22"/>
      <c r="C3457" s="22"/>
      <c r="D3457" s="22"/>
      <c r="E3457" s="22"/>
      <c r="F3457" s="22"/>
      <c r="G3457" s="22"/>
      <c r="H3457" s="18"/>
      <c r="I3457" s="18"/>
      <c r="J3457" s="18"/>
      <c r="K3457" s="18"/>
      <c r="L3457" s="18"/>
      <c r="M3457" s="18"/>
      <c r="N3457" s="18"/>
      <c r="O3457" s="18"/>
      <c r="P3457" s="18"/>
      <c r="Q3457" s="19"/>
      <c r="R3457" s="19"/>
      <c r="S3457" s="19"/>
      <c r="T3457" s="18"/>
      <c r="U3457" s="18"/>
      <c r="V3457" s="18"/>
      <c r="W3457" s="18"/>
      <c r="X3457" s="18"/>
      <c r="Y3457" s="18"/>
      <c r="Z3457" s="18"/>
    </row>
    <row r="3458" ht="15.75" customHeight="1">
      <c r="A3458" s="32"/>
      <c r="B3458" s="22"/>
      <c r="C3458" s="22"/>
      <c r="D3458" s="22"/>
      <c r="E3458" s="22"/>
      <c r="F3458" s="22"/>
      <c r="G3458" s="22"/>
      <c r="H3458" s="18"/>
      <c r="I3458" s="18"/>
      <c r="J3458" s="18"/>
      <c r="K3458" s="18"/>
      <c r="L3458" s="18"/>
      <c r="M3458" s="18"/>
      <c r="N3458" s="18"/>
      <c r="O3458" s="18"/>
      <c r="P3458" s="18"/>
      <c r="Q3458" s="19"/>
      <c r="R3458" s="19"/>
      <c r="S3458" s="19"/>
      <c r="T3458" s="18"/>
      <c r="U3458" s="18"/>
      <c r="V3458" s="18"/>
      <c r="W3458" s="18"/>
      <c r="X3458" s="18"/>
      <c r="Y3458" s="18"/>
      <c r="Z3458" s="18"/>
    </row>
    <row r="3459" ht="15.75" customHeight="1">
      <c r="A3459" s="32"/>
      <c r="B3459" s="22"/>
      <c r="C3459" s="22"/>
      <c r="D3459" s="22"/>
      <c r="E3459" s="22"/>
      <c r="F3459" s="22"/>
      <c r="G3459" s="22"/>
      <c r="H3459" s="18"/>
      <c r="I3459" s="18"/>
      <c r="J3459" s="18"/>
      <c r="K3459" s="18"/>
      <c r="L3459" s="18"/>
      <c r="M3459" s="18"/>
      <c r="N3459" s="18"/>
      <c r="O3459" s="18"/>
      <c r="P3459" s="18"/>
      <c r="Q3459" s="19"/>
      <c r="R3459" s="19"/>
      <c r="S3459" s="19"/>
      <c r="T3459" s="18"/>
      <c r="U3459" s="18"/>
      <c r="V3459" s="18"/>
      <c r="W3459" s="18"/>
      <c r="X3459" s="18"/>
      <c r="Y3459" s="18"/>
      <c r="Z3459" s="18"/>
    </row>
    <row r="3460" ht="15.75" customHeight="1">
      <c r="A3460" s="32"/>
      <c r="B3460" s="22"/>
      <c r="C3460" s="22"/>
      <c r="D3460" s="22"/>
      <c r="E3460" s="22"/>
      <c r="F3460" s="22"/>
      <c r="G3460" s="22"/>
      <c r="H3460" s="18"/>
      <c r="I3460" s="18"/>
      <c r="J3460" s="18"/>
      <c r="K3460" s="18"/>
      <c r="L3460" s="18"/>
      <c r="M3460" s="18"/>
      <c r="N3460" s="18"/>
      <c r="O3460" s="18"/>
      <c r="P3460" s="18"/>
      <c r="Q3460" s="19"/>
      <c r="R3460" s="19"/>
      <c r="S3460" s="19"/>
      <c r="T3460" s="18"/>
      <c r="U3460" s="18"/>
      <c r="V3460" s="18"/>
      <c r="W3460" s="18"/>
      <c r="X3460" s="18"/>
      <c r="Y3460" s="18"/>
      <c r="Z3460" s="18"/>
    </row>
    <row r="3461" ht="15.75" customHeight="1">
      <c r="A3461" s="32"/>
      <c r="B3461" s="22"/>
      <c r="C3461" s="22"/>
      <c r="D3461" s="22"/>
      <c r="E3461" s="22"/>
      <c r="F3461" s="22"/>
      <c r="G3461" s="22"/>
      <c r="H3461" s="18"/>
      <c r="I3461" s="18"/>
      <c r="J3461" s="18"/>
      <c r="K3461" s="18"/>
      <c r="L3461" s="18"/>
      <c r="M3461" s="18"/>
      <c r="N3461" s="18"/>
      <c r="O3461" s="18"/>
      <c r="P3461" s="18"/>
      <c r="Q3461" s="19"/>
      <c r="R3461" s="19"/>
      <c r="S3461" s="19"/>
      <c r="T3461" s="18"/>
      <c r="U3461" s="18"/>
      <c r="V3461" s="18"/>
      <c r="W3461" s="18"/>
      <c r="X3461" s="18"/>
      <c r="Y3461" s="18"/>
      <c r="Z3461" s="18"/>
    </row>
    <row r="3462" ht="15.75" customHeight="1">
      <c r="A3462" s="32"/>
      <c r="B3462" s="22"/>
      <c r="C3462" s="22"/>
      <c r="D3462" s="22"/>
      <c r="E3462" s="22"/>
      <c r="F3462" s="22"/>
      <c r="G3462" s="22"/>
      <c r="H3462" s="18"/>
      <c r="I3462" s="18"/>
      <c r="J3462" s="18"/>
      <c r="K3462" s="18"/>
      <c r="L3462" s="18"/>
      <c r="M3462" s="18"/>
      <c r="N3462" s="18"/>
      <c r="O3462" s="18"/>
      <c r="P3462" s="18"/>
      <c r="Q3462" s="19"/>
      <c r="R3462" s="19"/>
      <c r="S3462" s="19"/>
      <c r="T3462" s="18"/>
      <c r="U3462" s="18"/>
      <c r="V3462" s="18"/>
      <c r="W3462" s="18"/>
      <c r="X3462" s="18"/>
      <c r="Y3462" s="18"/>
      <c r="Z3462" s="18"/>
    </row>
    <row r="3463" ht="15.75" customHeight="1">
      <c r="A3463" s="32"/>
      <c r="B3463" s="22"/>
      <c r="C3463" s="22"/>
      <c r="D3463" s="22"/>
      <c r="E3463" s="22"/>
      <c r="F3463" s="22"/>
      <c r="G3463" s="22"/>
      <c r="H3463" s="18"/>
      <c r="I3463" s="18"/>
      <c r="J3463" s="18"/>
      <c r="K3463" s="18"/>
      <c r="L3463" s="18"/>
      <c r="M3463" s="18"/>
      <c r="N3463" s="18"/>
      <c r="O3463" s="18"/>
      <c r="P3463" s="18"/>
      <c r="Q3463" s="19"/>
      <c r="R3463" s="19"/>
      <c r="S3463" s="19"/>
      <c r="T3463" s="18"/>
      <c r="U3463" s="18"/>
      <c r="V3463" s="18"/>
      <c r="W3463" s="18"/>
      <c r="X3463" s="18"/>
      <c r="Y3463" s="18"/>
      <c r="Z3463" s="18"/>
    </row>
    <row r="3464" ht="15.75" customHeight="1">
      <c r="A3464" s="32"/>
      <c r="B3464" s="22"/>
      <c r="C3464" s="22"/>
      <c r="D3464" s="22"/>
      <c r="E3464" s="22"/>
      <c r="F3464" s="22"/>
      <c r="G3464" s="22"/>
      <c r="H3464" s="18"/>
      <c r="I3464" s="18"/>
      <c r="J3464" s="18"/>
      <c r="K3464" s="18"/>
      <c r="L3464" s="18"/>
      <c r="M3464" s="18"/>
      <c r="N3464" s="18"/>
      <c r="O3464" s="18"/>
      <c r="P3464" s="18"/>
      <c r="Q3464" s="19"/>
      <c r="R3464" s="19"/>
      <c r="S3464" s="19"/>
      <c r="T3464" s="18"/>
      <c r="U3464" s="18"/>
      <c r="V3464" s="18"/>
      <c r="W3464" s="18"/>
      <c r="X3464" s="18"/>
      <c r="Y3464" s="18"/>
      <c r="Z3464" s="18"/>
    </row>
    <row r="3465" ht="15.75" customHeight="1">
      <c r="A3465" s="32"/>
      <c r="B3465" s="22"/>
      <c r="C3465" s="22"/>
      <c r="D3465" s="22"/>
      <c r="E3465" s="22"/>
      <c r="F3465" s="22"/>
      <c r="G3465" s="22"/>
      <c r="H3465" s="18"/>
      <c r="I3465" s="18"/>
      <c r="J3465" s="18"/>
      <c r="K3465" s="18"/>
      <c r="L3465" s="18"/>
      <c r="M3465" s="18"/>
      <c r="N3465" s="18"/>
      <c r="O3465" s="18"/>
      <c r="P3465" s="18"/>
      <c r="Q3465" s="19"/>
      <c r="R3465" s="19"/>
      <c r="S3465" s="19"/>
      <c r="T3465" s="18"/>
      <c r="U3465" s="18"/>
      <c r="V3465" s="18"/>
      <c r="W3465" s="18"/>
      <c r="X3465" s="18"/>
      <c r="Y3465" s="18"/>
      <c r="Z3465" s="18"/>
    </row>
    <row r="3466" ht="15.75" customHeight="1">
      <c r="A3466" s="32"/>
      <c r="B3466" s="22"/>
      <c r="C3466" s="22"/>
      <c r="D3466" s="22"/>
      <c r="E3466" s="22"/>
      <c r="F3466" s="22"/>
      <c r="G3466" s="22"/>
      <c r="H3466" s="18"/>
      <c r="I3466" s="18"/>
      <c r="J3466" s="18"/>
      <c r="K3466" s="18"/>
      <c r="L3466" s="18"/>
      <c r="M3466" s="18"/>
      <c r="N3466" s="18"/>
      <c r="O3466" s="18"/>
      <c r="P3466" s="18"/>
      <c r="Q3466" s="19"/>
      <c r="R3466" s="19"/>
      <c r="S3466" s="19"/>
      <c r="T3466" s="18"/>
      <c r="U3466" s="18"/>
      <c r="V3466" s="18"/>
      <c r="W3466" s="18"/>
      <c r="X3466" s="18"/>
      <c r="Y3466" s="18"/>
      <c r="Z3466" s="18"/>
    </row>
    <row r="3467" ht="15.75" customHeight="1">
      <c r="A3467" s="32"/>
      <c r="B3467" s="22"/>
      <c r="C3467" s="22"/>
      <c r="D3467" s="22"/>
      <c r="E3467" s="22"/>
      <c r="F3467" s="22"/>
      <c r="G3467" s="22"/>
      <c r="H3467" s="18"/>
      <c r="I3467" s="18"/>
      <c r="J3467" s="18"/>
      <c r="K3467" s="18"/>
      <c r="L3467" s="18"/>
      <c r="M3467" s="18"/>
      <c r="N3467" s="18"/>
      <c r="O3467" s="18"/>
      <c r="P3467" s="18"/>
      <c r="Q3467" s="19"/>
      <c r="R3467" s="19"/>
      <c r="S3467" s="19"/>
      <c r="T3467" s="18"/>
      <c r="U3467" s="18"/>
      <c r="V3467" s="18"/>
      <c r="W3467" s="18"/>
      <c r="X3467" s="18"/>
      <c r="Y3467" s="18"/>
      <c r="Z3467" s="18"/>
    </row>
    <row r="3468" ht="15.75" customHeight="1">
      <c r="A3468" s="32"/>
      <c r="B3468" s="22"/>
      <c r="C3468" s="22"/>
      <c r="D3468" s="22"/>
      <c r="E3468" s="22"/>
      <c r="F3468" s="22"/>
      <c r="G3468" s="22"/>
      <c r="H3468" s="18"/>
      <c r="I3468" s="18"/>
      <c r="J3468" s="18"/>
      <c r="K3468" s="18"/>
      <c r="L3468" s="18"/>
      <c r="M3468" s="18"/>
      <c r="N3468" s="18"/>
      <c r="O3468" s="18"/>
      <c r="P3468" s="18"/>
      <c r="Q3468" s="19"/>
      <c r="R3468" s="19"/>
      <c r="S3468" s="19"/>
      <c r="T3468" s="18"/>
      <c r="U3468" s="18"/>
      <c r="V3468" s="18"/>
      <c r="W3468" s="18"/>
      <c r="X3468" s="18"/>
      <c r="Y3468" s="18"/>
      <c r="Z3468" s="18"/>
    </row>
    <row r="3469" ht="15.75" customHeight="1">
      <c r="A3469" s="32"/>
      <c r="B3469" s="22"/>
      <c r="C3469" s="22"/>
      <c r="D3469" s="22"/>
      <c r="E3469" s="22"/>
      <c r="F3469" s="22"/>
      <c r="G3469" s="22"/>
      <c r="H3469" s="18"/>
      <c r="I3469" s="18"/>
      <c r="J3469" s="18"/>
      <c r="K3469" s="18"/>
      <c r="L3469" s="18"/>
      <c r="M3469" s="18"/>
      <c r="N3469" s="18"/>
      <c r="O3469" s="18"/>
      <c r="P3469" s="18"/>
      <c r="Q3469" s="19"/>
      <c r="R3469" s="19"/>
      <c r="S3469" s="19"/>
      <c r="T3469" s="18"/>
      <c r="U3469" s="18"/>
      <c r="V3469" s="18"/>
      <c r="W3469" s="18"/>
      <c r="X3469" s="18"/>
      <c r="Y3469" s="18"/>
      <c r="Z3469" s="18"/>
    </row>
    <row r="3470" ht="15.75" customHeight="1">
      <c r="A3470" s="32"/>
      <c r="B3470" s="22"/>
      <c r="C3470" s="22"/>
      <c r="D3470" s="22"/>
      <c r="E3470" s="22"/>
      <c r="F3470" s="22"/>
      <c r="G3470" s="22"/>
      <c r="H3470" s="18"/>
      <c r="I3470" s="18"/>
      <c r="J3470" s="18"/>
      <c r="K3470" s="18"/>
      <c r="L3470" s="18"/>
      <c r="M3470" s="18"/>
      <c r="N3470" s="18"/>
      <c r="O3470" s="18"/>
      <c r="P3470" s="18"/>
      <c r="Q3470" s="19"/>
      <c r="R3470" s="19"/>
      <c r="S3470" s="19"/>
      <c r="T3470" s="18"/>
      <c r="U3470" s="18"/>
      <c r="V3470" s="18"/>
      <c r="W3470" s="18"/>
      <c r="X3470" s="18"/>
      <c r="Y3470" s="18"/>
      <c r="Z3470" s="18"/>
    </row>
    <row r="3471" ht="15.75" customHeight="1">
      <c r="A3471" s="32"/>
      <c r="B3471" s="22"/>
      <c r="C3471" s="22"/>
      <c r="D3471" s="22"/>
      <c r="E3471" s="22"/>
      <c r="F3471" s="22"/>
      <c r="G3471" s="22"/>
      <c r="H3471" s="18"/>
      <c r="I3471" s="18"/>
      <c r="J3471" s="18"/>
      <c r="K3471" s="18"/>
      <c r="L3471" s="18"/>
      <c r="M3471" s="18"/>
      <c r="N3471" s="18"/>
      <c r="O3471" s="18"/>
      <c r="P3471" s="18"/>
      <c r="Q3471" s="19"/>
      <c r="R3471" s="19"/>
      <c r="S3471" s="19"/>
      <c r="T3471" s="18"/>
      <c r="U3471" s="18"/>
      <c r="V3471" s="18"/>
      <c r="W3471" s="18"/>
      <c r="X3471" s="18"/>
      <c r="Y3471" s="18"/>
      <c r="Z3471" s="18"/>
    </row>
    <row r="3472" ht="15.75" customHeight="1">
      <c r="A3472" s="32"/>
      <c r="B3472" s="22"/>
      <c r="C3472" s="22"/>
      <c r="D3472" s="22"/>
      <c r="E3472" s="22"/>
      <c r="F3472" s="22"/>
      <c r="G3472" s="22"/>
      <c r="H3472" s="18"/>
      <c r="I3472" s="18"/>
      <c r="J3472" s="18"/>
      <c r="K3472" s="18"/>
      <c r="L3472" s="18"/>
      <c r="M3472" s="18"/>
      <c r="N3472" s="18"/>
      <c r="O3472" s="18"/>
      <c r="P3472" s="18"/>
      <c r="Q3472" s="19"/>
      <c r="R3472" s="19"/>
      <c r="S3472" s="19"/>
      <c r="T3472" s="18"/>
      <c r="U3472" s="18"/>
      <c r="V3472" s="18"/>
      <c r="W3472" s="18"/>
      <c r="X3472" s="18"/>
      <c r="Y3472" s="18"/>
      <c r="Z3472" s="18"/>
    </row>
    <row r="3473" ht="15.75" customHeight="1">
      <c r="A3473" s="32"/>
      <c r="B3473" s="22"/>
      <c r="C3473" s="22"/>
      <c r="D3473" s="22"/>
      <c r="E3473" s="22"/>
      <c r="F3473" s="22"/>
      <c r="G3473" s="22"/>
      <c r="H3473" s="18"/>
      <c r="I3473" s="18"/>
      <c r="J3473" s="18"/>
      <c r="K3473" s="18"/>
      <c r="L3473" s="18"/>
      <c r="M3473" s="18"/>
      <c r="N3473" s="18"/>
      <c r="O3473" s="18"/>
      <c r="P3473" s="18"/>
      <c r="Q3473" s="19"/>
      <c r="R3473" s="19"/>
      <c r="S3473" s="19"/>
      <c r="T3473" s="18"/>
      <c r="U3473" s="18"/>
      <c r="V3473" s="18"/>
      <c r="W3473" s="18"/>
      <c r="X3473" s="18"/>
      <c r="Y3473" s="18"/>
      <c r="Z3473" s="18"/>
    </row>
    <row r="3474" ht="15.75" customHeight="1">
      <c r="A3474" s="32"/>
      <c r="B3474" s="22"/>
      <c r="C3474" s="22"/>
      <c r="D3474" s="22"/>
      <c r="E3474" s="22"/>
      <c r="F3474" s="22"/>
      <c r="G3474" s="22"/>
      <c r="H3474" s="18"/>
      <c r="I3474" s="18"/>
      <c r="J3474" s="18"/>
      <c r="K3474" s="18"/>
      <c r="L3474" s="18"/>
      <c r="M3474" s="18"/>
      <c r="N3474" s="18"/>
      <c r="O3474" s="18"/>
      <c r="P3474" s="18"/>
      <c r="Q3474" s="19"/>
      <c r="R3474" s="19"/>
      <c r="S3474" s="19"/>
      <c r="T3474" s="18"/>
      <c r="U3474" s="18"/>
      <c r="V3474" s="18"/>
      <c r="W3474" s="18"/>
      <c r="X3474" s="18"/>
      <c r="Y3474" s="18"/>
      <c r="Z3474" s="18"/>
    </row>
    <row r="3475" ht="15.75" customHeight="1">
      <c r="A3475" s="32"/>
      <c r="B3475" s="22"/>
      <c r="C3475" s="22"/>
      <c r="D3475" s="22"/>
      <c r="E3475" s="22"/>
      <c r="F3475" s="22"/>
      <c r="G3475" s="22"/>
      <c r="H3475" s="18"/>
      <c r="I3475" s="18"/>
      <c r="J3475" s="18"/>
      <c r="K3475" s="18"/>
      <c r="L3475" s="18"/>
      <c r="M3475" s="18"/>
      <c r="N3475" s="18"/>
      <c r="O3475" s="18"/>
      <c r="P3475" s="18"/>
      <c r="Q3475" s="19"/>
      <c r="R3475" s="19"/>
      <c r="S3475" s="19"/>
      <c r="T3475" s="18"/>
      <c r="U3475" s="18"/>
      <c r="V3475" s="18"/>
      <c r="W3475" s="18"/>
      <c r="X3475" s="18"/>
      <c r="Y3475" s="18"/>
      <c r="Z3475" s="18"/>
    </row>
    <row r="3476" ht="15.75" customHeight="1">
      <c r="A3476" s="32"/>
      <c r="B3476" s="22"/>
      <c r="C3476" s="22"/>
      <c r="D3476" s="22"/>
      <c r="E3476" s="22"/>
      <c r="F3476" s="22"/>
      <c r="G3476" s="22"/>
      <c r="H3476" s="18"/>
      <c r="I3476" s="18"/>
      <c r="J3476" s="18"/>
      <c r="K3476" s="18"/>
      <c r="L3476" s="18"/>
      <c r="M3476" s="18"/>
      <c r="N3476" s="18"/>
      <c r="O3476" s="18"/>
      <c r="P3476" s="18"/>
      <c r="Q3476" s="19"/>
      <c r="R3476" s="19"/>
      <c r="S3476" s="19"/>
      <c r="T3476" s="18"/>
      <c r="U3476" s="18"/>
      <c r="V3476" s="18"/>
      <c r="W3476" s="18"/>
      <c r="X3476" s="18"/>
      <c r="Y3476" s="18"/>
      <c r="Z3476" s="18"/>
    </row>
    <row r="3477" ht="15.75" customHeight="1">
      <c r="A3477" s="32"/>
      <c r="B3477" s="22"/>
      <c r="C3477" s="22"/>
      <c r="D3477" s="22"/>
      <c r="E3477" s="22"/>
      <c r="F3477" s="22"/>
      <c r="G3477" s="22"/>
      <c r="H3477" s="18"/>
      <c r="I3477" s="18"/>
      <c r="J3477" s="18"/>
      <c r="K3477" s="18"/>
      <c r="L3477" s="18"/>
      <c r="M3477" s="18"/>
      <c r="N3477" s="18"/>
      <c r="O3477" s="18"/>
      <c r="P3477" s="18"/>
      <c r="Q3477" s="19"/>
      <c r="R3477" s="19"/>
      <c r="S3477" s="19"/>
      <c r="T3477" s="18"/>
      <c r="U3477" s="18"/>
      <c r="V3477" s="18"/>
      <c r="W3477" s="18"/>
      <c r="X3477" s="18"/>
      <c r="Y3477" s="18"/>
      <c r="Z3477" s="18"/>
    </row>
    <row r="3478" ht="15.75" customHeight="1">
      <c r="A3478" s="32"/>
      <c r="B3478" s="22"/>
      <c r="C3478" s="22"/>
      <c r="D3478" s="22"/>
      <c r="E3478" s="22"/>
      <c r="F3478" s="22"/>
      <c r="G3478" s="22"/>
      <c r="H3478" s="18"/>
      <c r="I3478" s="18"/>
      <c r="J3478" s="18"/>
      <c r="K3478" s="18"/>
      <c r="L3478" s="18"/>
      <c r="M3478" s="18"/>
      <c r="N3478" s="18"/>
      <c r="O3478" s="18"/>
      <c r="P3478" s="18"/>
      <c r="Q3478" s="19"/>
      <c r="R3478" s="19"/>
      <c r="S3478" s="19"/>
      <c r="T3478" s="18"/>
      <c r="U3478" s="18"/>
      <c r="V3478" s="18"/>
      <c r="W3478" s="18"/>
      <c r="X3478" s="18"/>
      <c r="Y3478" s="18"/>
      <c r="Z3478" s="18"/>
    </row>
    <row r="3479" ht="15.75" customHeight="1">
      <c r="A3479" s="32"/>
      <c r="B3479" s="22"/>
      <c r="C3479" s="22"/>
      <c r="D3479" s="22"/>
      <c r="E3479" s="22"/>
      <c r="F3479" s="22"/>
      <c r="G3479" s="22"/>
      <c r="H3479" s="18"/>
      <c r="I3479" s="18"/>
      <c r="J3479" s="18"/>
      <c r="K3479" s="18"/>
      <c r="L3479" s="18"/>
      <c r="M3479" s="18"/>
      <c r="N3479" s="18"/>
      <c r="O3479" s="18"/>
      <c r="P3479" s="18"/>
      <c r="Q3479" s="19"/>
      <c r="R3479" s="19"/>
      <c r="S3479" s="19"/>
      <c r="T3479" s="18"/>
      <c r="U3479" s="18"/>
      <c r="V3479" s="18"/>
      <c r="W3479" s="18"/>
      <c r="X3479" s="18"/>
      <c r="Y3479" s="18"/>
      <c r="Z3479" s="18"/>
    </row>
    <row r="3480" ht="15.75" customHeight="1">
      <c r="A3480" s="32"/>
      <c r="B3480" s="22"/>
      <c r="C3480" s="22"/>
      <c r="D3480" s="22"/>
      <c r="E3480" s="22"/>
      <c r="F3480" s="22"/>
      <c r="G3480" s="22"/>
      <c r="H3480" s="18"/>
      <c r="I3480" s="18"/>
      <c r="J3480" s="18"/>
      <c r="K3480" s="18"/>
      <c r="L3480" s="18"/>
      <c r="M3480" s="18"/>
      <c r="N3480" s="18"/>
      <c r="O3480" s="18"/>
      <c r="P3480" s="18"/>
      <c r="Q3480" s="19"/>
      <c r="R3480" s="19"/>
      <c r="S3480" s="19"/>
      <c r="T3480" s="18"/>
      <c r="U3480" s="18"/>
      <c r="V3480" s="18"/>
      <c r="W3480" s="18"/>
      <c r="X3480" s="18"/>
      <c r="Y3480" s="18"/>
      <c r="Z3480" s="18"/>
    </row>
    <row r="3481" ht="15.75" customHeight="1">
      <c r="A3481" s="32"/>
      <c r="B3481" s="22"/>
      <c r="C3481" s="22"/>
      <c r="D3481" s="22"/>
      <c r="E3481" s="22"/>
      <c r="F3481" s="22"/>
      <c r="G3481" s="22"/>
      <c r="H3481" s="18"/>
      <c r="I3481" s="18"/>
      <c r="J3481" s="18"/>
      <c r="K3481" s="18"/>
      <c r="L3481" s="18"/>
      <c r="M3481" s="18"/>
      <c r="N3481" s="18"/>
      <c r="O3481" s="18"/>
      <c r="P3481" s="18"/>
      <c r="Q3481" s="19"/>
      <c r="R3481" s="19"/>
      <c r="S3481" s="19"/>
      <c r="T3481" s="18"/>
      <c r="U3481" s="18"/>
      <c r="V3481" s="18"/>
      <c r="W3481" s="18"/>
      <c r="X3481" s="18"/>
      <c r="Y3481" s="18"/>
      <c r="Z3481" s="18"/>
    </row>
    <row r="3482" ht="15.75" customHeight="1">
      <c r="A3482" s="32"/>
      <c r="B3482" s="22"/>
      <c r="C3482" s="22"/>
      <c r="D3482" s="22"/>
      <c r="E3482" s="22"/>
      <c r="F3482" s="22"/>
      <c r="G3482" s="22"/>
      <c r="H3482" s="18"/>
      <c r="I3482" s="18"/>
      <c r="J3482" s="18"/>
      <c r="K3482" s="18"/>
      <c r="L3482" s="18"/>
      <c r="M3482" s="18"/>
      <c r="N3482" s="18"/>
      <c r="O3482" s="18"/>
      <c r="P3482" s="18"/>
      <c r="Q3482" s="19"/>
      <c r="R3482" s="19"/>
      <c r="S3482" s="19"/>
      <c r="T3482" s="18"/>
      <c r="U3482" s="18"/>
      <c r="V3482" s="18"/>
      <c r="W3482" s="18"/>
      <c r="X3482" s="18"/>
      <c r="Y3482" s="18"/>
      <c r="Z3482" s="18"/>
    </row>
    <row r="3483" ht="15.75" customHeight="1">
      <c r="A3483" s="32"/>
      <c r="B3483" s="22"/>
      <c r="C3483" s="22"/>
      <c r="D3483" s="22"/>
      <c r="E3483" s="22"/>
      <c r="F3483" s="22"/>
      <c r="G3483" s="22"/>
      <c r="H3483" s="18"/>
      <c r="I3483" s="18"/>
      <c r="J3483" s="18"/>
      <c r="K3483" s="18"/>
      <c r="L3483" s="18"/>
      <c r="M3483" s="18"/>
      <c r="N3483" s="18"/>
      <c r="O3483" s="18"/>
      <c r="P3483" s="18"/>
      <c r="Q3483" s="19"/>
      <c r="R3483" s="19"/>
      <c r="S3483" s="19"/>
      <c r="T3483" s="18"/>
      <c r="U3483" s="18"/>
      <c r="V3483" s="18"/>
      <c r="W3483" s="18"/>
      <c r="X3483" s="18"/>
      <c r="Y3483" s="18"/>
      <c r="Z3483" s="18"/>
    </row>
    <row r="3484" ht="15.75" customHeight="1">
      <c r="A3484" s="32"/>
      <c r="B3484" s="22"/>
      <c r="C3484" s="22"/>
      <c r="D3484" s="22"/>
      <c r="E3484" s="22"/>
      <c r="F3484" s="22"/>
      <c r="G3484" s="22"/>
      <c r="H3484" s="18"/>
      <c r="I3484" s="18"/>
      <c r="J3484" s="18"/>
      <c r="K3484" s="18"/>
      <c r="L3484" s="18"/>
      <c r="M3484" s="18"/>
      <c r="N3484" s="18"/>
      <c r="O3484" s="18"/>
      <c r="P3484" s="18"/>
      <c r="Q3484" s="19"/>
      <c r="R3484" s="19"/>
      <c r="S3484" s="19"/>
      <c r="T3484" s="18"/>
      <c r="U3484" s="18"/>
      <c r="V3484" s="18"/>
      <c r="W3484" s="18"/>
      <c r="X3484" s="18"/>
      <c r="Y3484" s="18"/>
      <c r="Z3484" s="18"/>
    </row>
    <row r="3485" ht="15.75" customHeight="1">
      <c r="A3485" s="32"/>
      <c r="B3485" s="22"/>
      <c r="C3485" s="22"/>
      <c r="D3485" s="22"/>
      <c r="E3485" s="22"/>
      <c r="F3485" s="22"/>
      <c r="G3485" s="22"/>
      <c r="H3485" s="18"/>
      <c r="I3485" s="18"/>
      <c r="J3485" s="18"/>
      <c r="K3485" s="18"/>
      <c r="L3485" s="18"/>
      <c r="M3485" s="18"/>
      <c r="N3485" s="18"/>
      <c r="O3485" s="18"/>
      <c r="P3485" s="18"/>
      <c r="Q3485" s="19"/>
      <c r="R3485" s="19"/>
      <c r="S3485" s="19"/>
      <c r="T3485" s="18"/>
      <c r="U3485" s="18"/>
      <c r="V3485" s="18"/>
      <c r="W3485" s="18"/>
      <c r="X3485" s="18"/>
      <c r="Y3485" s="18"/>
      <c r="Z3485" s="18"/>
    </row>
    <row r="3486" ht="15.75" customHeight="1">
      <c r="A3486" s="32"/>
      <c r="B3486" s="22"/>
      <c r="C3486" s="22"/>
      <c r="D3486" s="22"/>
      <c r="E3486" s="22"/>
      <c r="F3486" s="22"/>
      <c r="G3486" s="22"/>
      <c r="H3486" s="18"/>
      <c r="I3486" s="18"/>
      <c r="J3486" s="18"/>
      <c r="K3486" s="18"/>
      <c r="L3486" s="18"/>
      <c r="M3486" s="18"/>
      <c r="N3486" s="18"/>
      <c r="O3486" s="18"/>
      <c r="P3486" s="18"/>
      <c r="Q3486" s="19"/>
      <c r="R3486" s="19"/>
      <c r="S3486" s="19"/>
      <c r="T3486" s="18"/>
      <c r="U3486" s="18"/>
      <c r="V3486" s="18"/>
      <c r="W3486" s="18"/>
      <c r="X3486" s="18"/>
      <c r="Y3486" s="18"/>
      <c r="Z3486" s="18"/>
    </row>
    <row r="3487" ht="15.75" customHeight="1">
      <c r="A3487" s="32"/>
      <c r="B3487" s="22"/>
      <c r="C3487" s="22"/>
      <c r="D3487" s="22"/>
      <c r="E3487" s="22"/>
      <c r="F3487" s="22"/>
      <c r="G3487" s="22"/>
      <c r="H3487" s="18"/>
      <c r="I3487" s="18"/>
      <c r="J3487" s="18"/>
      <c r="K3487" s="18"/>
      <c r="L3487" s="18"/>
      <c r="M3487" s="18"/>
      <c r="N3487" s="18"/>
      <c r="O3487" s="18"/>
      <c r="P3487" s="18"/>
      <c r="Q3487" s="19"/>
      <c r="R3487" s="19"/>
      <c r="S3487" s="19"/>
      <c r="T3487" s="18"/>
      <c r="U3487" s="18"/>
      <c r="V3487" s="18"/>
      <c r="W3487" s="18"/>
      <c r="X3487" s="18"/>
      <c r="Y3487" s="18"/>
      <c r="Z3487" s="18"/>
    </row>
    <row r="3488" ht="15.75" customHeight="1">
      <c r="A3488" s="32"/>
      <c r="B3488" s="22"/>
      <c r="C3488" s="22"/>
      <c r="D3488" s="22"/>
      <c r="E3488" s="22"/>
      <c r="F3488" s="22"/>
      <c r="G3488" s="22"/>
      <c r="H3488" s="18"/>
      <c r="I3488" s="18"/>
      <c r="J3488" s="18"/>
      <c r="K3488" s="18"/>
      <c r="L3488" s="18"/>
      <c r="M3488" s="18"/>
      <c r="N3488" s="18"/>
      <c r="O3488" s="18"/>
      <c r="P3488" s="18"/>
      <c r="Q3488" s="19"/>
      <c r="R3488" s="19"/>
      <c r="S3488" s="19"/>
      <c r="T3488" s="18"/>
      <c r="U3488" s="18"/>
      <c r="V3488" s="18"/>
      <c r="W3488" s="18"/>
      <c r="X3488" s="18"/>
      <c r="Y3488" s="18"/>
      <c r="Z3488" s="18"/>
    </row>
    <row r="3489" ht="15.75" customHeight="1">
      <c r="A3489" s="32"/>
      <c r="B3489" s="22"/>
      <c r="C3489" s="22"/>
      <c r="D3489" s="22"/>
      <c r="E3489" s="22"/>
      <c r="F3489" s="22"/>
      <c r="G3489" s="22"/>
      <c r="H3489" s="18"/>
      <c r="I3489" s="18"/>
      <c r="J3489" s="18"/>
      <c r="K3489" s="18"/>
      <c r="L3489" s="18"/>
      <c r="M3489" s="18"/>
      <c r="N3489" s="18"/>
      <c r="O3489" s="18"/>
      <c r="P3489" s="18"/>
      <c r="Q3489" s="19"/>
      <c r="R3489" s="19"/>
      <c r="S3489" s="19"/>
      <c r="T3489" s="18"/>
      <c r="U3489" s="18"/>
      <c r="V3489" s="18"/>
      <c r="W3489" s="18"/>
      <c r="X3489" s="18"/>
      <c r="Y3489" s="18"/>
      <c r="Z3489" s="18"/>
    </row>
    <row r="3490" ht="15.75" customHeight="1">
      <c r="A3490" s="32"/>
      <c r="B3490" s="22"/>
      <c r="C3490" s="22"/>
      <c r="D3490" s="22"/>
      <c r="E3490" s="22"/>
      <c r="F3490" s="22"/>
      <c r="G3490" s="22"/>
      <c r="H3490" s="18"/>
      <c r="I3490" s="18"/>
      <c r="J3490" s="18"/>
      <c r="K3490" s="18"/>
      <c r="L3490" s="18"/>
      <c r="M3490" s="18"/>
      <c r="N3490" s="18"/>
      <c r="O3490" s="18"/>
      <c r="P3490" s="18"/>
      <c r="Q3490" s="19"/>
      <c r="R3490" s="19"/>
      <c r="S3490" s="19"/>
      <c r="T3490" s="18"/>
      <c r="U3490" s="18"/>
      <c r="V3490" s="18"/>
      <c r="W3490" s="18"/>
      <c r="X3490" s="18"/>
      <c r="Y3490" s="18"/>
      <c r="Z3490" s="18"/>
    </row>
    <row r="3491" ht="15.75" customHeight="1">
      <c r="A3491" s="32"/>
      <c r="B3491" s="22"/>
      <c r="C3491" s="22"/>
      <c r="D3491" s="22"/>
      <c r="E3491" s="22"/>
      <c r="F3491" s="22"/>
      <c r="G3491" s="22"/>
      <c r="H3491" s="18"/>
      <c r="I3491" s="18"/>
      <c r="J3491" s="18"/>
      <c r="K3491" s="18"/>
      <c r="L3491" s="18"/>
      <c r="M3491" s="18"/>
      <c r="N3491" s="18"/>
      <c r="O3491" s="18"/>
      <c r="P3491" s="18"/>
      <c r="Q3491" s="19"/>
      <c r="R3491" s="19"/>
      <c r="S3491" s="19"/>
      <c r="T3491" s="18"/>
      <c r="U3491" s="18"/>
      <c r="V3491" s="18"/>
      <c r="W3491" s="18"/>
      <c r="X3491" s="18"/>
      <c r="Y3491" s="18"/>
      <c r="Z3491" s="18"/>
    </row>
    <row r="3492" ht="15.75" customHeight="1">
      <c r="A3492" s="32"/>
      <c r="B3492" s="22"/>
      <c r="C3492" s="22"/>
      <c r="D3492" s="22"/>
      <c r="E3492" s="22"/>
      <c r="F3492" s="22"/>
      <c r="G3492" s="22"/>
      <c r="H3492" s="18"/>
      <c r="I3492" s="18"/>
      <c r="J3492" s="18"/>
      <c r="K3492" s="18"/>
      <c r="L3492" s="18"/>
      <c r="M3492" s="18"/>
      <c r="N3492" s="18"/>
      <c r="O3492" s="18"/>
      <c r="P3492" s="18"/>
      <c r="Q3492" s="19"/>
      <c r="R3492" s="19"/>
      <c r="S3492" s="19"/>
      <c r="T3492" s="18"/>
      <c r="U3492" s="18"/>
      <c r="V3492" s="18"/>
      <c r="W3492" s="18"/>
      <c r="X3492" s="18"/>
      <c r="Y3492" s="18"/>
      <c r="Z3492" s="18"/>
    </row>
    <row r="3493" ht="15.75" customHeight="1">
      <c r="A3493" s="32"/>
      <c r="B3493" s="22"/>
      <c r="C3493" s="22"/>
      <c r="D3493" s="22"/>
      <c r="E3493" s="22"/>
      <c r="F3493" s="22"/>
      <c r="G3493" s="22"/>
      <c r="H3493" s="18"/>
      <c r="I3493" s="18"/>
      <c r="J3493" s="18"/>
      <c r="K3493" s="18"/>
      <c r="L3493" s="18"/>
      <c r="M3493" s="18"/>
      <c r="N3493" s="18"/>
      <c r="O3493" s="18"/>
      <c r="P3493" s="18"/>
      <c r="Q3493" s="19"/>
      <c r="R3493" s="19"/>
      <c r="S3493" s="19"/>
      <c r="T3493" s="18"/>
      <c r="U3493" s="18"/>
      <c r="V3493" s="18"/>
      <c r="W3493" s="18"/>
      <c r="X3493" s="18"/>
      <c r="Y3493" s="18"/>
      <c r="Z3493" s="18"/>
    </row>
    <row r="3494" ht="15.75" customHeight="1">
      <c r="A3494" s="32"/>
      <c r="B3494" s="22"/>
      <c r="C3494" s="22"/>
      <c r="D3494" s="22"/>
      <c r="E3494" s="22"/>
      <c r="F3494" s="22"/>
      <c r="G3494" s="22"/>
      <c r="H3494" s="18"/>
      <c r="I3494" s="18"/>
      <c r="J3494" s="18"/>
      <c r="K3494" s="18"/>
      <c r="L3494" s="18"/>
      <c r="M3494" s="18"/>
      <c r="N3494" s="18"/>
      <c r="O3494" s="18"/>
      <c r="P3494" s="18"/>
      <c r="Q3494" s="19"/>
      <c r="R3494" s="19"/>
      <c r="S3494" s="19"/>
      <c r="T3494" s="18"/>
      <c r="U3494" s="18"/>
      <c r="V3494" s="18"/>
      <c r="W3494" s="18"/>
      <c r="X3494" s="18"/>
      <c r="Y3494" s="18"/>
      <c r="Z3494" s="18"/>
    </row>
    <row r="3495" ht="15.75" customHeight="1">
      <c r="A3495" s="32"/>
      <c r="B3495" s="22"/>
      <c r="C3495" s="22"/>
      <c r="D3495" s="22"/>
      <c r="E3495" s="22"/>
      <c r="F3495" s="22"/>
      <c r="G3495" s="22"/>
      <c r="H3495" s="18"/>
      <c r="I3495" s="18"/>
      <c r="J3495" s="18"/>
      <c r="K3495" s="18"/>
      <c r="L3495" s="18"/>
      <c r="M3495" s="18"/>
      <c r="N3495" s="18"/>
      <c r="O3495" s="18"/>
      <c r="P3495" s="18"/>
      <c r="Q3495" s="19"/>
      <c r="R3495" s="19"/>
      <c r="S3495" s="19"/>
      <c r="T3495" s="18"/>
      <c r="U3495" s="18"/>
      <c r="V3495" s="18"/>
      <c r="W3495" s="18"/>
      <c r="X3495" s="18"/>
      <c r="Y3495" s="18"/>
      <c r="Z3495" s="18"/>
    </row>
    <row r="3496" ht="15.75" customHeight="1">
      <c r="A3496" s="32"/>
      <c r="B3496" s="22"/>
      <c r="C3496" s="22"/>
      <c r="D3496" s="22"/>
      <c r="E3496" s="22"/>
      <c r="F3496" s="22"/>
      <c r="G3496" s="22"/>
      <c r="H3496" s="18"/>
      <c r="I3496" s="18"/>
      <c r="J3496" s="18"/>
      <c r="K3496" s="18"/>
      <c r="L3496" s="18"/>
      <c r="M3496" s="18"/>
      <c r="N3496" s="18"/>
      <c r="O3496" s="18"/>
      <c r="P3496" s="18"/>
      <c r="Q3496" s="19"/>
      <c r="R3496" s="19"/>
      <c r="S3496" s="19"/>
      <c r="T3496" s="18"/>
      <c r="U3496" s="18"/>
      <c r="V3496" s="18"/>
      <c r="W3496" s="18"/>
      <c r="X3496" s="18"/>
      <c r="Y3496" s="18"/>
      <c r="Z3496" s="18"/>
    </row>
    <row r="3497" ht="15.75" customHeight="1">
      <c r="A3497" s="32"/>
      <c r="B3497" s="22"/>
      <c r="C3497" s="22"/>
      <c r="D3497" s="22"/>
      <c r="E3497" s="22"/>
      <c r="F3497" s="22"/>
      <c r="G3497" s="22"/>
      <c r="H3497" s="18"/>
      <c r="I3497" s="18"/>
      <c r="J3497" s="18"/>
      <c r="K3497" s="18"/>
      <c r="L3497" s="18"/>
      <c r="M3497" s="18"/>
      <c r="N3497" s="18"/>
      <c r="O3497" s="18"/>
      <c r="P3497" s="18"/>
      <c r="Q3497" s="19"/>
      <c r="R3497" s="19"/>
      <c r="S3497" s="19"/>
      <c r="T3497" s="18"/>
      <c r="U3497" s="18"/>
      <c r="V3497" s="18"/>
      <c r="W3497" s="18"/>
      <c r="X3497" s="18"/>
      <c r="Y3497" s="18"/>
      <c r="Z3497" s="18"/>
    </row>
    <row r="3498" ht="15.75" customHeight="1">
      <c r="A3498" s="32"/>
      <c r="B3498" s="22"/>
      <c r="C3498" s="22"/>
      <c r="D3498" s="22"/>
      <c r="E3498" s="22"/>
      <c r="F3498" s="22"/>
      <c r="G3498" s="22"/>
      <c r="H3498" s="18"/>
      <c r="I3498" s="18"/>
      <c r="J3498" s="18"/>
      <c r="K3498" s="18"/>
      <c r="L3498" s="18"/>
      <c r="M3498" s="18"/>
      <c r="N3498" s="18"/>
      <c r="O3498" s="18"/>
      <c r="P3498" s="18"/>
      <c r="Q3498" s="19"/>
      <c r="R3498" s="19"/>
      <c r="S3498" s="19"/>
      <c r="T3498" s="18"/>
      <c r="U3498" s="18"/>
      <c r="V3498" s="18"/>
      <c r="W3498" s="18"/>
      <c r="X3498" s="18"/>
      <c r="Y3498" s="18"/>
      <c r="Z3498" s="18"/>
    </row>
    <row r="3499" ht="15.75" customHeight="1">
      <c r="A3499" s="32"/>
      <c r="B3499" s="22"/>
      <c r="C3499" s="22"/>
      <c r="D3499" s="22"/>
      <c r="E3499" s="22"/>
      <c r="F3499" s="22"/>
      <c r="G3499" s="22"/>
      <c r="H3499" s="18"/>
      <c r="I3499" s="18"/>
      <c r="J3499" s="18"/>
      <c r="K3499" s="18"/>
      <c r="L3499" s="18"/>
      <c r="M3499" s="18"/>
      <c r="N3499" s="18"/>
      <c r="O3499" s="18"/>
      <c r="P3499" s="18"/>
      <c r="Q3499" s="19"/>
      <c r="R3499" s="19"/>
      <c r="S3499" s="19"/>
      <c r="T3499" s="18"/>
      <c r="U3499" s="18"/>
      <c r="V3499" s="18"/>
      <c r="W3499" s="18"/>
      <c r="X3499" s="18"/>
      <c r="Y3499" s="18"/>
      <c r="Z3499" s="18"/>
    </row>
    <row r="3500" ht="15.75" customHeight="1">
      <c r="A3500" s="32"/>
      <c r="B3500" s="22"/>
      <c r="C3500" s="22"/>
      <c r="D3500" s="22"/>
      <c r="E3500" s="22"/>
      <c r="F3500" s="22"/>
      <c r="G3500" s="22"/>
      <c r="H3500" s="18"/>
      <c r="I3500" s="18"/>
      <c r="J3500" s="18"/>
      <c r="K3500" s="18"/>
      <c r="L3500" s="18"/>
      <c r="M3500" s="18"/>
      <c r="N3500" s="18"/>
      <c r="O3500" s="18"/>
      <c r="P3500" s="18"/>
      <c r="Q3500" s="19"/>
      <c r="R3500" s="19"/>
      <c r="S3500" s="19"/>
      <c r="T3500" s="18"/>
      <c r="U3500" s="18"/>
      <c r="V3500" s="18"/>
      <c r="W3500" s="18"/>
      <c r="X3500" s="18"/>
      <c r="Y3500" s="18"/>
      <c r="Z3500" s="18"/>
    </row>
    <row r="3501" ht="15.75" customHeight="1">
      <c r="A3501" s="32"/>
      <c r="B3501" s="22"/>
      <c r="C3501" s="22"/>
      <c r="D3501" s="22"/>
      <c r="E3501" s="22"/>
      <c r="F3501" s="22"/>
      <c r="G3501" s="22"/>
      <c r="H3501" s="18"/>
      <c r="I3501" s="18"/>
      <c r="J3501" s="18"/>
      <c r="K3501" s="18"/>
      <c r="L3501" s="18"/>
      <c r="M3501" s="18"/>
      <c r="N3501" s="18"/>
      <c r="O3501" s="18"/>
      <c r="P3501" s="18"/>
      <c r="Q3501" s="19"/>
      <c r="R3501" s="19"/>
      <c r="S3501" s="19"/>
      <c r="T3501" s="18"/>
      <c r="U3501" s="18"/>
      <c r="V3501" s="18"/>
      <c r="W3501" s="18"/>
      <c r="X3501" s="18"/>
      <c r="Y3501" s="18"/>
      <c r="Z3501" s="18"/>
    </row>
    <row r="3502" ht="15.75" customHeight="1">
      <c r="A3502" s="32"/>
      <c r="B3502" s="22"/>
      <c r="C3502" s="22"/>
      <c r="D3502" s="22"/>
      <c r="E3502" s="22"/>
      <c r="F3502" s="22"/>
      <c r="G3502" s="22"/>
      <c r="H3502" s="18"/>
      <c r="I3502" s="18"/>
      <c r="J3502" s="18"/>
      <c r="K3502" s="18"/>
      <c r="L3502" s="18"/>
      <c r="M3502" s="18"/>
      <c r="N3502" s="18"/>
      <c r="O3502" s="18"/>
      <c r="P3502" s="18"/>
      <c r="Q3502" s="19"/>
      <c r="R3502" s="19"/>
      <c r="S3502" s="19"/>
      <c r="T3502" s="18"/>
      <c r="U3502" s="18"/>
      <c r="V3502" s="18"/>
      <c r="W3502" s="18"/>
      <c r="X3502" s="18"/>
      <c r="Y3502" s="18"/>
      <c r="Z3502" s="18"/>
    </row>
    <row r="3503" ht="15.75" customHeight="1">
      <c r="A3503" s="32"/>
      <c r="B3503" s="22"/>
      <c r="C3503" s="22"/>
      <c r="D3503" s="22"/>
      <c r="E3503" s="22"/>
      <c r="F3503" s="22"/>
      <c r="G3503" s="22"/>
      <c r="H3503" s="18"/>
      <c r="I3503" s="18"/>
      <c r="J3503" s="18"/>
      <c r="K3503" s="18"/>
      <c r="L3503" s="18"/>
      <c r="M3503" s="18"/>
      <c r="N3503" s="18"/>
      <c r="O3503" s="18"/>
      <c r="P3503" s="18"/>
      <c r="Q3503" s="19"/>
      <c r="R3503" s="19"/>
      <c r="S3503" s="19"/>
      <c r="T3503" s="18"/>
      <c r="U3503" s="18"/>
      <c r="V3503" s="18"/>
      <c r="W3503" s="18"/>
      <c r="X3503" s="18"/>
      <c r="Y3503" s="18"/>
      <c r="Z3503" s="18"/>
    </row>
    <row r="3504" ht="15.75" customHeight="1">
      <c r="A3504" s="32"/>
      <c r="B3504" s="22"/>
      <c r="C3504" s="22"/>
      <c r="D3504" s="22"/>
      <c r="E3504" s="22"/>
      <c r="F3504" s="22"/>
      <c r="G3504" s="22"/>
      <c r="H3504" s="18"/>
      <c r="I3504" s="18"/>
      <c r="J3504" s="18"/>
      <c r="K3504" s="18"/>
      <c r="L3504" s="18"/>
      <c r="M3504" s="18"/>
      <c r="N3504" s="18"/>
      <c r="O3504" s="18"/>
      <c r="P3504" s="18"/>
      <c r="Q3504" s="19"/>
      <c r="R3504" s="19"/>
      <c r="S3504" s="19"/>
      <c r="T3504" s="18"/>
      <c r="U3504" s="18"/>
      <c r="V3504" s="18"/>
      <c r="W3504" s="18"/>
      <c r="X3504" s="18"/>
      <c r="Y3504" s="18"/>
      <c r="Z3504" s="18"/>
    </row>
    <row r="3505" ht="15.75" customHeight="1">
      <c r="A3505" s="32"/>
      <c r="B3505" s="22"/>
      <c r="C3505" s="22"/>
      <c r="D3505" s="22"/>
      <c r="E3505" s="22"/>
      <c r="F3505" s="22"/>
      <c r="G3505" s="22"/>
      <c r="H3505" s="18"/>
      <c r="I3505" s="18"/>
      <c r="J3505" s="18"/>
      <c r="K3505" s="18"/>
      <c r="L3505" s="18"/>
      <c r="M3505" s="18"/>
      <c r="N3505" s="18"/>
      <c r="O3505" s="18"/>
      <c r="P3505" s="18"/>
      <c r="Q3505" s="19"/>
      <c r="R3505" s="19"/>
      <c r="S3505" s="19"/>
      <c r="T3505" s="18"/>
      <c r="U3505" s="18"/>
      <c r="V3505" s="18"/>
      <c r="W3505" s="18"/>
      <c r="X3505" s="18"/>
      <c r="Y3505" s="18"/>
      <c r="Z3505" s="18"/>
    </row>
    <row r="3506" ht="15.75" customHeight="1">
      <c r="A3506" s="32"/>
      <c r="B3506" s="22"/>
      <c r="C3506" s="22"/>
      <c r="D3506" s="22"/>
      <c r="E3506" s="22"/>
      <c r="F3506" s="22"/>
      <c r="G3506" s="22"/>
      <c r="H3506" s="18"/>
      <c r="I3506" s="18"/>
      <c r="J3506" s="18"/>
      <c r="K3506" s="18"/>
      <c r="L3506" s="18"/>
      <c r="M3506" s="18"/>
      <c r="N3506" s="18"/>
      <c r="O3506" s="18"/>
      <c r="P3506" s="18"/>
      <c r="Q3506" s="19"/>
      <c r="R3506" s="19"/>
      <c r="S3506" s="19"/>
      <c r="T3506" s="18"/>
      <c r="U3506" s="18"/>
      <c r="V3506" s="18"/>
      <c r="W3506" s="18"/>
      <c r="X3506" s="18"/>
      <c r="Y3506" s="18"/>
      <c r="Z3506" s="18"/>
    </row>
    <row r="3507" ht="15.75" customHeight="1">
      <c r="A3507" s="32"/>
      <c r="B3507" s="22"/>
      <c r="C3507" s="22"/>
      <c r="D3507" s="22"/>
      <c r="E3507" s="22"/>
      <c r="F3507" s="22"/>
      <c r="G3507" s="22"/>
      <c r="H3507" s="18"/>
      <c r="I3507" s="18"/>
      <c r="J3507" s="18"/>
      <c r="K3507" s="18"/>
      <c r="L3507" s="18"/>
      <c r="M3507" s="18"/>
      <c r="N3507" s="18"/>
      <c r="O3507" s="18"/>
      <c r="P3507" s="18"/>
      <c r="Q3507" s="19"/>
      <c r="R3507" s="19"/>
      <c r="S3507" s="19"/>
      <c r="T3507" s="18"/>
      <c r="U3507" s="18"/>
      <c r="V3507" s="18"/>
      <c r="W3507" s="18"/>
      <c r="X3507" s="18"/>
      <c r="Y3507" s="18"/>
      <c r="Z3507" s="18"/>
    </row>
    <row r="3508" ht="15.75" customHeight="1">
      <c r="A3508" s="32"/>
      <c r="B3508" s="22"/>
      <c r="C3508" s="22"/>
      <c r="D3508" s="22"/>
      <c r="E3508" s="22"/>
      <c r="F3508" s="22"/>
      <c r="G3508" s="22"/>
      <c r="H3508" s="18"/>
      <c r="I3508" s="18"/>
      <c r="J3508" s="18"/>
      <c r="K3508" s="18"/>
      <c r="L3508" s="18"/>
      <c r="M3508" s="18"/>
      <c r="N3508" s="18"/>
      <c r="O3508" s="18"/>
      <c r="P3508" s="18"/>
      <c r="Q3508" s="19"/>
      <c r="R3508" s="19"/>
      <c r="S3508" s="19"/>
      <c r="T3508" s="18"/>
      <c r="U3508" s="18"/>
      <c r="V3508" s="18"/>
      <c r="W3508" s="18"/>
      <c r="X3508" s="18"/>
      <c r="Y3508" s="18"/>
      <c r="Z3508" s="18"/>
    </row>
    <row r="3509" ht="15.75" customHeight="1">
      <c r="A3509" s="32"/>
      <c r="B3509" s="22"/>
      <c r="C3509" s="22"/>
      <c r="D3509" s="22"/>
      <c r="E3509" s="22"/>
      <c r="F3509" s="22"/>
      <c r="G3509" s="22"/>
      <c r="H3509" s="18"/>
      <c r="I3509" s="18"/>
      <c r="J3509" s="18"/>
      <c r="K3509" s="18"/>
      <c r="L3509" s="18"/>
      <c r="M3509" s="18"/>
      <c r="N3509" s="18"/>
      <c r="O3509" s="18"/>
      <c r="P3509" s="18"/>
      <c r="Q3509" s="19"/>
      <c r="R3509" s="19"/>
      <c r="S3509" s="19"/>
      <c r="T3509" s="18"/>
      <c r="U3509" s="18"/>
      <c r="V3509" s="18"/>
      <c r="W3509" s="18"/>
      <c r="X3509" s="18"/>
      <c r="Y3509" s="18"/>
      <c r="Z3509" s="18"/>
    </row>
    <row r="3510" ht="15.75" customHeight="1">
      <c r="A3510" s="32"/>
      <c r="B3510" s="22"/>
      <c r="C3510" s="22"/>
      <c r="D3510" s="22"/>
      <c r="E3510" s="22"/>
      <c r="F3510" s="22"/>
      <c r="G3510" s="22"/>
      <c r="H3510" s="18"/>
      <c r="I3510" s="18"/>
      <c r="J3510" s="18"/>
      <c r="K3510" s="18"/>
      <c r="L3510" s="18"/>
      <c r="M3510" s="18"/>
      <c r="N3510" s="18"/>
      <c r="O3510" s="18"/>
      <c r="P3510" s="18"/>
      <c r="Q3510" s="19"/>
      <c r="R3510" s="19"/>
      <c r="S3510" s="19"/>
      <c r="T3510" s="18"/>
      <c r="U3510" s="18"/>
      <c r="V3510" s="18"/>
      <c r="W3510" s="18"/>
      <c r="X3510" s="18"/>
      <c r="Y3510" s="18"/>
      <c r="Z3510" s="18"/>
    </row>
    <row r="3511" ht="15.75" customHeight="1">
      <c r="A3511" s="32"/>
      <c r="B3511" s="22"/>
      <c r="C3511" s="22"/>
      <c r="D3511" s="22"/>
      <c r="E3511" s="22"/>
      <c r="F3511" s="22"/>
      <c r="G3511" s="22"/>
      <c r="H3511" s="18"/>
      <c r="I3511" s="18"/>
      <c r="J3511" s="18"/>
      <c r="K3511" s="18"/>
      <c r="L3511" s="18"/>
      <c r="M3511" s="18"/>
      <c r="N3511" s="18"/>
      <c r="O3511" s="18"/>
      <c r="P3511" s="18"/>
      <c r="Q3511" s="19"/>
      <c r="R3511" s="19"/>
      <c r="S3511" s="19"/>
      <c r="T3511" s="18"/>
      <c r="U3511" s="18"/>
      <c r="V3511" s="18"/>
      <c r="W3511" s="18"/>
      <c r="X3511" s="18"/>
      <c r="Y3511" s="18"/>
      <c r="Z3511" s="18"/>
    </row>
    <row r="3512" ht="15.75" customHeight="1">
      <c r="A3512" s="32"/>
      <c r="B3512" s="22"/>
      <c r="C3512" s="22"/>
      <c r="D3512" s="22"/>
      <c r="E3512" s="22"/>
      <c r="F3512" s="22"/>
      <c r="G3512" s="22"/>
      <c r="H3512" s="18"/>
      <c r="I3512" s="18"/>
      <c r="J3512" s="18"/>
      <c r="K3512" s="18"/>
      <c r="L3512" s="18"/>
      <c r="M3512" s="18"/>
      <c r="N3512" s="18"/>
      <c r="O3512" s="18"/>
      <c r="P3512" s="18"/>
      <c r="Q3512" s="19"/>
      <c r="R3512" s="19"/>
      <c r="S3512" s="19"/>
      <c r="T3512" s="18"/>
      <c r="U3512" s="18"/>
      <c r="V3512" s="18"/>
      <c r="W3512" s="18"/>
      <c r="X3512" s="18"/>
      <c r="Y3512" s="18"/>
      <c r="Z3512" s="18"/>
    </row>
    <row r="3513" ht="15.75" customHeight="1">
      <c r="A3513" s="32"/>
      <c r="B3513" s="22"/>
      <c r="C3513" s="22"/>
      <c r="D3513" s="22"/>
      <c r="E3513" s="22"/>
      <c r="F3513" s="22"/>
      <c r="G3513" s="22"/>
      <c r="H3513" s="18"/>
      <c r="I3513" s="18"/>
      <c r="J3513" s="18"/>
      <c r="K3513" s="18"/>
      <c r="L3513" s="18"/>
      <c r="M3513" s="18"/>
      <c r="N3513" s="18"/>
      <c r="O3513" s="18"/>
      <c r="P3513" s="18"/>
      <c r="Q3513" s="19"/>
      <c r="R3513" s="19"/>
      <c r="S3513" s="19"/>
      <c r="T3513" s="18"/>
      <c r="U3513" s="18"/>
      <c r="V3513" s="18"/>
      <c r="W3513" s="18"/>
      <c r="X3513" s="18"/>
      <c r="Y3513" s="18"/>
      <c r="Z3513" s="18"/>
    </row>
    <row r="3514" ht="15.75" customHeight="1">
      <c r="A3514" s="32"/>
      <c r="B3514" s="22"/>
      <c r="C3514" s="22"/>
      <c r="D3514" s="22"/>
      <c r="E3514" s="22"/>
      <c r="F3514" s="22"/>
      <c r="G3514" s="22"/>
      <c r="H3514" s="18"/>
      <c r="I3514" s="18"/>
      <c r="J3514" s="18"/>
      <c r="K3514" s="18"/>
      <c r="L3514" s="18"/>
      <c r="M3514" s="18"/>
      <c r="N3514" s="18"/>
      <c r="O3514" s="18"/>
      <c r="P3514" s="18"/>
      <c r="Q3514" s="19"/>
      <c r="R3514" s="19"/>
      <c r="S3514" s="19"/>
      <c r="T3514" s="18"/>
      <c r="U3514" s="18"/>
      <c r="V3514" s="18"/>
      <c r="W3514" s="18"/>
      <c r="X3514" s="18"/>
      <c r="Y3514" s="18"/>
      <c r="Z3514" s="18"/>
    </row>
    <row r="3515" ht="15.75" customHeight="1">
      <c r="A3515" s="32"/>
      <c r="B3515" s="22"/>
      <c r="C3515" s="22"/>
      <c r="D3515" s="22"/>
      <c r="E3515" s="22"/>
      <c r="F3515" s="22"/>
      <c r="G3515" s="22"/>
      <c r="H3515" s="18"/>
      <c r="I3515" s="18"/>
      <c r="J3515" s="18"/>
      <c r="K3515" s="18"/>
      <c r="L3515" s="18"/>
      <c r="M3515" s="18"/>
      <c r="N3515" s="18"/>
      <c r="O3515" s="18"/>
      <c r="P3515" s="18"/>
      <c r="Q3515" s="19"/>
      <c r="R3515" s="19"/>
      <c r="S3515" s="19"/>
      <c r="T3515" s="18"/>
      <c r="U3515" s="18"/>
      <c r="V3515" s="18"/>
      <c r="W3515" s="18"/>
      <c r="X3515" s="18"/>
      <c r="Y3515" s="18"/>
      <c r="Z3515" s="18"/>
    </row>
    <row r="3516" ht="15.75" customHeight="1">
      <c r="A3516" s="32"/>
      <c r="B3516" s="22"/>
      <c r="C3516" s="22"/>
      <c r="D3516" s="22"/>
      <c r="E3516" s="22"/>
      <c r="F3516" s="22"/>
      <c r="G3516" s="22"/>
      <c r="H3516" s="18"/>
      <c r="I3516" s="18"/>
      <c r="J3516" s="18"/>
      <c r="K3516" s="18"/>
      <c r="L3516" s="18"/>
      <c r="M3516" s="18"/>
      <c r="N3516" s="18"/>
      <c r="O3516" s="18"/>
      <c r="P3516" s="18"/>
      <c r="Q3516" s="19"/>
      <c r="R3516" s="19"/>
      <c r="S3516" s="19"/>
      <c r="T3516" s="18"/>
      <c r="U3516" s="18"/>
      <c r="V3516" s="18"/>
      <c r="W3516" s="18"/>
      <c r="X3516" s="18"/>
      <c r="Y3516" s="18"/>
      <c r="Z3516" s="18"/>
    </row>
    <row r="3517" ht="15.75" customHeight="1">
      <c r="A3517" s="32"/>
      <c r="B3517" s="22"/>
      <c r="C3517" s="22"/>
      <c r="D3517" s="22"/>
      <c r="E3517" s="22"/>
      <c r="F3517" s="22"/>
      <c r="G3517" s="22"/>
      <c r="H3517" s="18"/>
      <c r="I3517" s="18"/>
      <c r="J3517" s="18"/>
      <c r="K3517" s="18"/>
      <c r="L3517" s="18"/>
      <c r="M3517" s="18"/>
      <c r="N3517" s="18"/>
      <c r="O3517" s="18"/>
      <c r="P3517" s="18"/>
      <c r="Q3517" s="19"/>
      <c r="R3517" s="19"/>
      <c r="S3517" s="19"/>
      <c r="T3517" s="18"/>
      <c r="U3517" s="18"/>
      <c r="V3517" s="18"/>
      <c r="W3517" s="18"/>
      <c r="X3517" s="18"/>
      <c r="Y3517" s="18"/>
      <c r="Z3517" s="18"/>
    </row>
    <row r="3518" ht="15.75" customHeight="1">
      <c r="A3518" s="32"/>
      <c r="B3518" s="22"/>
      <c r="C3518" s="22"/>
      <c r="D3518" s="22"/>
      <c r="E3518" s="22"/>
      <c r="F3518" s="22"/>
      <c r="G3518" s="22"/>
      <c r="H3518" s="18"/>
      <c r="I3518" s="18"/>
      <c r="J3518" s="18"/>
      <c r="K3518" s="18"/>
      <c r="L3518" s="18"/>
      <c r="M3518" s="18"/>
      <c r="N3518" s="18"/>
      <c r="O3518" s="18"/>
      <c r="P3518" s="18"/>
      <c r="Q3518" s="19"/>
      <c r="R3518" s="19"/>
      <c r="S3518" s="19"/>
      <c r="T3518" s="18"/>
      <c r="U3518" s="18"/>
      <c r="V3518" s="18"/>
      <c r="W3518" s="18"/>
      <c r="X3518" s="18"/>
      <c r="Y3518" s="18"/>
      <c r="Z3518" s="18"/>
    </row>
    <row r="3519" ht="15.75" customHeight="1">
      <c r="A3519" s="32"/>
      <c r="B3519" s="22"/>
      <c r="C3519" s="22"/>
      <c r="D3519" s="22"/>
      <c r="E3519" s="22"/>
      <c r="F3519" s="22"/>
      <c r="G3519" s="22"/>
      <c r="H3519" s="18"/>
      <c r="I3519" s="18"/>
      <c r="J3519" s="18"/>
      <c r="K3519" s="18"/>
      <c r="L3519" s="18"/>
      <c r="M3519" s="18"/>
      <c r="N3519" s="18"/>
      <c r="O3519" s="18"/>
      <c r="P3519" s="18"/>
      <c r="Q3519" s="19"/>
      <c r="R3519" s="19"/>
      <c r="S3519" s="19"/>
      <c r="T3519" s="18"/>
      <c r="U3519" s="18"/>
      <c r="V3519" s="18"/>
      <c r="W3519" s="18"/>
      <c r="X3519" s="18"/>
      <c r="Y3519" s="18"/>
      <c r="Z3519" s="18"/>
    </row>
    <row r="3520" ht="15.75" customHeight="1">
      <c r="A3520" s="32"/>
      <c r="B3520" s="22"/>
      <c r="C3520" s="22"/>
      <c r="D3520" s="22"/>
      <c r="E3520" s="22"/>
      <c r="F3520" s="22"/>
      <c r="G3520" s="22"/>
      <c r="H3520" s="18"/>
      <c r="I3520" s="18"/>
      <c r="J3520" s="18"/>
      <c r="K3520" s="18"/>
      <c r="L3520" s="18"/>
      <c r="M3520" s="18"/>
      <c r="N3520" s="18"/>
      <c r="O3520" s="18"/>
      <c r="P3520" s="18"/>
      <c r="Q3520" s="19"/>
      <c r="R3520" s="19"/>
      <c r="S3520" s="19"/>
      <c r="T3520" s="18"/>
      <c r="U3520" s="18"/>
      <c r="V3520" s="18"/>
      <c r="W3520" s="18"/>
      <c r="X3520" s="18"/>
      <c r="Y3520" s="18"/>
      <c r="Z3520" s="18"/>
    </row>
    <row r="3521" ht="15.75" customHeight="1">
      <c r="A3521" s="32"/>
      <c r="B3521" s="22"/>
      <c r="C3521" s="22"/>
      <c r="D3521" s="22"/>
      <c r="E3521" s="22"/>
      <c r="F3521" s="22"/>
      <c r="G3521" s="22"/>
      <c r="H3521" s="18"/>
      <c r="I3521" s="18"/>
      <c r="J3521" s="18"/>
      <c r="K3521" s="18"/>
      <c r="L3521" s="18"/>
      <c r="M3521" s="18"/>
      <c r="N3521" s="18"/>
      <c r="O3521" s="18"/>
      <c r="P3521" s="18"/>
      <c r="Q3521" s="19"/>
      <c r="R3521" s="19"/>
      <c r="S3521" s="19"/>
      <c r="T3521" s="18"/>
      <c r="U3521" s="18"/>
      <c r="V3521" s="18"/>
      <c r="W3521" s="18"/>
      <c r="X3521" s="18"/>
      <c r="Y3521" s="18"/>
      <c r="Z3521" s="18"/>
    </row>
    <row r="3522" ht="15.75" customHeight="1">
      <c r="A3522" s="32"/>
      <c r="B3522" s="22"/>
      <c r="C3522" s="22"/>
      <c r="D3522" s="22"/>
      <c r="E3522" s="22"/>
      <c r="F3522" s="22"/>
      <c r="G3522" s="22"/>
      <c r="H3522" s="18"/>
      <c r="I3522" s="18"/>
      <c r="J3522" s="18"/>
      <c r="K3522" s="18"/>
      <c r="L3522" s="18"/>
      <c r="M3522" s="18"/>
      <c r="N3522" s="18"/>
      <c r="O3522" s="18"/>
      <c r="P3522" s="18"/>
      <c r="Q3522" s="19"/>
      <c r="R3522" s="19"/>
      <c r="S3522" s="19"/>
      <c r="T3522" s="18"/>
      <c r="U3522" s="18"/>
      <c r="V3522" s="18"/>
      <c r="W3522" s="18"/>
      <c r="X3522" s="18"/>
      <c r="Y3522" s="18"/>
      <c r="Z3522" s="18"/>
    </row>
    <row r="3523" ht="15.75" customHeight="1">
      <c r="A3523" s="32"/>
      <c r="B3523" s="22"/>
      <c r="C3523" s="22"/>
      <c r="D3523" s="22"/>
      <c r="E3523" s="22"/>
      <c r="F3523" s="22"/>
      <c r="G3523" s="22"/>
      <c r="H3523" s="18"/>
      <c r="I3523" s="18"/>
      <c r="J3523" s="18"/>
      <c r="K3523" s="18"/>
      <c r="L3523" s="18"/>
      <c r="M3523" s="18"/>
      <c r="N3523" s="18"/>
      <c r="O3523" s="18"/>
      <c r="P3523" s="18"/>
      <c r="Q3523" s="19"/>
      <c r="R3523" s="19"/>
      <c r="S3523" s="19"/>
      <c r="T3523" s="18"/>
      <c r="U3523" s="18"/>
      <c r="V3523" s="18"/>
      <c r="W3523" s="18"/>
      <c r="X3523" s="18"/>
      <c r="Y3523" s="18"/>
      <c r="Z3523" s="18"/>
    </row>
    <row r="3524" ht="15.75" customHeight="1">
      <c r="A3524" s="32"/>
      <c r="B3524" s="22"/>
      <c r="C3524" s="22"/>
      <c r="D3524" s="22"/>
      <c r="E3524" s="22"/>
      <c r="F3524" s="22"/>
      <c r="G3524" s="22"/>
      <c r="H3524" s="18"/>
      <c r="I3524" s="18"/>
      <c r="J3524" s="18"/>
      <c r="K3524" s="18"/>
      <c r="L3524" s="18"/>
      <c r="M3524" s="18"/>
      <c r="N3524" s="18"/>
      <c r="O3524" s="18"/>
      <c r="P3524" s="18"/>
      <c r="Q3524" s="19"/>
      <c r="R3524" s="19"/>
      <c r="S3524" s="19"/>
      <c r="T3524" s="18"/>
      <c r="U3524" s="18"/>
      <c r="V3524" s="18"/>
      <c r="W3524" s="18"/>
      <c r="X3524" s="18"/>
      <c r="Y3524" s="18"/>
      <c r="Z3524" s="18"/>
    </row>
    <row r="3525" ht="15.75" customHeight="1">
      <c r="A3525" s="32"/>
      <c r="B3525" s="22"/>
      <c r="C3525" s="22"/>
      <c r="D3525" s="22"/>
      <c r="E3525" s="22"/>
      <c r="F3525" s="22"/>
      <c r="G3525" s="22"/>
      <c r="H3525" s="18"/>
      <c r="I3525" s="18"/>
      <c r="J3525" s="18"/>
      <c r="K3525" s="18"/>
      <c r="L3525" s="18"/>
      <c r="M3525" s="18"/>
      <c r="N3525" s="18"/>
      <c r="O3525" s="18"/>
      <c r="P3525" s="18"/>
      <c r="Q3525" s="19"/>
      <c r="R3525" s="19"/>
      <c r="S3525" s="19"/>
      <c r="T3525" s="18"/>
      <c r="U3525" s="18"/>
      <c r="V3525" s="18"/>
      <c r="W3525" s="18"/>
      <c r="X3525" s="18"/>
      <c r="Y3525" s="18"/>
      <c r="Z3525" s="18"/>
    </row>
    <row r="3526" ht="15.75" customHeight="1">
      <c r="A3526" s="32"/>
      <c r="B3526" s="22"/>
      <c r="C3526" s="22"/>
      <c r="D3526" s="22"/>
      <c r="E3526" s="22"/>
      <c r="F3526" s="22"/>
      <c r="G3526" s="22"/>
      <c r="H3526" s="18"/>
      <c r="I3526" s="18"/>
      <c r="J3526" s="18"/>
      <c r="K3526" s="18"/>
      <c r="L3526" s="18"/>
      <c r="M3526" s="18"/>
      <c r="N3526" s="18"/>
      <c r="O3526" s="18"/>
      <c r="P3526" s="18"/>
      <c r="Q3526" s="19"/>
      <c r="R3526" s="19"/>
      <c r="S3526" s="19"/>
      <c r="T3526" s="18"/>
      <c r="U3526" s="18"/>
      <c r="V3526" s="18"/>
      <c r="W3526" s="18"/>
      <c r="X3526" s="18"/>
      <c r="Y3526" s="18"/>
      <c r="Z3526" s="18"/>
    </row>
    <row r="3527" ht="15.75" customHeight="1">
      <c r="A3527" s="32"/>
      <c r="B3527" s="22"/>
      <c r="C3527" s="22"/>
      <c r="D3527" s="22"/>
      <c r="E3527" s="22"/>
      <c r="F3527" s="22"/>
      <c r="G3527" s="22"/>
      <c r="H3527" s="18"/>
      <c r="I3527" s="18"/>
      <c r="J3527" s="18"/>
      <c r="K3527" s="18"/>
      <c r="L3527" s="18"/>
      <c r="M3527" s="18"/>
      <c r="N3527" s="18"/>
      <c r="O3527" s="18"/>
      <c r="P3527" s="18"/>
      <c r="Q3527" s="19"/>
      <c r="R3527" s="19"/>
      <c r="S3527" s="19"/>
      <c r="T3527" s="18"/>
      <c r="U3527" s="18"/>
      <c r="V3527" s="18"/>
      <c r="W3527" s="18"/>
      <c r="X3527" s="18"/>
      <c r="Y3527" s="18"/>
      <c r="Z3527" s="18"/>
    </row>
    <row r="3528" ht="15.75" customHeight="1">
      <c r="A3528" s="32"/>
      <c r="B3528" s="22"/>
      <c r="C3528" s="22"/>
      <c r="D3528" s="22"/>
      <c r="E3528" s="22"/>
      <c r="F3528" s="22"/>
      <c r="G3528" s="22"/>
      <c r="H3528" s="18"/>
      <c r="I3528" s="18"/>
      <c r="J3528" s="18"/>
      <c r="K3528" s="18"/>
      <c r="L3528" s="18"/>
      <c r="M3528" s="18"/>
      <c r="N3528" s="18"/>
      <c r="O3528" s="18"/>
      <c r="P3528" s="18"/>
      <c r="Q3528" s="19"/>
      <c r="R3528" s="19"/>
      <c r="S3528" s="19"/>
      <c r="T3528" s="18"/>
      <c r="U3528" s="18"/>
      <c r="V3528" s="18"/>
      <c r="W3528" s="18"/>
      <c r="X3528" s="18"/>
      <c r="Y3528" s="18"/>
      <c r="Z3528" s="18"/>
    </row>
    <row r="3529" ht="15.75" customHeight="1">
      <c r="A3529" s="32"/>
      <c r="B3529" s="22"/>
      <c r="C3529" s="22"/>
      <c r="D3529" s="22"/>
      <c r="E3529" s="22"/>
      <c r="F3529" s="22"/>
      <c r="G3529" s="22"/>
      <c r="H3529" s="18"/>
      <c r="I3529" s="18"/>
      <c r="J3529" s="18"/>
      <c r="K3529" s="18"/>
      <c r="L3529" s="18"/>
      <c r="M3529" s="18"/>
      <c r="N3529" s="18"/>
      <c r="O3529" s="18"/>
      <c r="P3529" s="18"/>
      <c r="Q3529" s="19"/>
      <c r="R3529" s="19"/>
      <c r="S3529" s="19"/>
      <c r="T3529" s="18"/>
      <c r="U3529" s="18"/>
      <c r="V3529" s="18"/>
      <c r="W3529" s="18"/>
      <c r="X3529" s="18"/>
      <c r="Y3529" s="18"/>
      <c r="Z3529" s="18"/>
    </row>
    <row r="3530" ht="15.75" customHeight="1">
      <c r="A3530" s="32"/>
      <c r="B3530" s="22"/>
      <c r="C3530" s="22"/>
      <c r="D3530" s="22"/>
      <c r="E3530" s="22"/>
      <c r="F3530" s="22"/>
      <c r="G3530" s="22"/>
      <c r="H3530" s="18"/>
      <c r="I3530" s="18"/>
      <c r="J3530" s="18"/>
      <c r="K3530" s="18"/>
      <c r="L3530" s="18"/>
      <c r="M3530" s="18"/>
      <c r="N3530" s="18"/>
      <c r="O3530" s="18"/>
      <c r="P3530" s="18"/>
      <c r="Q3530" s="19"/>
      <c r="R3530" s="19"/>
      <c r="S3530" s="19"/>
      <c r="T3530" s="18"/>
      <c r="U3530" s="18"/>
      <c r="V3530" s="18"/>
      <c r="W3530" s="18"/>
      <c r="X3530" s="18"/>
      <c r="Y3530" s="18"/>
      <c r="Z3530" s="18"/>
    </row>
    <row r="3531" ht="15.75" customHeight="1">
      <c r="A3531" s="32"/>
      <c r="B3531" s="22"/>
      <c r="C3531" s="22"/>
      <c r="D3531" s="22"/>
      <c r="E3531" s="22"/>
      <c r="F3531" s="22"/>
      <c r="G3531" s="22"/>
      <c r="H3531" s="18"/>
      <c r="I3531" s="18"/>
      <c r="J3531" s="18"/>
      <c r="K3531" s="18"/>
      <c r="L3531" s="18"/>
      <c r="M3531" s="18"/>
      <c r="N3531" s="18"/>
      <c r="O3531" s="18"/>
      <c r="P3531" s="18"/>
      <c r="Q3531" s="19"/>
      <c r="R3531" s="19"/>
      <c r="S3531" s="19"/>
      <c r="T3531" s="18"/>
      <c r="U3531" s="18"/>
      <c r="V3531" s="18"/>
      <c r="W3531" s="18"/>
      <c r="X3531" s="18"/>
      <c r="Y3531" s="18"/>
      <c r="Z3531" s="18"/>
    </row>
    <row r="3532" ht="15.75" customHeight="1">
      <c r="A3532" s="32"/>
      <c r="B3532" s="22"/>
      <c r="C3532" s="22"/>
      <c r="D3532" s="22"/>
      <c r="E3532" s="22"/>
      <c r="F3532" s="22"/>
      <c r="G3532" s="22"/>
      <c r="H3532" s="18"/>
      <c r="I3532" s="18"/>
      <c r="J3532" s="18"/>
      <c r="K3532" s="18"/>
      <c r="L3532" s="18"/>
      <c r="M3532" s="18"/>
      <c r="N3532" s="18"/>
      <c r="O3532" s="18"/>
      <c r="P3532" s="18"/>
      <c r="Q3532" s="19"/>
      <c r="R3532" s="19"/>
      <c r="S3532" s="19"/>
      <c r="T3532" s="18"/>
      <c r="U3532" s="18"/>
      <c r="V3532" s="18"/>
      <c r="W3532" s="18"/>
      <c r="X3532" s="18"/>
      <c r="Y3532" s="18"/>
      <c r="Z3532" s="18"/>
    </row>
    <row r="3533" ht="15.75" customHeight="1">
      <c r="A3533" s="32"/>
      <c r="B3533" s="22"/>
      <c r="C3533" s="22"/>
      <c r="D3533" s="22"/>
      <c r="E3533" s="22"/>
      <c r="F3533" s="22"/>
      <c r="G3533" s="22"/>
      <c r="H3533" s="18"/>
      <c r="I3533" s="18"/>
      <c r="J3533" s="18"/>
      <c r="K3533" s="18"/>
      <c r="L3533" s="18"/>
      <c r="M3533" s="18"/>
      <c r="N3533" s="18"/>
      <c r="O3533" s="18"/>
      <c r="P3533" s="18"/>
      <c r="Q3533" s="19"/>
      <c r="R3533" s="19"/>
      <c r="S3533" s="19"/>
      <c r="T3533" s="18"/>
      <c r="U3533" s="18"/>
      <c r="V3533" s="18"/>
      <c r="W3533" s="18"/>
      <c r="X3533" s="18"/>
      <c r="Y3533" s="18"/>
      <c r="Z3533" s="18"/>
    </row>
    <row r="3534" ht="15.75" customHeight="1">
      <c r="A3534" s="32"/>
      <c r="B3534" s="22"/>
      <c r="C3534" s="22"/>
      <c r="D3534" s="22"/>
      <c r="E3534" s="22"/>
      <c r="F3534" s="22"/>
      <c r="G3534" s="22"/>
      <c r="H3534" s="18"/>
      <c r="I3534" s="18"/>
      <c r="J3534" s="18"/>
      <c r="K3534" s="18"/>
      <c r="L3534" s="18"/>
      <c r="M3534" s="18"/>
      <c r="N3534" s="18"/>
      <c r="O3534" s="18"/>
      <c r="P3534" s="18"/>
      <c r="Q3534" s="19"/>
      <c r="R3534" s="19"/>
      <c r="S3534" s="19"/>
      <c r="T3534" s="18"/>
      <c r="U3534" s="18"/>
      <c r="V3534" s="18"/>
      <c r="W3534" s="18"/>
      <c r="X3534" s="18"/>
      <c r="Y3534" s="18"/>
      <c r="Z3534" s="18"/>
    </row>
    <row r="3535" ht="15.75" customHeight="1">
      <c r="A3535" s="32"/>
      <c r="B3535" s="22"/>
      <c r="C3535" s="22"/>
      <c r="D3535" s="22"/>
      <c r="E3535" s="22"/>
      <c r="F3535" s="22"/>
      <c r="G3535" s="22"/>
      <c r="H3535" s="18"/>
      <c r="I3535" s="18"/>
      <c r="J3535" s="18"/>
      <c r="K3535" s="18"/>
      <c r="L3535" s="18"/>
      <c r="M3535" s="18"/>
      <c r="N3535" s="18"/>
      <c r="O3535" s="18"/>
      <c r="P3535" s="18"/>
      <c r="Q3535" s="19"/>
      <c r="R3535" s="19"/>
      <c r="S3535" s="19"/>
      <c r="T3535" s="18"/>
      <c r="U3535" s="18"/>
      <c r="V3535" s="18"/>
      <c r="W3535" s="18"/>
      <c r="X3535" s="18"/>
      <c r="Y3535" s="18"/>
      <c r="Z3535" s="18"/>
    </row>
    <row r="3536" ht="15.75" customHeight="1">
      <c r="A3536" s="32"/>
      <c r="B3536" s="22"/>
      <c r="C3536" s="22"/>
      <c r="D3536" s="22"/>
      <c r="E3536" s="22"/>
      <c r="F3536" s="22"/>
      <c r="G3536" s="22"/>
      <c r="H3536" s="18"/>
      <c r="I3536" s="18"/>
      <c r="J3536" s="18"/>
      <c r="K3536" s="18"/>
      <c r="L3536" s="18"/>
      <c r="M3536" s="18"/>
      <c r="N3536" s="18"/>
      <c r="O3536" s="18"/>
      <c r="P3536" s="18"/>
      <c r="Q3536" s="19"/>
      <c r="R3536" s="19"/>
      <c r="S3536" s="19"/>
      <c r="T3536" s="18"/>
      <c r="U3536" s="18"/>
      <c r="V3536" s="18"/>
      <c r="W3536" s="18"/>
      <c r="X3536" s="18"/>
      <c r="Y3536" s="18"/>
      <c r="Z3536" s="18"/>
    </row>
    <row r="3537" ht="15.75" customHeight="1">
      <c r="A3537" s="32"/>
      <c r="B3537" s="22"/>
      <c r="C3537" s="22"/>
      <c r="D3537" s="22"/>
      <c r="E3537" s="22"/>
      <c r="F3537" s="22"/>
      <c r="G3537" s="22"/>
      <c r="H3537" s="18"/>
      <c r="I3537" s="18"/>
      <c r="J3537" s="18"/>
      <c r="K3537" s="18"/>
      <c r="L3537" s="18"/>
      <c r="M3537" s="18"/>
      <c r="N3537" s="18"/>
      <c r="O3537" s="18"/>
      <c r="P3537" s="18"/>
      <c r="Q3537" s="19"/>
      <c r="R3537" s="19"/>
      <c r="S3537" s="19"/>
      <c r="T3537" s="18"/>
      <c r="U3537" s="18"/>
      <c r="V3537" s="18"/>
      <c r="W3537" s="18"/>
      <c r="X3537" s="18"/>
      <c r="Y3537" s="18"/>
      <c r="Z3537" s="18"/>
    </row>
    <row r="3538" ht="15.75" customHeight="1">
      <c r="A3538" s="32"/>
      <c r="B3538" s="22"/>
      <c r="C3538" s="22"/>
      <c r="D3538" s="22"/>
      <c r="E3538" s="22"/>
      <c r="F3538" s="22"/>
      <c r="G3538" s="22"/>
      <c r="H3538" s="18"/>
      <c r="I3538" s="18"/>
      <c r="J3538" s="18"/>
      <c r="K3538" s="18"/>
      <c r="L3538" s="18"/>
      <c r="M3538" s="18"/>
      <c r="N3538" s="18"/>
      <c r="O3538" s="18"/>
      <c r="P3538" s="18"/>
      <c r="Q3538" s="19"/>
      <c r="R3538" s="19"/>
      <c r="S3538" s="19"/>
      <c r="T3538" s="18"/>
      <c r="U3538" s="18"/>
      <c r="V3538" s="18"/>
      <c r="W3538" s="18"/>
      <c r="X3538" s="18"/>
      <c r="Y3538" s="18"/>
      <c r="Z3538" s="18"/>
    </row>
    <row r="3539" ht="15.75" customHeight="1">
      <c r="A3539" s="32"/>
      <c r="B3539" s="22"/>
      <c r="C3539" s="22"/>
      <c r="D3539" s="22"/>
      <c r="E3539" s="22"/>
      <c r="F3539" s="22"/>
      <c r="G3539" s="22"/>
      <c r="H3539" s="18"/>
      <c r="I3539" s="18"/>
      <c r="J3539" s="18"/>
      <c r="K3539" s="18"/>
      <c r="L3539" s="18"/>
      <c r="M3539" s="18"/>
      <c r="N3539" s="18"/>
      <c r="O3539" s="18"/>
      <c r="P3539" s="18"/>
      <c r="Q3539" s="19"/>
      <c r="R3539" s="19"/>
      <c r="S3539" s="19"/>
      <c r="T3539" s="18"/>
      <c r="U3539" s="18"/>
      <c r="V3539" s="18"/>
      <c r="W3539" s="18"/>
      <c r="X3539" s="18"/>
      <c r="Y3539" s="18"/>
      <c r="Z3539" s="18"/>
    </row>
    <row r="3540" ht="15.75" customHeight="1">
      <c r="A3540" s="32"/>
      <c r="B3540" s="22"/>
      <c r="C3540" s="22"/>
      <c r="D3540" s="22"/>
      <c r="E3540" s="22"/>
      <c r="F3540" s="22"/>
      <c r="G3540" s="22"/>
      <c r="H3540" s="18"/>
      <c r="I3540" s="18"/>
      <c r="J3540" s="18"/>
      <c r="K3540" s="18"/>
      <c r="L3540" s="18"/>
      <c r="M3540" s="18"/>
      <c r="N3540" s="18"/>
      <c r="O3540" s="18"/>
      <c r="P3540" s="18"/>
      <c r="Q3540" s="19"/>
      <c r="R3540" s="19"/>
      <c r="S3540" s="19"/>
      <c r="T3540" s="18"/>
      <c r="U3540" s="18"/>
      <c r="V3540" s="18"/>
      <c r="W3540" s="18"/>
      <c r="X3540" s="18"/>
      <c r="Y3540" s="18"/>
      <c r="Z3540" s="18"/>
    </row>
    <row r="3541" ht="15.75" customHeight="1">
      <c r="A3541" s="32"/>
      <c r="B3541" s="22"/>
      <c r="C3541" s="22"/>
      <c r="D3541" s="22"/>
      <c r="E3541" s="22"/>
      <c r="F3541" s="22"/>
      <c r="G3541" s="22"/>
      <c r="H3541" s="18"/>
      <c r="I3541" s="18"/>
      <c r="J3541" s="18"/>
      <c r="K3541" s="18"/>
      <c r="L3541" s="18"/>
      <c r="M3541" s="18"/>
      <c r="N3541" s="18"/>
      <c r="O3541" s="18"/>
      <c r="P3541" s="18"/>
      <c r="Q3541" s="19"/>
      <c r="R3541" s="19"/>
      <c r="S3541" s="19"/>
      <c r="T3541" s="18"/>
      <c r="U3541" s="18"/>
      <c r="V3541" s="18"/>
      <c r="W3541" s="18"/>
      <c r="X3541" s="18"/>
      <c r="Y3541" s="18"/>
      <c r="Z3541" s="18"/>
    </row>
    <row r="3542" ht="15.75" customHeight="1">
      <c r="A3542" s="32"/>
      <c r="B3542" s="22"/>
      <c r="C3542" s="22"/>
      <c r="D3542" s="22"/>
      <c r="E3542" s="22"/>
      <c r="F3542" s="22"/>
      <c r="G3542" s="22"/>
      <c r="H3542" s="18"/>
      <c r="I3542" s="18"/>
      <c r="J3542" s="18"/>
      <c r="K3542" s="18"/>
      <c r="L3542" s="18"/>
      <c r="M3542" s="18"/>
      <c r="N3542" s="18"/>
      <c r="O3542" s="18"/>
      <c r="P3542" s="18"/>
      <c r="Q3542" s="19"/>
      <c r="R3542" s="19"/>
      <c r="S3542" s="19"/>
      <c r="T3542" s="18"/>
      <c r="U3542" s="18"/>
      <c r="V3542" s="18"/>
      <c r="W3542" s="18"/>
      <c r="X3542" s="18"/>
      <c r="Y3542" s="18"/>
      <c r="Z3542" s="18"/>
    </row>
    <row r="3543" ht="15.75" customHeight="1">
      <c r="A3543" s="32"/>
      <c r="B3543" s="22"/>
      <c r="C3543" s="22"/>
      <c r="D3543" s="22"/>
      <c r="E3543" s="22"/>
      <c r="F3543" s="22"/>
      <c r="G3543" s="22"/>
      <c r="H3543" s="18"/>
      <c r="I3543" s="18"/>
      <c r="J3543" s="18"/>
      <c r="K3543" s="18"/>
      <c r="L3543" s="18"/>
      <c r="M3543" s="18"/>
      <c r="N3543" s="18"/>
      <c r="O3543" s="18"/>
      <c r="P3543" s="18"/>
      <c r="Q3543" s="19"/>
      <c r="R3543" s="19"/>
      <c r="S3543" s="19"/>
      <c r="T3543" s="18"/>
      <c r="U3543" s="18"/>
      <c r="V3543" s="18"/>
      <c r="W3543" s="18"/>
      <c r="X3543" s="18"/>
      <c r="Y3543" s="18"/>
      <c r="Z3543" s="18"/>
    </row>
    <row r="3544" ht="15.75" customHeight="1">
      <c r="A3544" s="32"/>
      <c r="B3544" s="22"/>
      <c r="C3544" s="22"/>
      <c r="D3544" s="22"/>
      <c r="E3544" s="22"/>
      <c r="F3544" s="22"/>
      <c r="G3544" s="22"/>
      <c r="H3544" s="18"/>
      <c r="I3544" s="18"/>
      <c r="J3544" s="18"/>
      <c r="K3544" s="18"/>
      <c r="L3544" s="18"/>
      <c r="M3544" s="18"/>
      <c r="N3544" s="18"/>
      <c r="O3544" s="18"/>
      <c r="P3544" s="18"/>
      <c r="Q3544" s="19"/>
      <c r="R3544" s="19"/>
      <c r="S3544" s="19"/>
      <c r="T3544" s="18"/>
      <c r="U3544" s="18"/>
      <c r="V3544" s="18"/>
      <c r="W3544" s="18"/>
      <c r="X3544" s="18"/>
      <c r="Y3544" s="18"/>
      <c r="Z3544" s="18"/>
    </row>
    <row r="3545" ht="15.75" customHeight="1">
      <c r="A3545" s="32"/>
      <c r="B3545" s="22"/>
      <c r="C3545" s="22"/>
      <c r="D3545" s="22"/>
      <c r="E3545" s="22"/>
      <c r="F3545" s="22"/>
      <c r="G3545" s="22"/>
      <c r="H3545" s="18"/>
      <c r="I3545" s="18"/>
      <c r="J3545" s="18"/>
      <c r="K3545" s="18"/>
      <c r="L3545" s="18"/>
      <c r="M3545" s="18"/>
      <c r="N3545" s="18"/>
      <c r="O3545" s="18"/>
      <c r="P3545" s="18"/>
      <c r="Q3545" s="19"/>
      <c r="R3545" s="19"/>
      <c r="S3545" s="19"/>
      <c r="T3545" s="18"/>
      <c r="U3545" s="18"/>
      <c r="V3545" s="18"/>
      <c r="W3545" s="18"/>
      <c r="X3545" s="18"/>
      <c r="Y3545" s="18"/>
      <c r="Z3545" s="18"/>
    </row>
    <row r="3546" ht="15.75" customHeight="1">
      <c r="A3546" s="32"/>
      <c r="B3546" s="22"/>
      <c r="C3546" s="22"/>
      <c r="D3546" s="22"/>
      <c r="E3546" s="22"/>
      <c r="F3546" s="22"/>
      <c r="G3546" s="22"/>
      <c r="H3546" s="18"/>
      <c r="I3546" s="18"/>
      <c r="J3546" s="18"/>
      <c r="K3546" s="18"/>
      <c r="L3546" s="18"/>
      <c r="M3546" s="18"/>
      <c r="N3546" s="18"/>
      <c r="O3546" s="18"/>
      <c r="P3546" s="18"/>
      <c r="Q3546" s="19"/>
      <c r="R3546" s="19"/>
      <c r="S3546" s="19"/>
      <c r="T3546" s="18"/>
      <c r="U3546" s="18"/>
      <c r="V3546" s="18"/>
      <c r="W3546" s="18"/>
      <c r="X3546" s="18"/>
      <c r="Y3546" s="18"/>
      <c r="Z3546" s="18"/>
    </row>
    <row r="3547" ht="15.75" customHeight="1">
      <c r="A3547" s="32"/>
      <c r="B3547" s="22"/>
      <c r="C3547" s="22"/>
      <c r="D3547" s="22"/>
      <c r="E3547" s="22"/>
      <c r="F3547" s="22"/>
      <c r="G3547" s="22"/>
      <c r="H3547" s="18"/>
      <c r="I3547" s="18"/>
      <c r="J3547" s="18"/>
      <c r="K3547" s="18"/>
      <c r="L3547" s="18"/>
      <c r="M3547" s="18"/>
      <c r="N3547" s="18"/>
      <c r="O3547" s="18"/>
      <c r="P3547" s="18"/>
      <c r="Q3547" s="19"/>
      <c r="R3547" s="19"/>
      <c r="S3547" s="19"/>
      <c r="T3547" s="18"/>
      <c r="U3547" s="18"/>
      <c r="V3547" s="18"/>
      <c r="W3547" s="18"/>
      <c r="X3547" s="18"/>
      <c r="Y3547" s="18"/>
      <c r="Z3547" s="18"/>
    </row>
    <row r="3548" ht="15.75" customHeight="1">
      <c r="A3548" s="32"/>
      <c r="B3548" s="22"/>
      <c r="C3548" s="22"/>
      <c r="D3548" s="22"/>
      <c r="E3548" s="22"/>
      <c r="F3548" s="22"/>
      <c r="G3548" s="22"/>
      <c r="H3548" s="18"/>
      <c r="I3548" s="18"/>
      <c r="J3548" s="18"/>
      <c r="K3548" s="18"/>
      <c r="L3548" s="18"/>
      <c r="M3548" s="18"/>
      <c r="N3548" s="18"/>
      <c r="O3548" s="18"/>
      <c r="P3548" s="18"/>
      <c r="Q3548" s="19"/>
      <c r="R3548" s="19"/>
      <c r="S3548" s="19"/>
      <c r="T3548" s="18"/>
      <c r="U3548" s="18"/>
      <c r="V3548" s="18"/>
      <c r="W3548" s="18"/>
      <c r="X3548" s="18"/>
      <c r="Y3548" s="18"/>
      <c r="Z3548" s="18"/>
    </row>
    <row r="3549" ht="15.75" customHeight="1">
      <c r="A3549" s="32"/>
      <c r="B3549" s="22"/>
      <c r="C3549" s="22"/>
      <c r="D3549" s="22"/>
      <c r="E3549" s="22"/>
      <c r="F3549" s="22"/>
      <c r="G3549" s="22"/>
      <c r="H3549" s="18"/>
      <c r="I3549" s="18"/>
      <c r="J3549" s="18"/>
      <c r="K3549" s="18"/>
      <c r="L3549" s="18"/>
      <c r="M3549" s="18"/>
      <c r="N3549" s="18"/>
      <c r="O3549" s="18"/>
      <c r="P3549" s="18"/>
      <c r="Q3549" s="19"/>
      <c r="R3549" s="19"/>
      <c r="S3549" s="19"/>
      <c r="T3549" s="18"/>
      <c r="U3549" s="18"/>
      <c r="V3549" s="18"/>
      <c r="W3549" s="18"/>
      <c r="X3549" s="18"/>
      <c r="Y3549" s="18"/>
      <c r="Z3549" s="18"/>
    </row>
    <row r="3550" ht="15.75" customHeight="1">
      <c r="A3550" s="32"/>
      <c r="B3550" s="22"/>
      <c r="C3550" s="22"/>
      <c r="D3550" s="22"/>
      <c r="E3550" s="22"/>
      <c r="F3550" s="22"/>
      <c r="G3550" s="22"/>
      <c r="H3550" s="18"/>
      <c r="I3550" s="18"/>
      <c r="J3550" s="18"/>
      <c r="K3550" s="18"/>
      <c r="L3550" s="18"/>
      <c r="M3550" s="18"/>
      <c r="N3550" s="18"/>
      <c r="O3550" s="18"/>
      <c r="P3550" s="18"/>
      <c r="Q3550" s="19"/>
      <c r="R3550" s="19"/>
      <c r="S3550" s="19"/>
      <c r="T3550" s="18"/>
      <c r="U3550" s="18"/>
      <c r="V3550" s="18"/>
      <c r="W3550" s="18"/>
      <c r="X3550" s="18"/>
      <c r="Y3550" s="18"/>
      <c r="Z3550" s="18"/>
    </row>
    <row r="3551" ht="15.75" customHeight="1">
      <c r="A3551" s="32"/>
      <c r="B3551" s="22"/>
      <c r="C3551" s="22"/>
      <c r="D3551" s="22"/>
      <c r="E3551" s="22"/>
      <c r="F3551" s="22"/>
      <c r="G3551" s="22"/>
      <c r="H3551" s="18"/>
      <c r="I3551" s="18"/>
      <c r="J3551" s="18"/>
      <c r="K3551" s="18"/>
      <c r="L3551" s="18"/>
      <c r="M3551" s="18"/>
      <c r="N3551" s="18"/>
      <c r="O3551" s="18"/>
      <c r="P3551" s="18"/>
      <c r="Q3551" s="19"/>
      <c r="R3551" s="19"/>
      <c r="S3551" s="19"/>
      <c r="T3551" s="18"/>
      <c r="U3551" s="18"/>
      <c r="V3551" s="18"/>
      <c r="W3551" s="18"/>
      <c r="X3551" s="18"/>
      <c r="Y3551" s="18"/>
      <c r="Z3551" s="18"/>
    </row>
    <row r="3552" ht="15.75" customHeight="1">
      <c r="A3552" s="32"/>
      <c r="B3552" s="22"/>
      <c r="C3552" s="22"/>
      <c r="D3552" s="22"/>
      <c r="E3552" s="22"/>
      <c r="F3552" s="22"/>
      <c r="G3552" s="22"/>
      <c r="H3552" s="18"/>
      <c r="I3552" s="18"/>
      <c r="J3552" s="18"/>
      <c r="K3552" s="18"/>
      <c r="L3552" s="18"/>
      <c r="M3552" s="18"/>
      <c r="N3552" s="18"/>
      <c r="O3552" s="18"/>
      <c r="P3552" s="18"/>
      <c r="Q3552" s="19"/>
      <c r="R3552" s="19"/>
      <c r="S3552" s="19"/>
      <c r="T3552" s="18"/>
      <c r="U3552" s="18"/>
      <c r="V3552" s="18"/>
      <c r="W3552" s="18"/>
      <c r="X3552" s="18"/>
      <c r="Y3552" s="18"/>
      <c r="Z3552" s="18"/>
    </row>
    <row r="3553" ht="15.75" customHeight="1">
      <c r="A3553" s="32"/>
      <c r="B3553" s="22"/>
      <c r="C3553" s="22"/>
      <c r="D3553" s="22"/>
      <c r="E3553" s="22"/>
      <c r="F3553" s="22"/>
      <c r="G3553" s="22"/>
      <c r="H3553" s="18"/>
      <c r="I3553" s="18"/>
      <c r="J3553" s="18"/>
      <c r="K3553" s="18"/>
      <c r="L3553" s="18"/>
      <c r="M3553" s="18"/>
      <c r="N3553" s="18"/>
      <c r="O3553" s="18"/>
      <c r="P3553" s="18"/>
      <c r="Q3553" s="19"/>
      <c r="R3553" s="19"/>
      <c r="S3553" s="19"/>
      <c r="T3553" s="18"/>
      <c r="U3553" s="18"/>
      <c r="V3553" s="18"/>
      <c r="W3553" s="18"/>
      <c r="X3553" s="18"/>
      <c r="Y3553" s="18"/>
      <c r="Z3553" s="18"/>
    </row>
    <row r="3554" ht="15.75" customHeight="1">
      <c r="A3554" s="32"/>
      <c r="B3554" s="22"/>
      <c r="C3554" s="22"/>
      <c r="D3554" s="22"/>
      <c r="E3554" s="22"/>
      <c r="F3554" s="22"/>
      <c r="G3554" s="22"/>
      <c r="H3554" s="18"/>
      <c r="I3554" s="18"/>
      <c r="J3554" s="18"/>
      <c r="K3554" s="18"/>
      <c r="L3554" s="18"/>
      <c r="M3554" s="18"/>
      <c r="N3554" s="18"/>
      <c r="O3554" s="18"/>
      <c r="P3554" s="18"/>
      <c r="Q3554" s="19"/>
      <c r="R3554" s="19"/>
      <c r="S3554" s="19"/>
      <c r="T3554" s="18"/>
      <c r="U3554" s="18"/>
      <c r="V3554" s="18"/>
      <c r="W3554" s="18"/>
      <c r="X3554" s="18"/>
      <c r="Y3554" s="18"/>
      <c r="Z3554" s="18"/>
    </row>
    <row r="3555" ht="15.75" customHeight="1">
      <c r="A3555" s="32"/>
      <c r="B3555" s="22"/>
      <c r="C3555" s="22"/>
      <c r="D3555" s="22"/>
      <c r="E3555" s="22"/>
      <c r="F3555" s="22"/>
      <c r="G3555" s="22"/>
      <c r="H3555" s="18"/>
      <c r="I3555" s="18"/>
      <c r="J3555" s="18"/>
      <c r="K3555" s="18"/>
      <c r="L3555" s="18"/>
      <c r="M3555" s="18"/>
      <c r="N3555" s="18"/>
      <c r="O3555" s="18"/>
      <c r="P3555" s="18"/>
      <c r="Q3555" s="19"/>
      <c r="R3555" s="19"/>
      <c r="S3555" s="19"/>
      <c r="T3555" s="18"/>
      <c r="U3555" s="18"/>
      <c r="V3555" s="18"/>
      <c r="W3555" s="18"/>
      <c r="X3555" s="18"/>
      <c r="Y3555" s="18"/>
      <c r="Z3555" s="18"/>
    </row>
    <row r="3556" ht="15.75" customHeight="1">
      <c r="A3556" s="32"/>
      <c r="B3556" s="22"/>
      <c r="C3556" s="22"/>
      <c r="D3556" s="22"/>
      <c r="E3556" s="22"/>
      <c r="F3556" s="22"/>
      <c r="G3556" s="22"/>
      <c r="H3556" s="18"/>
      <c r="I3556" s="18"/>
      <c r="J3556" s="18"/>
      <c r="K3556" s="18"/>
      <c r="L3556" s="18"/>
      <c r="M3556" s="18"/>
      <c r="N3556" s="18"/>
      <c r="O3556" s="18"/>
      <c r="P3556" s="18"/>
      <c r="Q3556" s="19"/>
      <c r="R3556" s="19"/>
      <c r="S3556" s="19"/>
      <c r="T3556" s="18"/>
      <c r="U3556" s="18"/>
      <c r="V3556" s="18"/>
      <c r="W3556" s="18"/>
      <c r="X3556" s="18"/>
      <c r="Y3556" s="18"/>
      <c r="Z3556" s="18"/>
    </row>
    <row r="3557" ht="15.75" customHeight="1">
      <c r="A3557" s="32"/>
      <c r="B3557" s="22"/>
      <c r="C3557" s="22"/>
      <c r="D3557" s="22"/>
      <c r="E3557" s="22"/>
      <c r="F3557" s="22"/>
      <c r="G3557" s="22"/>
      <c r="H3557" s="18"/>
      <c r="I3557" s="18"/>
      <c r="J3557" s="18"/>
      <c r="K3557" s="18"/>
      <c r="L3557" s="18"/>
      <c r="M3557" s="18"/>
      <c r="N3557" s="18"/>
      <c r="O3557" s="18"/>
      <c r="P3557" s="18"/>
      <c r="Q3557" s="19"/>
      <c r="R3557" s="19"/>
      <c r="S3557" s="19"/>
      <c r="T3557" s="18"/>
      <c r="U3557" s="18"/>
      <c r="V3557" s="18"/>
      <c r="W3557" s="18"/>
      <c r="X3557" s="18"/>
      <c r="Y3557" s="18"/>
      <c r="Z3557" s="18"/>
    </row>
    <row r="3558" ht="15.75" customHeight="1">
      <c r="A3558" s="32"/>
      <c r="B3558" s="22"/>
      <c r="C3558" s="22"/>
      <c r="D3558" s="22"/>
      <c r="E3558" s="22"/>
      <c r="F3558" s="22"/>
      <c r="G3558" s="22"/>
      <c r="H3558" s="18"/>
      <c r="I3558" s="18"/>
      <c r="J3558" s="18"/>
      <c r="K3558" s="18"/>
      <c r="L3558" s="18"/>
      <c r="M3558" s="18"/>
      <c r="N3558" s="18"/>
      <c r="O3558" s="18"/>
      <c r="P3558" s="18"/>
      <c r="Q3558" s="19"/>
      <c r="R3558" s="19"/>
      <c r="S3558" s="19"/>
      <c r="T3558" s="18"/>
      <c r="U3558" s="18"/>
      <c r="V3558" s="18"/>
      <c r="W3558" s="18"/>
      <c r="X3558" s="18"/>
      <c r="Y3558" s="18"/>
      <c r="Z3558" s="18"/>
    </row>
    <row r="3559" ht="15.75" customHeight="1">
      <c r="A3559" s="32"/>
      <c r="B3559" s="22"/>
      <c r="C3559" s="22"/>
      <c r="D3559" s="22"/>
      <c r="E3559" s="22"/>
      <c r="F3559" s="22"/>
      <c r="G3559" s="22"/>
      <c r="H3559" s="18"/>
      <c r="I3559" s="18"/>
      <c r="J3559" s="18"/>
      <c r="K3559" s="18"/>
      <c r="L3559" s="18"/>
      <c r="M3559" s="18"/>
      <c r="N3559" s="18"/>
      <c r="O3559" s="18"/>
      <c r="P3559" s="18"/>
      <c r="Q3559" s="19"/>
      <c r="R3559" s="19"/>
      <c r="S3559" s="19"/>
      <c r="T3559" s="18"/>
      <c r="U3559" s="18"/>
      <c r="V3559" s="18"/>
      <c r="W3559" s="18"/>
      <c r="X3559" s="18"/>
      <c r="Y3559" s="18"/>
      <c r="Z3559" s="18"/>
    </row>
    <row r="3560" ht="15.75" customHeight="1">
      <c r="A3560" s="32"/>
      <c r="B3560" s="22"/>
      <c r="C3560" s="22"/>
      <c r="D3560" s="22"/>
      <c r="E3560" s="22"/>
      <c r="F3560" s="22"/>
      <c r="G3560" s="22"/>
      <c r="H3560" s="18"/>
      <c r="I3560" s="18"/>
      <c r="J3560" s="18"/>
      <c r="K3560" s="18"/>
      <c r="L3560" s="18"/>
      <c r="M3560" s="18"/>
      <c r="N3560" s="18"/>
      <c r="O3560" s="18"/>
      <c r="P3560" s="18"/>
      <c r="Q3560" s="19"/>
      <c r="R3560" s="19"/>
      <c r="S3560" s="19"/>
      <c r="T3560" s="18"/>
      <c r="U3560" s="18"/>
      <c r="V3560" s="18"/>
      <c r="W3560" s="18"/>
      <c r="X3560" s="18"/>
      <c r="Y3560" s="18"/>
      <c r="Z3560" s="18"/>
    </row>
    <row r="3561" ht="15.75" customHeight="1">
      <c r="A3561" s="32"/>
      <c r="B3561" s="22"/>
      <c r="C3561" s="22"/>
      <c r="D3561" s="22"/>
      <c r="E3561" s="22"/>
      <c r="F3561" s="22"/>
      <c r="G3561" s="22"/>
      <c r="H3561" s="18"/>
      <c r="I3561" s="18"/>
      <c r="J3561" s="18"/>
      <c r="K3561" s="18"/>
      <c r="L3561" s="18"/>
      <c r="M3561" s="18"/>
      <c r="N3561" s="18"/>
      <c r="O3561" s="18"/>
      <c r="P3561" s="18"/>
      <c r="Q3561" s="19"/>
      <c r="R3561" s="19"/>
      <c r="S3561" s="19"/>
      <c r="T3561" s="18"/>
      <c r="U3561" s="18"/>
      <c r="V3561" s="18"/>
      <c r="W3561" s="18"/>
      <c r="X3561" s="18"/>
      <c r="Y3561" s="18"/>
      <c r="Z3561" s="18"/>
    </row>
    <row r="3562" ht="15.75" customHeight="1">
      <c r="A3562" s="32"/>
      <c r="B3562" s="22"/>
      <c r="C3562" s="22"/>
      <c r="D3562" s="22"/>
      <c r="E3562" s="22"/>
      <c r="F3562" s="22"/>
      <c r="G3562" s="22"/>
      <c r="H3562" s="18"/>
      <c r="I3562" s="18"/>
      <c r="J3562" s="18"/>
      <c r="K3562" s="18"/>
      <c r="L3562" s="18"/>
      <c r="M3562" s="18"/>
      <c r="N3562" s="18"/>
      <c r="O3562" s="18"/>
      <c r="P3562" s="18"/>
      <c r="Q3562" s="19"/>
      <c r="R3562" s="19"/>
      <c r="S3562" s="19"/>
      <c r="T3562" s="18"/>
      <c r="U3562" s="18"/>
      <c r="V3562" s="18"/>
      <c r="W3562" s="18"/>
      <c r="X3562" s="18"/>
      <c r="Y3562" s="18"/>
      <c r="Z3562" s="18"/>
    </row>
    <row r="3563" ht="15.75" customHeight="1">
      <c r="A3563" s="32"/>
      <c r="B3563" s="22"/>
      <c r="C3563" s="22"/>
      <c r="D3563" s="22"/>
      <c r="E3563" s="22"/>
      <c r="F3563" s="22"/>
      <c r="G3563" s="22"/>
      <c r="H3563" s="18"/>
      <c r="I3563" s="18"/>
      <c r="J3563" s="18"/>
      <c r="K3563" s="18"/>
      <c r="L3563" s="18"/>
      <c r="M3563" s="18"/>
      <c r="N3563" s="18"/>
      <c r="O3563" s="18"/>
      <c r="P3563" s="18"/>
      <c r="Q3563" s="19"/>
      <c r="R3563" s="19"/>
      <c r="S3563" s="19"/>
      <c r="T3563" s="18"/>
      <c r="U3563" s="18"/>
      <c r="V3563" s="18"/>
      <c r="W3563" s="18"/>
      <c r="X3563" s="18"/>
      <c r="Y3563" s="18"/>
      <c r="Z3563" s="18"/>
    </row>
    <row r="3564" ht="15.75" customHeight="1">
      <c r="A3564" s="32"/>
      <c r="B3564" s="22"/>
      <c r="C3564" s="22"/>
      <c r="D3564" s="22"/>
      <c r="E3564" s="22"/>
      <c r="F3564" s="22"/>
      <c r="G3564" s="22"/>
      <c r="H3564" s="18"/>
      <c r="I3564" s="18"/>
      <c r="J3564" s="18"/>
      <c r="K3564" s="18"/>
      <c r="L3564" s="18"/>
      <c r="M3564" s="18"/>
      <c r="N3564" s="18"/>
      <c r="O3564" s="18"/>
      <c r="P3564" s="18"/>
      <c r="Q3564" s="19"/>
      <c r="R3564" s="19"/>
      <c r="S3564" s="19"/>
      <c r="T3564" s="18"/>
      <c r="U3564" s="18"/>
      <c r="V3564" s="18"/>
      <c r="W3564" s="18"/>
      <c r="X3564" s="18"/>
      <c r="Y3564" s="18"/>
      <c r="Z3564" s="18"/>
    </row>
    <row r="3565" ht="15.75" customHeight="1">
      <c r="A3565" s="32"/>
      <c r="B3565" s="22"/>
      <c r="C3565" s="22"/>
      <c r="D3565" s="22"/>
      <c r="E3565" s="22"/>
      <c r="F3565" s="22"/>
      <c r="G3565" s="22"/>
      <c r="H3565" s="18"/>
      <c r="I3565" s="18"/>
      <c r="J3565" s="18"/>
      <c r="K3565" s="18"/>
      <c r="L3565" s="18"/>
      <c r="M3565" s="18"/>
      <c r="N3565" s="18"/>
      <c r="O3565" s="18"/>
      <c r="P3565" s="18"/>
      <c r="Q3565" s="19"/>
      <c r="R3565" s="19"/>
      <c r="S3565" s="19"/>
      <c r="T3565" s="18"/>
      <c r="U3565" s="18"/>
      <c r="V3565" s="18"/>
      <c r="W3565" s="18"/>
      <c r="X3565" s="18"/>
      <c r="Y3565" s="18"/>
      <c r="Z3565" s="18"/>
    </row>
    <row r="3566" ht="15.75" customHeight="1">
      <c r="A3566" s="32"/>
      <c r="B3566" s="22"/>
      <c r="C3566" s="22"/>
      <c r="D3566" s="22"/>
      <c r="E3566" s="22"/>
      <c r="F3566" s="22"/>
      <c r="G3566" s="22"/>
      <c r="H3566" s="18"/>
      <c r="I3566" s="18"/>
      <c r="J3566" s="18"/>
      <c r="K3566" s="18"/>
      <c r="L3566" s="18"/>
      <c r="M3566" s="18"/>
      <c r="N3566" s="18"/>
      <c r="O3566" s="18"/>
      <c r="P3566" s="18"/>
      <c r="Q3566" s="19"/>
      <c r="R3566" s="19"/>
      <c r="S3566" s="19"/>
      <c r="T3566" s="18"/>
      <c r="U3566" s="18"/>
      <c r="V3566" s="18"/>
      <c r="W3566" s="18"/>
      <c r="X3566" s="18"/>
      <c r="Y3566" s="18"/>
      <c r="Z3566" s="18"/>
    </row>
    <row r="3567" ht="15.75" customHeight="1">
      <c r="A3567" s="32"/>
      <c r="B3567" s="22"/>
      <c r="C3567" s="22"/>
      <c r="D3567" s="22"/>
      <c r="E3567" s="22"/>
      <c r="F3567" s="22"/>
      <c r="G3567" s="22"/>
      <c r="H3567" s="18"/>
      <c r="I3567" s="18"/>
      <c r="J3567" s="18"/>
      <c r="K3567" s="18"/>
      <c r="L3567" s="18"/>
      <c r="M3567" s="18"/>
      <c r="N3567" s="18"/>
      <c r="O3567" s="18"/>
      <c r="P3567" s="18"/>
      <c r="Q3567" s="19"/>
      <c r="R3567" s="19"/>
      <c r="S3567" s="19"/>
      <c r="T3567" s="18"/>
      <c r="U3567" s="18"/>
      <c r="V3567" s="18"/>
      <c r="W3567" s="18"/>
      <c r="X3567" s="18"/>
      <c r="Y3567" s="18"/>
      <c r="Z3567" s="18"/>
    </row>
    <row r="3568" ht="15.75" customHeight="1">
      <c r="A3568" s="32"/>
      <c r="B3568" s="22"/>
      <c r="C3568" s="22"/>
      <c r="D3568" s="22"/>
      <c r="E3568" s="22"/>
      <c r="F3568" s="22"/>
      <c r="G3568" s="22"/>
      <c r="H3568" s="18"/>
      <c r="I3568" s="18"/>
      <c r="J3568" s="18"/>
      <c r="K3568" s="18"/>
      <c r="L3568" s="18"/>
      <c r="M3568" s="18"/>
      <c r="N3568" s="18"/>
      <c r="O3568" s="18"/>
      <c r="P3568" s="18"/>
      <c r="Q3568" s="19"/>
      <c r="R3568" s="19"/>
      <c r="S3568" s="19"/>
      <c r="T3568" s="18"/>
      <c r="U3568" s="18"/>
      <c r="V3568" s="18"/>
      <c r="W3568" s="18"/>
      <c r="X3568" s="18"/>
      <c r="Y3568" s="18"/>
      <c r="Z3568" s="18"/>
    </row>
    <row r="3569" ht="15.75" customHeight="1">
      <c r="A3569" s="32"/>
      <c r="B3569" s="22"/>
      <c r="C3569" s="22"/>
      <c r="D3569" s="22"/>
      <c r="E3569" s="22"/>
      <c r="F3569" s="22"/>
      <c r="G3569" s="22"/>
      <c r="H3569" s="18"/>
      <c r="I3569" s="18"/>
      <c r="J3569" s="18"/>
      <c r="K3569" s="18"/>
      <c r="L3569" s="18"/>
      <c r="M3569" s="18"/>
      <c r="N3569" s="18"/>
      <c r="O3569" s="18"/>
      <c r="P3569" s="18"/>
      <c r="Q3569" s="19"/>
      <c r="R3569" s="19"/>
      <c r="S3569" s="19"/>
      <c r="T3569" s="18"/>
      <c r="U3569" s="18"/>
      <c r="V3569" s="18"/>
      <c r="W3569" s="18"/>
      <c r="X3569" s="18"/>
      <c r="Y3569" s="18"/>
      <c r="Z3569" s="18"/>
    </row>
    <row r="3570" ht="15.75" customHeight="1">
      <c r="A3570" s="32"/>
      <c r="B3570" s="22"/>
      <c r="C3570" s="22"/>
      <c r="D3570" s="22"/>
      <c r="E3570" s="22"/>
      <c r="F3570" s="22"/>
      <c r="G3570" s="22"/>
      <c r="H3570" s="18"/>
      <c r="I3570" s="18"/>
      <c r="J3570" s="18"/>
      <c r="K3570" s="18"/>
      <c r="L3570" s="18"/>
      <c r="M3570" s="18"/>
      <c r="N3570" s="18"/>
      <c r="O3570" s="18"/>
      <c r="P3570" s="18"/>
      <c r="Q3570" s="19"/>
      <c r="R3570" s="19"/>
      <c r="S3570" s="19"/>
      <c r="T3570" s="18"/>
      <c r="U3570" s="18"/>
      <c r="V3570" s="18"/>
      <c r="W3570" s="18"/>
      <c r="X3570" s="18"/>
      <c r="Y3570" s="18"/>
      <c r="Z3570" s="18"/>
    </row>
    <row r="3571" ht="15.75" customHeight="1">
      <c r="A3571" s="32"/>
      <c r="B3571" s="22"/>
      <c r="C3571" s="22"/>
      <c r="D3571" s="22"/>
      <c r="E3571" s="22"/>
      <c r="F3571" s="22"/>
      <c r="G3571" s="22"/>
      <c r="H3571" s="18"/>
      <c r="I3571" s="18"/>
      <c r="J3571" s="18"/>
      <c r="K3571" s="18"/>
      <c r="L3571" s="18"/>
      <c r="M3571" s="18"/>
      <c r="N3571" s="18"/>
      <c r="O3571" s="18"/>
      <c r="P3571" s="18"/>
      <c r="Q3571" s="19"/>
      <c r="R3571" s="19"/>
      <c r="S3571" s="19"/>
      <c r="T3571" s="18"/>
      <c r="U3571" s="18"/>
      <c r="V3571" s="18"/>
      <c r="W3571" s="18"/>
      <c r="X3571" s="18"/>
      <c r="Y3571" s="18"/>
      <c r="Z3571" s="18"/>
    </row>
    <row r="3572" ht="15.75" customHeight="1">
      <c r="A3572" s="32"/>
      <c r="B3572" s="22"/>
      <c r="C3572" s="22"/>
      <c r="D3572" s="22"/>
      <c r="E3572" s="22"/>
      <c r="F3572" s="22"/>
      <c r="G3572" s="22"/>
      <c r="H3572" s="18"/>
      <c r="I3572" s="18"/>
      <c r="J3572" s="18"/>
      <c r="K3572" s="18"/>
      <c r="L3572" s="18"/>
      <c r="M3572" s="18"/>
      <c r="N3572" s="18"/>
      <c r="O3572" s="18"/>
      <c r="P3572" s="18"/>
      <c r="Q3572" s="19"/>
      <c r="R3572" s="19"/>
      <c r="S3572" s="19"/>
      <c r="T3572" s="18"/>
      <c r="U3572" s="18"/>
      <c r="V3572" s="18"/>
      <c r="W3572" s="18"/>
      <c r="X3572" s="18"/>
      <c r="Y3572" s="18"/>
      <c r="Z3572" s="18"/>
    </row>
    <row r="3573" ht="15.75" customHeight="1">
      <c r="A3573" s="32"/>
      <c r="B3573" s="22"/>
      <c r="C3573" s="22"/>
      <c r="D3573" s="22"/>
      <c r="E3573" s="22"/>
      <c r="F3573" s="22"/>
      <c r="G3573" s="22"/>
      <c r="H3573" s="18"/>
      <c r="I3573" s="18"/>
      <c r="J3573" s="18"/>
      <c r="K3573" s="18"/>
      <c r="L3573" s="18"/>
      <c r="M3573" s="18"/>
      <c r="N3573" s="18"/>
      <c r="O3573" s="18"/>
      <c r="P3573" s="18"/>
      <c r="Q3573" s="19"/>
      <c r="R3573" s="19"/>
      <c r="S3573" s="19"/>
      <c r="T3573" s="18"/>
      <c r="U3573" s="18"/>
      <c r="V3573" s="18"/>
      <c r="W3573" s="18"/>
      <c r="X3573" s="18"/>
      <c r="Y3573" s="18"/>
      <c r="Z3573" s="18"/>
    </row>
    <row r="3574" ht="15.75" customHeight="1">
      <c r="A3574" s="32"/>
      <c r="B3574" s="22"/>
      <c r="C3574" s="22"/>
      <c r="D3574" s="22"/>
      <c r="E3574" s="22"/>
      <c r="F3574" s="22"/>
      <c r="G3574" s="22"/>
      <c r="H3574" s="18"/>
      <c r="I3574" s="18"/>
      <c r="J3574" s="18"/>
      <c r="K3574" s="18"/>
      <c r="L3574" s="18"/>
      <c r="M3574" s="18"/>
      <c r="N3574" s="18"/>
      <c r="O3574" s="18"/>
      <c r="P3574" s="18"/>
      <c r="Q3574" s="19"/>
      <c r="R3574" s="19"/>
      <c r="S3574" s="19"/>
      <c r="T3574" s="18"/>
      <c r="U3574" s="18"/>
      <c r="V3574" s="18"/>
      <c r="W3574" s="18"/>
      <c r="X3574" s="18"/>
      <c r="Y3574" s="18"/>
      <c r="Z3574" s="18"/>
    </row>
    <row r="3575" ht="15.75" customHeight="1">
      <c r="A3575" s="32"/>
      <c r="B3575" s="22"/>
      <c r="C3575" s="22"/>
      <c r="D3575" s="22"/>
      <c r="E3575" s="22"/>
      <c r="F3575" s="22"/>
      <c r="G3575" s="22"/>
      <c r="H3575" s="18"/>
      <c r="I3575" s="18"/>
      <c r="J3575" s="18"/>
      <c r="K3575" s="18"/>
      <c r="L3575" s="18"/>
      <c r="M3575" s="18"/>
      <c r="N3575" s="18"/>
      <c r="O3575" s="18"/>
      <c r="P3575" s="18"/>
      <c r="Q3575" s="19"/>
      <c r="R3575" s="19"/>
      <c r="S3575" s="19"/>
      <c r="T3575" s="18"/>
      <c r="U3575" s="18"/>
      <c r="V3575" s="18"/>
      <c r="W3575" s="18"/>
      <c r="X3575" s="18"/>
      <c r="Y3575" s="18"/>
      <c r="Z3575" s="18"/>
    </row>
    <row r="3576" ht="15.75" customHeight="1">
      <c r="A3576" s="32"/>
      <c r="B3576" s="22"/>
      <c r="C3576" s="22"/>
      <c r="D3576" s="22"/>
      <c r="E3576" s="22"/>
      <c r="F3576" s="22"/>
      <c r="G3576" s="22"/>
      <c r="H3576" s="18"/>
      <c r="I3576" s="18"/>
      <c r="J3576" s="18"/>
      <c r="K3576" s="18"/>
      <c r="L3576" s="18"/>
      <c r="M3576" s="18"/>
      <c r="N3576" s="18"/>
      <c r="O3576" s="18"/>
      <c r="P3576" s="18"/>
      <c r="Q3576" s="19"/>
      <c r="R3576" s="19"/>
      <c r="S3576" s="19"/>
      <c r="T3576" s="18"/>
      <c r="U3576" s="18"/>
      <c r="V3576" s="18"/>
      <c r="W3576" s="18"/>
      <c r="X3576" s="18"/>
      <c r="Y3576" s="18"/>
      <c r="Z3576" s="18"/>
    </row>
    <row r="3577" ht="15.75" customHeight="1">
      <c r="A3577" s="32"/>
      <c r="B3577" s="22"/>
      <c r="C3577" s="22"/>
      <c r="D3577" s="22"/>
      <c r="E3577" s="22"/>
      <c r="F3577" s="22"/>
      <c r="G3577" s="22"/>
      <c r="H3577" s="18"/>
      <c r="I3577" s="18"/>
      <c r="J3577" s="18"/>
      <c r="K3577" s="18"/>
      <c r="L3577" s="18"/>
      <c r="M3577" s="18"/>
      <c r="N3577" s="18"/>
      <c r="O3577" s="18"/>
      <c r="P3577" s="18"/>
      <c r="Q3577" s="19"/>
      <c r="R3577" s="19"/>
      <c r="S3577" s="19"/>
      <c r="T3577" s="18"/>
      <c r="U3577" s="18"/>
      <c r="V3577" s="18"/>
      <c r="W3577" s="18"/>
      <c r="X3577" s="18"/>
      <c r="Y3577" s="18"/>
      <c r="Z3577" s="18"/>
    </row>
    <row r="3578" ht="15.75" customHeight="1">
      <c r="A3578" s="32"/>
      <c r="B3578" s="22"/>
      <c r="C3578" s="22"/>
      <c r="D3578" s="22"/>
      <c r="E3578" s="22"/>
      <c r="F3578" s="22"/>
      <c r="G3578" s="22"/>
      <c r="H3578" s="18"/>
      <c r="I3578" s="18"/>
      <c r="J3578" s="18"/>
      <c r="K3578" s="18"/>
      <c r="L3578" s="18"/>
      <c r="M3578" s="18"/>
      <c r="N3578" s="18"/>
      <c r="O3578" s="18"/>
      <c r="P3578" s="18"/>
      <c r="Q3578" s="19"/>
      <c r="R3578" s="19"/>
      <c r="S3578" s="19"/>
      <c r="T3578" s="18"/>
      <c r="U3578" s="18"/>
      <c r="V3578" s="18"/>
      <c r="W3578" s="18"/>
      <c r="X3578" s="18"/>
      <c r="Y3578" s="18"/>
      <c r="Z3578" s="18"/>
    </row>
    <row r="3579" ht="15.75" customHeight="1">
      <c r="A3579" s="32"/>
      <c r="B3579" s="22"/>
      <c r="C3579" s="22"/>
      <c r="D3579" s="22"/>
      <c r="E3579" s="22"/>
      <c r="F3579" s="22"/>
      <c r="G3579" s="22"/>
      <c r="H3579" s="18"/>
      <c r="I3579" s="18"/>
      <c r="J3579" s="18"/>
      <c r="K3579" s="18"/>
      <c r="L3579" s="18"/>
      <c r="M3579" s="18"/>
      <c r="N3579" s="18"/>
      <c r="O3579" s="18"/>
      <c r="P3579" s="18"/>
      <c r="Q3579" s="19"/>
      <c r="R3579" s="19"/>
      <c r="S3579" s="19"/>
      <c r="T3579" s="18"/>
      <c r="U3579" s="18"/>
      <c r="V3579" s="18"/>
      <c r="W3579" s="18"/>
      <c r="X3579" s="18"/>
      <c r="Y3579" s="18"/>
      <c r="Z3579" s="18"/>
    </row>
    <row r="3580" ht="15.75" customHeight="1">
      <c r="A3580" s="32"/>
      <c r="B3580" s="22"/>
      <c r="C3580" s="22"/>
      <c r="D3580" s="22"/>
      <c r="E3580" s="22"/>
      <c r="F3580" s="22"/>
      <c r="G3580" s="22"/>
      <c r="H3580" s="18"/>
      <c r="I3580" s="18"/>
      <c r="J3580" s="18"/>
      <c r="K3580" s="18"/>
      <c r="L3580" s="18"/>
      <c r="M3580" s="18"/>
      <c r="N3580" s="18"/>
      <c r="O3580" s="18"/>
      <c r="P3580" s="18"/>
      <c r="Q3580" s="19"/>
      <c r="R3580" s="19"/>
      <c r="S3580" s="19"/>
      <c r="T3580" s="18"/>
      <c r="U3580" s="18"/>
      <c r="V3580" s="18"/>
      <c r="W3580" s="18"/>
      <c r="X3580" s="18"/>
      <c r="Y3580" s="18"/>
      <c r="Z3580" s="18"/>
    </row>
    <row r="3581" ht="15.75" customHeight="1">
      <c r="A3581" s="32"/>
      <c r="B3581" s="22"/>
      <c r="C3581" s="22"/>
      <c r="D3581" s="22"/>
      <c r="E3581" s="22"/>
      <c r="F3581" s="22"/>
      <c r="G3581" s="22"/>
      <c r="H3581" s="18"/>
      <c r="I3581" s="18"/>
      <c r="J3581" s="18"/>
      <c r="K3581" s="18"/>
      <c r="L3581" s="18"/>
      <c r="M3581" s="18"/>
      <c r="N3581" s="18"/>
      <c r="O3581" s="18"/>
      <c r="P3581" s="18"/>
      <c r="Q3581" s="19"/>
      <c r="R3581" s="19"/>
      <c r="S3581" s="19"/>
      <c r="T3581" s="18"/>
      <c r="U3581" s="18"/>
      <c r="V3581" s="18"/>
      <c r="W3581" s="18"/>
      <c r="X3581" s="18"/>
      <c r="Y3581" s="18"/>
      <c r="Z3581" s="18"/>
    </row>
    <row r="3582" ht="15.75" customHeight="1">
      <c r="A3582" s="32"/>
      <c r="B3582" s="22"/>
      <c r="C3582" s="22"/>
      <c r="D3582" s="22"/>
      <c r="E3582" s="22"/>
      <c r="F3582" s="22"/>
      <c r="G3582" s="22"/>
      <c r="H3582" s="18"/>
      <c r="I3582" s="18"/>
      <c r="J3582" s="18"/>
      <c r="K3582" s="18"/>
      <c r="L3582" s="18"/>
      <c r="M3582" s="18"/>
      <c r="N3582" s="18"/>
      <c r="O3582" s="18"/>
      <c r="P3582" s="18"/>
      <c r="Q3582" s="19"/>
      <c r="R3582" s="19"/>
      <c r="S3582" s="19"/>
      <c r="T3582" s="18"/>
      <c r="U3582" s="18"/>
      <c r="V3582" s="18"/>
      <c r="W3582" s="18"/>
      <c r="X3582" s="18"/>
      <c r="Y3582" s="18"/>
      <c r="Z3582" s="18"/>
    </row>
    <row r="3583" ht="15.75" customHeight="1">
      <c r="A3583" s="32"/>
      <c r="B3583" s="22"/>
      <c r="C3583" s="22"/>
      <c r="D3583" s="22"/>
      <c r="E3583" s="22"/>
      <c r="F3583" s="22"/>
      <c r="G3583" s="22"/>
      <c r="H3583" s="18"/>
      <c r="I3583" s="18"/>
      <c r="J3583" s="18"/>
      <c r="K3583" s="18"/>
      <c r="L3583" s="18"/>
      <c r="M3583" s="18"/>
      <c r="N3583" s="18"/>
      <c r="O3583" s="18"/>
      <c r="P3583" s="18"/>
      <c r="Q3583" s="19"/>
      <c r="R3583" s="19"/>
      <c r="S3583" s="19"/>
      <c r="T3583" s="18"/>
      <c r="U3583" s="18"/>
      <c r="V3583" s="18"/>
      <c r="W3583" s="18"/>
      <c r="X3583" s="18"/>
      <c r="Y3583" s="18"/>
      <c r="Z3583" s="18"/>
    </row>
    <row r="3584" ht="15.75" customHeight="1">
      <c r="A3584" s="32"/>
      <c r="B3584" s="22"/>
      <c r="C3584" s="22"/>
      <c r="D3584" s="22"/>
      <c r="E3584" s="22"/>
      <c r="F3584" s="22"/>
      <c r="G3584" s="22"/>
      <c r="H3584" s="18"/>
      <c r="I3584" s="18"/>
      <c r="J3584" s="18"/>
      <c r="K3584" s="18"/>
      <c r="L3584" s="18"/>
      <c r="M3584" s="18"/>
      <c r="N3584" s="18"/>
      <c r="O3584" s="18"/>
      <c r="P3584" s="18"/>
      <c r="Q3584" s="19"/>
      <c r="R3584" s="19"/>
      <c r="S3584" s="19"/>
      <c r="T3584" s="18"/>
      <c r="U3584" s="18"/>
      <c r="V3584" s="18"/>
      <c r="W3584" s="18"/>
      <c r="X3584" s="18"/>
      <c r="Y3584" s="18"/>
      <c r="Z3584" s="18"/>
    </row>
    <row r="3585" ht="15.75" customHeight="1">
      <c r="A3585" s="32"/>
      <c r="B3585" s="22"/>
      <c r="C3585" s="22"/>
      <c r="D3585" s="22"/>
      <c r="E3585" s="22"/>
      <c r="F3585" s="22"/>
      <c r="G3585" s="22"/>
      <c r="H3585" s="18"/>
      <c r="I3585" s="18"/>
      <c r="J3585" s="18"/>
      <c r="K3585" s="18"/>
      <c r="L3585" s="18"/>
      <c r="M3585" s="18"/>
      <c r="N3585" s="18"/>
      <c r="O3585" s="18"/>
      <c r="P3585" s="18"/>
      <c r="Q3585" s="19"/>
      <c r="R3585" s="19"/>
      <c r="S3585" s="19"/>
      <c r="T3585" s="18"/>
      <c r="U3585" s="18"/>
      <c r="V3585" s="18"/>
      <c r="W3585" s="18"/>
      <c r="X3585" s="18"/>
      <c r="Y3585" s="18"/>
      <c r="Z3585" s="18"/>
    </row>
    <row r="3586" ht="15.75" customHeight="1">
      <c r="A3586" s="32"/>
      <c r="B3586" s="22"/>
      <c r="C3586" s="22"/>
      <c r="D3586" s="22"/>
      <c r="E3586" s="22"/>
      <c r="F3586" s="22"/>
      <c r="G3586" s="22"/>
      <c r="H3586" s="18"/>
      <c r="I3586" s="18"/>
      <c r="J3586" s="18"/>
      <c r="K3586" s="18"/>
      <c r="L3586" s="18"/>
      <c r="M3586" s="18"/>
      <c r="N3586" s="18"/>
      <c r="O3586" s="18"/>
      <c r="P3586" s="18"/>
      <c r="Q3586" s="19"/>
      <c r="R3586" s="19"/>
      <c r="S3586" s="19"/>
      <c r="T3586" s="18"/>
      <c r="U3586" s="18"/>
      <c r="V3586" s="18"/>
      <c r="W3586" s="18"/>
      <c r="X3586" s="18"/>
      <c r="Y3586" s="18"/>
      <c r="Z3586" s="18"/>
    </row>
    <row r="3587" ht="15.75" customHeight="1">
      <c r="A3587" s="32"/>
      <c r="B3587" s="22"/>
      <c r="C3587" s="22"/>
      <c r="D3587" s="22"/>
      <c r="E3587" s="22"/>
      <c r="F3587" s="22"/>
      <c r="G3587" s="22"/>
      <c r="H3587" s="18"/>
      <c r="I3587" s="18"/>
      <c r="J3587" s="18"/>
      <c r="K3587" s="18"/>
      <c r="L3587" s="18"/>
      <c r="M3587" s="18"/>
      <c r="N3587" s="18"/>
      <c r="O3587" s="18"/>
      <c r="P3587" s="18"/>
      <c r="Q3587" s="19"/>
      <c r="R3587" s="19"/>
      <c r="S3587" s="19"/>
      <c r="T3587" s="18"/>
      <c r="U3587" s="18"/>
      <c r="V3587" s="18"/>
      <c r="W3587" s="18"/>
      <c r="X3587" s="18"/>
      <c r="Y3587" s="18"/>
      <c r="Z3587" s="18"/>
    </row>
    <row r="3588" ht="15.75" customHeight="1">
      <c r="A3588" s="32"/>
      <c r="B3588" s="22"/>
      <c r="C3588" s="22"/>
      <c r="D3588" s="22"/>
      <c r="E3588" s="22"/>
      <c r="F3588" s="22"/>
      <c r="G3588" s="22"/>
      <c r="H3588" s="18"/>
      <c r="I3588" s="18"/>
      <c r="J3588" s="18"/>
      <c r="K3588" s="18"/>
      <c r="L3588" s="18"/>
      <c r="M3588" s="18"/>
      <c r="N3588" s="18"/>
      <c r="O3588" s="18"/>
      <c r="P3588" s="18"/>
      <c r="Q3588" s="19"/>
      <c r="R3588" s="19"/>
      <c r="S3588" s="19"/>
      <c r="T3588" s="18"/>
      <c r="U3588" s="18"/>
      <c r="V3588" s="18"/>
      <c r="W3588" s="18"/>
      <c r="X3588" s="18"/>
      <c r="Y3588" s="18"/>
      <c r="Z3588" s="18"/>
    </row>
    <row r="3589" ht="15.75" customHeight="1">
      <c r="A3589" s="32"/>
      <c r="B3589" s="22"/>
      <c r="C3589" s="22"/>
      <c r="D3589" s="22"/>
      <c r="E3589" s="22"/>
      <c r="F3589" s="22"/>
      <c r="G3589" s="22"/>
      <c r="H3589" s="18"/>
      <c r="I3589" s="18"/>
      <c r="J3589" s="18"/>
      <c r="K3589" s="18"/>
      <c r="L3589" s="18"/>
      <c r="M3589" s="18"/>
      <c r="N3589" s="18"/>
      <c r="O3589" s="18"/>
      <c r="P3589" s="18"/>
      <c r="Q3589" s="19"/>
      <c r="R3589" s="19"/>
      <c r="S3589" s="19"/>
      <c r="T3589" s="18"/>
      <c r="U3589" s="18"/>
      <c r="V3589" s="18"/>
      <c r="W3589" s="18"/>
      <c r="X3589" s="18"/>
      <c r="Y3589" s="18"/>
      <c r="Z3589" s="18"/>
    </row>
    <row r="3590" ht="15.75" customHeight="1">
      <c r="A3590" s="32"/>
      <c r="B3590" s="22"/>
      <c r="C3590" s="22"/>
      <c r="D3590" s="22"/>
      <c r="E3590" s="22"/>
      <c r="F3590" s="22"/>
      <c r="G3590" s="22"/>
      <c r="H3590" s="18"/>
      <c r="I3590" s="18"/>
      <c r="J3590" s="18"/>
      <c r="K3590" s="18"/>
      <c r="L3590" s="18"/>
      <c r="M3590" s="18"/>
      <c r="N3590" s="18"/>
      <c r="O3590" s="18"/>
      <c r="P3590" s="18"/>
      <c r="Q3590" s="19"/>
      <c r="R3590" s="19"/>
      <c r="S3590" s="19"/>
      <c r="T3590" s="18"/>
      <c r="U3590" s="18"/>
      <c r="V3590" s="18"/>
      <c r="W3590" s="18"/>
      <c r="X3590" s="18"/>
      <c r="Y3590" s="18"/>
      <c r="Z3590" s="18"/>
    </row>
    <row r="3591" ht="15.75" customHeight="1">
      <c r="A3591" s="32"/>
      <c r="B3591" s="22"/>
      <c r="C3591" s="22"/>
      <c r="D3591" s="22"/>
      <c r="E3591" s="22"/>
      <c r="F3591" s="22"/>
      <c r="G3591" s="22"/>
      <c r="H3591" s="18"/>
      <c r="I3591" s="18"/>
      <c r="J3591" s="18"/>
      <c r="K3591" s="18"/>
      <c r="L3591" s="18"/>
      <c r="M3591" s="18"/>
      <c r="N3591" s="18"/>
      <c r="O3591" s="18"/>
      <c r="P3591" s="18"/>
      <c r="Q3591" s="19"/>
      <c r="R3591" s="19"/>
      <c r="S3591" s="19"/>
      <c r="T3591" s="18"/>
      <c r="U3591" s="18"/>
      <c r="V3591" s="18"/>
      <c r="W3591" s="18"/>
      <c r="X3591" s="18"/>
      <c r="Y3591" s="18"/>
      <c r="Z3591" s="18"/>
    </row>
    <row r="3592" ht="15.75" customHeight="1">
      <c r="A3592" s="32"/>
      <c r="B3592" s="22"/>
      <c r="C3592" s="22"/>
      <c r="D3592" s="22"/>
      <c r="E3592" s="22"/>
      <c r="F3592" s="22"/>
      <c r="G3592" s="22"/>
      <c r="H3592" s="18"/>
      <c r="I3592" s="18"/>
      <c r="J3592" s="18"/>
      <c r="K3592" s="18"/>
      <c r="L3592" s="18"/>
      <c r="M3592" s="18"/>
      <c r="N3592" s="18"/>
      <c r="O3592" s="18"/>
      <c r="P3592" s="18"/>
      <c r="Q3592" s="19"/>
      <c r="R3592" s="19"/>
      <c r="S3592" s="19"/>
      <c r="T3592" s="18"/>
      <c r="U3592" s="18"/>
      <c r="V3592" s="18"/>
      <c r="W3592" s="18"/>
      <c r="X3592" s="18"/>
      <c r="Y3592" s="18"/>
      <c r="Z3592" s="18"/>
    </row>
    <row r="3593" ht="15.75" customHeight="1">
      <c r="A3593" s="32"/>
      <c r="B3593" s="22"/>
      <c r="C3593" s="22"/>
      <c r="D3593" s="22"/>
      <c r="E3593" s="22"/>
      <c r="F3593" s="22"/>
      <c r="G3593" s="22"/>
      <c r="H3593" s="18"/>
      <c r="I3593" s="18"/>
      <c r="J3593" s="18"/>
      <c r="K3593" s="18"/>
      <c r="L3593" s="18"/>
      <c r="M3593" s="18"/>
      <c r="N3593" s="18"/>
      <c r="O3593" s="18"/>
      <c r="P3593" s="18"/>
      <c r="Q3593" s="19"/>
      <c r="R3593" s="19"/>
      <c r="S3593" s="19"/>
      <c r="T3593" s="18"/>
      <c r="U3593" s="18"/>
      <c r="V3593" s="18"/>
      <c r="W3593" s="18"/>
      <c r="X3593" s="18"/>
      <c r="Y3593" s="18"/>
      <c r="Z3593" s="18"/>
    </row>
    <row r="3594" ht="15.75" customHeight="1">
      <c r="A3594" s="32"/>
      <c r="B3594" s="22"/>
      <c r="C3594" s="22"/>
      <c r="D3594" s="22"/>
      <c r="E3594" s="22"/>
      <c r="F3594" s="22"/>
      <c r="G3594" s="22"/>
      <c r="H3594" s="18"/>
      <c r="I3594" s="18"/>
      <c r="J3594" s="18"/>
      <c r="K3594" s="18"/>
      <c r="L3594" s="18"/>
      <c r="M3594" s="18"/>
      <c r="N3594" s="18"/>
      <c r="O3594" s="18"/>
      <c r="P3594" s="18"/>
      <c r="Q3594" s="19"/>
      <c r="R3594" s="19"/>
      <c r="S3594" s="19"/>
      <c r="T3594" s="18"/>
      <c r="U3594" s="18"/>
      <c r="V3594" s="18"/>
      <c r="W3594" s="18"/>
      <c r="X3594" s="18"/>
      <c r="Y3594" s="18"/>
      <c r="Z3594" s="18"/>
    </row>
    <row r="3595" ht="15.75" customHeight="1">
      <c r="A3595" s="32"/>
      <c r="B3595" s="22"/>
      <c r="C3595" s="22"/>
      <c r="D3595" s="22"/>
      <c r="E3595" s="22"/>
      <c r="F3595" s="22"/>
      <c r="G3595" s="22"/>
      <c r="H3595" s="18"/>
      <c r="I3595" s="18"/>
      <c r="J3595" s="18"/>
      <c r="K3595" s="18"/>
      <c r="L3595" s="18"/>
      <c r="M3595" s="18"/>
      <c r="N3595" s="18"/>
      <c r="O3595" s="18"/>
      <c r="P3595" s="18"/>
      <c r="Q3595" s="19"/>
      <c r="R3595" s="19"/>
      <c r="S3595" s="19"/>
      <c r="T3595" s="18"/>
      <c r="U3595" s="18"/>
      <c r="V3595" s="18"/>
      <c r="W3595" s="18"/>
      <c r="X3595" s="18"/>
      <c r="Y3595" s="18"/>
      <c r="Z3595" s="18"/>
    </row>
    <row r="3596" ht="15.75" customHeight="1">
      <c r="A3596" s="32"/>
      <c r="B3596" s="22"/>
      <c r="C3596" s="22"/>
      <c r="D3596" s="22"/>
      <c r="E3596" s="22"/>
      <c r="F3596" s="22"/>
      <c r="G3596" s="22"/>
      <c r="H3596" s="18"/>
      <c r="I3596" s="18"/>
      <c r="J3596" s="18"/>
      <c r="K3596" s="18"/>
      <c r="L3596" s="18"/>
      <c r="M3596" s="18"/>
      <c r="N3596" s="18"/>
      <c r="O3596" s="18"/>
      <c r="P3596" s="18"/>
      <c r="Q3596" s="19"/>
      <c r="R3596" s="19"/>
      <c r="S3596" s="19"/>
      <c r="T3596" s="18"/>
      <c r="U3596" s="18"/>
      <c r="V3596" s="18"/>
      <c r="W3596" s="18"/>
      <c r="X3596" s="18"/>
      <c r="Y3596" s="18"/>
      <c r="Z3596" s="18"/>
    </row>
    <row r="3597" ht="15.75" customHeight="1">
      <c r="A3597" s="32"/>
      <c r="B3597" s="22"/>
      <c r="C3597" s="22"/>
      <c r="D3597" s="22"/>
      <c r="E3597" s="22"/>
      <c r="F3597" s="22"/>
      <c r="G3597" s="22"/>
      <c r="H3597" s="18"/>
      <c r="I3597" s="18"/>
      <c r="J3597" s="18"/>
      <c r="K3597" s="18"/>
      <c r="L3597" s="18"/>
      <c r="M3597" s="18"/>
      <c r="N3597" s="18"/>
      <c r="O3597" s="18"/>
      <c r="P3597" s="18"/>
      <c r="Q3597" s="19"/>
      <c r="R3597" s="19"/>
      <c r="S3597" s="19"/>
      <c r="T3597" s="18"/>
      <c r="U3597" s="18"/>
      <c r="V3597" s="18"/>
      <c r="W3597" s="18"/>
      <c r="X3597" s="18"/>
      <c r="Y3597" s="18"/>
      <c r="Z3597" s="18"/>
    </row>
    <row r="3598" ht="15.75" customHeight="1">
      <c r="A3598" s="32"/>
      <c r="B3598" s="22"/>
      <c r="C3598" s="22"/>
      <c r="D3598" s="22"/>
      <c r="E3598" s="22"/>
      <c r="F3598" s="22"/>
      <c r="G3598" s="22"/>
      <c r="H3598" s="18"/>
      <c r="I3598" s="18"/>
      <c r="J3598" s="18"/>
      <c r="K3598" s="18"/>
      <c r="L3598" s="18"/>
      <c r="M3598" s="18"/>
      <c r="N3598" s="18"/>
      <c r="O3598" s="18"/>
      <c r="P3598" s="18"/>
      <c r="Q3598" s="19"/>
      <c r="R3598" s="19"/>
      <c r="S3598" s="19"/>
      <c r="T3598" s="18"/>
      <c r="U3598" s="18"/>
      <c r="V3598" s="18"/>
      <c r="W3598" s="18"/>
      <c r="X3598" s="18"/>
      <c r="Y3598" s="18"/>
      <c r="Z3598" s="18"/>
    </row>
    <row r="3599" ht="15.75" customHeight="1">
      <c r="A3599" s="32"/>
      <c r="B3599" s="22"/>
      <c r="C3599" s="22"/>
      <c r="D3599" s="22"/>
      <c r="E3599" s="22"/>
      <c r="F3599" s="22"/>
      <c r="G3599" s="22"/>
      <c r="H3599" s="18"/>
      <c r="I3599" s="18"/>
      <c r="J3599" s="18"/>
      <c r="K3599" s="18"/>
      <c r="L3599" s="18"/>
      <c r="M3599" s="18"/>
      <c r="N3599" s="18"/>
      <c r="O3599" s="18"/>
      <c r="P3599" s="18"/>
      <c r="Q3599" s="19"/>
      <c r="R3599" s="19"/>
      <c r="S3599" s="19"/>
      <c r="T3599" s="18"/>
      <c r="U3599" s="18"/>
      <c r="V3599" s="18"/>
      <c r="W3599" s="18"/>
      <c r="X3599" s="18"/>
      <c r="Y3599" s="18"/>
      <c r="Z3599" s="18"/>
    </row>
    <row r="3600" ht="15.75" customHeight="1">
      <c r="A3600" s="32"/>
      <c r="B3600" s="22"/>
      <c r="C3600" s="22"/>
      <c r="D3600" s="22"/>
      <c r="E3600" s="22"/>
      <c r="F3600" s="22"/>
      <c r="G3600" s="22"/>
      <c r="H3600" s="18"/>
      <c r="I3600" s="18"/>
      <c r="J3600" s="18"/>
      <c r="K3600" s="18"/>
      <c r="L3600" s="18"/>
      <c r="M3600" s="18"/>
      <c r="N3600" s="18"/>
      <c r="O3600" s="18"/>
      <c r="P3600" s="18"/>
      <c r="Q3600" s="19"/>
      <c r="R3600" s="19"/>
      <c r="S3600" s="19"/>
      <c r="T3600" s="18"/>
      <c r="U3600" s="18"/>
      <c r="V3600" s="18"/>
      <c r="W3600" s="18"/>
      <c r="X3600" s="18"/>
      <c r="Y3600" s="18"/>
      <c r="Z3600" s="18"/>
    </row>
    <row r="3601" ht="15.75" customHeight="1">
      <c r="A3601" s="32"/>
      <c r="B3601" s="22"/>
      <c r="C3601" s="22"/>
      <c r="D3601" s="22"/>
      <c r="E3601" s="22"/>
      <c r="F3601" s="22"/>
      <c r="G3601" s="22"/>
      <c r="H3601" s="18"/>
      <c r="I3601" s="18"/>
      <c r="J3601" s="18"/>
      <c r="K3601" s="18"/>
      <c r="L3601" s="18"/>
      <c r="M3601" s="18"/>
      <c r="N3601" s="18"/>
      <c r="O3601" s="18"/>
      <c r="P3601" s="18"/>
      <c r="Q3601" s="19"/>
      <c r="R3601" s="19"/>
      <c r="S3601" s="19"/>
      <c r="T3601" s="18"/>
      <c r="U3601" s="18"/>
      <c r="V3601" s="18"/>
      <c r="W3601" s="18"/>
      <c r="X3601" s="18"/>
      <c r="Y3601" s="18"/>
      <c r="Z3601" s="18"/>
    </row>
    <row r="3602" ht="15.75" customHeight="1">
      <c r="A3602" s="32"/>
      <c r="B3602" s="22"/>
      <c r="C3602" s="22"/>
      <c r="D3602" s="22"/>
      <c r="E3602" s="22"/>
      <c r="F3602" s="22"/>
      <c r="G3602" s="22"/>
      <c r="H3602" s="18"/>
      <c r="I3602" s="18"/>
      <c r="J3602" s="18"/>
      <c r="K3602" s="18"/>
      <c r="L3602" s="18"/>
      <c r="M3602" s="18"/>
      <c r="N3602" s="18"/>
      <c r="O3602" s="18"/>
      <c r="P3602" s="18"/>
      <c r="Q3602" s="19"/>
      <c r="R3602" s="19"/>
      <c r="S3602" s="19"/>
      <c r="T3602" s="18"/>
      <c r="U3602" s="18"/>
      <c r="V3602" s="18"/>
      <c r="W3602" s="18"/>
      <c r="X3602" s="18"/>
      <c r="Y3602" s="18"/>
      <c r="Z3602" s="18"/>
    </row>
    <row r="3603" ht="15.75" customHeight="1">
      <c r="A3603" s="32"/>
      <c r="B3603" s="22"/>
      <c r="C3603" s="22"/>
      <c r="D3603" s="22"/>
      <c r="E3603" s="22"/>
      <c r="F3603" s="22"/>
      <c r="G3603" s="22"/>
      <c r="H3603" s="18"/>
      <c r="I3603" s="18"/>
      <c r="J3603" s="18"/>
      <c r="K3603" s="18"/>
      <c r="L3603" s="18"/>
      <c r="M3603" s="18"/>
      <c r="N3603" s="18"/>
      <c r="O3603" s="18"/>
      <c r="P3603" s="18"/>
      <c r="Q3603" s="19"/>
      <c r="R3603" s="19"/>
      <c r="S3603" s="19"/>
      <c r="T3603" s="18"/>
      <c r="U3603" s="18"/>
      <c r="V3603" s="18"/>
      <c r="W3603" s="18"/>
      <c r="X3603" s="18"/>
      <c r="Y3603" s="18"/>
      <c r="Z3603" s="18"/>
    </row>
    <row r="3604" ht="15.75" customHeight="1">
      <c r="A3604" s="32"/>
      <c r="B3604" s="22"/>
      <c r="C3604" s="22"/>
      <c r="D3604" s="22"/>
      <c r="E3604" s="22"/>
      <c r="F3604" s="22"/>
      <c r="G3604" s="22"/>
      <c r="H3604" s="18"/>
      <c r="I3604" s="18"/>
      <c r="J3604" s="18"/>
      <c r="K3604" s="18"/>
      <c r="L3604" s="18"/>
      <c r="M3604" s="18"/>
      <c r="N3604" s="18"/>
      <c r="O3604" s="18"/>
      <c r="P3604" s="18"/>
      <c r="Q3604" s="19"/>
      <c r="R3604" s="19"/>
      <c r="S3604" s="19"/>
      <c r="T3604" s="18"/>
      <c r="U3604" s="18"/>
      <c r="V3604" s="18"/>
      <c r="W3604" s="18"/>
      <c r="X3604" s="18"/>
      <c r="Y3604" s="18"/>
      <c r="Z3604" s="18"/>
    </row>
    <row r="3605" ht="15.75" customHeight="1">
      <c r="A3605" s="32"/>
      <c r="B3605" s="22"/>
      <c r="C3605" s="22"/>
      <c r="D3605" s="22"/>
      <c r="E3605" s="22"/>
      <c r="F3605" s="22"/>
      <c r="G3605" s="22"/>
      <c r="H3605" s="18"/>
      <c r="I3605" s="18"/>
      <c r="J3605" s="18"/>
      <c r="K3605" s="18"/>
      <c r="L3605" s="18"/>
      <c r="M3605" s="18"/>
      <c r="N3605" s="18"/>
      <c r="O3605" s="18"/>
      <c r="P3605" s="18"/>
      <c r="Q3605" s="19"/>
      <c r="R3605" s="19"/>
      <c r="S3605" s="19"/>
      <c r="T3605" s="18"/>
      <c r="U3605" s="18"/>
      <c r="V3605" s="18"/>
      <c r="W3605" s="18"/>
      <c r="X3605" s="18"/>
      <c r="Y3605" s="18"/>
      <c r="Z3605" s="18"/>
    </row>
    <row r="3606" ht="15.75" customHeight="1">
      <c r="A3606" s="32"/>
      <c r="B3606" s="22"/>
      <c r="C3606" s="22"/>
      <c r="D3606" s="22"/>
      <c r="E3606" s="22"/>
      <c r="F3606" s="22"/>
      <c r="G3606" s="22"/>
      <c r="H3606" s="18"/>
      <c r="I3606" s="18"/>
      <c r="J3606" s="18"/>
      <c r="K3606" s="18"/>
      <c r="L3606" s="18"/>
      <c r="M3606" s="18"/>
      <c r="N3606" s="18"/>
      <c r="O3606" s="18"/>
      <c r="P3606" s="18"/>
      <c r="Q3606" s="19"/>
      <c r="R3606" s="19"/>
      <c r="S3606" s="19"/>
      <c r="T3606" s="18"/>
      <c r="U3606" s="18"/>
      <c r="V3606" s="18"/>
      <c r="W3606" s="18"/>
      <c r="X3606" s="18"/>
      <c r="Y3606" s="18"/>
      <c r="Z3606" s="18"/>
    </row>
    <row r="3607" ht="15.75" customHeight="1">
      <c r="A3607" s="32"/>
      <c r="B3607" s="22"/>
      <c r="C3607" s="22"/>
      <c r="D3607" s="22"/>
      <c r="E3607" s="22"/>
      <c r="F3607" s="22"/>
      <c r="G3607" s="22"/>
      <c r="H3607" s="18"/>
      <c r="I3607" s="18"/>
      <c r="J3607" s="18"/>
      <c r="K3607" s="18"/>
      <c r="L3607" s="18"/>
      <c r="M3607" s="18"/>
      <c r="N3607" s="18"/>
      <c r="O3607" s="18"/>
      <c r="P3607" s="18"/>
      <c r="Q3607" s="19"/>
      <c r="R3607" s="19"/>
      <c r="S3607" s="19"/>
      <c r="T3607" s="18"/>
      <c r="U3607" s="18"/>
      <c r="V3607" s="18"/>
      <c r="W3607" s="18"/>
      <c r="X3607" s="18"/>
      <c r="Y3607" s="18"/>
      <c r="Z3607" s="18"/>
    </row>
    <row r="3608" ht="15.75" customHeight="1">
      <c r="A3608" s="32"/>
      <c r="B3608" s="22"/>
      <c r="C3608" s="22"/>
      <c r="D3608" s="22"/>
      <c r="E3608" s="22"/>
      <c r="F3608" s="22"/>
      <c r="G3608" s="22"/>
      <c r="H3608" s="18"/>
      <c r="I3608" s="18"/>
      <c r="J3608" s="18"/>
      <c r="K3608" s="18"/>
      <c r="L3608" s="18"/>
      <c r="M3608" s="18"/>
      <c r="N3608" s="18"/>
      <c r="O3608" s="18"/>
      <c r="P3608" s="18"/>
      <c r="Q3608" s="19"/>
      <c r="R3608" s="19"/>
      <c r="S3608" s="19"/>
      <c r="T3608" s="18"/>
      <c r="U3608" s="18"/>
      <c r="V3608" s="18"/>
      <c r="W3608" s="18"/>
      <c r="X3608" s="18"/>
      <c r="Y3608" s="18"/>
      <c r="Z3608" s="18"/>
    </row>
    <row r="3609" ht="15.75" customHeight="1">
      <c r="A3609" s="32"/>
      <c r="B3609" s="22"/>
      <c r="C3609" s="22"/>
      <c r="D3609" s="22"/>
      <c r="E3609" s="22"/>
      <c r="F3609" s="22"/>
      <c r="G3609" s="22"/>
      <c r="H3609" s="18"/>
      <c r="I3609" s="18"/>
      <c r="J3609" s="18"/>
      <c r="K3609" s="18"/>
      <c r="L3609" s="18"/>
      <c r="M3609" s="18"/>
      <c r="N3609" s="18"/>
      <c r="O3609" s="18"/>
      <c r="P3609" s="18"/>
      <c r="Q3609" s="19"/>
      <c r="R3609" s="19"/>
      <c r="S3609" s="19"/>
      <c r="T3609" s="18"/>
      <c r="U3609" s="18"/>
      <c r="V3609" s="18"/>
      <c r="W3609" s="18"/>
      <c r="X3609" s="18"/>
      <c r="Y3609" s="18"/>
      <c r="Z3609" s="18"/>
    </row>
    <row r="3610" ht="15.75" customHeight="1">
      <c r="A3610" s="32"/>
      <c r="B3610" s="22"/>
      <c r="C3610" s="22"/>
      <c r="D3610" s="22"/>
      <c r="E3610" s="22"/>
      <c r="F3610" s="22"/>
      <c r="G3610" s="22"/>
      <c r="H3610" s="18"/>
      <c r="I3610" s="18"/>
      <c r="J3610" s="18"/>
      <c r="K3610" s="18"/>
      <c r="L3610" s="18"/>
      <c r="M3610" s="18"/>
      <c r="N3610" s="18"/>
      <c r="O3610" s="18"/>
      <c r="P3610" s="18"/>
      <c r="Q3610" s="19"/>
      <c r="R3610" s="19"/>
      <c r="S3610" s="19"/>
      <c r="T3610" s="18"/>
      <c r="U3610" s="18"/>
      <c r="V3610" s="18"/>
      <c r="W3610" s="18"/>
      <c r="X3610" s="18"/>
      <c r="Y3610" s="18"/>
      <c r="Z3610" s="18"/>
    </row>
    <row r="3611" ht="15.75" customHeight="1">
      <c r="A3611" s="32"/>
      <c r="B3611" s="22"/>
      <c r="C3611" s="22"/>
      <c r="D3611" s="22"/>
      <c r="E3611" s="22"/>
      <c r="F3611" s="22"/>
      <c r="G3611" s="22"/>
      <c r="H3611" s="18"/>
      <c r="I3611" s="18"/>
      <c r="J3611" s="18"/>
      <c r="K3611" s="18"/>
      <c r="L3611" s="18"/>
      <c r="M3611" s="18"/>
      <c r="N3611" s="18"/>
      <c r="O3611" s="18"/>
      <c r="P3611" s="18"/>
      <c r="Q3611" s="19"/>
      <c r="R3611" s="19"/>
      <c r="S3611" s="19"/>
      <c r="T3611" s="18"/>
      <c r="U3611" s="18"/>
      <c r="V3611" s="18"/>
      <c r="W3611" s="18"/>
      <c r="X3611" s="18"/>
      <c r="Y3611" s="18"/>
      <c r="Z3611" s="18"/>
    </row>
    <row r="3612" ht="15.75" customHeight="1">
      <c r="A3612" s="32"/>
      <c r="B3612" s="22"/>
      <c r="C3612" s="22"/>
      <c r="D3612" s="22"/>
      <c r="E3612" s="22"/>
      <c r="F3612" s="22"/>
      <c r="G3612" s="22"/>
      <c r="H3612" s="18"/>
      <c r="I3612" s="18"/>
      <c r="J3612" s="18"/>
      <c r="K3612" s="18"/>
      <c r="L3612" s="18"/>
      <c r="M3612" s="18"/>
      <c r="N3612" s="18"/>
      <c r="O3612" s="18"/>
      <c r="P3612" s="18"/>
      <c r="Q3612" s="19"/>
      <c r="R3612" s="19"/>
      <c r="S3612" s="19"/>
      <c r="T3612" s="18"/>
      <c r="U3612" s="18"/>
      <c r="V3612" s="18"/>
      <c r="W3612" s="18"/>
      <c r="X3612" s="18"/>
      <c r="Y3612" s="18"/>
      <c r="Z3612" s="18"/>
    </row>
    <row r="3613" ht="15.75" customHeight="1">
      <c r="A3613" s="32"/>
      <c r="B3613" s="22"/>
      <c r="C3613" s="22"/>
      <c r="D3613" s="22"/>
      <c r="E3613" s="22"/>
      <c r="F3613" s="22"/>
      <c r="G3613" s="22"/>
      <c r="H3613" s="18"/>
      <c r="I3613" s="18"/>
      <c r="J3613" s="18"/>
      <c r="K3613" s="18"/>
      <c r="L3613" s="18"/>
      <c r="M3613" s="18"/>
      <c r="N3613" s="18"/>
      <c r="O3613" s="18"/>
      <c r="P3613" s="18"/>
      <c r="Q3613" s="19"/>
      <c r="R3613" s="19"/>
      <c r="S3613" s="19"/>
      <c r="T3613" s="18"/>
      <c r="U3613" s="18"/>
      <c r="V3613" s="18"/>
      <c r="W3613" s="18"/>
      <c r="X3613" s="18"/>
      <c r="Y3613" s="18"/>
      <c r="Z3613" s="18"/>
    </row>
    <row r="3614" ht="15.75" customHeight="1">
      <c r="A3614" s="32"/>
      <c r="B3614" s="22"/>
      <c r="C3614" s="22"/>
      <c r="D3614" s="22"/>
      <c r="E3614" s="22"/>
      <c r="F3614" s="22"/>
      <c r="G3614" s="22"/>
      <c r="H3614" s="18"/>
      <c r="I3614" s="18"/>
      <c r="J3614" s="18"/>
      <c r="K3614" s="18"/>
      <c r="L3614" s="18"/>
      <c r="M3614" s="18"/>
      <c r="N3614" s="18"/>
      <c r="O3614" s="18"/>
      <c r="P3614" s="18"/>
      <c r="Q3614" s="19"/>
      <c r="R3614" s="19"/>
      <c r="S3614" s="19"/>
      <c r="T3614" s="18"/>
      <c r="U3614" s="18"/>
      <c r="V3614" s="18"/>
      <c r="W3614" s="18"/>
      <c r="X3614" s="18"/>
      <c r="Y3614" s="18"/>
      <c r="Z3614" s="18"/>
    </row>
    <row r="3615" ht="15.75" customHeight="1">
      <c r="A3615" s="32"/>
      <c r="B3615" s="22"/>
      <c r="C3615" s="22"/>
      <c r="D3615" s="22"/>
      <c r="E3615" s="22"/>
      <c r="F3615" s="22"/>
      <c r="G3615" s="22"/>
      <c r="H3615" s="18"/>
      <c r="I3615" s="18"/>
      <c r="J3615" s="18"/>
      <c r="K3615" s="18"/>
      <c r="L3615" s="18"/>
      <c r="M3615" s="18"/>
      <c r="N3615" s="18"/>
      <c r="O3615" s="18"/>
      <c r="P3615" s="18"/>
      <c r="Q3615" s="19"/>
      <c r="R3615" s="19"/>
      <c r="S3615" s="19"/>
      <c r="T3615" s="18"/>
      <c r="U3615" s="18"/>
      <c r="V3615" s="18"/>
      <c r="W3615" s="18"/>
      <c r="X3615" s="18"/>
      <c r="Y3615" s="18"/>
      <c r="Z3615" s="18"/>
    </row>
    <row r="3616" ht="15.75" customHeight="1">
      <c r="A3616" s="32"/>
      <c r="B3616" s="22"/>
      <c r="C3616" s="22"/>
      <c r="D3616" s="22"/>
      <c r="E3616" s="22"/>
      <c r="F3616" s="22"/>
      <c r="G3616" s="22"/>
      <c r="H3616" s="18"/>
      <c r="I3616" s="18"/>
      <c r="J3616" s="18"/>
      <c r="K3616" s="18"/>
      <c r="L3616" s="18"/>
      <c r="M3616" s="18"/>
      <c r="N3616" s="18"/>
      <c r="O3616" s="18"/>
      <c r="P3616" s="18"/>
      <c r="Q3616" s="19"/>
      <c r="R3616" s="19"/>
      <c r="S3616" s="19"/>
      <c r="T3616" s="18"/>
      <c r="U3616" s="18"/>
      <c r="V3616" s="18"/>
      <c r="W3616" s="18"/>
      <c r="X3616" s="18"/>
      <c r="Y3616" s="18"/>
      <c r="Z3616" s="18"/>
    </row>
    <row r="3617" ht="15.75" customHeight="1">
      <c r="A3617" s="32"/>
      <c r="B3617" s="22"/>
      <c r="C3617" s="22"/>
      <c r="D3617" s="22"/>
      <c r="E3617" s="22"/>
      <c r="F3617" s="22"/>
      <c r="G3617" s="22"/>
      <c r="H3617" s="18"/>
      <c r="I3617" s="18"/>
      <c r="J3617" s="18"/>
      <c r="K3617" s="18"/>
      <c r="L3617" s="18"/>
      <c r="M3617" s="18"/>
      <c r="N3617" s="18"/>
      <c r="O3617" s="18"/>
      <c r="P3617" s="18"/>
      <c r="Q3617" s="19"/>
      <c r="R3617" s="19"/>
      <c r="S3617" s="19"/>
      <c r="T3617" s="18"/>
      <c r="U3617" s="18"/>
      <c r="V3617" s="18"/>
      <c r="W3617" s="18"/>
      <c r="X3617" s="18"/>
      <c r="Y3617" s="18"/>
      <c r="Z3617" s="18"/>
    </row>
    <row r="3618" ht="15.75" customHeight="1">
      <c r="A3618" s="32"/>
      <c r="B3618" s="22"/>
      <c r="C3618" s="22"/>
      <c r="D3618" s="22"/>
      <c r="E3618" s="22"/>
      <c r="F3618" s="22"/>
      <c r="G3618" s="22"/>
      <c r="H3618" s="18"/>
      <c r="I3618" s="18"/>
      <c r="J3618" s="18"/>
      <c r="K3618" s="18"/>
      <c r="L3618" s="18"/>
      <c r="M3618" s="18"/>
      <c r="N3618" s="18"/>
      <c r="O3618" s="18"/>
      <c r="P3618" s="18"/>
      <c r="Q3618" s="19"/>
      <c r="R3618" s="19"/>
      <c r="S3618" s="19"/>
      <c r="T3618" s="18"/>
      <c r="U3618" s="18"/>
      <c r="V3618" s="18"/>
      <c r="W3618" s="18"/>
      <c r="X3618" s="18"/>
      <c r="Y3618" s="18"/>
      <c r="Z3618" s="18"/>
    </row>
    <row r="3619" ht="15.75" customHeight="1">
      <c r="A3619" s="32"/>
      <c r="B3619" s="22"/>
      <c r="C3619" s="22"/>
      <c r="D3619" s="22"/>
      <c r="E3619" s="22"/>
      <c r="F3619" s="22"/>
      <c r="G3619" s="22"/>
      <c r="H3619" s="18"/>
      <c r="I3619" s="18"/>
      <c r="J3619" s="18"/>
      <c r="K3619" s="18"/>
      <c r="L3619" s="18"/>
      <c r="M3619" s="18"/>
      <c r="N3619" s="18"/>
      <c r="O3619" s="18"/>
      <c r="P3619" s="18"/>
      <c r="Q3619" s="19"/>
      <c r="R3619" s="19"/>
      <c r="S3619" s="19"/>
      <c r="T3619" s="18"/>
      <c r="U3619" s="18"/>
      <c r="V3619" s="18"/>
      <c r="W3619" s="18"/>
      <c r="X3619" s="18"/>
      <c r="Y3619" s="18"/>
      <c r="Z3619" s="18"/>
    </row>
    <row r="3620" ht="15.75" customHeight="1">
      <c r="A3620" s="32"/>
      <c r="B3620" s="22"/>
      <c r="C3620" s="22"/>
      <c r="D3620" s="22"/>
      <c r="E3620" s="22"/>
      <c r="F3620" s="22"/>
      <c r="G3620" s="22"/>
      <c r="H3620" s="18"/>
      <c r="I3620" s="18"/>
      <c r="J3620" s="18"/>
      <c r="K3620" s="18"/>
      <c r="L3620" s="18"/>
      <c r="M3620" s="18"/>
      <c r="N3620" s="18"/>
      <c r="O3620" s="18"/>
      <c r="P3620" s="18"/>
      <c r="Q3620" s="19"/>
      <c r="R3620" s="19"/>
      <c r="S3620" s="19"/>
      <c r="T3620" s="18"/>
      <c r="U3620" s="18"/>
      <c r="V3620" s="18"/>
      <c r="W3620" s="18"/>
      <c r="X3620" s="18"/>
      <c r="Y3620" s="18"/>
      <c r="Z3620" s="18"/>
    </row>
    <row r="3621" ht="15.75" customHeight="1">
      <c r="A3621" s="32"/>
      <c r="B3621" s="22"/>
      <c r="C3621" s="22"/>
      <c r="D3621" s="22"/>
      <c r="E3621" s="22"/>
      <c r="F3621" s="22"/>
      <c r="G3621" s="22"/>
      <c r="H3621" s="18"/>
      <c r="I3621" s="18"/>
      <c r="J3621" s="18"/>
      <c r="K3621" s="18"/>
      <c r="L3621" s="18"/>
      <c r="M3621" s="18"/>
      <c r="N3621" s="18"/>
      <c r="O3621" s="18"/>
      <c r="P3621" s="18"/>
      <c r="Q3621" s="19"/>
      <c r="R3621" s="19"/>
      <c r="S3621" s="19"/>
      <c r="T3621" s="18"/>
      <c r="U3621" s="18"/>
      <c r="V3621" s="18"/>
      <c r="W3621" s="18"/>
      <c r="X3621" s="18"/>
      <c r="Y3621" s="18"/>
      <c r="Z3621" s="18"/>
    </row>
    <row r="3622" ht="15.75" customHeight="1">
      <c r="A3622" s="32"/>
      <c r="B3622" s="22"/>
      <c r="C3622" s="22"/>
      <c r="D3622" s="22"/>
      <c r="E3622" s="22"/>
      <c r="F3622" s="22"/>
      <c r="G3622" s="22"/>
      <c r="H3622" s="18"/>
      <c r="I3622" s="18"/>
      <c r="J3622" s="18"/>
      <c r="K3622" s="18"/>
      <c r="L3622" s="18"/>
      <c r="M3622" s="18"/>
      <c r="N3622" s="18"/>
      <c r="O3622" s="18"/>
      <c r="P3622" s="18"/>
      <c r="Q3622" s="19"/>
      <c r="R3622" s="19"/>
      <c r="S3622" s="19"/>
      <c r="T3622" s="18"/>
      <c r="U3622" s="18"/>
      <c r="V3622" s="18"/>
      <c r="W3622" s="18"/>
      <c r="X3622" s="18"/>
      <c r="Y3622" s="18"/>
      <c r="Z3622" s="18"/>
    </row>
    <row r="3623" ht="15.75" customHeight="1">
      <c r="A3623" s="32"/>
      <c r="B3623" s="22"/>
      <c r="C3623" s="22"/>
      <c r="D3623" s="22"/>
      <c r="E3623" s="22"/>
      <c r="F3623" s="22"/>
      <c r="G3623" s="22"/>
      <c r="H3623" s="18"/>
      <c r="I3623" s="18"/>
      <c r="J3623" s="18"/>
      <c r="K3623" s="18"/>
      <c r="L3623" s="18"/>
      <c r="M3623" s="18"/>
      <c r="N3623" s="18"/>
      <c r="O3623" s="18"/>
      <c r="P3623" s="18"/>
      <c r="Q3623" s="19"/>
      <c r="R3623" s="19"/>
      <c r="S3623" s="19"/>
      <c r="T3623" s="18"/>
      <c r="U3623" s="18"/>
      <c r="V3623" s="18"/>
      <c r="W3623" s="18"/>
      <c r="X3623" s="18"/>
      <c r="Y3623" s="18"/>
      <c r="Z3623" s="18"/>
    </row>
    <row r="3624" ht="15.75" customHeight="1">
      <c r="A3624" s="32"/>
      <c r="B3624" s="22"/>
      <c r="C3624" s="22"/>
      <c r="D3624" s="22"/>
      <c r="E3624" s="22"/>
      <c r="F3624" s="22"/>
      <c r="G3624" s="22"/>
      <c r="H3624" s="18"/>
      <c r="I3624" s="18"/>
      <c r="J3624" s="18"/>
      <c r="K3624" s="18"/>
      <c r="L3624" s="18"/>
      <c r="M3624" s="18"/>
      <c r="N3624" s="18"/>
      <c r="O3624" s="18"/>
      <c r="P3624" s="18"/>
      <c r="Q3624" s="19"/>
      <c r="R3624" s="19"/>
      <c r="S3624" s="19"/>
      <c r="T3624" s="18"/>
      <c r="U3624" s="18"/>
      <c r="V3624" s="18"/>
      <c r="W3624" s="18"/>
      <c r="X3624" s="18"/>
      <c r="Y3624" s="18"/>
      <c r="Z3624" s="18"/>
    </row>
    <row r="3625" ht="15.75" customHeight="1">
      <c r="A3625" s="32"/>
      <c r="B3625" s="22"/>
      <c r="C3625" s="22"/>
      <c r="D3625" s="22"/>
      <c r="E3625" s="22"/>
      <c r="F3625" s="22"/>
      <c r="G3625" s="22"/>
      <c r="H3625" s="18"/>
      <c r="I3625" s="18"/>
      <c r="J3625" s="18"/>
      <c r="K3625" s="18"/>
      <c r="L3625" s="18"/>
      <c r="M3625" s="18"/>
      <c r="N3625" s="18"/>
      <c r="O3625" s="18"/>
      <c r="P3625" s="18"/>
      <c r="Q3625" s="19"/>
      <c r="R3625" s="19"/>
      <c r="S3625" s="19"/>
      <c r="T3625" s="18"/>
      <c r="U3625" s="18"/>
      <c r="V3625" s="18"/>
      <c r="W3625" s="18"/>
      <c r="X3625" s="18"/>
      <c r="Y3625" s="18"/>
      <c r="Z3625" s="18"/>
    </row>
    <row r="3626" ht="15.75" customHeight="1">
      <c r="A3626" s="32"/>
      <c r="B3626" s="22"/>
      <c r="C3626" s="22"/>
      <c r="D3626" s="22"/>
      <c r="E3626" s="22"/>
      <c r="F3626" s="22"/>
      <c r="G3626" s="22"/>
      <c r="H3626" s="18"/>
      <c r="I3626" s="18"/>
      <c r="J3626" s="18"/>
      <c r="K3626" s="18"/>
      <c r="L3626" s="18"/>
      <c r="M3626" s="18"/>
      <c r="N3626" s="18"/>
      <c r="O3626" s="18"/>
      <c r="P3626" s="18"/>
      <c r="Q3626" s="19"/>
      <c r="R3626" s="19"/>
      <c r="S3626" s="19"/>
      <c r="T3626" s="18"/>
      <c r="U3626" s="18"/>
      <c r="V3626" s="18"/>
      <c r="W3626" s="18"/>
      <c r="X3626" s="18"/>
      <c r="Y3626" s="18"/>
      <c r="Z3626" s="18"/>
    </row>
    <row r="3627" ht="15.75" customHeight="1">
      <c r="A3627" s="32"/>
      <c r="B3627" s="22"/>
      <c r="C3627" s="22"/>
      <c r="D3627" s="22"/>
      <c r="E3627" s="22"/>
      <c r="F3627" s="22"/>
      <c r="G3627" s="22"/>
      <c r="H3627" s="18"/>
      <c r="I3627" s="18"/>
      <c r="J3627" s="18"/>
      <c r="K3627" s="18"/>
      <c r="L3627" s="18"/>
      <c r="M3627" s="18"/>
      <c r="N3627" s="18"/>
      <c r="O3627" s="18"/>
      <c r="P3627" s="18"/>
      <c r="Q3627" s="19"/>
      <c r="R3627" s="19"/>
      <c r="S3627" s="19"/>
      <c r="T3627" s="18"/>
      <c r="U3627" s="18"/>
      <c r="V3627" s="18"/>
      <c r="W3627" s="18"/>
      <c r="X3627" s="18"/>
      <c r="Y3627" s="18"/>
      <c r="Z3627" s="18"/>
    </row>
    <row r="3628" ht="15.75" customHeight="1">
      <c r="A3628" s="32"/>
      <c r="B3628" s="22"/>
      <c r="C3628" s="22"/>
      <c r="D3628" s="22"/>
      <c r="E3628" s="22"/>
      <c r="F3628" s="22"/>
      <c r="G3628" s="22"/>
      <c r="H3628" s="18"/>
      <c r="I3628" s="18"/>
      <c r="J3628" s="18"/>
      <c r="K3628" s="18"/>
      <c r="L3628" s="18"/>
      <c r="M3628" s="18"/>
      <c r="N3628" s="18"/>
      <c r="O3628" s="18"/>
      <c r="P3628" s="18"/>
      <c r="Q3628" s="19"/>
      <c r="R3628" s="19"/>
      <c r="S3628" s="19"/>
      <c r="T3628" s="18"/>
      <c r="U3628" s="18"/>
      <c r="V3628" s="18"/>
      <c r="W3628" s="18"/>
      <c r="X3628" s="18"/>
      <c r="Y3628" s="18"/>
      <c r="Z3628" s="18"/>
    </row>
    <row r="3629" ht="15.75" customHeight="1">
      <c r="A3629" s="32"/>
      <c r="B3629" s="22"/>
      <c r="C3629" s="22"/>
      <c r="D3629" s="22"/>
      <c r="E3629" s="22"/>
      <c r="F3629" s="22"/>
      <c r="G3629" s="22"/>
      <c r="H3629" s="18"/>
      <c r="I3629" s="18"/>
      <c r="J3629" s="18"/>
      <c r="K3629" s="18"/>
      <c r="L3629" s="18"/>
      <c r="M3629" s="18"/>
      <c r="N3629" s="18"/>
      <c r="O3629" s="18"/>
      <c r="P3629" s="18"/>
      <c r="Q3629" s="19"/>
      <c r="R3629" s="19"/>
      <c r="S3629" s="19"/>
      <c r="T3629" s="18"/>
      <c r="U3629" s="18"/>
      <c r="V3629" s="18"/>
      <c r="W3629" s="18"/>
      <c r="X3629" s="18"/>
      <c r="Y3629" s="18"/>
      <c r="Z3629" s="18"/>
    </row>
    <row r="3630" ht="15.75" customHeight="1">
      <c r="A3630" s="32"/>
      <c r="B3630" s="22"/>
      <c r="C3630" s="22"/>
      <c r="D3630" s="22"/>
      <c r="E3630" s="22"/>
      <c r="F3630" s="22"/>
      <c r="G3630" s="22"/>
      <c r="H3630" s="18"/>
      <c r="I3630" s="18"/>
      <c r="J3630" s="18"/>
      <c r="K3630" s="18"/>
      <c r="L3630" s="18"/>
      <c r="M3630" s="18"/>
      <c r="N3630" s="18"/>
      <c r="O3630" s="18"/>
      <c r="P3630" s="18"/>
      <c r="Q3630" s="19"/>
      <c r="R3630" s="19"/>
      <c r="S3630" s="19"/>
      <c r="T3630" s="18"/>
      <c r="U3630" s="18"/>
      <c r="V3630" s="18"/>
      <c r="W3630" s="18"/>
      <c r="X3630" s="18"/>
      <c r="Y3630" s="18"/>
      <c r="Z3630" s="18"/>
    </row>
    <row r="3631" ht="15.75" customHeight="1">
      <c r="A3631" s="32"/>
      <c r="B3631" s="22"/>
      <c r="C3631" s="22"/>
      <c r="D3631" s="22"/>
      <c r="E3631" s="22"/>
      <c r="F3631" s="22"/>
      <c r="G3631" s="22"/>
      <c r="H3631" s="18"/>
      <c r="I3631" s="18"/>
      <c r="J3631" s="18"/>
      <c r="K3631" s="18"/>
      <c r="L3631" s="18"/>
      <c r="M3631" s="18"/>
      <c r="N3631" s="18"/>
      <c r="O3631" s="18"/>
      <c r="P3631" s="18"/>
      <c r="Q3631" s="19"/>
      <c r="R3631" s="19"/>
      <c r="S3631" s="19"/>
      <c r="T3631" s="18"/>
      <c r="U3631" s="18"/>
      <c r="V3631" s="18"/>
      <c r="W3631" s="18"/>
      <c r="X3631" s="18"/>
      <c r="Y3631" s="18"/>
      <c r="Z3631" s="18"/>
    </row>
    <row r="3632" ht="15.75" customHeight="1">
      <c r="A3632" s="32"/>
      <c r="B3632" s="22"/>
      <c r="C3632" s="22"/>
      <c r="D3632" s="22"/>
      <c r="E3632" s="22"/>
      <c r="F3632" s="22"/>
      <c r="G3632" s="22"/>
      <c r="H3632" s="18"/>
      <c r="I3632" s="18"/>
      <c r="J3632" s="18"/>
      <c r="K3632" s="18"/>
      <c r="L3632" s="18"/>
      <c r="M3632" s="18"/>
      <c r="N3632" s="18"/>
      <c r="O3632" s="18"/>
      <c r="P3632" s="18"/>
      <c r="Q3632" s="19"/>
      <c r="R3632" s="19"/>
      <c r="S3632" s="19"/>
      <c r="T3632" s="18"/>
      <c r="U3632" s="18"/>
      <c r="V3632" s="18"/>
      <c r="W3632" s="18"/>
      <c r="X3632" s="18"/>
      <c r="Y3632" s="18"/>
      <c r="Z3632" s="18"/>
    </row>
    <row r="3633" ht="15.75" customHeight="1">
      <c r="A3633" s="32"/>
      <c r="B3633" s="22"/>
      <c r="C3633" s="22"/>
      <c r="D3633" s="22"/>
      <c r="E3633" s="22"/>
      <c r="F3633" s="22"/>
      <c r="G3633" s="22"/>
      <c r="H3633" s="18"/>
      <c r="I3633" s="18"/>
      <c r="J3633" s="18"/>
      <c r="K3633" s="18"/>
      <c r="L3633" s="18"/>
      <c r="M3633" s="18"/>
      <c r="N3633" s="18"/>
      <c r="O3633" s="18"/>
      <c r="P3633" s="18"/>
      <c r="Q3633" s="19"/>
      <c r="R3633" s="19"/>
      <c r="S3633" s="19"/>
      <c r="T3633" s="18"/>
      <c r="U3633" s="18"/>
      <c r="V3633" s="18"/>
      <c r="W3633" s="18"/>
      <c r="X3633" s="18"/>
      <c r="Y3633" s="18"/>
      <c r="Z3633" s="18"/>
    </row>
    <row r="3634" ht="15.75" customHeight="1">
      <c r="A3634" s="32"/>
      <c r="B3634" s="22"/>
      <c r="C3634" s="22"/>
      <c r="D3634" s="22"/>
      <c r="E3634" s="22"/>
      <c r="F3634" s="22"/>
      <c r="G3634" s="22"/>
      <c r="H3634" s="18"/>
      <c r="I3634" s="18"/>
      <c r="J3634" s="18"/>
      <c r="K3634" s="18"/>
      <c r="L3634" s="18"/>
      <c r="M3634" s="18"/>
      <c r="N3634" s="18"/>
      <c r="O3634" s="18"/>
      <c r="P3634" s="18"/>
      <c r="Q3634" s="19"/>
      <c r="R3634" s="19"/>
      <c r="S3634" s="19"/>
      <c r="T3634" s="18"/>
      <c r="U3634" s="18"/>
      <c r="V3634" s="18"/>
      <c r="W3634" s="18"/>
      <c r="X3634" s="18"/>
      <c r="Y3634" s="18"/>
      <c r="Z3634" s="18"/>
    </row>
    <row r="3635" ht="15.75" customHeight="1">
      <c r="A3635" s="32"/>
      <c r="B3635" s="22"/>
      <c r="C3635" s="22"/>
      <c r="D3635" s="22"/>
      <c r="E3635" s="22"/>
      <c r="F3635" s="22"/>
      <c r="G3635" s="22"/>
      <c r="H3635" s="18"/>
      <c r="I3635" s="18"/>
      <c r="J3635" s="18"/>
      <c r="K3635" s="18"/>
      <c r="L3635" s="18"/>
      <c r="M3635" s="18"/>
      <c r="N3635" s="18"/>
      <c r="O3635" s="18"/>
      <c r="P3635" s="18"/>
      <c r="Q3635" s="19"/>
      <c r="R3635" s="19"/>
      <c r="S3635" s="19"/>
      <c r="T3635" s="18"/>
      <c r="U3635" s="18"/>
      <c r="V3635" s="18"/>
      <c r="W3635" s="18"/>
      <c r="X3635" s="18"/>
      <c r="Y3635" s="18"/>
      <c r="Z3635" s="18"/>
    </row>
    <row r="3636" ht="15.75" customHeight="1">
      <c r="A3636" s="32"/>
      <c r="B3636" s="22"/>
      <c r="C3636" s="22"/>
      <c r="D3636" s="22"/>
      <c r="E3636" s="22"/>
      <c r="F3636" s="22"/>
      <c r="G3636" s="22"/>
      <c r="H3636" s="18"/>
      <c r="I3636" s="18"/>
      <c r="J3636" s="18"/>
      <c r="K3636" s="18"/>
      <c r="L3636" s="18"/>
      <c r="M3636" s="18"/>
      <c r="N3636" s="18"/>
      <c r="O3636" s="18"/>
      <c r="P3636" s="18"/>
      <c r="Q3636" s="19"/>
      <c r="R3636" s="19"/>
      <c r="S3636" s="19"/>
      <c r="T3636" s="18"/>
      <c r="U3636" s="18"/>
      <c r="V3636" s="18"/>
      <c r="W3636" s="18"/>
      <c r="X3636" s="18"/>
      <c r="Y3636" s="18"/>
      <c r="Z3636" s="18"/>
    </row>
    <row r="3637" ht="15.75" customHeight="1">
      <c r="A3637" s="32"/>
      <c r="B3637" s="22"/>
      <c r="C3637" s="22"/>
      <c r="D3637" s="22"/>
      <c r="E3637" s="22"/>
      <c r="F3637" s="22"/>
      <c r="G3637" s="22"/>
      <c r="H3637" s="18"/>
      <c r="I3637" s="18"/>
      <c r="J3637" s="18"/>
      <c r="K3637" s="18"/>
      <c r="L3637" s="18"/>
      <c r="M3637" s="18"/>
      <c r="N3637" s="18"/>
      <c r="O3637" s="18"/>
      <c r="P3637" s="18"/>
      <c r="Q3637" s="19"/>
      <c r="R3637" s="19"/>
      <c r="S3637" s="19"/>
      <c r="T3637" s="18"/>
      <c r="U3637" s="18"/>
      <c r="V3637" s="18"/>
      <c r="W3637" s="18"/>
      <c r="X3637" s="18"/>
      <c r="Y3637" s="18"/>
      <c r="Z3637" s="18"/>
    </row>
    <row r="3638" ht="15.75" customHeight="1">
      <c r="A3638" s="32"/>
      <c r="B3638" s="22"/>
      <c r="C3638" s="22"/>
      <c r="D3638" s="22"/>
      <c r="E3638" s="22"/>
      <c r="F3638" s="22"/>
      <c r="G3638" s="22"/>
      <c r="H3638" s="18"/>
      <c r="I3638" s="18"/>
      <c r="J3638" s="18"/>
      <c r="K3638" s="18"/>
      <c r="L3638" s="18"/>
      <c r="M3638" s="18"/>
      <c r="N3638" s="18"/>
      <c r="O3638" s="18"/>
      <c r="P3638" s="18"/>
      <c r="Q3638" s="19"/>
      <c r="R3638" s="19"/>
      <c r="S3638" s="19"/>
      <c r="T3638" s="18"/>
      <c r="U3638" s="18"/>
      <c r="V3638" s="18"/>
      <c r="W3638" s="18"/>
      <c r="X3638" s="18"/>
      <c r="Y3638" s="18"/>
      <c r="Z3638" s="18"/>
    </row>
    <row r="3639" ht="15.75" customHeight="1">
      <c r="A3639" s="32"/>
      <c r="B3639" s="22"/>
      <c r="C3639" s="22"/>
      <c r="D3639" s="22"/>
      <c r="E3639" s="22"/>
      <c r="F3639" s="22"/>
      <c r="G3639" s="22"/>
      <c r="H3639" s="18"/>
      <c r="I3639" s="18"/>
      <c r="J3639" s="18"/>
      <c r="K3639" s="18"/>
      <c r="L3639" s="18"/>
      <c r="M3639" s="18"/>
      <c r="N3639" s="18"/>
      <c r="O3639" s="18"/>
      <c r="P3639" s="18"/>
      <c r="Q3639" s="19"/>
      <c r="R3639" s="19"/>
      <c r="S3639" s="19"/>
      <c r="T3639" s="18"/>
      <c r="U3639" s="18"/>
      <c r="V3639" s="18"/>
      <c r="W3639" s="18"/>
      <c r="X3639" s="18"/>
      <c r="Y3639" s="18"/>
      <c r="Z3639" s="18"/>
    </row>
    <row r="3640" ht="15.75" customHeight="1">
      <c r="A3640" s="32"/>
      <c r="B3640" s="22"/>
      <c r="C3640" s="22"/>
      <c r="D3640" s="22"/>
      <c r="E3640" s="22"/>
      <c r="F3640" s="22"/>
      <c r="G3640" s="22"/>
      <c r="H3640" s="18"/>
      <c r="I3640" s="18"/>
      <c r="J3640" s="18"/>
      <c r="K3640" s="18"/>
      <c r="L3640" s="18"/>
      <c r="M3640" s="18"/>
      <c r="N3640" s="18"/>
      <c r="O3640" s="18"/>
      <c r="P3640" s="18"/>
      <c r="Q3640" s="19"/>
      <c r="R3640" s="19"/>
      <c r="S3640" s="19"/>
      <c r="T3640" s="18"/>
      <c r="U3640" s="18"/>
      <c r="V3640" s="18"/>
      <c r="W3640" s="18"/>
      <c r="X3640" s="18"/>
      <c r="Y3640" s="18"/>
      <c r="Z3640" s="18"/>
    </row>
    <row r="3641" ht="15.75" customHeight="1">
      <c r="A3641" s="32"/>
      <c r="B3641" s="22"/>
      <c r="C3641" s="22"/>
      <c r="D3641" s="22"/>
      <c r="E3641" s="22"/>
      <c r="F3641" s="22"/>
      <c r="G3641" s="22"/>
      <c r="H3641" s="18"/>
      <c r="I3641" s="18"/>
      <c r="J3641" s="18"/>
      <c r="K3641" s="18"/>
      <c r="L3641" s="18"/>
      <c r="M3641" s="18"/>
      <c r="N3641" s="18"/>
      <c r="O3641" s="18"/>
      <c r="P3641" s="18"/>
      <c r="Q3641" s="19"/>
      <c r="R3641" s="19"/>
      <c r="S3641" s="19"/>
      <c r="T3641" s="18"/>
      <c r="U3641" s="18"/>
      <c r="V3641" s="18"/>
      <c r="W3641" s="18"/>
      <c r="X3641" s="18"/>
      <c r="Y3641" s="18"/>
      <c r="Z3641" s="18"/>
    </row>
    <row r="3642" ht="15.75" customHeight="1">
      <c r="A3642" s="32"/>
      <c r="B3642" s="22"/>
      <c r="C3642" s="22"/>
      <c r="D3642" s="22"/>
      <c r="E3642" s="22"/>
      <c r="F3642" s="22"/>
      <c r="G3642" s="22"/>
      <c r="H3642" s="18"/>
      <c r="I3642" s="18"/>
      <c r="J3642" s="18"/>
      <c r="K3642" s="18"/>
      <c r="L3642" s="18"/>
      <c r="M3642" s="18"/>
      <c r="N3642" s="18"/>
      <c r="O3642" s="18"/>
      <c r="P3642" s="18"/>
      <c r="Q3642" s="19"/>
      <c r="R3642" s="19"/>
      <c r="S3642" s="19"/>
      <c r="T3642" s="18"/>
      <c r="U3642" s="18"/>
      <c r="V3642" s="18"/>
      <c r="W3642" s="18"/>
      <c r="X3642" s="18"/>
      <c r="Y3642" s="18"/>
      <c r="Z3642" s="18"/>
    </row>
    <row r="3643" ht="15.75" customHeight="1">
      <c r="A3643" s="32"/>
      <c r="B3643" s="22"/>
      <c r="C3643" s="22"/>
      <c r="D3643" s="22"/>
      <c r="E3643" s="22"/>
      <c r="F3643" s="22"/>
      <c r="G3643" s="22"/>
      <c r="H3643" s="18"/>
      <c r="I3643" s="18"/>
      <c r="J3643" s="18"/>
      <c r="K3643" s="18"/>
      <c r="L3643" s="18"/>
      <c r="M3643" s="18"/>
      <c r="N3643" s="18"/>
      <c r="O3643" s="18"/>
      <c r="P3643" s="18"/>
      <c r="Q3643" s="19"/>
      <c r="R3643" s="19"/>
      <c r="S3643" s="19"/>
      <c r="T3643" s="18"/>
      <c r="U3643" s="18"/>
      <c r="V3643" s="18"/>
      <c r="W3643" s="18"/>
      <c r="X3643" s="18"/>
      <c r="Y3643" s="18"/>
      <c r="Z3643" s="18"/>
    </row>
    <row r="3644" ht="15.75" customHeight="1">
      <c r="A3644" s="32"/>
      <c r="B3644" s="22"/>
      <c r="C3644" s="22"/>
      <c r="D3644" s="22"/>
      <c r="E3644" s="22"/>
      <c r="F3644" s="22"/>
      <c r="G3644" s="22"/>
      <c r="H3644" s="18"/>
      <c r="I3644" s="18"/>
      <c r="J3644" s="18"/>
      <c r="K3644" s="18"/>
      <c r="L3644" s="18"/>
      <c r="M3644" s="18"/>
      <c r="N3644" s="18"/>
      <c r="O3644" s="18"/>
      <c r="P3644" s="18"/>
      <c r="Q3644" s="19"/>
      <c r="R3644" s="19"/>
      <c r="S3644" s="19"/>
      <c r="T3644" s="18"/>
      <c r="U3644" s="18"/>
      <c r="V3644" s="18"/>
      <c r="W3644" s="18"/>
      <c r="X3644" s="18"/>
      <c r="Y3644" s="18"/>
      <c r="Z3644" s="18"/>
    </row>
    <row r="3645" ht="15.75" customHeight="1">
      <c r="A3645" s="32"/>
      <c r="B3645" s="22"/>
      <c r="C3645" s="22"/>
      <c r="D3645" s="22"/>
      <c r="E3645" s="22"/>
      <c r="F3645" s="22"/>
      <c r="G3645" s="22"/>
      <c r="H3645" s="18"/>
      <c r="I3645" s="18"/>
      <c r="J3645" s="18"/>
      <c r="K3645" s="18"/>
      <c r="L3645" s="18"/>
      <c r="M3645" s="18"/>
      <c r="N3645" s="18"/>
      <c r="O3645" s="18"/>
      <c r="P3645" s="18"/>
      <c r="Q3645" s="19"/>
      <c r="R3645" s="19"/>
      <c r="S3645" s="19"/>
      <c r="T3645" s="18"/>
      <c r="U3645" s="18"/>
      <c r="V3645" s="18"/>
      <c r="W3645" s="18"/>
      <c r="X3645" s="18"/>
      <c r="Y3645" s="18"/>
      <c r="Z3645" s="18"/>
    </row>
    <row r="3646" ht="15.75" customHeight="1">
      <c r="A3646" s="32"/>
      <c r="B3646" s="22"/>
      <c r="C3646" s="22"/>
      <c r="D3646" s="22"/>
      <c r="E3646" s="22"/>
      <c r="F3646" s="22"/>
      <c r="G3646" s="22"/>
      <c r="H3646" s="18"/>
      <c r="I3646" s="18"/>
      <c r="J3646" s="18"/>
      <c r="K3646" s="18"/>
      <c r="L3646" s="18"/>
      <c r="M3646" s="18"/>
      <c r="N3646" s="18"/>
      <c r="O3646" s="18"/>
      <c r="P3646" s="18"/>
      <c r="Q3646" s="19"/>
      <c r="R3646" s="19"/>
      <c r="S3646" s="19"/>
      <c r="T3646" s="18"/>
      <c r="U3646" s="18"/>
      <c r="V3646" s="18"/>
      <c r="W3646" s="18"/>
      <c r="X3646" s="18"/>
      <c r="Y3646" s="18"/>
      <c r="Z3646" s="18"/>
    </row>
    <row r="3647" ht="15.75" customHeight="1">
      <c r="A3647" s="32"/>
      <c r="B3647" s="22"/>
      <c r="C3647" s="22"/>
      <c r="D3647" s="22"/>
      <c r="E3647" s="22"/>
      <c r="F3647" s="22"/>
      <c r="G3647" s="22"/>
      <c r="H3647" s="18"/>
      <c r="I3647" s="18"/>
      <c r="J3647" s="18"/>
      <c r="K3647" s="18"/>
      <c r="L3647" s="18"/>
      <c r="M3647" s="18"/>
      <c r="N3647" s="18"/>
      <c r="O3647" s="18"/>
      <c r="P3647" s="18"/>
      <c r="Q3647" s="19"/>
      <c r="R3647" s="19"/>
      <c r="S3647" s="19"/>
      <c r="T3647" s="18"/>
      <c r="U3647" s="18"/>
      <c r="V3647" s="18"/>
      <c r="W3647" s="18"/>
      <c r="X3647" s="18"/>
      <c r="Y3647" s="18"/>
      <c r="Z3647" s="18"/>
    </row>
    <row r="3648" ht="15.75" customHeight="1">
      <c r="A3648" s="32"/>
      <c r="B3648" s="22"/>
      <c r="C3648" s="22"/>
      <c r="D3648" s="22"/>
      <c r="E3648" s="22"/>
      <c r="F3648" s="22"/>
      <c r="G3648" s="22"/>
      <c r="H3648" s="18"/>
      <c r="I3648" s="18"/>
      <c r="J3648" s="18"/>
      <c r="K3648" s="18"/>
      <c r="L3648" s="18"/>
      <c r="M3648" s="18"/>
      <c r="N3648" s="18"/>
      <c r="O3648" s="18"/>
      <c r="P3648" s="18"/>
      <c r="Q3648" s="19"/>
      <c r="R3648" s="19"/>
      <c r="S3648" s="19"/>
      <c r="T3648" s="18"/>
      <c r="U3648" s="18"/>
      <c r="V3648" s="18"/>
      <c r="W3648" s="18"/>
      <c r="X3648" s="18"/>
      <c r="Y3648" s="18"/>
      <c r="Z3648" s="18"/>
    </row>
    <row r="3649" ht="15.75" customHeight="1">
      <c r="A3649" s="32"/>
      <c r="B3649" s="22"/>
      <c r="C3649" s="22"/>
      <c r="D3649" s="22"/>
      <c r="E3649" s="22"/>
      <c r="F3649" s="22"/>
      <c r="G3649" s="22"/>
      <c r="H3649" s="18"/>
      <c r="I3649" s="18"/>
      <c r="J3649" s="18"/>
      <c r="K3649" s="18"/>
      <c r="L3649" s="18"/>
      <c r="M3649" s="18"/>
      <c r="N3649" s="18"/>
      <c r="O3649" s="18"/>
      <c r="P3649" s="18"/>
      <c r="Q3649" s="19"/>
      <c r="R3649" s="19"/>
      <c r="S3649" s="19"/>
      <c r="T3649" s="18"/>
      <c r="U3649" s="18"/>
      <c r="V3649" s="18"/>
      <c r="W3649" s="18"/>
      <c r="X3649" s="18"/>
      <c r="Y3649" s="18"/>
      <c r="Z3649" s="18"/>
    </row>
    <row r="3650" ht="15.75" customHeight="1">
      <c r="A3650" s="32"/>
      <c r="B3650" s="22"/>
      <c r="C3650" s="22"/>
      <c r="D3650" s="22"/>
      <c r="E3650" s="22"/>
      <c r="F3650" s="22"/>
      <c r="G3650" s="22"/>
      <c r="H3650" s="18"/>
      <c r="I3650" s="18"/>
      <c r="J3650" s="18"/>
      <c r="K3650" s="18"/>
      <c r="L3650" s="18"/>
      <c r="M3650" s="18"/>
      <c r="N3650" s="18"/>
      <c r="O3650" s="18"/>
      <c r="P3650" s="18"/>
      <c r="Q3650" s="19"/>
      <c r="R3650" s="19"/>
      <c r="S3650" s="19"/>
      <c r="T3650" s="18"/>
      <c r="U3650" s="18"/>
      <c r="V3650" s="18"/>
      <c r="W3650" s="18"/>
      <c r="X3650" s="18"/>
      <c r="Y3650" s="18"/>
      <c r="Z3650" s="18"/>
    </row>
    <row r="3651" ht="15.75" customHeight="1">
      <c r="A3651" s="32"/>
      <c r="B3651" s="22"/>
      <c r="C3651" s="22"/>
      <c r="D3651" s="22"/>
      <c r="E3651" s="22"/>
      <c r="F3651" s="22"/>
      <c r="G3651" s="22"/>
      <c r="H3651" s="18"/>
      <c r="I3651" s="18"/>
      <c r="J3651" s="18"/>
      <c r="K3651" s="18"/>
      <c r="L3651" s="18"/>
      <c r="M3651" s="18"/>
      <c r="N3651" s="18"/>
      <c r="O3651" s="18"/>
      <c r="P3651" s="18"/>
      <c r="Q3651" s="19"/>
      <c r="R3651" s="19"/>
      <c r="S3651" s="19"/>
      <c r="T3651" s="18"/>
      <c r="U3651" s="18"/>
      <c r="V3651" s="18"/>
      <c r="W3651" s="18"/>
      <c r="X3651" s="18"/>
      <c r="Y3651" s="18"/>
      <c r="Z3651" s="18"/>
    </row>
    <row r="3652" ht="15.75" customHeight="1">
      <c r="A3652" s="32"/>
      <c r="B3652" s="22"/>
      <c r="C3652" s="22"/>
      <c r="D3652" s="22"/>
      <c r="E3652" s="22"/>
      <c r="F3652" s="22"/>
      <c r="G3652" s="22"/>
      <c r="H3652" s="18"/>
      <c r="I3652" s="18"/>
      <c r="J3652" s="18"/>
      <c r="K3652" s="18"/>
      <c r="L3652" s="18"/>
      <c r="M3652" s="18"/>
      <c r="N3652" s="18"/>
      <c r="O3652" s="18"/>
      <c r="P3652" s="18"/>
      <c r="Q3652" s="19"/>
      <c r="R3652" s="19"/>
      <c r="S3652" s="19"/>
      <c r="T3652" s="18"/>
      <c r="U3652" s="18"/>
      <c r="V3652" s="18"/>
      <c r="W3652" s="18"/>
      <c r="X3652" s="18"/>
      <c r="Y3652" s="18"/>
      <c r="Z3652" s="18"/>
    </row>
    <row r="3653" ht="15.75" customHeight="1">
      <c r="A3653" s="32"/>
      <c r="B3653" s="22"/>
      <c r="C3653" s="22"/>
      <c r="D3653" s="22"/>
      <c r="E3653" s="22"/>
      <c r="F3653" s="22"/>
      <c r="G3653" s="22"/>
      <c r="H3653" s="18"/>
      <c r="I3653" s="18"/>
      <c r="J3653" s="18"/>
      <c r="K3653" s="18"/>
      <c r="L3653" s="18"/>
      <c r="M3653" s="18"/>
      <c r="N3653" s="18"/>
      <c r="O3653" s="18"/>
      <c r="P3653" s="18"/>
      <c r="Q3653" s="19"/>
      <c r="R3653" s="19"/>
      <c r="S3653" s="19"/>
      <c r="T3653" s="18"/>
      <c r="U3653" s="18"/>
      <c r="V3653" s="18"/>
      <c r="W3653" s="18"/>
      <c r="X3653" s="18"/>
      <c r="Y3653" s="18"/>
      <c r="Z3653" s="18"/>
    </row>
    <row r="3654" ht="15.75" customHeight="1">
      <c r="A3654" s="32"/>
      <c r="B3654" s="22"/>
      <c r="C3654" s="22"/>
      <c r="D3654" s="22"/>
      <c r="E3654" s="22"/>
      <c r="F3654" s="22"/>
      <c r="G3654" s="22"/>
      <c r="H3654" s="18"/>
      <c r="I3654" s="18"/>
      <c r="J3654" s="18"/>
      <c r="K3654" s="18"/>
      <c r="L3654" s="18"/>
      <c r="M3654" s="18"/>
      <c r="N3654" s="18"/>
      <c r="O3654" s="18"/>
      <c r="P3654" s="18"/>
      <c r="Q3654" s="19"/>
      <c r="R3654" s="19"/>
      <c r="S3654" s="19"/>
      <c r="T3654" s="18"/>
      <c r="U3654" s="18"/>
      <c r="V3654" s="18"/>
      <c r="W3654" s="18"/>
      <c r="X3654" s="18"/>
      <c r="Y3654" s="18"/>
      <c r="Z3654" s="18"/>
    </row>
    <row r="3655" ht="15.75" customHeight="1">
      <c r="A3655" s="32"/>
      <c r="B3655" s="22"/>
      <c r="C3655" s="22"/>
      <c r="D3655" s="22"/>
      <c r="E3655" s="22"/>
      <c r="F3655" s="22"/>
      <c r="G3655" s="22"/>
      <c r="H3655" s="18"/>
      <c r="I3655" s="18"/>
      <c r="J3655" s="18"/>
      <c r="K3655" s="18"/>
      <c r="L3655" s="18"/>
      <c r="M3655" s="18"/>
      <c r="N3655" s="18"/>
      <c r="O3655" s="18"/>
      <c r="P3655" s="18"/>
      <c r="Q3655" s="19"/>
      <c r="R3655" s="19"/>
      <c r="S3655" s="19"/>
      <c r="T3655" s="18"/>
      <c r="U3655" s="18"/>
      <c r="V3655" s="18"/>
      <c r="W3655" s="18"/>
      <c r="X3655" s="18"/>
      <c r="Y3655" s="18"/>
      <c r="Z3655" s="18"/>
    </row>
    <row r="3656" ht="15.75" customHeight="1">
      <c r="A3656" s="32"/>
      <c r="B3656" s="22"/>
      <c r="C3656" s="22"/>
      <c r="D3656" s="22"/>
      <c r="E3656" s="22"/>
      <c r="F3656" s="22"/>
      <c r="G3656" s="22"/>
      <c r="H3656" s="18"/>
      <c r="I3656" s="18"/>
      <c r="J3656" s="18"/>
      <c r="K3656" s="18"/>
      <c r="L3656" s="18"/>
      <c r="M3656" s="18"/>
      <c r="N3656" s="18"/>
      <c r="O3656" s="18"/>
      <c r="P3656" s="18"/>
      <c r="Q3656" s="19"/>
      <c r="R3656" s="19"/>
      <c r="S3656" s="19"/>
      <c r="T3656" s="18"/>
      <c r="U3656" s="18"/>
      <c r="V3656" s="18"/>
      <c r="W3656" s="18"/>
      <c r="X3656" s="18"/>
      <c r="Y3656" s="18"/>
      <c r="Z3656" s="18"/>
    </row>
    <row r="3657" ht="15.75" customHeight="1">
      <c r="A3657" s="32"/>
      <c r="B3657" s="22"/>
      <c r="C3657" s="22"/>
      <c r="D3657" s="22"/>
      <c r="E3657" s="22"/>
      <c r="F3657" s="22"/>
      <c r="G3657" s="22"/>
      <c r="H3657" s="18"/>
      <c r="I3657" s="18"/>
      <c r="J3657" s="18"/>
      <c r="K3657" s="18"/>
      <c r="L3657" s="18"/>
      <c r="M3657" s="18"/>
      <c r="N3657" s="18"/>
      <c r="O3657" s="18"/>
      <c r="P3657" s="18"/>
      <c r="Q3657" s="19"/>
      <c r="R3657" s="19"/>
      <c r="S3657" s="19"/>
      <c r="T3657" s="18"/>
      <c r="U3657" s="18"/>
      <c r="V3657" s="18"/>
      <c r="W3657" s="18"/>
      <c r="X3657" s="18"/>
      <c r="Y3657" s="18"/>
      <c r="Z3657" s="18"/>
    </row>
    <row r="3658" ht="15.75" customHeight="1">
      <c r="A3658" s="32"/>
      <c r="B3658" s="22"/>
      <c r="C3658" s="22"/>
      <c r="D3658" s="22"/>
      <c r="E3658" s="22"/>
      <c r="F3658" s="22"/>
      <c r="G3658" s="22"/>
      <c r="H3658" s="18"/>
      <c r="I3658" s="18"/>
      <c r="J3658" s="18"/>
      <c r="K3658" s="18"/>
      <c r="L3658" s="18"/>
      <c r="M3658" s="18"/>
      <c r="N3658" s="18"/>
      <c r="O3658" s="18"/>
      <c r="P3658" s="18"/>
      <c r="Q3658" s="19"/>
      <c r="R3658" s="19"/>
      <c r="S3658" s="19"/>
      <c r="T3658" s="18"/>
      <c r="U3658" s="18"/>
      <c r="V3658" s="18"/>
      <c r="W3658" s="18"/>
      <c r="X3658" s="18"/>
      <c r="Y3658" s="18"/>
      <c r="Z3658" s="18"/>
    </row>
    <row r="3659" ht="15.75" customHeight="1">
      <c r="A3659" s="32"/>
      <c r="B3659" s="22"/>
      <c r="C3659" s="22"/>
      <c r="D3659" s="22"/>
      <c r="E3659" s="22"/>
      <c r="F3659" s="22"/>
      <c r="G3659" s="22"/>
      <c r="H3659" s="18"/>
      <c r="I3659" s="18"/>
      <c r="J3659" s="18"/>
      <c r="K3659" s="18"/>
      <c r="L3659" s="18"/>
      <c r="M3659" s="18"/>
      <c r="N3659" s="18"/>
      <c r="O3659" s="18"/>
      <c r="P3659" s="18"/>
      <c r="Q3659" s="19"/>
      <c r="R3659" s="19"/>
      <c r="S3659" s="19"/>
      <c r="T3659" s="18"/>
      <c r="U3659" s="18"/>
      <c r="V3659" s="18"/>
      <c r="W3659" s="18"/>
      <c r="X3659" s="18"/>
      <c r="Y3659" s="18"/>
      <c r="Z3659" s="18"/>
    </row>
    <row r="3660" ht="15.75" customHeight="1">
      <c r="A3660" s="32"/>
      <c r="B3660" s="22"/>
      <c r="C3660" s="22"/>
      <c r="D3660" s="22"/>
      <c r="E3660" s="22"/>
      <c r="F3660" s="22"/>
      <c r="G3660" s="22"/>
      <c r="H3660" s="18"/>
      <c r="I3660" s="18"/>
      <c r="J3660" s="18"/>
      <c r="K3660" s="18"/>
      <c r="L3660" s="18"/>
      <c r="M3660" s="18"/>
      <c r="N3660" s="18"/>
      <c r="O3660" s="18"/>
      <c r="P3660" s="18"/>
      <c r="Q3660" s="19"/>
      <c r="R3660" s="19"/>
      <c r="S3660" s="19"/>
      <c r="T3660" s="18"/>
      <c r="U3660" s="18"/>
      <c r="V3660" s="18"/>
      <c r="W3660" s="18"/>
      <c r="X3660" s="18"/>
      <c r="Y3660" s="18"/>
      <c r="Z3660" s="18"/>
    </row>
    <row r="3661" ht="15.75" customHeight="1">
      <c r="A3661" s="32"/>
      <c r="B3661" s="22"/>
      <c r="C3661" s="22"/>
      <c r="D3661" s="22"/>
      <c r="E3661" s="22"/>
      <c r="F3661" s="22"/>
      <c r="G3661" s="22"/>
      <c r="H3661" s="18"/>
      <c r="I3661" s="18"/>
      <c r="J3661" s="18"/>
      <c r="K3661" s="18"/>
      <c r="L3661" s="18"/>
      <c r="M3661" s="18"/>
      <c r="N3661" s="18"/>
      <c r="O3661" s="18"/>
      <c r="P3661" s="18"/>
      <c r="Q3661" s="19"/>
      <c r="R3661" s="19"/>
      <c r="S3661" s="19"/>
      <c r="T3661" s="18"/>
      <c r="U3661" s="18"/>
      <c r="V3661" s="18"/>
      <c r="W3661" s="18"/>
      <c r="X3661" s="18"/>
      <c r="Y3661" s="18"/>
      <c r="Z3661" s="18"/>
    </row>
    <row r="3662" ht="15.75" customHeight="1">
      <c r="A3662" s="32"/>
      <c r="B3662" s="22"/>
      <c r="C3662" s="22"/>
      <c r="D3662" s="22"/>
      <c r="E3662" s="22"/>
      <c r="F3662" s="22"/>
      <c r="G3662" s="22"/>
      <c r="H3662" s="18"/>
      <c r="I3662" s="18"/>
      <c r="J3662" s="18"/>
      <c r="K3662" s="18"/>
      <c r="L3662" s="18"/>
      <c r="M3662" s="18"/>
      <c r="N3662" s="18"/>
      <c r="O3662" s="18"/>
      <c r="P3662" s="18"/>
      <c r="Q3662" s="19"/>
      <c r="R3662" s="19"/>
      <c r="S3662" s="19"/>
      <c r="T3662" s="18"/>
      <c r="U3662" s="18"/>
      <c r="V3662" s="18"/>
      <c r="W3662" s="18"/>
      <c r="X3662" s="18"/>
      <c r="Y3662" s="18"/>
      <c r="Z3662" s="18"/>
    </row>
    <row r="3663" ht="15.75" customHeight="1">
      <c r="A3663" s="32"/>
      <c r="B3663" s="22"/>
      <c r="C3663" s="22"/>
      <c r="D3663" s="22"/>
      <c r="E3663" s="22"/>
      <c r="F3663" s="22"/>
      <c r="G3663" s="22"/>
      <c r="H3663" s="18"/>
      <c r="I3663" s="18"/>
      <c r="J3663" s="18"/>
      <c r="K3663" s="18"/>
      <c r="L3663" s="18"/>
      <c r="M3663" s="18"/>
      <c r="N3663" s="18"/>
      <c r="O3663" s="18"/>
      <c r="P3663" s="18"/>
      <c r="Q3663" s="19"/>
      <c r="R3663" s="19"/>
      <c r="S3663" s="19"/>
      <c r="T3663" s="18"/>
      <c r="U3663" s="18"/>
      <c r="V3663" s="18"/>
      <c r="W3663" s="18"/>
      <c r="X3663" s="18"/>
      <c r="Y3663" s="18"/>
      <c r="Z3663" s="18"/>
    </row>
    <row r="3664" ht="15.75" customHeight="1">
      <c r="A3664" s="32"/>
      <c r="B3664" s="22"/>
      <c r="C3664" s="22"/>
      <c r="D3664" s="22"/>
      <c r="E3664" s="22"/>
      <c r="F3664" s="22"/>
      <c r="G3664" s="22"/>
      <c r="H3664" s="18"/>
      <c r="I3664" s="18"/>
      <c r="J3664" s="18"/>
      <c r="K3664" s="18"/>
      <c r="L3664" s="18"/>
      <c r="M3664" s="18"/>
      <c r="N3664" s="18"/>
      <c r="O3664" s="18"/>
      <c r="P3664" s="18"/>
      <c r="Q3664" s="19"/>
      <c r="R3664" s="19"/>
      <c r="S3664" s="19"/>
      <c r="T3664" s="18"/>
      <c r="U3664" s="18"/>
      <c r="V3664" s="18"/>
      <c r="W3664" s="18"/>
      <c r="X3664" s="18"/>
      <c r="Y3664" s="18"/>
      <c r="Z3664" s="18"/>
    </row>
    <row r="3665" ht="15.75" customHeight="1">
      <c r="A3665" s="32"/>
      <c r="B3665" s="22"/>
      <c r="C3665" s="22"/>
      <c r="D3665" s="22"/>
      <c r="E3665" s="22"/>
      <c r="F3665" s="22"/>
      <c r="G3665" s="22"/>
      <c r="H3665" s="18"/>
      <c r="I3665" s="18"/>
      <c r="J3665" s="18"/>
      <c r="K3665" s="18"/>
      <c r="L3665" s="18"/>
      <c r="M3665" s="18"/>
      <c r="N3665" s="18"/>
      <c r="O3665" s="18"/>
      <c r="P3665" s="18"/>
      <c r="Q3665" s="19"/>
      <c r="R3665" s="19"/>
      <c r="S3665" s="19"/>
      <c r="T3665" s="18"/>
      <c r="U3665" s="18"/>
      <c r="V3665" s="18"/>
      <c r="W3665" s="18"/>
      <c r="X3665" s="18"/>
      <c r="Y3665" s="18"/>
      <c r="Z3665" s="18"/>
    </row>
    <row r="3666" ht="15.75" customHeight="1">
      <c r="A3666" s="32"/>
      <c r="B3666" s="22"/>
      <c r="C3666" s="22"/>
      <c r="D3666" s="22"/>
      <c r="E3666" s="22"/>
      <c r="F3666" s="22"/>
      <c r="G3666" s="22"/>
      <c r="H3666" s="18"/>
      <c r="I3666" s="18"/>
      <c r="J3666" s="18"/>
      <c r="K3666" s="18"/>
      <c r="L3666" s="18"/>
      <c r="M3666" s="18"/>
      <c r="N3666" s="18"/>
      <c r="O3666" s="18"/>
      <c r="P3666" s="18"/>
      <c r="Q3666" s="19"/>
      <c r="R3666" s="19"/>
      <c r="S3666" s="19"/>
      <c r="T3666" s="18"/>
      <c r="U3666" s="18"/>
      <c r="V3666" s="18"/>
      <c r="W3666" s="18"/>
      <c r="X3666" s="18"/>
      <c r="Y3666" s="18"/>
      <c r="Z3666" s="18"/>
    </row>
    <row r="3667" ht="15.75" customHeight="1">
      <c r="A3667" s="32"/>
      <c r="B3667" s="22"/>
      <c r="C3667" s="22"/>
      <c r="D3667" s="22"/>
      <c r="E3667" s="22"/>
      <c r="F3667" s="22"/>
      <c r="G3667" s="22"/>
      <c r="H3667" s="18"/>
      <c r="I3667" s="18"/>
      <c r="J3667" s="18"/>
      <c r="K3667" s="18"/>
      <c r="L3667" s="18"/>
      <c r="M3667" s="18"/>
      <c r="N3667" s="18"/>
      <c r="O3667" s="18"/>
      <c r="P3667" s="18"/>
      <c r="Q3667" s="19"/>
      <c r="R3667" s="19"/>
      <c r="S3667" s="19"/>
      <c r="T3667" s="18"/>
      <c r="U3667" s="18"/>
      <c r="V3667" s="18"/>
      <c r="W3667" s="18"/>
      <c r="X3667" s="18"/>
      <c r="Y3667" s="18"/>
      <c r="Z3667" s="18"/>
    </row>
    <row r="3668" ht="15.75" customHeight="1">
      <c r="A3668" s="32"/>
      <c r="B3668" s="22"/>
      <c r="C3668" s="22"/>
      <c r="D3668" s="22"/>
      <c r="E3668" s="22"/>
      <c r="F3668" s="22"/>
      <c r="G3668" s="22"/>
      <c r="H3668" s="18"/>
      <c r="I3668" s="18"/>
      <c r="J3668" s="18"/>
      <c r="K3668" s="18"/>
      <c r="L3668" s="18"/>
      <c r="M3668" s="18"/>
      <c r="N3668" s="18"/>
      <c r="O3668" s="18"/>
      <c r="P3668" s="18"/>
      <c r="Q3668" s="19"/>
      <c r="R3668" s="19"/>
      <c r="S3668" s="19"/>
      <c r="T3668" s="18"/>
      <c r="U3668" s="18"/>
      <c r="V3668" s="18"/>
      <c r="W3668" s="18"/>
      <c r="X3668" s="18"/>
      <c r="Y3668" s="18"/>
      <c r="Z3668" s="18"/>
    </row>
    <row r="3669" ht="15.75" customHeight="1">
      <c r="A3669" s="32"/>
      <c r="B3669" s="22"/>
      <c r="C3669" s="22"/>
      <c r="D3669" s="22"/>
      <c r="E3669" s="22"/>
      <c r="F3669" s="22"/>
      <c r="G3669" s="22"/>
      <c r="H3669" s="18"/>
      <c r="I3669" s="18"/>
      <c r="J3669" s="18"/>
      <c r="K3669" s="18"/>
      <c r="L3669" s="18"/>
      <c r="M3669" s="18"/>
      <c r="N3669" s="18"/>
      <c r="O3669" s="18"/>
      <c r="P3669" s="18"/>
      <c r="Q3669" s="19"/>
      <c r="R3669" s="19"/>
      <c r="S3669" s="19"/>
      <c r="T3669" s="18"/>
      <c r="U3669" s="18"/>
      <c r="V3669" s="18"/>
      <c r="W3669" s="18"/>
      <c r="X3669" s="18"/>
      <c r="Y3669" s="18"/>
      <c r="Z3669" s="18"/>
    </row>
    <row r="3670" ht="15.75" customHeight="1">
      <c r="A3670" s="32"/>
      <c r="B3670" s="22"/>
      <c r="C3670" s="22"/>
      <c r="D3670" s="22"/>
      <c r="E3670" s="22"/>
      <c r="F3670" s="22"/>
      <c r="G3670" s="22"/>
      <c r="H3670" s="18"/>
      <c r="I3670" s="18"/>
      <c r="J3670" s="18"/>
      <c r="K3670" s="18"/>
      <c r="L3670" s="18"/>
      <c r="M3670" s="18"/>
      <c r="N3670" s="18"/>
      <c r="O3670" s="18"/>
      <c r="P3670" s="18"/>
      <c r="Q3670" s="19"/>
      <c r="R3670" s="19"/>
      <c r="S3670" s="19"/>
      <c r="T3670" s="18"/>
      <c r="U3670" s="18"/>
      <c r="V3670" s="18"/>
      <c r="W3670" s="18"/>
      <c r="X3670" s="18"/>
      <c r="Y3670" s="18"/>
      <c r="Z3670" s="18"/>
    </row>
    <row r="3671" ht="15.75" customHeight="1">
      <c r="A3671" s="32"/>
      <c r="B3671" s="22"/>
      <c r="C3671" s="22"/>
      <c r="D3671" s="22"/>
      <c r="E3671" s="22"/>
      <c r="F3671" s="22"/>
      <c r="G3671" s="22"/>
      <c r="H3671" s="18"/>
      <c r="I3671" s="18"/>
      <c r="J3671" s="18"/>
      <c r="K3671" s="18"/>
      <c r="L3671" s="18"/>
      <c r="M3671" s="18"/>
      <c r="N3671" s="18"/>
      <c r="O3671" s="18"/>
      <c r="P3671" s="18"/>
      <c r="Q3671" s="19"/>
      <c r="R3671" s="19"/>
      <c r="S3671" s="19"/>
      <c r="T3671" s="18"/>
      <c r="U3671" s="18"/>
      <c r="V3671" s="18"/>
      <c r="W3671" s="18"/>
      <c r="X3671" s="18"/>
      <c r="Y3671" s="18"/>
      <c r="Z3671" s="18"/>
    </row>
    <row r="3672" ht="15.75" customHeight="1">
      <c r="A3672" s="32"/>
      <c r="B3672" s="22"/>
      <c r="C3672" s="22"/>
      <c r="D3672" s="22"/>
      <c r="E3672" s="22"/>
      <c r="F3672" s="22"/>
      <c r="G3672" s="22"/>
      <c r="H3672" s="18"/>
      <c r="I3672" s="18"/>
      <c r="J3672" s="18"/>
      <c r="K3672" s="18"/>
      <c r="L3672" s="18"/>
      <c r="M3672" s="18"/>
      <c r="N3672" s="18"/>
      <c r="O3672" s="18"/>
      <c r="P3672" s="18"/>
      <c r="Q3672" s="19"/>
      <c r="R3672" s="19"/>
      <c r="S3672" s="19"/>
      <c r="T3672" s="18"/>
      <c r="U3672" s="18"/>
      <c r="V3672" s="18"/>
      <c r="W3672" s="18"/>
      <c r="X3672" s="18"/>
      <c r="Y3672" s="18"/>
      <c r="Z3672" s="18"/>
    </row>
    <row r="3673" ht="15.75" customHeight="1">
      <c r="A3673" s="32"/>
      <c r="B3673" s="22"/>
      <c r="C3673" s="22"/>
      <c r="D3673" s="22"/>
      <c r="E3673" s="22"/>
      <c r="F3673" s="22"/>
      <c r="G3673" s="22"/>
      <c r="H3673" s="18"/>
      <c r="I3673" s="18"/>
      <c r="J3673" s="18"/>
      <c r="K3673" s="18"/>
      <c r="L3673" s="18"/>
      <c r="M3673" s="18"/>
      <c r="N3673" s="18"/>
      <c r="O3673" s="18"/>
      <c r="P3673" s="18"/>
      <c r="Q3673" s="19"/>
      <c r="R3673" s="19"/>
      <c r="S3673" s="19"/>
      <c r="T3673" s="18"/>
      <c r="U3673" s="18"/>
      <c r="V3673" s="18"/>
      <c r="W3673" s="18"/>
      <c r="X3673" s="18"/>
      <c r="Y3673" s="18"/>
      <c r="Z3673" s="18"/>
    </row>
    <row r="3674" ht="15.75" customHeight="1">
      <c r="A3674" s="32"/>
      <c r="B3674" s="22"/>
      <c r="C3674" s="22"/>
      <c r="D3674" s="22"/>
      <c r="E3674" s="22"/>
      <c r="F3674" s="22"/>
      <c r="G3674" s="22"/>
      <c r="H3674" s="18"/>
      <c r="I3674" s="18"/>
      <c r="J3674" s="18"/>
      <c r="K3674" s="18"/>
      <c r="L3674" s="18"/>
      <c r="M3674" s="18"/>
      <c r="N3674" s="18"/>
      <c r="O3674" s="18"/>
      <c r="P3674" s="18"/>
      <c r="Q3674" s="19"/>
      <c r="R3674" s="19"/>
      <c r="S3674" s="19"/>
      <c r="T3674" s="18"/>
      <c r="U3674" s="18"/>
      <c r="V3674" s="18"/>
      <c r="W3674" s="18"/>
      <c r="X3674" s="18"/>
      <c r="Y3674" s="18"/>
      <c r="Z3674" s="18"/>
    </row>
    <row r="3675" ht="15.75" customHeight="1">
      <c r="A3675" s="32"/>
      <c r="B3675" s="22"/>
      <c r="C3675" s="22"/>
      <c r="D3675" s="22"/>
      <c r="E3675" s="22"/>
      <c r="F3675" s="22"/>
      <c r="G3675" s="22"/>
      <c r="H3675" s="18"/>
      <c r="I3675" s="18"/>
      <c r="J3675" s="18"/>
      <c r="K3675" s="18"/>
      <c r="L3675" s="18"/>
      <c r="M3675" s="18"/>
      <c r="N3675" s="18"/>
      <c r="O3675" s="18"/>
      <c r="P3675" s="18"/>
      <c r="Q3675" s="19"/>
      <c r="R3675" s="19"/>
      <c r="S3675" s="19"/>
      <c r="T3675" s="18"/>
      <c r="U3675" s="18"/>
      <c r="V3675" s="18"/>
      <c r="W3675" s="18"/>
      <c r="X3675" s="18"/>
      <c r="Y3675" s="18"/>
      <c r="Z3675" s="18"/>
    </row>
    <row r="3676" ht="15.75" customHeight="1">
      <c r="A3676" s="32"/>
      <c r="B3676" s="22"/>
      <c r="C3676" s="22"/>
      <c r="D3676" s="22"/>
      <c r="E3676" s="22"/>
      <c r="F3676" s="22"/>
      <c r="G3676" s="22"/>
      <c r="H3676" s="18"/>
      <c r="I3676" s="18"/>
      <c r="J3676" s="18"/>
      <c r="K3676" s="18"/>
      <c r="L3676" s="18"/>
      <c r="M3676" s="18"/>
      <c r="N3676" s="18"/>
      <c r="O3676" s="18"/>
      <c r="P3676" s="18"/>
      <c r="Q3676" s="19"/>
      <c r="R3676" s="19"/>
      <c r="S3676" s="19"/>
      <c r="T3676" s="18"/>
      <c r="U3676" s="18"/>
      <c r="V3676" s="18"/>
      <c r="W3676" s="18"/>
      <c r="X3676" s="18"/>
      <c r="Y3676" s="18"/>
      <c r="Z3676" s="18"/>
    </row>
    <row r="3677" ht="15.75" customHeight="1">
      <c r="A3677" s="32"/>
      <c r="B3677" s="22"/>
      <c r="C3677" s="22"/>
      <c r="D3677" s="22"/>
      <c r="E3677" s="22"/>
      <c r="F3677" s="22"/>
      <c r="G3677" s="22"/>
      <c r="H3677" s="18"/>
      <c r="I3677" s="18"/>
      <c r="J3677" s="18"/>
      <c r="K3677" s="18"/>
      <c r="L3677" s="18"/>
      <c r="M3677" s="18"/>
      <c r="N3677" s="18"/>
      <c r="O3677" s="18"/>
      <c r="P3677" s="18"/>
      <c r="Q3677" s="19"/>
      <c r="R3677" s="19"/>
      <c r="S3677" s="19"/>
      <c r="T3677" s="18"/>
      <c r="U3677" s="18"/>
      <c r="V3677" s="18"/>
      <c r="W3677" s="18"/>
      <c r="X3677" s="18"/>
      <c r="Y3677" s="18"/>
      <c r="Z3677" s="18"/>
    </row>
    <row r="3678" ht="15.75" customHeight="1">
      <c r="A3678" s="32"/>
      <c r="B3678" s="22"/>
      <c r="C3678" s="22"/>
      <c r="D3678" s="22"/>
      <c r="E3678" s="22"/>
      <c r="F3678" s="22"/>
      <c r="G3678" s="22"/>
      <c r="H3678" s="18"/>
      <c r="I3678" s="18"/>
      <c r="J3678" s="18"/>
      <c r="K3678" s="18"/>
      <c r="L3678" s="18"/>
      <c r="M3678" s="18"/>
      <c r="N3678" s="18"/>
      <c r="O3678" s="18"/>
      <c r="P3678" s="18"/>
      <c r="Q3678" s="19"/>
      <c r="R3678" s="19"/>
      <c r="S3678" s="19"/>
      <c r="T3678" s="18"/>
      <c r="U3678" s="18"/>
      <c r="V3678" s="18"/>
      <c r="W3678" s="18"/>
      <c r="X3678" s="18"/>
      <c r="Y3678" s="18"/>
      <c r="Z3678" s="18"/>
    </row>
    <row r="3679" ht="15.75" customHeight="1">
      <c r="A3679" s="32"/>
      <c r="B3679" s="22"/>
      <c r="C3679" s="22"/>
      <c r="D3679" s="22"/>
      <c r="E3679" s="22"/>
      <c r="F3679" s="22"/>
      <c r="G3679" s="22"/>
      <c r="H3679" s="18"/>
      <c r="I3679" s="18"/>
      <c r="J3679" s="18"/>
      <c r="K3679" s="18"/>
      <c r="L3679" s="18"/>
      <c r="M3679" s="18"/>
      <c r="N3679" s="18"/>
      <c r="O3679" s="18"/>
      <c r="P3679" s="18"/>
      <c r="Q3679" s="19"/>
      <c r="R3679" s="19"/>
      <c r="S3679" s="19"/>
      <c r="T3679" s="18"/>
      <c r="U3679" s="18"/>
      <c r="V3679" s="18"/>
      <c r="W3679" s="18"/>
      <c r="X3679" s="18"/>
      <c r="Y3679" s="18"/>
      <c r="Z3679" s="18"/>
    </row>
    <row r="3680" ht="15.75" customHeight="1">
      <c r="A3680" s="32"/>
      <c r="B3680" s="22"/>
      <c r="C3680" s="22"/>
      <c r="D3680" s="22"/>
      <c r="E3680" s="22"/>
      <c r="F3680" s="22"/>
      <c r="G3680" s="22"/>
      <c r="H3680" s="18"/>
      <c r="I3680" s="18"/>
      <c r="J3680" s="18"/>
      <c r="K3680" s="18"/>
      <c r="L3680" s="18"/>
      <c r="M3680" s="18"/>
      <c r="N3680" s="18"/>
      <c r="O3680" s="18"/>
      <c r="P3680" s="18"/>
      <c r="Q3680" s="19"/>
      <c r="R3680" s="19"/>
      <c r="S3680" s="19"/>
      <c r="T3680" s="18"/>
      <c r="U3680" s="18"/>
      <c r="V3680" s="18"/>
      <c r="W3680" s="18"/>
      <c r="X3680" s="18"/>
      <c r="Y3680" s="18"/>
      <c r="Z3680" s="18"/>
    </row>
    <row r="3681" ht="15.75" customHeight="1">
      <c r="A3681" s="32"/>
      <c r="B3681" s="22"/>
      <c r="C3681" s="22"/>
      <c r="D3681" s="22"/>
      <c r="E3681" s="22"/>
      <c r="F3681" s="22"/>
      <c r="G3681" s="22"/>
      <c r="H3681" s="18"/>
      <c r="I3681" s="18"/>
      <c r="J3681" s="18"/>
      <c r="K3681" s="18"/>
      <c r="L3681" s="18"/>
      <c r="M3681" s="18"/>
      <c r="N3681" s="18"/>
      <c r="O3681" s="18"/>
      <c r="P3681" s="18"/>
      <c r="Q3681" s="19"/>
      <c r="R3681" s="19"/>
      <c r="S3681" s="19"/>
      <c r="T3681" s="18"/>
      <c r="U3681" s="18"/>
      <c r="V3681" s="18"/>
      <c r="W3681" s="18"/>
      <c r="X3681" s="18"/>
      <c r="Y3681" s="18"/>
      <c r="Z3681" s="18"/>
    </row>
    <row r="3682" ht="15.75" customHeight="1">
      <c r="A3682" s="32"/>
      <c r="B3682" s="22"/>
      <c r="C3682" s="22"/>
      <c r="D3682" s="22"/>
      <c r="E3682" s="22"/>
      <c r="F3682" s="22"/>
      <c r="G3682" s="22"/>
      <c r="H3682" s="18"/>
      <c r="I3682" s="18"/>
      <c r="J3682" s="18"/>
      <c r="K3682" s="18"/>
      <c r="L3682" s="18"/>
      <c r="M3682" s="18"/>
      <c r="N3682" s="18"/>
      <c r="O3682" s="18"/>
      <c r="P3682" s="18"/>
      <c r="Q3682" s="19"/>
      <c r="R3682" s="19"/>
      <c r="S3682" s="19"/>
      <c r="T3682" s="18"/>
      <c r="U3682" s="18"/>
      <c r="V3682" s="18"/>
      <c r="W3682" s="18"/>
      <c r="X3682" s="18"/>
      <c r="Y3682" s="18"/>
      <c r="Z3682" s="18"/>
    </row>
    <row r="3683" ht="15.75" customHeight="1">
      <c r="A3683" s="32"/>
      <c r="B3683" s="22"/>
      <c r="C3683" s="22"/>
      <c r="D3683" s="22"/>
      <c r="E3683" s="22"/>
      <c r="F3683" s="22"/>
      <c r="G3683" s="22"/>
      <c r="H3683" s="18"/>
      <c r="I3683" s="18"/>
      <c r="J3683" s="18"/>
      <c r="K3683" s="18"/>
      <c r="L3683" s="18"/>
      <c r="M3683" s="18"/>
      <c r="N3683" s="18"/>
      <c r="O3683" s="18"/>
      <c r="P3683" s="18"/>
      <c r="Q3683" s="19"/>
      <c r="R3683" s="19"/>
      <c r="S3683" s="19"/>
      <c r="T3683" s="18"/>
      <c r="U3683" s="18"/>
      <c r="V3683" s="18"/>
      <c r="W3683" s="18"/>
      <c r="X3683" s="18"/>
      <c r="Y3683" s="18"/>
      <c r="Z3683" s="18"/>
    </row>
    <row r="3684" ht="15.75" customHeight="1">
      <c r="A3684" s="32"/>
      <c r="B3684" s="22"/>
      <c r="C3684" s="22"/>
      <c r="D3684" s="22"/>
      <c r="E3684" s="22"/>
      <c r="F3684" s="22"/>
      <c r="G3684" s="22"/>
      <c r="H3684" s="18"/>
      <c r="I3684" s="18"/>
      <c r="J3684" s="18"/>
      <c r="K3684" s="18"/>
      <c r="L3684" s="18"/>
      <c r="M3684" s="18"/>
      <c r="N3684" s="18"/>
      <c r="O3684" s="18"/>
      <c r="P3684" s="18"/>
      <c r="Q3684" s="19"/>
      <c r="R3684" s="19"/>
      <c r="S3684" s="19"/>
      <c r="T3684" s="18"/>
      <c r="U3684" s="18"/>
      <c r="V3684" s="18"/>
      <c r="W3684" s="18"/>
      <c r="X3684" s="18"/>
      <c r="Y3684" s="18"/>
      <c r="Z3684" s="18"/>
    </row>
    <row r="3685" ht="15.75" customHeight="1">
      <c r="A3685" s="32"/>
      <c r="B3685" s="22"/>
      <c r="C3685" s="22"/>
      <c r="D3685" s="22"/>
      <c r="E3685" s="22"/>
      <c r="F3685" s="22"/>
      <c r="G3685" s="22"/>
      <c r="H3685" s="18"/>
      <c r="I3685" s="18"/>
      <c r="J3685" s="18"/>
      <c r="K3685" s="18"/>
      <c r="L3685" s="18"/>
      <c r="M3685" s="18"/>
      <c r="N3685" s="18"/>
      <c r="O3685" s="18"/>
      <c r="P3685" s="18"/>
      <c r="Q3685" s="19"/>
      <c r="R3685" s="19"/>
      <c r="S3685" s="19"/>
      <c r="T3685" s="18"/>
      <c r="U3685" s="18"/>
      <c r="V3685" s="18"/>
      <c r="W3685" s="18"/>
      <c r="X3685" s="18"/>
      <c r="Y3685" s="18"/>
      <c r="Z3685" s="18"/>
    </row>
    <row r="3686" ht="15.75" customHeight="1">
      <c r="A3686" s="32"/>
      <c r="B3686" s="22"/>
      <c r="C3686" s="22"/>
      <c r="D3686" s="22"/>
      <c r="E3686" s="22"/>
      <c r="F3686" s="22"/>
      <c r="G3686" s="22"/>
      <c r="H3686" s="18"/>
      <c r="I3686" s="18"/>
      <c r="J3686" s="18"/>
      <c r="K3686" s="18"/>
      <c r="L3686" s="18"/>
      <c r="M3686" s="18"/>
      <c r="N3686" s="18"/>
      <c r="O3686" s="18"/>
      <c r="P3686" s="18"/>
      <c r="Q3686" s="19"/>
      <c r="R3686" s="19"/>
      <c r="S3686" s="19"/>
      <c r="T3686" s="18"/>
      <c r="U3686" s="18"/>
      <c r="V3686" s="18"/>
      <c r="W3686" s="18"/>
      <c r="X3686" s="18"/>
      <c r="Y3686" s="18"/>
      <c r="Z3686" s="18"/>
    </row>
    <row r="3687" ht="15.75" customHeight="1">
      <c r="A3687" s="32"/>
      <c r="B3687" s="22"/>
      <c r="C3687" s="22"/>
      <c r="D3687" s="22"/>
      <c r="E3687" s="22"/>
      <c r="F3687" s="22"/>
      <c r="G3687" s="22"/>
      <c r="H3687" s="18"/>
      <c r="I3687" s="18"/>
      <c r="J3687" s="18"/>
      <c r="K3687" s="18"/>
      <c r="L3687" s="18"/>
      <c r="M3687" s="18"/>
      <c r="N3687" s="18"/>
      <c r="O3687" s="18"/>
      <c r="P3687" s="18"/>
      <c r="Q3687" s="19"/>
      <c r="R3687" s="19"/>
      <c r="S3687" s="19"/>
      <c r="T3687" s="18"/>
      <c r="U3687" s="18"/>
      <c r="V3687" s="18"/>
      <c r="W3687" s="18"/>
      <c r="X3687" s="18"/>
      <c r="Y3687" s="18"/>
      <c r="Z3687" s="18"/>
    </row>
    <row r="3688" ht="15.75" customHeight="1">
      <c r="A3688" s="32"/>
      <c r="B3688" s="22"/>
      <c r="C3688" s="22"/>
      <c r="D3688" s="22"/>
      <c r="E3688" s="22"/>
      <c r="F3688" s="22"/>
      <c r="G3688" s="22"/>
      <c r="H3688" s="18"/>
      <c r="I3688" s="18"/>
      <c r="J3688" s="18"/>
      <c r="K3688" s="18"/>
      <c r="L3688" s="18"/>
      <c r="M3688" s="18"/>
      <c r="N3688" s="18"/>
      <c r="O3688" s="18"/>
      <c r="P3688" s="18"/>
      <c r="Q3688" s="19"/>
      <c r="R3688" s="19"/>
      <c r="S3688" s="19"/>
      <c r="T3688" s="18"/>
      <c r="U3688" s="18"/>
      <c r="V3688" s="18"/>
      <c r="W3688" s="18"/>
      <c r="X3688" s="18"/>
      <c r="Y3688" s="18"/>
      <c r="Z3688" s="18"/>
    </row>
    <row r="3689" ht="15.75" customHeight="1">
      <c r="A3689" s="32"/>
      <c r="B3689" s="22"/>
      <c r="C3689" s="22"/>
      <c r="D3689" s="22"/>
      <c r="E3689" s="22"/>
      <c r="F3689" s="22"/>
      <c r="G3689" s="22"/>
      <c r="H3689" s="18"/>
      <c r="I3689" s="18"/>
      <c r="J3689" s="18"/>
      <c r="K3689" s="18"/>
      <c r="L3689" s="18"/>
      <c r="M3689" s="18"/>
      <c r="N3689" s="18"/>
      <c r="O3689" s="18"/>
      <c r="P3689" s="18"/>
      <c r="Q3689" s="19"/>
      <c r="R3689" s="19"/>
      <c r="S3689" s="19"/>
      <c r="T3689" s="18"/>
      <c r="U3689" s="18"/>
      <c r="V3689" s="18"/>
      <c r="W3689" s="18"/>
      <c r="X3689" s="18"/>
      <c r="Y3689" s="18"/>
      <c r="Z3689" s="18"/>
    </row>
    <row r="3690" ht="15.75" customHeight="1">
      <c r="A3690" s="32"/>
      <c r="B3690" s="22"/>
      <c r="C3690" s="22"/>
      <c r="D3690" s="22"/>
      <c r="E3690" s="22"/>
      <c r="F3690" s="22"/>
      <c r="G3690" s="22"/>
      <c r="H3690" s="18"/>
      <c r="I3690" s="18"/>
      <c r="J3690" s="18"/>
      <c r="K3690" s="18"/>
      <c r="L3690" s="18"/>
      <c r="M3690" s="18"/>
      <c r="N3690" s="18"/>
      <c r="O3690" s="18"/>
      <c r="P3690" s="18"/>
      <c r="Q3690" s="19"/>
      <c r="R3690" s="19"/>
      <c r="S3690" s="19"/>
      <c r="T3690" s="18"/>
      <c r="U3690" s="18"/>
      <c r="V3690" s="18"/>
      <c r="W3690" s="18"/>
      <c r="X3690" s="18"/>
      <c r="Y3690" s="18"/>
      <c r="Z3690" s="18"/>
    </row>
    <row r="3691" ht="15.75" customHeight="1">
      <c r="A3691" s="32"/>
      <c r="B3691" s="22"/>
      <c r="C3691" s="22"/>
      <c r="D3691" s="22"/>
      <c r="E3691" s="22"/>
      <c r="F3691" s="22"/>
      <c r="G3691" s="22"/>
      <c r="H3691" s="18"/>
      <c r="I3691" s="18"/>
      <c r="J3691" s="18"/>
      <c r="K3691" s="18"/>
      <c r="L3691" s="18"/>
      <c r="M3691" s="18"/>
      <c r="N3691" s="18"/>
      <c r="O3691" s="18"/>
      <c r="P3691" s="18"/>
      <c r="Q3691" s="19"/>
      <c r="R3691" s="19"/>
      <c r="S3691" s="19"/>
      <c r="T3691" s="18"/>
      <c r="U3691" s="18"/>
      <c r="V3691" s="18"/>
      <c r="W3691" s="18"/>
      <c r="X3691" s="18"/>
      <c r="Y3691" s="18"/>
      <c r="Z3691" s="18"/>
    </row>
    <row r="3692" ht="15.75" customHeight="1">
      <c r="A3692" s="32"/>
      <c r="B3692" s="22"/>
      <c r="C3692" s="22"/>
      <c r="D3692" s="22"/>
      <c r="E3692" s="22"/>
      <c r="F3692" s="22"/>
      <c r="G3692" s="22"/>
      <c r="H3692" s="18"/>
      <c r="I3692" s="18"/>
      <c r="J3692" s="18"/>
      <c r="K3692" s="18"/>
      <c r="L3692" s="18"/>
      <c r="M3692" s="18"/>
      <c r="N3692" s="18"/>
      <c r="O3692" s="18"/>
      <c r="P3692" s="18"/>
      <c r="Q3692" s="19"/>
      <c r="R3692" s="19"/>
      <c r="S3692" s="19"/>
      <c r="T3692" s="18"/>
      <c r="U3692" s="18"/>
      <c r="V3692" s="18"/>
      <c r="W3692" s="18"/>
      <c r="X3692" s="18"/>
      <c r="Y3692" s="18"/>
      <c r="Z3692" s="18"/>
    </row>
    <row r="3693" ht="15.75" customHeight="1">
      <c r="A3693" s="32"/>
      <c r="B3693" s="22"/>
      <c r="C3693" s="22"/>
      <c r="D3693" s="22"/>
      <c r="E3693" s="22"/>
      <c r="F3693" s="22"/>
      <c r="G3693" s="22"/>
      <c r="H3693" s="18"/>
      <c r="I3693" s="18"/>
      <c r="J3693" s="18"/>
      <c r="K3693" s="18"/>
      <c r="L3693" s="18"/>
      <c r="M3693" s="18"/>
      <c r="N3693" s="18"/>
      <c r="O3693" s="18"/>
      <c r="P3693" s="18"/>
      <c r="Q3693" s="19"/>
      <c r="R3693" s="19"/>
      <c r="S3693" s="19"/>
      <c r="T3693" s="18"/>
      <c r="U3693" s="18"/>
      <c r="V3693" s="18"/>
      <c r="W3693" s="18"/>
      <c r="X3693" s="18"/>
      <c r="Y3693" s="18"/>
      <c r="Z3693" s="18"/>
    </row>
    <row r="3694" ht="15.75" customHeight="1">
      <c r="A3694" s="32"/>
      <c r="B3694" s="22"/>
      <c r="C3694" s="22"/>
      <c r="D3694" s="22"/>
      <c r="E3694" s="22"/>
      <c r="F3694" s="22"/>
      <c r="G3694" s="22"/>
      <c r="H3694" s="18"/>
      <c r="I3694" s="18"/>
      <c r="J3694" s="18"/>
      <c r="K3694" s="18"/>
      <c r="L3694" s="18"/>
      <c r="M3694" s="18"/>
      <c r="N3694" s="18"/>
      <c r="O3694" s="18"/>
      <c r="P3694" s="18"/>
      <c r="Q3694" s="19"/>
      <c r="R3694" s="19"/>
      <c r="S3694" s="19"/>
      <c r="T3694" s="18"/>
      <c r="U3694" s="18"/>
      <c r="V3694" s="18"/>
      <c r="W3694" s="18"/>
      <c r="X3694" s="18"/>
      <c r="Y3694" s="18"/>
      <c r="Z3694" s="18"/>
    </row>
    <row r="3695" ht="15.75" customHeight="1">
      <c r="A3695" s="32"/>
      <c r="B3695" s="22"/>
      <c r="C3695" s="22"/>
      <c r="D3695" s="22"/>
      <c r="E3695" s="22"/>
      <c r="F3695" s="22"/>
      <c r="G3695" s="22"/>
      <c r="H3695" s="18"/>
      <c r="I3695" s="18"/>
      <c r="J3695" s="18"/>
      <c r="K3695" s="18"/>
      <c r="L3695" s="18"/>
      <c r="M3695" s="18"/>
      <c r="N3695" s="18"/>
      <c r="O3695" s="18"/>
      <c r="P3695" s="18"/>
      <c r="Q3695" s="19"/>
      <c r="R3695" s="19"/>
      <c r="S3695" s="19"/>
      <c r="T3695" s="18"/>
      <c r="U3695" s="18"/>
      <c r="V3695" s="18"/>
      <c r="W3695" s="18"/>
      <c r="X3695" s="18"/>
      <c r="Y3695" s="18"/>
      <c r="Z3695" s="18"/>
    </row>
    <row r="3696" ht="15.75" customHeight="1">
      <c r="A3696" s="32"/>
      <c r="B3696" s="22"/>
      <c r="C3696" s="22"/>
      <c r="D3696" s="22"/>
      <c r="E3696" s="22"/>
      <c r="F3696" s="22"/>
      <c r="G3696" s="22"/>
      <c r="H3696" s="18"/>
      <c r="I3696" s="18"/>
      <c r="J3696" s="18"/>
      <c r="K3696" s="18"/>
      <c r="L3696" s="18"/>
      <c r="M3696" s="18"/>
      <c r="N3696" s="18"/>
      <c r="O3696" s="18"/>
      <c r="P3696" s="18"/>
      <c r="Q3696" s="19"/>
      <c r="R3696" s="19"/>
      <c r="S3696" s="19"/>
      <c r="T3696" s="18"/>
      <c r="U3696" s="18"/>
      <c r="V3696" s="18"/>
      <c r="W3696" s="18"/>
      <c r="X3696" s="18"/>
      <c r="Y3696" s="18"/>
      <c r="Z3696" s="18"/>
    </row>
    <row r="3697" ht="15.75" customHeight="1">
      <c r="A3697" s="32"/>
      <c r="B3697" s="22"/>
      <c r="C3697" s="22"/>
      <c r="D3697" s="22"/>
      <c r="E3697" s="22"/>
      <c r="F3697" s="22"/>
      <c r="G3697" s="22"/>
      <c r="H3697" s="18"/>
      <c r="I3697" s="18"/>
      <c r="J3697" s="18"/>
      <c r="K3697" s="18"/>
      <c r="L3697" s="18"/>
      <c r="M3697" s="18"/>
      <c r="N3697" s="18"/>
      <c r="O3697" s="18"/>
      <c r="P3697" s="18"/>
      <c r="Q3697" s="19"/>
      <c r="R3697" s="19"/>
      <c r="S3697" s="19"/>
      <c r="T3697" s="18"/>
      <c r="U3697" s="18"/>
      <c r="V3697" s="18"/>
      <c r="W3697" s="18"/>
      <c r="X3697" s="18"/>
      <c r="Y3697" s="18"/>
      <c r="Z3697" s="18"/>
    </row>
    <row r="3698" ht="15.75" customHeight="1">
      <c r="A3698" s="32"/>
      <c r="B3698" s="22"/>
      <c r="C3698" s="22"/>
      <c r="D3698" s="22"/>
      <c r="E3698" s="22"/>
      <c r="F3698" s="22"/>
      <c r="G3698" s="22"/>
      <c r="H3698" s="18"/>
      <c r="I3698" s="18"/>
      <c r="J3698" s="18"/>
      <c r="K3698" s="18"/>
      <c r="L3698" s="18"/>
      <c r="M3698" s="18"/>
      <c r="N3698" s="18"/>
      <c r="O3698" s="18"/>
      <c r="P3698" s="18"/>
      <c r="Q3698" s="19"/>
      <c r="R3698" s="19"/>
      <c r="S3698" s="19"/>
      <c r="T3698" s="18"/>
      <c r="U3698" s="18"/>
      <c r="V3698" s="18"/>
      <c r="W3698" s="18"/>
      <c r="X3698" s="18"/>
      <c r="Y3698" s="18"/>
      <c r="Z3698" s="18"/>
    </row>
    <row r="3699" ht="15.75" customHeight="1">
      <c r="A3699" s="32"/>
      <c r="B3699" s="22"/>
      <c r="C3699" s="22"/>
      <c r="D3699" s="22"/>
      <c r="E3699" s="22"/>
      <c r="F3699" s="22"/>
      <c r="G3699" s="22"/>
      <c r="H3699" s="18"/>
      <c r="I3699" s="18"/>
      <c r="J3699" s="18"/>
      <c r="K3699" s="18"/>
      <c r="L3699" s="18"/>
      <c r="M3699" s="18"/>
      <c r="N3699" s="18"/>
      <c r="O3699" s="18"/>
      <c r="P3699" s="18"/>
      <c r="Q3699" s="19"/>
      <c r="R3699" s="19"/>
      <c r="S3699" s="19"/>
      <c r="T3699" s="18"/>
      <c r="U3699" s="18"/>
      <c r="V3699" s="18"/>
      <c r="W3699" s="18"/>
      <c r="X3699" s="18"/>
      <c r="Y3699" s="18"/>
      <c r="Z3699" s="18"/>
    </row>
    <row r="3700" ht="15.75" customHeight="1">
      <c r="A3700" s="32"/>
      <c r="B3700" s="22"/>
      <c r="C3700" s="22"/>
      <c r="D3700" s="22"/>
      <c r="E3700" s="22"/>
      <c r="F3700" s="22"/>
      <c r="G3700" s="22"/>
      <c r="H3700" s="18"/>
      <c r="I3700" s="18"/>
      <c r="J3700" s="18"/>
      <c r="K3700" s="18"/>
      <c r="L3700" s="18"/>
      <c r="M3700" s="18"/>
      <c r="N3700" s="18"/>
      <c r="O3700" s="18"/>
      <c r="P3700" s="18"/>
      <c r="Q3700" s="19"/>
      <c r="R3700" s="19"/>
      <c r="S3700" s="19"/>
      <c r="T3700" s="18"/>
      <c r="U3700" s="18"/>
      <c r="V3700" s="18"/>
      <c r="W3700" s="18"/>
      <c r="X3700" s="18"/>
      <c r="Y3700" s="18"/>
      <c r="Z3700" s="18"/>
    </row>
    <row r="3701" ht="15.75" customHeight="1">
      <c r="A3701" s="32"/>
      <c r="B3701" s="22"/>
      <c r="C3701" s="22"/>
      <c r="D3701" s="22"/>
      <c r="E3701" s="22"/>
      <c r="F3701" s="22"/>
      <c r="G3701" s="22"/>
      <c r="H3701" s="18"/>
      <c r="I3701" s="18"/>
      <c r="J3701" s="18"/>
      <c r="K3701" s="18"/>
      <c r="L3701" s="18"/>
      <c r="M3701" s="18"/>
      <c r="N3701" s="18"/>
      <c r="O3701" s="18"/>
      <c r="P3701" s="18"/>
      <c r="Q3701" s="19"/>
      <c r="R3701" s="19"/>
      <c r="S3701" s="19"/>
      <c r="T3701" s="18"/>
      <c r="U3701" s="18"/>
      <c r="V3701" s="18"/>
      <c r="W3701" s="18"/>
      <c r="X3701" s="18"/>
      <c r="Y3701" s="18"/>
      <c r="Z3701" s="18"/>
    </row>
    <row r="3702" ht="15.75" customHeight="1">
      <c r="A3702" s="32"/>
      <c r="B3702" s="22"/>
      <c r="C3702" s="22"/>
      <c r="D3702" s="22"/>
      <c r="E3702" s="22"/>
      <c r="F3702" s="22"/>
      <c r="G3702" s="22"/>
      <c r="H3702" s="18"/>
      <c r="I3702" s="18"/>
      <c r="J3702" s="18"/>
      <c r="K3702" s="18"/>
      <c r="L3702" s="18"/>
      <c r="M3702" s="18"/>
      <c r="N3702" s="18"/>
      <c r="O3702" s="18"/>
      <c r="P3702" s="18"/>
      <c r="Q3702" s="19"/>
      <c r="R3702" s="19"/>
      <c r="S3702" s="19"/>
      <c r="T3702" s="18"/>
      <c r="U3702" s="18"/>
      <c r="V3702" s="18"/>
      <c r="W3702" s="18"/>
      <c r="X3702" s="18"/>
      <c r="Y3702" s="18"/>
      <c r="Z3702" s="18"/>
    </row>
    <row r="3703" ht="15.75" customHeight="1">
      <c r="A3703" s="32"/>
      <c r="B3703" s="22"/>
      <c r="C3703" s="22"/>
      <c r="D3703" s="22"/>
      <c r="E3703" s="22"/>
      <c r="F3703" s="22"/>
      <c r="G3703" s="22"/>
      <c r="H3703" s="18"/>
      <c r="I3703" s="18"/>
      <c r="J3703" s="18"/>
      <c r="K3703" s="18"/>
      <c r="L3703" s="18"/>
      <c r="M3703" s="18"/>
      <c r="N3703" s="18"/>
      <c r="O3703" s="18"/>
      <c r="P3703" s="18"/>
      <c r="Q3703" s="19"/>
      <c r="R3703" s="19"/>
      <c r="S3703" s="19"/>
      <c r="T3703" s="18"/>
      <c r="U3703" s="18"/>
      <c r="V3703" s="18"/>
      <c r="W3703" s="18"/>
      <c r="X3703" s="18"/>
      <c r="Y3703" s="18"/>
      <c r="Z3703" s="18"/>
    </row>
    <row r="3704" ht="15.75" customHeight="1">
      <c r="A3704" s="32"/>
      <c r="B3704" s="22"/>
      <c r="C3704" s="22"/>
      <c r="D3704" s="22"/>
      <c r="E3704" s="22"/>
      <c r="F3704" s="22"/>
      <c r="G3704" s="22"/>
      <c r="H3704" s="18"/>
      <c r="I3704" s="18"/>
      <c r="J3704" s="18"/>
      <c r="K3704" s="18"/>
      <c r="L3704" s="18"/>
      <c r="M3704" s="18"/>
      <c r="N3704" s="18"/>
      <c r="O3704" s="18"/>
      <c r="P3704" s="18"/>
      <c r="Q3704" s="19"/>
      <c r="R3704" s="19"/>
      <c r="S3704" s="19"/>
      <c r="T3704" s="18"/>
      <c r="U3704" s="18"/>
      <c r="V3704" s="18"/>
      <c r="W3704" s="18"/>
      <c r="X3704" s="18"/>
      <c r="Y3704" s="18"/>
      <c r="Z3704" s="18"/>
    </row>
    <row r="3705" ht="15.75" customHeight="1">
      <c r="A3705" s="32"/>
      <c r="B3705" s="22"/>
      <c r="C3705" s="22"/>
      <c r="D3705" s="22"/>
      <c r="E3705" s="22"/>
      <c r="F3705" s="22"/>
      <c r="G3705" s="22"/>
      <c r="H3705" s="18"/>
      <c r="I3705" s="18"/>
      <c r="J3705" s="18"/>
      <c r="K3705" s="18"/>
      <c r="L3705" s="18"/>
      <c r="M3705" s="18"/>
      <c r="N3705" s="18"/>
      <c r="O3705" s="18"/>
      <c r="P3705" s="18"/>
      <c r="Q3705" s="19"/>
      <c r="R3705" s="19"/>
      <c r="S3705" s="19"/>
      <c r="T3705" s="18"/>
      <c r="U3705" s="18"/>
      <c r="V3705" s="18"/>
      <c r="W3705" s="18"/>
      <c r="X3705" s="18"/>
      <c r="Y3705" s="18"/>
      <c r="Z3705" s="18"/>
    </row>
    <row r="3706" ht="15.75" customHeight="1">
      <c r="A3706" s="32"/>
      <c r="B3706" s="22"/>
      <c r="C3706" s="22"/>
      <c r="D3706" s="22"/>
      <c r="E3706" s="22"/>
      <c r="F3706" s="22"/>
      <c r="G3706" s="22"/>
      <c r="H3706" s="18"/>
      <c r="I3706" s="18"/>
      <c r="J3706" s="18"/>
      <c r="K3706" s="18"/>
      <c r="L3706" s="18"/>
      <c r="M3706" s="18"/>
      <c r="N3706" s="18"/>
      <c r="O3706" s="18"/>
      <c r="P3706" s="18"/>
      <c r="Q3706" s="19"/>
      <c r="R3706" s="19"/>
      <c r="S3706" s="19"/>
      <c r="T3706" s="18"/>
      <c r="U3706" s="18"/>
      <c r="V3706" s="18"/>
      <c r="W3706" s="18"/>
      <c r="X3706" s="18"/>
      <c r="Y3706" s="18"/>
      <c r="Z3706" s="18"/>
    </row>
    <row r="3707" ht="15.75" customHeight="1">
      <c r="A3707" s="32"/>
      <c r="B3707" s="22"/>
      <c r="C3707" s="22"/>
      <c r="D3707" s="22"/>
      <c r="E3707" s="22"/>
      <c r="F3707" s="22"/>
      <c r="G3707" s="22"/>
      <c r="H3707" s="18"/>
      <c r="I3707" s="18"/>
      <c r="J3707" s="18"/>
      <c r="K3707" s="18"/>
      <c r="L3707" s="18"/>
      <c r="M3707" s="18"/>
      <c r="N3707" s="18"/>
      <c r="O3707" s="18"/>
      <c r="P3707" s="18"/>
      <c r="Q3707" s="19"/>
      <c r="R3707" s="19"/>
      <c r="S3707" s="19"/>
      <c r="T3707" s="18"/>
      <c r="U3707" s="18"/>
      <c r="V3707" s="18"/>
      <c r="W3707" s="18"/>
      <c r="X3707" s="18"/>
      <c r="Y3707" s="18"/>
      <c r="Z3707" s="18"/>
    </row>
    <row r="3708" ht="15.75" customHeight="1">
      <c r="A3708" s="32"/>
      <c r="B3708" s="22"/>
      <c r="C3708" s="22"/>
      <c r="D3708" s="22"/>
      <c r="E3708" s="22"/>
      <c r="F3708" s="22"/>
      <c r="G3708" s="22"/>
      <c r="H3708" s="18"/>
      <c r="I3708" s="18"/>
      <c r="J3708" s="18"/>
      <c r="K3708" s="18"/>
      <c r="L3708" s="18"/>
      <c r="M3708" s="18"/>
      <c r="N3708" s="18"/>
      <c r="O3708" s="18"/>
      <c r="P3708" s="18"/>
      <c r="Q3708" s="19"/>
      <c r="R3708" s="19"/>
      <c r="S3708" s="19"/>
      <c r="T3708" s="18"/>
      <c r="U3708" s="18"/>
      <c r="V3708" s="18"/>
      <c r="W3708" s="18"/>
      <c r="X3708" s="18"/>
      <c r="Y3708" s="18"/>
      <c r="Z3708" s="18"/>
    </row>
    <row r="3709" ht="15.75" customHeight="1">
      <c r="A3709" s="32"/>
      <c r="B3709" s="22"/>
      <c r="C3709" s="22"/>
      <c r="D3709" s="22"/>
      <c r="E3709" s="22"/>
      <c r="F3709" s="22"/>
      <c r="G3709" s="22"/>
      <c r="H3709" s="18"/>
      <c r="I3709" s="18"/>
      <c r="J3709" s="18"/>
      <c r="K3709" s="18"/>
      <c r="L3709" s="18"/>
      <c r="M3709" s="18"/>
      <c r="N3709" s="18"/>
      <c r="O3709" s="18"/>
      <c r="P3709" s="18"/>
      <c r="Q3709" s="19"/>
      <c r="R3709" s="19"/>
      <c r="S3709" s="19"/>
      <c r="T3709" s="18"/>
      <c r="U3709" s="18"/>
      <c r="V3709" s="18"/>
      <c r="W3709" s="18"/>
      <c r="X3709" s="18"/>
      <c r="Y3709" s="18"/>
      <c r="Z3709" s="18"/>
    </row>
    <row r="3710" ht="15.75" customHeight="1">
      <c r="A3710" s="32"/>
      <c r="B3710" s="22"/>
      <c r="C3710" s="22"/>
      <c r="D3710" s="22"/>
      <c r="E3710" s="22"/>
      <c r="F3710" s="22"/>
      <c r="G3710" s="22"/>
      <c r="H3710" s="18"/>
      <c r="I3710" s="18"/>
      <c r="J3710" s="18"/>
      <c r="K3710" s="18"/>
      <c r="L3710" s="18"/>
      <c r="M3710" s="18"/>
      <c r="N3710" s="18"/>
      <c r="O3710" s="18"/>
      <c r="P3710" s="18"/>
      <c r="Q3710" s="19"/>
      <c r="R3710" s="19"/>
      <c r="S3710" s="19"/>
      <c r="T3710" s="18"/>
      <c r="U3710" s="18"/>
      <c r="V3710" s="18"/>
      <c r="W3710" s="18"/>
      <c r="X3710" s="18"/>
      <c r="Y3710" s="18"/>
      <c r="Z3710" s="18"/>
    </row>
    <row r="3711" ht="15.75" customHeight="1">
      <c r="A3711" s="32"/>
      <c r="B3711" s="22"/>
      <c r="C3711" s="22"/>
      <c r="D3711" s="22"/>
      <c r="E3711" s="22"/>
      <c r="F3711" s="22"/>
      <c r="G3711" s="22"/>
      <c r="H3711" s="18"/>
      <c r="I3711" s="18"/>
      <c r="J3711" s="18"/>
      <c r="K3711" s="18"/>
      <c r="L3711" s="18"/>
      <c r="M3711" s="18"/>
      <c r="N3711" s="18"/>
      <c r="O3711" s="18"/>
      <c r="P3711" s="18"/>
      <c r="Q3711" s="19"/>
      <c r="R3711" s="19"/>
      <c r="S3711" s="19"/>
      <c r="T3711" s="18"/>
      <c r="U3711" s="18"/>
      <c r="V3711" s="18"/>
      <c r="W3711" s="18"/>
      <c r="X3711" s="18"/>
      <c r="Y3711" s="18"/>
      <c r="Z3711" s="18"/>
    </row>
    <row r="3712" ht="15.75" customHeight="1">
      <c r="A3712" s="32"/>
      <c r="B3712" s="22"/>
      <c r="C3712" s="22"/>
      <c r="D3712" s="22"/>
      <c r="E3712" s="22"/>
      <c r="F3712" s="22"/>
      <c r="G3712" s="22"/>
      <c r="H3712" s="18"/>
      <c r="I3712" s="18"/>
      <c r="J3712" s="18"/>
      <c r="K3712" s="18"/>
      <c r="L3712" s="18"/>
      <c r="M3712" s="18"/>
      <c r="N3712" s="18"/>
      <c r="O3712" s="18"/>
      <c r="P3712" s="18"/>
      <c r="Q3712" s="19"/>
      <c r="R3712" s="19"/>
      <c r="S3712" s="19"/>
      <c r="T3712" s="18"/>
      <c r="U3712" s="18"/>
      <c r="V3712" s="18"/>
      <c r="W3712" s="18"/>
      <c r="X3712" s="18"/>
      <c r="Y3712" s="18"/>
      <c r="Z3712" s="18"/>
    </row>
    <row r="3713" ht="15.75" customHeight="1">
      <c r="A3713" s="32"/>
      <c r="B3713" s="22"/>
      <c r="C3713" s="22"/>
      <c r="D3713" s="22"/>
      <c r="E3713" s="22"/>
      <c r="F3713" s="22"/>
      <c r="G3713" s="22"/>
      <c r="H3713" s="18"/>
      <c r="I3713" s="18"/>
      <c r="J3713" s="18"/>
      <c r="K3713" s="18"/>
      <c r="L3713" s="18"/>
      <c r="M3713" s="18"/>
      <c r="N3713" s="18"/>
      <c r="O3713" s="18"/>
      <c r="P3713" s="18"/>
      <c r="Q3713" s="19"/>
      <c r="R3713" s="19"/>
      <c r="S3713" s="19"/>
      <c r="T3713" s="18"/>
      <c r="U3713" s="18"/>
      <c r="V3713" s="18"/>
      <c r="W3713" s="18"/>
      <c r="X3713" s="18"/>
      <c r="Y3713" s="18"/>
      <c r="Z3713" s="18"/>
    </row>
    <row r="3714" ht="15.75" customHeight="1">
      <c r="A3714" s="32"/>
      <c r="B3714" s="22"/>
      <c r="C3714" s="22"/>
      <c r="D3714" s="22"/>
      <c r="E3714" s="22"/>
      <c r="F3714" s="22"/>
      <c r="G3714" s="22"/>
      <c r="H3714" s="18"/>
      <c r="I3714" s="18"/>
      <c r="J3714" s="18"/>
      <c r="K3714" s="18"/>
      <c r="L3714" s="18"/>
      <c r="M3714" s="18"/>
      <c r="N3714" s="18"/>
      <c r="O3714" s="18"/>
      <c r="P3714" s="18"/>
      <c r="Q3714" s="19"/>
      <c r="R3714" s="19"/>
      <c r="S3714" s="19"/>
      <c r="T3714" s="18"/>
      <c r="U3714" s="18"/>
      <c r="V3714" s="18"/>
      <c r="W3714" s="18"/>
      <c r="X3714" s="18"/>
      <c r="Y3714" s="18"/>
      <c r="Z3714" s="18"/>
    </row>
    <row r="3715" ht="15.75" customHeight="1">
      <c r="A3715" s="32"/>
      <c r="B3715" s="22"/>
      <c r="C3715" s="22"/>
      <c r="D3715" s="22"/>
      <c r="E3715" s="22"/>
      <c r="F3715" s="22"/>
      <c r="G3715" s="22"/>
      <c r="H3715" s="18"/>
      <c r="I3715" s="18"/>
      <c r="J3715" s="18"/>
      <c r="K3715" s="18"/>
      <c r="L3715" s="18"/>
      <c r="M3715" s="18"/>
      <c r="N3715" s="18"/>
      <c r="O3715" s="18"/>
      <c r="P3715" s="18"/>
      <c r="Q3715" s="19"/>
      <c r="R3715" s="19"/>
      <c r="S3715" s="19"/>
      <c r="T3715" s="18"/>
      <c r="U3715" s="18"/>
      <c r="V3715" s="18"/>
      <c r="W3715" s="18"/>
      <c r="X3715" s="18"/>
      <c r="Y3715" s="18"/>
      <c r="Z3715" s="18"/>
    </row>
    <row r="3716" ht="15.75" customHeight="1">
      <c r="A3716" s="32"/>
      <c r="B3716" s="22"/>
      <c r="C3716" s="22"/>
      <c r="D3716" s="22"/>
      <c r="E3716" s="22"/>
      <c r="F3716" s="22"/>
      <c r="G3716" s="22"/>
      <c r="H3716" s="18"/>
      <c r="I3716" s="18"/>
      <c r="J3716" s="18"/>
      <c r="K3716" s="18"/>
      <c r="L3716" s="18"/>
      <c r="M3716" s="18"/>
      <c r="N3716" s="18"/>
      <c r="O3716" s="18"/>
      <c r="P3716" s="18"/>
      <c r="Q3716" s="19"/>
      <c r="R3716" s="19"/>
      <c r="S3716" s="19"/>
      <c r="T3716" s="18"/>
      <c r="U3716" s="18"/>
      <c r="V3716" s="18"/>
      <c r="W3716" s="18"/>
      <c r="X3716" s="18"/>
      <c r="Y3716" s="18"/>
      <c r="Z3716" s="18"/>
    </row>
    <row r="3717" ht="15.75" customHeight="1">
      <c r="A3717" s="32"/>
      <c r="B3717" s="22"/>
      <c r="C3717" s="22"/>
      <c r="D3717" s="22"/>
      <c r="E3717" s="22"/>
      <c r="F3717" s="22"/>
      <c r="G3717" s="22"/>
      <c r="H3717" s="18"/>
      <c r="I3717" s="18"/>
      <c r="J3717" s="18"/>
      <c r="K3717" s="18"/>
      <c r="L3717" s="18"/>
      <c r="M3717" s="18"/>
      <c r="N3717" s="18"/>
      <c r="O3717" s="18"/>
      <c r="P3717" s="18"/>
      <c r="Q3717" s="19"/>
      <c r="R3717" s="19"/>
      <c r="S3717" s="19"/>
      <c r="T3717" s="18"/>
      <c r="U3717" s="18"/>
      <c r="V3717" s="18"/>
      <c r="W3717" s="18"/>
      <c r="X3717" s="18"/>
      <c r="Y3717" s="18"/>
      <c r="Z3717" s="18"/>
    </row>
    <row r="3718" ht="15.75" customHeight="1">
      <c r="A3718" s="32"/>
      <c r="B3718" s="22"/>
      <c r="C3718" s="22"/>
      <c r="D3718" s="22"/>
      <c r="E3718" s="22"/>
      <c r="F3718" s="22"/>
      <c r="G3718" s="22"/>
      <c r="H3718" s="18"/>
      <c r="I3718" s="18"/>
      <c r="J3718" s="18"/>
      <c r="K3718" s="18"/>
      <c r="L3718" s="18"/>
      <c r="M3718" s="18"/>
      <c r="N3718" s="18"/>
      <c r="O3718" s="18"/>
      <c r="P3718" s="18"/>
      <c r="Q3718" s="19"/>
      <c r="R3718" s="19"/>
      <c r="S3718" s="19"/>
      <c r="T3718" s="18"/>
      <c r="U3718" s="18"/>
      <c r="V3718" s="18"/>
      <c r="W3718" s="18"/>
      <c r="X3718" s="18"/>
      <c r="Y3718" s="18"/>
      <c r="Z3718" s="18"/>
    </row>
    <row r="3719" ht="15.75" customHeight="1">
      <c r="A3719" s="32"/>
      <c r="B3719" s="22"/>
      <c r="C3719" s="22"/>
      <c r="D3719" s="22"/>
      <c r="E3719" s="22"/>
      <c r="F3719" s="22"/>
      <c r="G3719" s="22"/>
      <c r="H3719" s="18"/>
      <c r="I3719" s="18"/>
      <c r="J3719" s="18"/>
      <c r="K3719" s="18"/>
      <c r="L3719" s="18"/>
      <c r="M3719" s="18"/>
      <c r="N3719" s="18"/>
      <c r="O3719" s="18"/>
      <c r="P3719" s="18"/>
      <c r="Q3719" s="19"/>
      <c r="R3719" s="19"/>
      <c r="S3719" s="19"/>
      <c r="T3719" s="18"/>
      <c r="U3719" s="18"/>
      <c r="V3719" s="18"/>
      <c r="W3719" s="18"/>
      <c r="X3719" s="18"/>
      <c r="Y3719" s="18"/>
      <c r="Z3719" s="18"/>
    </row>
    <row r="3720" ht="15.75" customHeight="1">
      <c r="A3720" s="32"/>
      <c r="B3720" s="22"/>
      <c r="C3720" s="22"/>
      <c r="D3720" s="22"/>
      <c r="E3720" s="22"/>
      <c r="F3720" s="22"/>
      <c r="G3720" s="22"/>
      <c r="H3720" s="18"/>
      <c r="I3720" s="18"/>
      <c r="J3720" s="18"/>
      <c r="K3720" s="18"/>
      <c r="L3720" s="18"/>
      <c r="M3720" s="18"/>
      <c r="N3720" s="18"/>
      <c r="O3720" s="18"/>
      <c r="P3720" s="18"/>
      <c r="Q3720" s="19"/>
      <c r="R3720" s="19"/>
      <c r="S3720" s="19"/>
      <c r="T3720" s="18"/>
      <c r="U3720" s="18"/>
      <c r="V3720" s="18"/>
      <c r="W3720" s="18"/>
      <c r="X3720" s="18"/>
      <c r="Y3720" s="18"/>
      <c r="Z3720" s="18"/>
    </row>
    <row r="3721" ht="15.75" customHeight="1">
      <c r="A3721" s="32"/>
      <c r="B3721" s="22"/>
      <c r="C3721" s="22"/>
      <c r="D3721" s="22"/>
      <c r="E3721" s="22"/>
      <c r="F3721" s="22"/>
      <c r="G3721" s="22"/>
      <c r="H3721" s="18"/>
      <c r="I3721" s="18"/>
      <c r="J3721" s="18"/>
      <c r="K3721" s="18"/>
      <c r="L3721" s="18"/>
      <c r="M3721" s="18"/>
      <c r="N3721" s="18"/>
      <c r="O3721" s="18"/>
      <c r="P3721" s="18"/>
      <c r="Q3721" s="19"/>
      <c r="R3721" s="19"/>
      <c r="S3721" s="19"/>
      <c r="T3721" s="18"/>
      <c r="U3721" s="18"/>
      <c r="V3721" s="18"/>
      <c r="W3721" s="18"/>
      <c r="X3721" s="18"/>
      <c r="Y3721" s="18"/>
      <c r="Z3721" s="18"/>
    </row>
    <row r="3722" ht="15.75" customHeight="1">
      <c r="A3722" s="32"/>
      <c r="B3722" s="22"/>
      <c r="C3722" s="22"/>
      <c r="D3722" s="22"/>
      <c r="E3722" s="22"/>
      <c r="F3722" s="22"/>
      <c r="G3722" s="22"/>
      <c r="H3722" s="18"/>
      <c r="I3722" s="18"/>
      <c r="J3722" s="18"/>
      <c r="K3722" s="18"/>
      <c r="L3722" s="18"/>
      <c r="M3722" s="18"/>
      <c r="N3722" s="18"/>
      <c r="O3722" s="18"/>
      <c r="P3722" s="18"/>
      <c r="Q3722" s="19"/>
      <c r="R3722" s="19"/>
      <c r="S3722" s="19"/>
      <c r="T3722" s="18"/>
      <c r="U3722" s="18"/>
      <c r="V3722" s="18"/>
      <c r="W3722" s="18"/>
      <c r="X3722" s="18"/>
      <c r="Y3722" s="18"/>
      <c r="Z3722" s="18"/>
    </row>
    <row r="3723" ht="15.75" customHeight="1">
      <c r="A3723" s="32"/>
      <c r="B3723" s="22"/>
      <c r="C3723" s="22"/>
      <c r="D3723" s="22"/>
      <c r="E3723" s="22"/>
      <c r="F3723" s="22"/>
      <c r="G3723" s="22"/>
      <c r="H3723" s="18"/>
      <c r="I3723" s="18"/>
      <c r="J3723" s="18"/>
      <c r="K3723" s="18"/>
      <c r="L3723" s="18"/>
      <c r="M3723" s="18"/>
      <c r="N3723" s="18"/>
      <c r="O3723" s="18"/>
      <c r="P3723" s="18"/>
      <c r="Q3723" s="19"/>
      <c r="R3723" s="19"/>
      <c r="S3723" s="19"/>
      <c r="T3723" s="18"/>
      <c r="U3723" s="18"/>
      <c r="V3723" s="18"/>
      <c r="W3723" s="18"/>
      <c r="X3723" s="18"/>
      <c r="Y3723" s="18"/>
      <c r="Z3723" s="18"/>
    </row>
    <row r="3724" ht="15.75" customHeight="1">
      <c r="A3724" s="32"/>
      <c r="B3724" s="22"/>
      <c r="C3724" s="22"/>
      <c r="D3724" s="22"/>
      <c r="E3724" s="22"/>
      <c r="F3724" s="22"/>
      <c r="G3724" s="22"/>
      <c r="H3724" s="18"/>
      <c r="I3724" s="18"/>
      <c r="J3724" s="18"/>
      <c r="K3724" s="18"/>
      <c r="L3724" s="18"/>
      <c r="M3724" s="18"/>
      <c r="N3724" s="18"/>
      <c r="O3724" s="18"/>
      <c r="P3724" s="18"/>
      <c r="Q3724" s="19"/>
      <c r="R3724" s="19"/>
      <c r="S3724" s="19"/>
      <c r="T3724" s="18"/>
      <c r="U3724" s="18"/>
      <c r="V3724" s="18"/>
      <c r="W3724" s="18"/>
      <c r="X3724" s="18"/>
      <c r="Y3724" s="18"/>
      <c r="Z3724" s="18"/>
    </row>
    <row r="3725" ht="15.75" customHeight="1">
      <c r="A3725" s="32"/>
      <c r="B3725" s="22"/>
      <c r="C3725" s="22"/>
      <c r="D3725" s="22"/>
      <c r="E3725" s="22"/>
      <c r="F3725" s="22"/>
      <c r="G3725" s="22"/>
      <c r="H3725" s="18"/>
      <c r="I3725" s="18"/>
      <c r="J3725" s="18"/>
      <c r="K3725" s="18"/>
      <c r="L3725" s="18"/>
      <c r="M3725" s="18"/>
      <c r="N3725" s="18"/>
      <c r="O3725" s="18"/>
      <c r="P3725" s="18"/>
      <c r="Q3725" s="19"/>
      <c r="R3725" s="19"/>
      <c r="S3725" s="19"/>
      <c r="T3725" s="18"/>
      <c r="U3725" s="18"/>
      <c r="V3725" s="18"/>
      <c r="W3725" s="18"/>
      <c r="X3725" s="18"/>
      <c r="Y3725" s="18"/>
      <c r="Z3725" s="18"/>
    </row>
    <row r="3726" ht="15.75" customHeight="1">
      <c r="A3726" s="32"/>
      <c r="B3726" s="22"/>
      <c r="C3726" s="22"/>
      <c r="D3726" s="22"/>
      <c r="E3726" s="22"/>
      <c r="F3726" s="22"/>
      <c r="G3726" s="22"/>
      <c r="H3726" s="18"/>
      <c r="I3726" s="18"/>
      <c r="J3726" s="18"/>
      <c r="K3726" s="18"/>
      <c r="L3726" s="18"/>
      <c r="M3726" s="18"/>
      <c r="N3726" s="18"/>
      <c r="O3726" s="18"/>
      <c r="P3726" s="18"/>
      <c r="Q3726" s="19"/>
      <c r="R3726" s="19"/>
      <c r="S3726" s="19"/>
      <c r="T3726" s="18"/>
      <c r="U3726" s="18"/>
      <c r="V3726" s="18"/>
      <c r="W3726" s="18"/>
      <c r="X3726" s="18"/>
      <c r="Y3726" s="18"/>
      <c r="Z3726" s="18"/>
    </row>
    <row r="3727" ht="15.75" customHeight="1">
      <c r="A3727" s="32"/>
      <c r="B3727" s="22"/>
      <c r="C3727" s="22"/>
      <c r="D3727" s="22"/>
      <c r="E3727" s="22"/>
      <c r="F3727" s="22"/>
      <c r="G3727" s="22"/>
      <c r="H3727" s="18"/>
      <c r="I3727" s="18"/>
      <c r="J3727" s="18"/>
      <c r="K3727" s="18"/>
      <c r="L3727" s="18"/>
      <c r="M3727" s="18"/>
      <c r="N3727" s="18"/>
      <c r="O3727" s="18"/>
      <c r="P3727" s="18"/>
      <c r="Q3727" s="19"/>
      <c r="R3727" s="19"/>
      <c r="S3727" s="19"/>
      <c r="T3727" s="18"/>
      <c r="U3727" s="18"/>
      <c r="V3727" s="18"/>
      <c r="W3727" s="18"/>
      <c r="X3727" s="18"/>
      <c r="Y3727" s="18"/>
      <c r="Z3727" s="18"/>
    </row>
    <row r="3728" ht="15.75" customHeight="1">
      <c r="A3728" s="32"/>
      <c r="B3728" s="22"/>
      <c r="C3728" s="22"/>
      <c r="D3728" s="22"/>
      <c r="E3728" s="22"/>
      <c r="F3728" s="22"/>
      <c r="G3728" s="22"/>
      <c r="H3728" s="18"/>
      <c r="I3728" s="18"/>
      <c r="J3728" s="18"/>
      <c r="K3728" s="18"/>
      <c r="L3728" s="18"/>
      <c r="M3728" s="18"/>
      <c r="N3728" s="18"/>
      <c r="O3728" s="18"/>
      <c r="P3728" s="18"/>
      <c r="Q3728" s="19"/>
      <c r="R3728" s="19"/>
      <c r="S3728" s="19"/>
      <c r="T3728" s="18"/>
      <c r="U3728" s="18"/>
      <c r="V3728" s="18"/>
      <c r="W3728" s="18"/>
      <c r="X3728" s="18"/>
      <c r="Y3728" s="18"/>
      <c r="Z3728" s="18"/>
    </row>
    <row r="3729" ht="15.75" customHeight="1">
      <c r="A3729" s="32"/>
      <c r="B3729" s="22"/>
      <c r="C3729" s="22"/>
      <c r="D3729" s="22"/>
      <c r="E3729" s="22"/>
      <c r="F3729" s="22"/>
      <c r="G3729" s="22"/>
      <c r="H3729" s="18"/>
      <c r="I3729" s="18"/>
      <c r="J3729" s="18"/>
      <c r="K3729" s="18"/>
      <c r="L3729" s="18"/>
      <c r="M3729" s="18"/>
      <c r="N3729" s="18"/>
      <c r="O3729" s="18"/>
      <c r="P3729" s="18"/>
      <c r="Q3729" s="19"/>
      <c r="R3729" s="19"/>
      <c r="S3729" s="19"/>
      <c r="T3729" s="18"/>
      <c r="U3729" s="18"/>
      <c r="V3729" s="18"/>
      <c r="W3729" s="18"/>
      <c r="X3729" s="18"/>
      <c r="Y3729" s="18"/>
      <c r="Z3729" s="18"/>
    </row>
    <row r="3730" ht="15.75" customHeight="1">
      <c r="A3730" s="32"/>
      <c r="B3730" s="22"/>
      <c r="C3730" s="22"/>
      <c r="D3730" s="22"/>
      <c r="E3730" s="22"/>
      <c r="F3730" s="22"/>
      <c r="G3730" s="22"/>
      <c r="H3730" s="18"/>
      <c r="I3730" s="18"/>
      <c r="J3730" s="18"/>
      <c r="K3730" s="18"/>
      <c r="L3730" s="18"/>
      <c r="M3730" s="18"/>
      <c r="N3730" s="18"/>
      <c r="O3730" s="18"/>
      <c r="P3730" s="18"/>
      <c r="Q3730" s="19"/>
      <c r="R3730" s="19"/>
      <c r="S3730" s="19"/>
      <c r="T3730" s="18"/>
      <c r="U3730" s="18"/>
      <c r="V3730" s="18"/>
      <c r="W3730" s="18"/>
      <c r="X3730" s="18"/>
      <c r="Y3730" s="18"/>
      <c r="Z3730" s="18"/>
    </row>
    <row r="3731" ht="15.75" customHeight="1">
      <c r="A3731" s="32"/>
      <c r="B3731" s="22"/>
      <c r="C3731" s="22"/>
      <c r="D3731" s="22"/>
      <c r="E3731" s="22"/>
      <c r="F3731" s="22"/>
      <c r="G3731" s="22"/>
      <c r="H3731" s="18"/>
      <c r="I3731" s="18"/>
      <c r="J3731" s="18"/>
      <c r="K3731" s="18"/>
      <c r="L3731" s="18"/>
      <c r="M3731" s="18"/>
      <c r="N3731" s="18"/>
      <c r="O3731" s="18"/>
      <c r="P3731" s="18"/>
      <c r="Q3731" s="19"/>
      <c r="R3731" s="19"/>
      <c r="S3731" s="19"/>
      <c r="T3731" s="18"/>
      <c r="U3731" s="18"/>
      <c r="V3731" s="18"/>
      <c r="W3731" s="18"/>
      <c r="X3731" s="18"/>
      <c r="Y3731" s="18"/>
      <c r="Z3731" s="18"/>
    </row>
    <row r="3732" ht="15.75" customHeight="1">
      <c r="A3732" s="32"/>
      <c r="B3732" s="22"/>
      <c r="C3732" s="22"/>
      <c r="D3732" s="22"/>
      <c r="E3732" s="22"/>
      <c r="F3732" s="22"/>
      <c r="G3732" s="22"/>
      <c r="H3732" s="18"/>
      <c r="I3732" s="18"/>
      <c r="J3732" s="18"/>
      <c r="K3732" s="18"/>
      <c r="L3732" s="18"/>
      <c r="M3732" s="18"/>
      <c r="N3732" s="18"/>
      <c r="O3732" s="18"/>
      <c r="P3732" s="18"/>
      <c r="Q3732" s="19"/>
      <c r="R3732" s="19"/>
      <c r="S3732" s="19"/>
      <c r="T3732" s="18"/>
      <c r="U3732" s="18"/>
      <c r="V3732" s="18"/>
      <c r="W3732" s="18"/>
      <c r="X3732" s="18"/>
      <c r="Y3732" s="18"/>
      <c r="Z3732" s="18"/>
    </row>
    <row r="3733" ht="15.75" customHeight="1">
      <c r="A3733" s="32"/>
      <c r="B3733" s="22"/>
      <c r="C3733" s="22"/>
      <c r="D3733" s="22"/>
      <c r="E3733" s="22"/>
      <c r="F3733" s="22"/>
      <c r="G3733" s="22"/>
      <c r="H3733" s="18"/>
      <c r="I3733" s="18"/>
      <c r="J3733" s="18"/>
      <c r="K3733" s="18"/>
      <c r="L3733" s="18"/>
      <c r="M3733" s="18"/>
      <c r="N3733" s="18"/>
      <c r="O3733" s="18"/>
      <c r="P3733" s="18"/>
      <c r="Q3733" s="19"/>
      <c r="R3733" s="19"/>
      <c r="S3733" s="19"/>
      <c r="T3733" s="18"/>
      <c r="U3733" s="18"/>
      <c r="V3733" s="18"/>
      <c r="W3733" s="18"/>
      <c r="X3733" s="18"/>
      <c r="Y3733" s="18"/>
      <c r="Z3733" s="18"/>
    </row>
    <row r="3734" ht="15.75" customHeight="1">
      <c r="A3734" s="32"/>
      <c r="B3734" s="22"/>
      <c r="C3734" s="22"/>
      <c r="D3734" s="22"/>
      <c r="E3734" s="22"/>
      <c r="F3734" s="22"/>
      <c r="G3734" s="22"/>
      <c r="H3734" s="18"/>
      <c r="I3734" s="18"/>
      <c r="J3734" s="18"/>
      <c r="K3734" s="18"/>
      <c r="L3734" s="18"/>
      <c r="M3734" s="18"/>
      <c r="N3734" s="18"/>
      <c r="O3734" s="18"/>
      <c r="P3734" s="18"/>
      <c r="Q3734" s="19"/>
      <c r="R3734" s="19"/>
      <c r="S3734" s="19"/>
      <c r="T3734" s="18"/>
      <c r="U3734" s="18"/>
      <c r="V3734" s="18"/>
      <c r="W3734" s="18"/>
      <c r="X3734" s="18"/>
      <c r="Y3734" s="18"/>
      <c r="Z3734" s="18"/>
    </row>
    <row r="3735" ht="15.75" customHeight="1">
      <c r="A3735" s="32"/>
      <c r="B3735" s="22"/>
      <c r="C3735" s="22"/>
      <c r="D3735" s="22"/>
      <c r="E3735" s="22"/>
      <c r="F3735" s="22"/>
      <c r="G3735" s="22"/>
      <c r="H3735" s="18"/>
      <c r="I3735" s="18"/>
      <c r="J3735" s="18"/>
      <c r="K3735" s="18"/>
      <c r="L3735" s="18"/>
      <c r="M3735" s="18"/>
      <c r="N3735" s="18"/>
      <c r="O3735" s="18"/>
      <c r="P3735" s="18"/>
      <c r="Q3735" s="19"/>
      <c r="R3735" s="19"/>
      <c r="S3735" s="19"/>
      <c r="T3735" s="18"/>
      <c r="U3735" s="18"/>
      <c r="V3735" s="18"/>
      <c r="W3735" s="18"/>
      <c r="X3735" s="18"/>
      <c r="Y3735" s="18"/>
      <c r="Z3735" s="18"/>
    </row>
    <row r="3736" ht="15.75" customHeight="1">
      <c r="A3736" s="32"/>
      <c r="B3736" s="22"/>
      <c r="C3736" s="22"/>
      <c r="D3736" s="22"/>
      <c r="E3736" s="22"/>
      <c r="F3736" s="22"/>
      <c r="G3736" s="22"/>
      <c r="H3736" s="18"/>
      <c r="I3736" s="18"/>
      <c r="J3736" s="18"/>
      <c r="K3736" s="18"/>
      <c r="L3736" s="18"/>
      <c r="M3736" s="18"/>
      <c r="N3736" s="18"/>
      <c r="O3736" s="18"/>
      <c r="P3736" s="18"/>
      <c r="Q3736" s="19"/>
      <c r="R3736" s="19"/>
      <c r="S3736" s="19"/>
      <c r="T3736" s="18"/>
      <c r="U3736" s="18"/>
      <c r="V3736" s="18"/>
      <c r="W3736" s="18"/>
      <c r="X3736" s="18"/>
      <c r="Y3736" s="18"/>
      <c r="Z3736" s="18"/>
    </row>
    <row r="3737" ht="15.75" customHeight="1">
      <c r="A3737" s="32"/>
      <c r="B3737" s="22"/>
      <c r="C3737" s="22"/>
      <c r="D3737" s="22"/>
      <c r="E3737" s="22"/>
      <c r="F3737" s="22"/>
      <c r="G3737" s="22"/>
      <c r="H3737" s="18"/>
      <c r="I3737" s="18"/>
      <c r="J3737" s="18"/>
      <c r="K3737" s="18"/>
      <c r="L3737" s="18"/>
      <c r="M3737" s="18"/>
      <c r="N3737" s="18"/>
      <c r="O3737" s="18"/>
      <c r="P3737" s="18"/>
      <c r="Q3737" s="19"/>
      <c r="R3737" s="19"/>
      <c r="S3737" s="19"/>
      <c r="T3737" s="18"/>
      <c r="U3737" s="18"/>
      <c r="V3737" s="18"/>
      <c r="W3737" s="18"/>
      <c r="X3737" s="18"/>
      <c r="Y3737" s="18"/>
      <c r="Z3737" s="18"/>
    </row>
    <row r="3738" ht="15.75" customHeight="1">
      <c r="A3738" s="32"/>
      <c r="B3738" s="22"/>
      <c r="C3738" s="22"/>
      <c r="D3738" s="22"/>
      <c r="E3738" s="22"/>
      <c r="F3738" s="22"/>
      <c r="G3738" s="22"/>
      <c r="H3738" s="18"/>
      <c r="I3738" s="18"/>
      <c r="J3738" s="18"/>
      <c r="K3738" s="18"/>
      <c r="L3738" s="18"/>
      <c r="M3738" s="18"/>
      <c r="N3738" s="18"/>
      <c r="O3738" s="18"/>
      <c r="P3738" s="18"/>
      <c r="Q3738" s="19"/>
      <c r="R3738" s="19"/>
      <c r="S3738" s="19"/>
      <c r="T3738" s="18"/>
      <c r="U3738" s="18"/>
      <c r="V3738" s="18"/>
      <c r="W3738" s="18"/>
      <c r="X3738" s="18"/>
      <c r="Y3738" s="18"/>
      <c r="Z3738" s="18"/>
    </row>
    <row r="3739" ht="15.75" customHeight="1">
      <c r="A3739" s="32"/>
      <c r="B3739" s="22"/>
      <c r="C3739" s="22"/>
      <c r="D3739" s="22"/>
      <c r="E3739" s="22"/>
      <c r="F3739" s="22"/>
      <c r="G3739" s="22"/>
      <c r="H3739" s="18"/>
      <c r="I3739" s="18"/>
      <c r="J3739" s="18"/>
      <c r="K3739" s="18"/>
      <c r="L3739" s="18"/>
      <c r="M3739" s="18"/>
      <c r="N3739" s="18"/>
      <c r="O3739" s="18"/>
      <c r="P3739" s="18"/>
      <c r="Q3739" s="19"/>
      <c r="R3739" s="19"/>
      <c r="S3739" s="19"/>
      <c r="T3739" s="18"/>
      <c r="U3739" s="18"/>
      <c r="V3739" s="18"/>
      <c r="W3739" s="18"/>
      <c r="X3739" s="18"/>
      <c r="Y3739" s="18"/>
      <c r="Z3739" s="18"/>
    </row>
    <row r="3740" ht="15.75" customHeight="1">
      <c r="A3740" s="32"/>
      <c r="B3740" s="22"/>
      <c r="C3740" s="22"/>
      <c r="D3740" s="22"/>
      <c r="E3740" s="22"/>
      <c r="F3740" s="22"/>
      <c r="G3740" s="22"/>
      <c r="H3740" s="18"/>
      <c r="I3740" s="18"/>
      <c r="J3740" s="18"/>
      <c r="K3740" s="18"/>
      <c r="L3740" s="18"/>
      <c r="M3740" s="18"/>
      <c r="N3740" s="18"/>
      <c r="O3740" s="18"/>
      <c r="P3740" s="18"/>
      <c r="Q3740" s="19"/>
      <c r="R3740" s="19"/>
      <c r="S3740" s="19"/>
      <c r="T3740" s="18"/>
      <c r="U3740" s="18"/>
      <c r="V3740" s="18"/>
      <c r="W3740" s="18"/>
      <c r="X3740" s="18"/>
      <c r="Y3740" s="18"/>
      <c r="Z3740" s="18"/>
    </row>
    <row r="3741" ht="15.75" customHeight="1">
      <c r="A3741" s="32"/>
      <c r="B3741" s="22"/>
      <c r="C3741" s="22"/>
      <c r="D3741" s="22"/>
      <c r="E3741" s="22"/>
      <c r="F3741" s="22"/>
      <c r="G3741" s="22"/>
      <c r="H3741" s="18"/>
      <c r="I3741" s="18"/>
      <c r="J3741" s="18"/>
      <c r="K3741" s="18"/>
      <c r="L3741" s="18"/>
      <c r="M3741" s="18"/>
      <c r="N3741" s="18"/>
      <c r="O3741" s="18"/>
      <c r="P3741" s="18"/>
      <c r="Q3741" s="19"/>
      <c r="R3741" s="19"/>
      <c r="S3741" s="19"/>
      <c r="T3741" s="18"/>
      <c r="U3741" s="18"/>
      <c r="V3741" s="18"/>
      <c r="W3741" s="18"/>
      <c r="X3741" s="18"/>
      <c r="Y3741" s="18"/>
      <c r="Z3741" s="18"/>
    </row>
    <row r="3742" ht="15.75" customHeight="1">
      <c r="A3742" s="32"/>
      <c r="B3742" s="22"/>
      <c r="C3742" s="22"/>
      <c r="D3742" s="22"/>
      <c r="E3742" s="22"/>
      <c r="F3742" s="22"/>
      <c r="G3742" s="22"/>
      <c r="H3742" s="18"/>
      <c r="I3742" s="18"/>
      <c r="J3742" s="18"/>
      <c r="K3742" s="18"/>
      <c r="L3742" s="18"/>
      <c r="M3742" s="18"/>
      <c r="N3742" s="18"/>
      <c r="O3742" s="18"/>
      <c r="P3742" s="18"/>
      <c r="Q3742" s="19"/>
      <c r="R3742" s="19"/>
      <c r="S3742" s="19"/>
      <c r="T3742" s="18"/>
      <c r="U3742" s="18"/>
      <c r="V3742" s="18"/>
      <c r="W3742" s="18"/>
      <c r="X3742" s="18"/>
      <c r="Y3742" s="18"/>
      <c r="Z3742" s="18"/>
    </row>
    <row r="3743" ht="15.75" customHeight="1">
      <c r="A3743" s="32"/>
      <c r="B3743" s="22"/>
      <c r="C3743" s="22"/>
      <c r="D3743" s="22"/>
      <c r="E3743" s="22"/>
      <c r="F3743" s="22"/>
      <c r="G3743" s="22"/>
      <c r="H3743" s="18"/>
      <c r="I3743" s="18"/>
      <c r="J3743" s="18"/>
      <c r="K3743" s="18"/>
      <c r="L3743" s="18"/>
      <c r="M3743" s="18"/>
      <c r="N3743" s="18"/>
      <c r="O3743" s="18"/>
      <c r="P3743" s="18"/>
      <c r="Q3743" s="19"/>
      <c r="R3743" s="19"/>
      <c r="S3743" s="19"/>
      <c r="T3743" s="18"/>
      <c r="U3743" s="18"/>
      <c r="V3743" s="18"/>
      <c r="W3743" s="18"/>
      <c r="X3743" s="18"/>
      <c r="Y3743" s="18"/>
      <c r="Z3743" s="18"/>
    </row>
    <row r="3744" ht="15.75" customHeight="1">
      <c r="A3744" s="32"/>
      <c r="B3744" s="22"/>
      <c r="C3744" s="22"/>
      <c r="D3744" s="22"/>
      <c r="E3744" s="22"/>
      <c r="F3744" s="22"/>
      <c r="G3744" s="22"/>
      <c r="H3744" s="18"/>
      <c r="I3744" s="18"/>
      <c r="J3744" s="18"/>
      <c r="K3744" s="18"/>
      <c r="L3744" s="18"/>
      <c r="M3744" s="18"/>
      <c r="N3744" s="18"/>
      <c r="O3744" s="18"/>
      <c r="P3744" s="18"/>
      <c r="Q3744" s="19"/>
      <c r="R3744" s="19"/>
      <c r="S3744" s="19"/>
      <c r="T3744" s="18"/>
      <c r="U3744" s="18"/>
      <c r="V3744" s="18"/>
      <c r="W3744" s="18"/>
      <c r="X3744" s="18"/>
      <c r="Y3744" s="18"/>
      <c r="Z3744" s="18"/>
    </row>
    <row r="3745" ht="15.75" customHeight="1">
      <c r="A3745" s="32"/>
      <c r="B3745" s="22"/>
      <c r="C3745" s="22"/>
      <c r="D3745" s="22"/>
      <c r="E3745" s="22"/>
      <c r="F3745" s="22"/>
      <c r="G3745" s="22"/>
      <c r="H3745" s="18"/>
      <c r="I3745" s="18"/>
      <c r="J3745" s="18"/>
      <c r="K3745" s="18"/>
      <c r="L3745" s="18"/>
      <c r="M3745" s="18"/>
      <c r="N3745" s="18"/>
      <c r="O3745" s="18"/>
      <c r="P3745" s="18"/>
      <c r="Q3745" s="19"/>
      <c r="R3745" s="19"/>
      <c r="S3745" s="19"/>
      <c r="T3745" s="18"/>
      <c r="U3745" s="18"/>
      <c r="V3745" s="18"/>
      <c r="W3745" s="18"/>
      <c r="X3745" s="18"/>
      <c r="Y3745" s="18"/>
      <c r="Z3745" s="18"/>
    </row>
    <row r="3746" ht="15.75" customHeight="1">
      <c r="A3746" s="32"/>
      <c r="B3746" s="22"/>
      <c r="C3746" s="22"/>
      <c r="D3746" s="22"/>
      <c r="E3746" s="22"/>
      <c r="F3746" s="22"/>
      <c r="G3746" s="22"/>
      <c r="H3746" s="18"/>
      <c r="I3746" s="18"/>
      <c r="J3746" s="18"/>
      <c r="K3746" s="18"/>
      <c r="L3746" s="18"/>
      <c r="M3746" s="18"/>
      <c r="N3746" s="18"/>
      <c r="O3746" s="18"/>
      <c r="P3746" s="18"/>
      <c r="Q3746" s="19"/>
      <c r="R3746" s="19"/>
      <c r="S3746" s="19"/>
      <c r="T3746" s="18"/>
      <c r="U3746" s="18"/>
      <c r="V3746" s="18"/>
      <c r="W3746" s="18"/>
      <c r="X3746" s="18"/>
      <c r="Y3746" s="18"/>
      <c r="Z3746" s="18"/>
    </row>
    <row r="3747" ht="15.75" customHeight="1">
      <c r="A3747" s="32"/>
      <c r="B3747" s="22"/>
      <c r="C3747" s="22"/>
      <c r="D3747" s="22"/>
      <c r="E3747" s="22"/>
      <c r="F3747" s="22"/>
      <c r="G3747" s="22"/>
      <c r="H3747" s="18"/>
      <c r="I3747" s="18"/>
      <c r="J3747" s="18"/>
      <c r="K3747" s="18"/>
      <c r="L3747" s="18"/>
      <c r="M3747" s="18"/>
      <c r="N3747" s="18"/>
      <c r="O3747" s="18"/>
      <c r="P3747" s="18"/>
      <c r="Q3747" s="19"/>
      <c r="R3747" s="19"/>
      <c r="S3747" s="19"/>
      <c r="T3747" s="18"/>
      <c r="U3747" s="18"/>
      <c r="V3747" s="18"/>
      <c r="W3747" s="18"/>
      <c r="X3747" s="18"/>
      <c r="Y3747" s="18"/>
      <c r="Z3747" s="18"/>
    </row>
    <row r="3748" ht="15.75" customHeight="1">
      <c r="A3748" s="32"/>
      <c r="B3748" s="22"/>
      <c r="C3748" s="22"/>
      <c r="D3748" s="22"/>
      <c r="E3748" s="22"/>
      <c r="F3748" s="22"/>
      <c r="G3748" s="22"/>
      <c r="H3748" s="18"/>
      <c r="I3748" s="18"/>
      <c r="J3748" s="18"/>
      <c r="K3748" s="18"/>
      <c r="L3748" s="18"/>
      <c r="M3748" s="18"/>
      <c r="N3748" s="18"/>
      <c r="O3748" s="18"/>
      <c r="P3748" s="18"/>
      <c r="Q3748" s="19"/>
      <c r="R3748" s="19"/>
      <c r="S3748" s="19"/>
      <c r="T3748" s="18"/>
      <c r="U3748" s="18"/>
      <c r="V3748" s="18"/>
      <c r="W3748" s="18"/>
      <c r="X3748" s="18"/>
      <c r="Y3748" s="18"/>
      <c r="Z3748" s="18"/>
    </row>
    <row r="3749" ht="15.75" customHeight="1">
      <c r="A3749" s="32"/>
      <c r="B3749" s="22"/>
      <c r="C3749" s="22"/>
      <c r="D3749" s="22"/>
      <c r="E3749" s="22"/>
      <c r="F3749" s="22"/>
      <c r="G3749" s="22"/>
      <c r="H3749" s="18"/>
      <c r="I3749" s="18"/>
      <c r="J3749" s="18"/>
      <c r="K3749" s="18"/>
      <c r="L3749" s="18"/>
      <c r="M3749" s="18"/>
      <c r="N3749" s="18"/>
      <c r="O3749" s="18"/>
      <c r="P3749" s="18"/>
      <c r="Q3749" s="19"/>
      <c r="R3749" s="19"/>
      <c r="S3749" s="19"/>
      <c r="T3749" s="18"/>
      <c r="U3749" s="18"/>
      <c r="V3749" s="18"/>
      <c r="W3749" s="18"/>
      <c r="X3749" s="18"/>
      <c r="Y3749" s="18"/>
      <c r="Z3749" s="18"/>
    </row>
    <row r="3750" ht="15.75" customHeight="1">
      <c r="A3750" s="32"/>
      <c r="B3750" s="22"/>
      <c r="C3750" s="22"/>
      <c r="D3750" s="22"/>
      <c r="E3750" s="22"/>
      <c r="F3750" s="22"/>
      <c r="G3750" s="22"/>
      <c r="H3750" s="18"/>
      <c r="I3750" s="18"/>
      <c r="J3750" s="18"/>
      <c r="K3750" s="18"/>
      <c r="L3750" s="18"/>
      <c r="M3750" s="18"/>
      <c r="N3750" s="18"/>
      <c r="O3750" s="18"/>
      <c r="P3750" s="18"/>
      <c r="Q3750" s="19"/>
      <c r="R3750" s="19"/>
      <c r="S3750" s="19"/>
      <c r="T3750" s="18"/>
      <c r="U3750" s="18"/>
      <c r="V3750" s="18"/>
      <c r="W3750" s="18"/>
      <c r="X3750" s="18"/>
      <c r="Y3750" s="18"/>
      <c r="Z3750" s="18"/>
    </row>
    <row r="3751" ht="15.75" customHeight="1">
      <c r="A3751" s="32"/>
      <c r="B3751" s="22"/>
      <c r="C3751" s="22"/>
      <c r="D3751" s="22"/>
      <c r="E3751" s="22"/>
      <c r="F3751" s="22"/>
      <c r="G3751" s="22"/>
      <c r="H3751" s="18"/>
      <c r="I3751" s="18"/>
      <c r="J3751" s="18"/>
      <c r="K3751" s="18"/>
      <c r="L3751" s="18"/>
      <c r="M3751" s="18"/>
      <c r="N3751" s="18"/>
      <c r="O3751" s="18"/>
      <c r="P3751" s="18"/>
      <c r="Q3751" s="19"/>
      <c r="R3751" s="19"/>
      <c r="S3751" s="19"/>
      <c r="T3751" s="18"/>
      <c r="U3751" s="18"/>
      <c r="V3751" s="18"/>
      <c r="W3751" s="18"/>
      <c r="X3751" s="18"/>
      <c r="Y3751" s="18"/>
      <c r="Z3751" s="18"/>
    </row>
    <row r="3752" ht="15.75" customHeight="1">
      <c r="A3752" s="32"/>
      <c r="B3752" s="22"/>
      <c r="C3752" s="22"/>
      <c r="D3752" s="22"/>
      <c r="E3752" s="22"/>
      <c r="F3752" s="22"/>
      <c r="G3752" s="22"/>
      <c r="H3752" s="18"/>
      <c r="I3752" s="18"/>
      <c r="J3752" s="18"/>
      <c r="K3752" s="18"/>
      <c r="L3752" s="18"/>
      <c r="M3752" s="18"/>
      <c r="N3752" s="18"/>
      <c r="O3752" s="18"/>
      <c r="P3752" s="18"/>
      <c r="Q3752" s="19"/>
      <c r="R3752" s="19"/>
      <c r="S3752" s="19"/>
      <c r="T3752" s="18"/>
      <c r="U3752" s="18"/>
      <c r="V3752" s="18"/>
      <c r="W3752" s="18"/>
      <c r="X3752" s="18"/>
      <c r="Y3752" s="18"/>
      <c r="Z3752" s="18"/>
    </row>
    <row r="3753" ht="15.75" customHeight="1">
      <c r="A3753" s="32"/>
      <c r="B3753" s="22"/>
      <c r="C3753" s="22"/>
      <c r="D3753" s="22"/>
      <c r="E3753" s="22"/>
      <c r="F3753" s="22"/>
      <c r="G3753" s="22"/>
      <c r="H3753" s="18"/>
      <c r="I3753" s="18"/>
      <c r="J3753" s="18"/>
      <c r="K3753" s="18"/>
      <c r="L3753" s="18"/>
      <c r="M3753" s="18"/>
      <c r="N3753" s="18"/>
      <c r="O3753" s="18"/>
      <c r="P3753" s="18"/>
      <c r="Q3753" s="19"/>
      <c r="R3753" s="19"/>
      <c r="S3753" s="19"/>
      <c r="T3753" s="18"/>
      <c r="U3753" s="18"/>
      <c r="V3753" s="18"/>
      <c r="W3753" s="18"/>
      <c r="X3753" s="18"/>
      <c r="Y3753" s="18"/>
      <c r="Z3753" s="18"/>
    </row>
    <row r="3754" ht="15.75" customHeight="1">
      <c r="A3754" s="32"/>
      <c r="B3754" s="22"/>
      <c r="C3754" s="22"/>
      <c r="D3754" s="22"/>
      <c r="E3754" s="22"/>
      <c r="F3754" s="22"/>
      <c r="G3754" s="22"/>
      <c r="H3754" s="18"/>
      <c r="I3754" s="18"/>
      <c r="J3754" s="18"/>
      <c r="K3754" s="18"/>
      <c r="L3754" s="18"/>
      <c r="M3754" s="18"/>
      <c r="N3754" s="18"/>
      <c r="O3754" s="18"/>
      <c r="P3754" s="18"/>
      <c r="Q3754" s="19"/>
      <c r="R3754" s="19"/>
      <c r="S3754" s="19"/>
      <c r="T3754" s="18"/>
      <c r="U3754" s="18"/>
      <c r="V3754" s="18"/>
      <c r="W3754" s="18"/>
      <c r="X3754" s="18"/>
      <c r="Y3754" s="18"/>
      <c r="Z3754" s="18"/>
    </row>
    <row r="3755" ht="15.75" customHeight="1">
      <c r="A3755" s="32"/>
      <c r="B3755" s="22"/>
      <c r="C3755" s="22"/>
      <c r="D3755" s="22"/>
      <c r="E3755" s="22"/>
      <c r="F3755" s="22"/>
      <c r="G3755" s="22"/>
      <c r="H3755" s="18"/>
      <c r="I3755" s="18"/>
      <c r="J3755" s="18"/>
      <c r="K3755" s="18"/>
      <c r="L3755" s="18"/>
      <c r="M3755" s="18"/>
      <c r="N3755" s="18"/>
      <c r="O3755" s="18"/>
      <c r="P3755" s="18"/>
      <c r="Q3755" s="19"/>
      <c r="R3755" s="19"/>
      <c r="S3755" s="19"/>
      <c r="T3755" s="18"/>
      <c r="U3755" s="18"/>
      <c r="V3755" s="18"/>
      <c r="W3755" s="18"/>
      <c r="X3755" s="18"/>
      <c r="Y3755" s="18"/>
      <c r="Z3755" s="18"/>
    </row>
    <row r="3756" ht="15.75" customHeight="1">
      <c r="A3756" s="32"/>
      <c r="B3756" s="22"/>
      <c r="C3756" s="22"/>
      <c r="D3756" s="22"/>
      <c r="E3756" s="22"/>
      <c r="F3756" s="22"/>
      <c r="G3756" s="22"/>
      <c r="H3756" s="18"/>
      <c r="I3756" s="18"/>
      <c r="J3756" s="18"/>
      <c r="K3756" s="18"/>
      <c r="L3756" s="18"/>
      <c r="M3756" s="18"/>
      <c r="N3756" s="18"/>
      <c r="O3756" s="18"/>
      <c r="P3756" s="18"/>
      <c r="Q3756" s="19"/>
      <c r="R3756" s="19"/>
      <c r="S3756" s="19"/>
      <c r="T3756" s="18"/>
      <c r="U3756" s="18"/>
      <c r="V3756" s="18"/>
      <c r="W3756" s="18"/>
      <c r="X3756" s="18"/>
      <c r="Y3756" s="18"/>
      <c r="Z3756" s="18"/>
    </row>
    <row r="3757" ht="15.75" customHeight="1">
      <c r="A3757" s="32"/>
      <c r="B3757" s="22"/>
      <c r="C3757" s="22"/>
      <c r="D3757" s="22"/>
      <c r="E3757" s="22"/>
      <c r="F3757" s="22"/>
      <c r="G3757" s="22"/>
      <c r="H3757" s="18"/>
      <c r="I3757" s="18"/>
      <c r="J3757" s="18"/>
      <c r="K3757" s="18"/>
      <c r="L3757" s="18"/>
      <c r="M3757" s="18"/>
      <c r="N3757" s="18"/>
      <c r="O3757" s="18"/>
      <c r="P3757" s="18"/>
      <c r="Q3757" s="19"/>
      <c r="R3757" s="19"/>
      <c r="S3757" s="19"/>
      <c r="T3757" s="18"/>
      <c r="U3757" s="18"/>
      <c r="V3757" s="18"/>
      <c r="W3757" s="18"/>
      <c r="X3757" s="18"/>
      <c r="Y3757" s="18"/>
      <c r="Z3757" s="18"/>
    </row>
    <row r="3758" ht="15.75" customHeight="1">
      <c r="A3758" s="32"/>
      <c r="B3758" s="22"/>
      <c r="C3758" s="22"/>
      <c r="D3758" s="22"/>
      <c r="E3758" s="22"/>
      <c r="F3758" s="22"/>
      <c r="G3758" s="22"/>
      <c r="H3758" s="18"/>
      <c r="I3758" s="18"/>
      <c r="J3758" s="18"/>
      <c r="K3758" s="18"/>
      <c r="L3758" s="18"/>
      <c r="M3758" s="18"/>
      <c r="N3758" s="18"/>
      <c r="O3758" s="18"/>
      <c r="P3758" s="18"/>
      <c r="Q3758" s="19"/>
      <c r="R3758" s="19"/>
      <c r="S3758" s="19"/>
      <c r="T3758" s="18"/>
      <c r="U3758" s="18"/>
      <c r="V3758" s="18"/>
      <c r="W3758" s="18"/>
      <c r="X3758" s="18"/>
      <c r="Y3758" s="18"/>
      <c r="Z3758" s="18"/>
    </row>
    <row r="3759" ht="15.75" customHeight="1">
      <c r="A3759" s="32"/>
      <c r="B3759" s="22"/>
      <c r="C3759" s="22"/>
      <c r="D3759" s="22"/>
      <c r="E3759" s="22"/>
      <c r="F3759" s="22"/>
      <c r="G3759" s="22"/>
      <c r="H3759" s="18"/>
      <c r="I3759" s="18"/>
      <c r="J3759" s="18"/>
      <c r="K3759" s="18"/>
      <c r="L3759" s="18"/>
      <c r="M3759" s="18"/>
      <c r="N3759" s="18"/>
      <c r="O3759" s="18"/>
      <c r="P3759" s="18"/>
      <c r="Q3759" s="19"/>
      <c r="R3759" s="19"/>
      <c r="S3759" s="19"/>
      <c r="T3759" s="18"/>
      <c r="U3759" s="18"/>
      <c r="V3759" s="18"/>
      <c r="W3759" s="18"/>
      <c r="X3759" s="18"/>
      <c r="Y3759" s="18"/>
      <c r="Z3759" s="18"/>
    </row>
    <row r="3760" ht="15.75" customHeight="1">
      <c r="A3760" s="32"/>
      <c r="B3760" s="22"/>
      <c r="C3760" s="22"/>
      <c r="D3760" s="22"/>
      <c r="E3760" s="22"/>
      <c r="F3760" s="22"/>
      <c r="G3760" s="22"/>
      <c r="H3760" s="18"/>
      <c r="I3760" s="18"/>
      <c r="J3760" s="18"/>
      <c r="K3760" s="18"/>
      <c r="L3760" s="18"/>
      <c r="M3760" s="18"/>
      <c r="N3760" s="18"/>
      <c r="O3760" s="18"/>
      <c r="P3760" s="18"/>
      <c r="Q3760" s="19"/>
      <c r="R3760" s="19"/>
      <c r="S3760" s="19"/>
      <c r="T3760" s="18"/>
      <c r="U3760" s="18"/>
      <c r="V3760" s="18"/>
      <c r="W3760" s="18"/>
      <c r="X3760" s="18"/>
      <c r="Y3760" s="18"/>
      <c r="Z3760" s="18"/>
    </row>
    <row r="3761" ht="15.75" customHeight="1">
      <c r="A3761" s="32"/>
      <c r="B3761" s="22"/>
      <c r="C3761" s="22"/>
      <c r="D3761" s="22"/>
      <c r="E3761" s="22"/>
      <c r="F3761" s="22"/>
      <c r="G3761" s="22"/>
      <c r="H3761" s="18"/>
      <c r="I3761" s="18"/>
      <c r="J3761" s="18"/>
      <c r="K3761" s="18"/>
      <c r="L3761" s="18"/>
      <c r="M3761" s="18"/>
      <c r="N3761" s="18"/>
      <c r="O3761" s="18"/>
      <c r="P3761" s="18"/>
      <c r="Q3761" s="19"/>
      <c r="R3761" s="19"/>
      <c r="S3761" s="19"/>
      <c r="T3761" s="18"/>
      <c r="U3761" s="18"/>
      <c r="V3761" s="18"/>
      <c r="W3761" s="18"/>
      <c r="X3761" s="18"/>
      <c r="Y3761" s="18"/>
      <c r="Z3761" s="18"/>
    </row>
    <row r="3762" ht="15.75" customHeight="1">
      <c r="A3762" s="32"/>
      <c r="B3762" s="22"/>
      <c r="C3762" s="22"/>
      <c r="D3762" s="22"/>
      <c r="E3762" s="22"/>
      <c r="F3762" s="22"/>
      <c r="G3762" s="22"/>
      <c r="H3762" s="18"/>
      <c r="I3762" s="18"/>
      <c r="J3762" s="18"/>
      <c r="K3762" s="18"/>
      <c r="L3762" s="18"/>
      <c r="M3762" s="18"/>
      <c r="N3762" s="18"/>
      <c r="O3762" s="18"/>
      <c r="P3762" s="18"/>
      <c r="Q3762" s="19"/>
      <c r="R3762" s="19"/>
      <c r="S3762" s="19"/>
      <c r="T3762" s="18"/>
      <c r="U3762" s="18"/>
      <c r="V3762" s="18"/>
      <c r="W3762" s="18"/>
      <c r="X3762" s="18"/>
      <c r="Y3762" s="18"/>
      <c r="Z3762" s="18"/>
    </row>
    <row r="3763" ht="15.75" customHeight="1">
      <c r="A3763" s="32"/>
      <c r="B3763" s="22"/>
      <c r="C3763" s="22"/>
      <c r="D3763" s="22"/>
      <c r="E3763" s="22"/>
      <c r="F3763" s="22"/>
      <c r="G3763" s="22"/>
      <c r="H3763" s="18"/>
      <c r="I3763" s="18"/>
      <c r="J3763" s="18"/>
      <c r="K3763" s="18"/>
      <c r="L3763" s="18"/>
      <c r="M3763" s="18"/>
      <c r="N3763" s="18"/>
      <c r="O3763" s="18"/>
      <c r="P3763" s="18"/>
      <c r="Q3763" s="19"/>
      <c r="R3763" s="19"/>
      <c r="S3763" s="19"/>
      <c r="T3763" s="18"/>
      <c r="U3763" s="18"/>
      <c r="V3763" s="18"/>
      <c r="W3763" s="18"/>
      <c r="X3763" s="18"/>
      <c r="Y3763" s="18"/>
      <c r="Z3763" s="18"/>
    </row>
    <row r="3764" ht="15.75" customHeight="1">
      <c r="A3764" s="32"/>
      <c r="B3764" s="22"/>
      <c r="C3764" s="22"/>
      <c r="D3764" s="22"/>
      <c r="E3764" s="22"/>
      <c r="F3764" s="22"/>
      <c r="G3764" s="22"/>
      <c r="H3764" s="18"/>
      <c r="I3764" s="18"/>
      <c r="J3764" s="18"/>
      <c r="K3764" s="18"/>
      <c r="L3764" s="18"/>
      <c r="M3764" s="18"/>
      <c r="N3764" s="18"/>
      <c r="O3764" s="18"/>
      <c r="P3764" s="18"/>
      <c r="Q3764" s="19"/>
      <c r="R3764" s="19"/>
      <c r="S3764" s="19"/>
      <c r="T3764" s="18"/>
      <c r="U3764" s="18"/>
      <c r="V3764" s="18"/>
      <c r="W3764" s="18"/>
      <c r="X3764" s="18"/>
      <c r="Y3764" s="18"/>
      <c r="Z3764" s="18"/>
    </row>
    <row r="3765" ht="15.75" customHeight="1">
      <c r="A3765" s="32"/>
      <c r="B3765" s="22"/>
      <c r="C3765" s="22"/>
      <c r="D3765" s="22"/>
      <c r="E3765" s="22"/>
      <c r="F3765" s="22"/>
      <c r="G3765" s="22"/>
      <c r="H3765" s="18"/>
      <c r="I3765" s="18"/>
      <c r="J3765" s="18"/>
      <c r="K3765" s="18"/>
      <c r="L3765" s="18"/>
      <c r="M3765" s="18"/>
      <c r="N3765" s="18"/>
      <c r="O3765" s="18"/>
      <c r="P3765" s="18"/>
      <c r="Q3765" s="19"/>
      <c r="R3765" s="19"/>
      <c r="S3765" s="19"/>
      <c r="T3765" s="18"/>
      <c r="U3765" s="18"/>
      <c r="V3765" s="18"/>
      <c r="W3765" s="18"/>
      <c r="X3765" s="18"/>
      <c r="Y3765" s="18"/>
      <c r="Z3765" s="18"/>
    </row>
    <row r="3766" ht="15.75" customHeight="1">
      <c r="A3766" s="32"/>
      <c r="B3766" s="22"/>
      <c r="C3766" s="22"/>
      <c r="D3766" s="22"/>
      <c r="E3766" s="22"/>
      <c r="F3766" s="22"/>
      <c r="G3766" s="22"/>
      <c r="H3766" s="18"/>
      <c r="I3766" s="18"/>
      <c r="J3766" s="18"/>
      <c r="K3766" s="18"/>
      <c r="L3766" s="18"/>
      <c r="M3766" s="18"/>
      <c r="N3766" s="18"/>
      <c r="O3766" s="18"/>
      <c r="P3766" s="18"/>
      <c r="Q3766" s="19"/>
      <c r="R3766" s="19"/>
      <c r="S3766" s="19"/>
      <c r="T3766" s="18"/>
      <c r="U3766" s="18"/>
      <c r="V3766" s="18"/>
      <c r="W3766" s="18"/>
      <c r="X3766" s="18"/>
      <c r="Y3766" s="18"/>
      <c r="Z3766" s="18"/>
    </row>
    <row r="3767" ht="15.75" customHeight="1">
      <c r="A3767" s="32"/>
      <c r="B3767" s="22"/>
      <c r="C3767" s="22"/>
      <c r="D3767" s="22"/>
      <c r="E3767" s="22"/>
      <c r="F3767" s="22"/>
      <c r="G3767" s="22"/>
      <c r="H3767" s="18"/>
      <c r="I3767" s="18"/>
      <c r="J3767" s="18"/>
      <c r="K3767" s="18"/>
      <c r="L3767" s="18"/>
      <c r="M3767" s="18"/>
      <c r="N3767" s="18"/>
      <c r="O3767" s="18"/>
      <c r="P3767" s="18"/>
      <c r="Q3767" s="19"/>
      <c r="R3767" s="19"/>
      <c r="S3767" s="19"/>
      <c r="T3767" s="18"/>
      <c r="U3767" s="18"/>
      <c r="V3767" s="18"/>
      <c r="W3767" s="18"/>
      <c r="X3767" s="18"/>
      <c r="Y3767" s="18"/>
      <c r="Z3767" s="18"/>
    </row>
    <row r="3768" ht="15.75" customHeight="1">
      <c r="A3768" s="32"/>
      <c r="B3768" s="22"/>
      <c r="C3768" s="22"/>
      <c r="D3768" s="22"/>
      <c r="E3768" s="22"/>
      <c r="F3768" s="22"/>
      <c r="G3768" s="22"/>
      <c r="H3768" s="18"/>
      <c r="I3768" s="18"/>
      <c r="J3768" s="18"/>
      <c r="K3768" s="18"/>
      <c r="L3768" s="18"/>
      <c r="M3768" s="18"/>
      <c r="N3768" s="18"/>
      <c r="O3768" s="18"/>
      <c r="P3768" s="18"/>
      <c r="Q3768" s="19"/>
      <c r="R3768" s="19"/>
      <c r="S3768" s="19"/>
      <c r="T3768" s="18"/>
      <c r="U3768" s="18"/>
      <c r="V3768" s="18"/>
      <c r="W3768" s="18"/>
      <c r="X3768" s="18"/>
      <c r="Y3768" s="18"/>
      <c r="Z3768" s="18"/>
    </row>
    <row r="3769" ht="15.75" customHeight="1">
      <c r="A3769" s="32"/>
      <c r="B3769" s="22"/>
      <c r="C3769" s="22"/>
      <c r="D3769" s="22"/>
      <c r="E3769" s="22"/>
      <c r="F3769" s="22"/>
      <c r="G3769" s="22"/>
      <c r="H3769" s="18"/>
      <c r="I3769" s="18"/>
      <c r="J3769" s="18"/>
      <c r="K3769" s="18"/>
      <c r="L3769" s="18"/>
      <c r="M3769" s="18"/>
      <c r="N3769" s="18"/>
      <c r="O3769" s="18"/>
      <c r="P3769" s="18"/>
      <c r="Q3769" s="19"/>
      <c r="R3769" s="19"/>
      <c r="S3769" s="19"/>
      <c r="T3769" s="18"/>
      <c r="U3769" s="18"/>
      <c r="V3769" s="18"/>
      <c r="W3769" s="18"/>
      <c r="X3769" s="18"/>
      <c r="Y3769" s="18"/>
      <c r="Z3769" s="18"/>
    </row>
    <row r="3770" ht="15.75" customHeight="1">
      <c r="A3770" s="32"/>
      <c r="B3770" s="22"/>
      <c r="C3770" s="22"/>
      <c r="D3770" s="22"/>
      <c r="E3770" s="22"/>
      <c r="F3770" s="22"/>
      <c r="G3770" s="22"/>
      <c r="H3770" s="18"/>
      <c r="I3770" s="18"/>
      <c r="J3770" s="18"/>
      <c r="K3770" s="18"/>
      <c r="L3770" s="18"/>
      <c r="M3770" s="18"/>
      <c r="N3770" s="18"/>
      <c r="O3770" s="18"/>
      <c r="P3770" s="18"/>
      <c r="Q3770" s="19"/>
      <c r="R3770" s="19"/>
      <c r="S3770" s="19"/>
      <c r="T3770" s="18"/>
      <c r="U3770" s="18"/>
      <c r="V3770" s="18"/>
      <c r="W3770" s="18"/>
      <c r="X3770" s="18"/>
      <c r="Y3770" s="18"/>
      <c r="Z3770" s="18"/>
    </row>
    <row r="3771" ht="15.75" customHeight="1">
      <c r="A3771" s="32"/>
      <c r="B3771" s="22"/>
      <c r="C3771" s="22"/>
      <c r="D3771" s="22"/>
      <c r="E3771" s="22"/>
      <c r="F3771" s="22"/>
      <c r="G3771" s="22"/>
      <c r="H3771" s="18"/>
      <c r="I3771" s="18"/>
      <c r="J3771" s="18"/>
      <c r="K3771" s="18"/>
      <c r="L3771" s="18"/>
      <c r="M3771" s="18"/>
      <c r="N3771" s="18"/>
      <c r="O3771" s="18"/>
      <c r="P3771" s="18"/>
      <c r="Q3771" s="19"/>
      <c r="R3771" s="19"/>
      <c r="S3771" s="19"/>
      <c r="T3771" s="18"/>
      <c r="U3771" s="18"/>
      <c r="V3771" s="18"/>
      <c r="W3771" s="18"/>
      <c r="X3771" s="18"/>
      <c r="Y3771" s="18"/>
      <c r="Z3771" s="18"/>
    </row>
    <row r="3772" ht="15.75" customHeight="1">
      <c r="A3772" s="32"/>
      <c r="B3772" s="22"/>
      <c r="C3772" s="22"/>
      <c r="D3772" s="22"/>
      <c r="E3772" s="22"/>
      <c r="F3772" s="22"/>
      <c r="G3772" s="22"/>
      <c r="H3772" s="18"/>
      <c r="I3772" s="18"/>
      <c r="J3772" s="18"/>
      <c r="K3772" s="18"/>
      <c r="L3772" s="18"/>
      <c r="M3772" s="18"/>
      <c r="N3772" s="18"/>
      <c r="O3772" s="18"/>
      <c r="P3772" s="18"/>
      <c r="Q3772" s="19"/>
      <c r="R3772" s="19"/>
      <c r="S3772" s="19"/>
      <c r="T3772" s="18"/>
      <c r="U3772" s="18"/>
      <c r="V3772" s="18"/>
      <c r="W3772" s="18"/>
      <c r="X3772" s="18"/>
      <c r="Y3772" s="18"/>
      <c r="Z3772" s="18"/>
    </row>
    <row r="3773" ht="15.75" customHeight="1">
      <c r="A3773" s="32"/>
      <c r="B3773" s="22"/>
      <c r="C3773" s="22"/>
      <c r="D3773" s="22"/>
      <c r="E3773" s="22"/>
      <c r="F3773" s="22"/>
      <c r="G3773" s="22"/>
      <c r="H3773" s="18"/>
      <c r="I3773" s="18"/>
      <c r="J3773" s="18"/>
      <c r="K3773" s="18"/>
      <c r="L3773" s="18"/>
      <c r="M3773" s="18"/>
      <c r="N3773" s="18"/>
      <c r="O3773" s="18"/>
      <c r="P3773" s="18"/>
      <c r="Q3773" s="19"/>
      <c r="R3773" s="19"/>
      <c r="S3773" s="19"/>
      <c r="T3773" s="18"/>
      <c r="U3773" s="18"/>
      <c r="V3773" s="18"/>
      <c r="W3773" s="18"/>
      <c r="X3773" s="18"/>
      <c r="Y3773" s="18"/>
      <c r="Z3773" s="18"/>
    </row>
    <row r="3774" ht="15.75" customHeight="1">
      <c r="A3774" s="32"/>
      <c r="B3774" s="22"/>
      <c r="C3774" s="22"/>
      <c r="D3774" s="22"/>
      <c r="E3774" s="22"/>
      <c r="F3774" s="22"/>
      <c r="G3774" s="22"/>
      <c r="H3774" s="18"/>
      <c r="I3774" s="18"/>
      <c r="J3774" s="18"/>
      <c r="K3774" s="18"/>
      <c r="L3774" s="18"/>
      <c r="M3774" s="18"/>
      <c r="N3774" s="18"/>
      <c r="O3774" s="18"/>
      <c r="P3774" s="18"/>
      <c r="Q3774" s="19"/>
      <c r="R3774" s="19"/>
      <c r="S3774" s="19"/>
      <c r="T3774" s="18"/>
      <c r="U3774" s="18"/>
      <c r="V3774" s="18"/>
      <c r="W3774" s="18"/>
      <c r="X3774" s="18"/>
      <c r="Y3774" s="18"/>
      <c r="Z3774" s="18"/>
    </row>
    <row r="3775" ht="15.75" customHeight="1">
      <c r="A3775" s="32"/>
      <c r="B3775" s="22"/>
      <c r="C3775" s="22"/>
      <c r="D3775" s="22"/>
      <c r="E3775" s="22"/>
      <c r="F3775" s="22"/>
      <c r="G3775" s="22"/>
      <c r="H3775" s="18"/>
      <c r="I3775" s="18"/>
      <c r="J3775" s="18"/>
      <c r="K3775" s="18"/>
      <c r="L3775" s="18"/>
      <c r="M3775" s="18"/>
      <c r="N3775" s="18"/>
      <c r="O3775" s="18"/>
      <c r="P3775" s="18"/>
      <c r="Q3775" s="19"/>
      <c r="R3775" s="19"/>
      <c r="S3775" s="19"/>
      <c r="T3775" s="18"/>
      <c r="U3775" s="18"/>
      <c r="V3775" s="18"/>
      <c r="W3775" s="18"/>
      <c r="X3775" s="18"/>
      <c r="Y3775" s="18"/>
      <c r="Z3775" s="18"/>
    </row>
    <row r="3776" ht="15.75" customHeight="1">
      <c r="A3776" s="32"/>
      <c r="B3776" s="22"/>
      <c r="C3776" s="22"/>
      <c r="D3776" s="22"/>
      <c r="E3776" s="22"/>
      <c r="F3776" s="22"/>
      <c r="G3776" s="22"/>
      <c r="H3776" s="18"/>
      <c r="I3776" s="18"/>
      <c r="J3776" s="18"/>
      <c r="K3776" s="18"/>
      <c r="L3776" s="18"/>
      <c r="M3776" s="18"/>
      <c r="N3776" s="18"/>
      <c r="O3776" s="18"/>
      <c r="P3776" s="18"/>
      <c r="Q3776" s="19"/>
      <c r="R3776" s="19"/>
      <c r="S3776" s="19"/>
      <c r="T3776" s="18"/>
      <c r="U3776" s="18"/>
      <c r="V3776" s="18"/>
      <c r="W3776" s="18"/>
      <c r="X3776" s="18"/>
      <c r="Y3776" s="18"/>
      <c r="Z3776" s="18"/>
    </row>
    <row r="3777" ht="15.75" customHeight="1">
      <c r="A3777" s="32"/>
      <c r="B3777" s="22"/>
      <c r="C3777" s="22"/>
      <c r="D3777" s="22"/>
      <c r="E3777" s="22"/>
      <c r="F3777" s="22"/>
      <c r="G3777" s="22"/>
      <c r="H3777" s="18"/>
      <c r="I3777" s="18"/>
      <c r="J3777" s="18"/>
      <c r="K3777" s="18"/>
      <c r="L3777" s="18"/>
      <c r="M3777" s="18"/>
      <c r="N3777" s="18"/>
      <c r="O3777" s="18"/>
      <c r="P3777" s="18"/>
      <c r="Q3777" s="19"/>
      <c r="R3777" s="19"/>
      <c r="S3777" s="19"/>
      <c r="T3777" s="18"/>
      <c r="U3777" s="18"/>
      <c r="V3777" s="18"/>
      <c r="W3777" s="18"/>
      <c r="X3777" s="18"/>
      <c r="Y3777" s="18"/>
      <c r="Z3777" s="18"/>
    </row>
    <row r="3778" ht="15.75" customHeight="1">
      <c r="A3778" s="32"/>
      <c r="B3778" s="22"/>
      <c r="C3778" s="22"/>
      <c r="D3778" s="22"/>
      <c r="E3778" s="22"/>
      <c r="F3778" s="22"/>
      <c r="G3778" s="22"/>
      <c r="H3778" s="18"/>
      <c r="I3778" s="18"/>
      <c r="J3778" s="18"/>
      <c r="K3778" s="18"/>
      <c r="L3778" s="18"/>
      <c r="M3778" s="18"/>
      <c r="N3778" s="18"/>
      <c r="O3778" s="18"/>
      <c r="P3778" s="18"/>
      <c r="Q3778" s="19"/>
      <c r="R3778" s="19"/>
      <c r="S3778" s="19"/>
      <c r="T3778" s="18"/>
      <c r="U3778" s="18"/>
      <c r="V3778" s="18"/>
      <c r="W3778" s="18"/>
      <c r="X3778" s="18"/>
      <c r="Y3778" s="18"/>
      <c r="Z3778" s="18"/>
    </row>
    <row r="3779" ht="15.75" customHeight="1">
      <c r="A3779" s="32"/>
      <c r="B3779" s="22"/>
      <c r="C3779" s="22"/>
      <c r="D3779" s="22"/>
      <c r="E3779" s="22"/>
      <c r="F3779" s="22"/>
      <c r="G3779" s="22"/>
      <c r="H3779" s="18"/>
      <c r="I3779" s="18"/>
      <c r="J3779" s="18"/>
      <c r="K3779" s="18"/>
      <c r="L3779" s="18"/>
      <c r="M3779" s="18"/>
      <c r="N3779" s="18"/>
      <c r="O3779" s="18"/>
      <c r="P3779" s="18"/>
      <c r="Q3779" s="19"/>
      <c r="R3779" s="19"/>
      <c r="S3779" s="19"/>
      <c r="T3779" s="18"/>
      <c r="U3779" s="18"/>
      <c r="V3779" s="18"/>
      <c r="W3779" s="18"/>
      <c r="X3779" s="18"/>
      <c r="Y3779" s="18"/>
      <c r="Z3779" s="18"/>
    </row>
    <row r="3780" ht="15.75" customHeight="1">
      <c r="A3780" s="32"/>
      <c r="B3780" s="22"/>
      <c r="C3780" s="22"/>
      <c r="D3780" s="22"/>
      <c r="E3780" s="22"/>
      <c r="F3780" s="22"/>
      <c r="G3780" s="22"/>
      <c r="H3780" s="18"/>
      <c r="I3780" s="18"/>
      <c r="J3780" s="18"/>
      <c r="K3780" s="18"/>
      <c r="L3780" s="18"/>
      <c r="M3780" s="18"/>
      <c r="N3780" s="18"/>
      <c r="O3780" s="18"/>
      <c r="P3780" s="18"/>
      <c r="Q3780" s="19"/>
      <c r="R3780" s="19"/>
      <c r="S3780" s="19"/>
      <c r="T3780" s="18"/>
      <c r="U3780" s="18"/>
      <c r="V3780" s="18"/>
      <c r="W3780" s="18"/>
      <c r="X3780" s="18"/>
      <c r="Y3780" s="18"/>
      <c r="Z3780" s="18"/>
    </row>
    <row r="3781" ht="15.75" customHeight="1">
      <c r="A3781" s="32"/>
      <c r="B3781" s="22"/>
      <c r="C3781" s="22"/>
      <c r="D3781" s="22"/>
      <c r="E3781" s="22"/>
      <c r="F3781" s="22"/>
      <c r="G3781" s="22"/>
      <c r="H3781" s="18"/>
      <c r="I3781" s="18"/>
      <c r="J3781" s="18"/>
      <c r="K3781" s="18"/>
      <c r="L3781" s="18"/>
      <c r="M3781" s="18"/>
      <c r="N3781" s="18"/>
      <c r="O3781" s="18"/>
      <c r="P3781" s="18"/>
      <c r="Q3781" s="19"/>
      <c r="R3781" s="19"/>
      <c r="S3781" s="19"/>
      <c r="T3781" s="18"/>
      <c r="U3781" s="18"/>
      <c r="V3781" s="18"/>
      <c r="W3781" s="18"/>
      <c r="X3781" s="18"/>
      <c r="Y3781" s="18"/>
      <c r="Z3781" s="18"/>
    </row>
    <row r="3782" ht="15.75" customHeight="1">
      <c r="A3782" s="32"/>
      <c r="B3782" s="22"/>
      <c r="C3782" s="22"/>
      <c r="D3782" s="22"/>
      <c r="E3782" s="22"/>
      <c r="F3782" s="22"/>
      <c r="G3782" s="22"/>
      <c r="H3782" s="18"/>
      <c r="I3782" s="18"/>
      <c r="J3782" s="18"/>
      <c r="K3782" s="18"/>
      <c r="L3782" s="18"/>
      <c r="M3782" s="18"/>
      <c r="N3782" s="18"/>
      <c r="O3782" s="18"/>
      <c r="P3782" s="18"/>
      <c r="Q3782" s="19"/>
      <c r="R3782" s="19"/>
      <c r="S3782" s="19"/>
      <c r="T3782" s="18"/>
      <c r="U3782" s="18"/>
      <c r="V3782" s="18"/>
      <c r="W3782" s="18"/>
      <c r="X3782" s="18"/>
      <c r="Y3782" s="18"/>
      <c r="Z3782" s="18"/>
    </row>
    <row r="3783" ht="15.75" customHeight="1">
      <c r="A3783" s="32"/>
      <c r="B3783" s="22"/>
      <c r="C3783" s="22"/>
      <c r="D3783" s="22"/>
      <c r="E3783" s="22"/>
      <c r="F3783" s="22"/>
      <c r="G3783" s="22"/>
      <c r="H3783" s="18"/>
      <c r="I3783" s="18"/>
      <c r="J3783" s="18"/>
      <c r="K3783" s="18"/>
      <c r="L3783" s="18"/>
      <c r="M3783" s="18"/>
      <c r="N3783" s="18"/>
      <c r="O3783" s="18"/>
      <c r="P3783" s="18"/>
      <c r="Q3783" s="19"/>
      <c r="R3783" s="19"/>
      <c r="S3783" s="19"/>
      <c r="T3783" s="18"/>
      <c r="U3783" s="18"/>
      <c r="V3783" s="18"/>
      <c r="W3783" s="18"/>
      <c r="X3783" s="18"/>
      <c r="Y3783" s="18"/>
      <c r="Z3783" s="18"/>
    </row>
    <row r="3784" ht="15.75" customHeight="1">
      <c r="A3784" s="32"/>
      <c r="B3784" s="22"/>
      <c r="C3784" s="22"/>
      <c r="D3784" s="22"/>
      <c r="E3784" s="22"/>
      <c r="F3784" s="22"/>
      <c r="G3784" s="22"/>
      <c r="H3784" s="18"/>
      <c r="I3784" s="18"/>
      <c r="J3784" s="18"/>
      <c r="K3784" s="18"/>
      <c r="L3784" s="18"/>
      <c r="M3784" s="18"/>
      <c r="N3784" s="18"/>
      <c r="O3784" s="18"/>
      <c r="P3784" s="18"/>
      <c r="Q3784" s="19"/>
      <c r="R3784" s="19"/>
      <c r="S3784" s="19"/>
      <c r="T3784" s="18"/>
      <c r="U3784" s="18"/>
      <c r="V3784" s="18"/>
      <c r="W3784" s="18"/>
      <c r="X3784" s="18"/>
      <c r="Y3784" s="18"/>
      <c r="Z3784" s="18"/>
    </row>
    <row r="3785" ht="15.75" customHeight="1">
      <c r="A3785" s="32"/>
      <c r="B3785" s="22"/>
      <c r="C3785" s="22"/>
      <c r="D3785" s="22"/>
      <c r="E3785" s="22"/>
      <c r="F3785" s="22"/>
      <c r="G3785" s="22"/>
      <c r="H3785" s="18"/>
      <c r="I3785" s="18"/>
      <c r="J3785" s="18"/>
      <c r="K3785" s="18"/>
      <c r="L3785" s="18"/>
      <c r="M3785" s="18"/>
      <c r="N3785" s="18"/>
      <c r="O3785" s="18"/>
      <c r="P3785" s="18"/>
      <c r="Q3785" s="19"/>
      <c r="R3785" s="19"/>
      <c r="S3785" s="19"/>
      <c r="T3785" s="18"/>
      <c r="U3785" s="18"/>
      <c r="V3785" s="18"/>
      <c r="W3785" s="18"/>
      <c r="X3785" s="18"/>
      <c r="Y3785" s="18"/>
      <c r="Z3785" s="18"/>
    </row>
    <row r="3786" ht="15.75" customHeight="1">
      <c r="A3786" s="32"/>
      <c r="B3786" s="22"/>
      <c r="C3786" s="22"/>
      <c r="D3786" s="22"/>
      <c r="E3786" s="22"/>
      <c r="F3786" s="22"/>
      <c r="G3786" s="22"/>
      <c r="H3786" s="18"/>
      <c r="I3786" s="18"/>
      <c r="J3786" s="18"/>
      <c r="K3786" s="18"/>
      <c r="L3786" s="18"/>
      <c r="M3786" s="18"/>
      <c r="N3786" s="18"/>
      <c r="O3786" s="18"/>
      <c r="P3786" s="18"/>
      <c r="Q3786" s="19"/>
      <c r="R3786" s="19"/>
      <c r="S3786" s="19"/>
      <c r="T3786" s="18"/>
      <c r="U3786" s="18"/>
      <c r="V3786" s="18"/>
      <c r="W3786" s="18"/>
      <c r="X3786" s="18"/>
      <c r="Y3786" s="18"/>
      <c r="Z3786" s="18"/>
    </row>
    <row r="3787" ht="15.75" customHeight="1">
      <c r="A3787" s="32"/>
      <c r="B3787" s="22"/>
      <c r="C3787" s="22"/>
      <c r="D3787" s="22"/>
      <c r="E3787" s="22"/>
      <c r="F3787" s="22"/>
      <c r="G3787" s="22"/>
      <c r="H3787" s="18"/>
      <c r="I3787" s="18"/>
      <c r="J3787" s="18"/>
      <c r="K3787" s="18"/>
      <c r="L3787" s="18"/>
      <c r="M3787" s="18"/>
      <c r="N3787" s="18"/>
      <c r="O3787" s="18"/>
      <c r="P3787" s="18"/>
      <c r="Q3787" s="19"/>
      <c r="R3787" s="19"/>
      <c r="S3787" s="19"/>
      <c r="T3787" s="18"/>
      <c r="U3787" s="18"/>
      <c r="V3787" s="18"/>
      <c r="W3787" s="18"/>
      <c r="X3787" s="18"/>
      <c r="Y3787" s="18"/>
      <c r="Z3787" s="18"/>
    </row>
    <row r="3788" ht="15.75" customHeight="1">
      <c r="A3788" s="32"/>
      <c r="B3788" s="22"/>
      <c r="C3788" s="22"/>
      <c r="D3788" s="22"/>
      <c r="E3788" s="22"/>
      <c r="F3788" s="22"/>
      <c r="G3788" s="22"/>
      <c r="H3788" s="18"/>
      <c r="I3788" s="18"/>
      <c r="J3788" s="18"/>
      <c r="K3788" s="18"/>
      <c r="L3788" s="18"/>
      <c r="M3788" s="18"/>
      <c r="N3788" s="18"/>
      <c r="O3788" s="18"/>
      <c r="P3788" s="18"/>
      <c r="Q3788" s="19"/>
      <c r="R3788" s="19"/>
      <c r="S3788" s="19"/>
      <c r="T3788" s="18"/>
      <c r="U3788" s="18"/>
      <c r="V3788" s="18"/>
      <c r="W3788" s="18"/>
      <c r="X3788" s="18"/>
      <c r="Y3788" s="18"/>
      <c r="Z3788" s="18"/>
    </row>
    <row r="3789" ht="15.75" customHeight="1">
      <c r="A3789" s="32"/>
      <c r="B3789" s="22"/>
      <c r="C3789" s="22"/>
      <c r="D3789" s="22"/>
      <c r="E3789" s="22"/>
      <c r="F3789" s="22"/>
      <c r="G3789" s="22"/>
      <c r="H3789" s="18"/>
      <c r="I3789" s="18"/>
      <c r="J3789" s="18"/>
      <c r="K3789" s="18"/>
      <c r="L3789" s="18"/>
      <c r="M3789" s="18"/>
      <c r="N3789" s="18"/>
      <c r="O3789" s="18"/>
      <c r="P3789" s="18"/>
      <c r="Q3789" s="19"/>
      <c r="R3789" s="19"/>
      <c r="S3789" s="19"/>
      <c r="T3789" s="18"/>
      <c r="U3789" s="18"/>
      <c r="V3789" s="18"/>
      <c r="W3789" s="18"/>
      <c r="X3789" s="18"/>
      <c r="Y3789" s="18"/>
      <c r="Z3789" s="18"/>
    </row>
    <row r="3790" ht="15.75" customHeight="1">
      <c r="A3790" s="32"/>
      <c r="B3790" s="22"/>
      <c r="C3790" s="22"/>
      <c r="D3790" s="22"/>
      <c r="E3790" s="22"/>
      <c r="F3790" s="22"/>
      <c r="G3790" s="22"/>
      <c r="H3790" s="18"/>
      <c r="I3790" s="18"/>
      <c r="J3790" s="18"/>
      <c r="K3790" s="18"/>
      <c r="L3790" s="18"/>
      <c r="M3790" s="18"/>
      <c r="N3790" s="18"/>
      <c r="O3790" s="18"/>
      <c r="P3790" s="18"/>
      <c r="Q3790" s="19"/>
      <c r="R3790" s="19"/>
      <c r="S3790" s="19"/>
      <c r="T3790" s="18"/>
      <c r="U3790" s="18"/>
      <c r="V3790" s="18"/>
      <c r="W3790" s="18"/>
      <c r="X3790" s="18"/>
      <c r="Y3790" s="18"/>
      <c r="Z3790" s="18"/>
    </row>
    <row r="3791" ht="15.75" customHeight="1">
      <c r="A3791" s="32"/>
      <c r="B3791" s="22"/>
      <c r="C3791" s="22"/>
      <c r="D3791" s="22"/>
      <c r="E3791" s="22"/>
      <c r="F3791" s="22"/>
      <c r="G3791" s="22"/>
      <c r="H3791" s="18"/>
      <c r="I3791" s="18"/>
      <c r="J3791" s="18"/>
      <c r="K3791" s="18"/>
      <c r="L3791" s="18"/>
      <c r="M3791" s="18"/>
      <c r="N3791" s="18"/>
      <c r="O3791" s="18"/>
      <c r="P3791" s="18"/>
      <c r="Q3791" s="19"/>
      <c r="R3791" s="19"/>
      <c r="S3791" s="19"/>
      <c r="T3791" s="18"/>
      <c r="U3791" s="18"/>
      <c r="V3791" s="18"/>
      <c r="W3791" s="18"/>
      <c r="X3791" s="18"/>
      <c r="Y3791" s="18"/>
      <c r="Z3791" s="18"/>
    </row>
    <row r="3792" ht="15.75" customHeight="1">
      <c r="A3792" s="32"/>
      <c r="B3792" s="22"/>
      <c r="C3792" s="22"/>
      <c r="D3792" s="22"/>
      <c r="E3792" s="22"/>
      <c r="F3792" s="22"/>
      <c r="G3792" s="22"/>
      <c r="H3792" s="18"/>
      <c r="I3792" s="18"/>
      <c r="J3792" s="18"/>
      <c r="K3792" s="18"/>
      <c r="L3792" s="18"/>
      <c r="M3792" s="18"/>
      <c r="N3792" s="18"/>
      <c r="O3792" s="18"/>
      <c r="P3792" s="18"/>
      <c r="Q3792" s="19"/>
      <c r="R3792" s="19"/>
      <c r="S3792" s="19"/>
      <c r="T3792" s="18"/>
      <c r="U3792" s="18"/>
      <c r="V3792" s="18"/>
      <c r="W3792" s="18"/>
      <c r="X3792" s="18"/>
      <c r="Y3792" s="18"/>
      <c r="Z3792" s="18"/>
    </row>
    <row r="3793" ht="15.75" customHeight="1">
      <c r="A3793" s="32"/>
      <c r="B3793" s="22"/>
      <c r="C3793" s="22"/>
      <c r="D3793" s="22"/>
      <c r="E3793" s="22"/>
      <c r="F3793" s="22"/>
      <c r="G3793" s="22"/>
      <c r="H3793" s="18"/>
      <c r="I3793" s="18"/>
      <c r="J3793" s="18"/>
      <c r="K3793" s="18"/>
      <c r="L3793" s="18"/>
      <c r="M3793" s="18"/>
      <c r="N3793" s="18"/>
      <c r="O3793" s="18"/>
      <c r="P3793" s="18"/>
      <c r="Q3793" s="19"/>
      <c r="R3793" s="19"/>
      <c r="S3793" s="19"/>
      <c r="T3793" s="18"/>
      <c r="U3793" s="18"/>
      <c r="V3793" s="18"/>
      <c r="W3793" s="18"/>
      <c r="X3793" s="18"/>
      <c r="Y3793" s="18"/>
      <c r="Z3793" s="18"/>
    </row>
    <row r="3794" ht="15.75" customHeight="1">
      <c r="A3794" s="32"/>
      <c r="B3794" s="22"/>
      <c r="C3794" s="22"/>
      <c r="D3794" s="22"/>
      <c r="E3794" s="22"/>
      <c r="F3794" s="22"/>
      <c r="G3794" s="22"/>
      <c r="H3794" s="18"/>
      <c r="I3794" s="18"/>
      <c r="J3794" s="18"/>
      <c r="K3794" s="18"/>
      <c r="L3794" s="18"/>
      <c r="M3794" s="18"/>
      <c r="N3794" s="18"/>
      <c r="O3794" s="18"/>
      <c r="P3794" s="18"/>
      <c r="Q3794" s="19"/>
      <c r="R3794" s="19"/>
      <c r="S3794" s="19"/>
      <c r="T3794" s="18"/>
      <c r="U3794" s="18"/>
      <c r="V3794" s="18"/>
      <c r="W3794" s="18"/>
      <c r="X3794" s="18"/>
      <c r="Y3794" s="18"/>
      <c r="Z3794" s="18"/>
    </row>
    <row r="3795" ht="15.75" customHeight="1">
      <c r="A3795" s="32"/>
      <c r="B3795" s="22"/>
      <c r="C3795" s="22"/>
      <c r="D3795" s="22"/>
      <c r="E3795" s="22"/>
      <c r="F3795" s="22"/>
      <c r="G3795" s="22"/>
      <c r="H3795" s="18"/>
      <c r="I3795" s="18"/>
      <c r="J3795" s="18"/>
      <c r="K3795" s="18"/>
      <c r="L3795" s="18"/>
      <c r="M3795" s="18"/>
      <c r="N3795" s="18"/>
      <c r="O3795" s="18"/>
      <c r="P3795" s="18"/>
      <c r="Q3795" s="19"/>
      <c r="R3795" s="19"/>
      <c r="S3795" s="19"/>
      <c r="T3795" s="18"/>
      <c r="U3795" s="18"/>
      <c r="V3795" s="18"/>
      <c r="W3795" s="18"/>
      <c r="X3795" s="18"/>
      <c r="Y3795" s="18"/>
      <c r="Z3795" s="18"/>
    </row>
    <row r="3796" ht="15.75" customHeight="1">
      <c r="A3796" s="32"/>
      <c r="B3796" s="22"/>
      <c r="C3796" s="22"/>
      <c r="D3796" s="22"/>
      <c r="E3796" s="22"/>
      <c r="F3796" s="22"/>
      <c r="G3796" s="22"/>
      <c r="H3796" s="18"/>
      <c r="I3796" s="18"/>
      <c r="J3796" s="18"/>
      <c r="K3796" s="18"/>
      <c r="L3796" s="18"/>
      <c r="M3796" s="18"/>
      <c r="N3796" s="18"/>
      <c r="O3796" s="18"/>
      <c r="P3796" s="18"/>
      <c r="Q3796" s="19"/>
      <c r="R3796" s="19"/>
      <c r="S3796" s="19"/>
      <c r="T3796" s="18"/>
      <c r="U3796" s="18"/>
      <c r="V3796" s="18"/>
      <c r="W3796" s="18"/>
      <c r="X3796" s="18"/>
      <c r="Y3796" s="18"/>
      <c r="Z3796" s="18"/>
    </row>
    <row r="3797" ht="15.75" customHeight="1">
      <c r="A3797" s="32"/>
      <c r="B3797" s="22"/>
      <c r="C3797" s="22"/>
      <c r="D3797" s="22"/>
      <c r="E3797" s="22"/>
      <c r="F3797" s="22"/>
      <c r="G3797" s="22"/>
      <c r="H3797" s="18"/>
      <c r="I3797" s="18"/>
      <c r="J3797" s="18"/>
      <c r="K3797" s="18"/>
      <c r="L3797" s="18"/>
      <c r="M3797" s="18"/>
      <c r="N3797" s="18"/>
      <c r="O3797" s="18"/>
      <c r="P3797" s="18"/>
      <c r="Q3797" s="19"/>
      <c r="R3797" s="19"/>
      <c r="S3797" s="19"/>
      <c r="T3797" s="18"/>
      <c r="U3797" s="18"/>
      <c r="V3797" s="18"/>
      <c r="W3797" s="18"/>
      <c r="X3797" s="18"/>
      <c r="Y3797" s="18"/>
      <c r="Z3797" s="18"/>
    </row>
    <row r="3798" ht="15.75" customHeight="1">
      <c r="A3798" s="32"/>
      <c r="B3798" s="22"/>
      <c r="C3798" s="22"/>
      <c r="D3798" s="22"/>
      <c r="E3798" s="22"/>
      <c r="F3798" s="22"/>
      <c r="G3798" s="22"/>
      <c r="H3798" s="18"/>
      <c r="I3798" s="18"/>
      <c r="J3798" s="18"/>
      <c r="K3798" s="18"/>
      <c r="L3798" s="18"/>
      <c r="M3798" s="18"/>
      <c r="N3798" s="18"/>
      <c r="O3798" s="18"/>
      <c r="P3798" s="18"/>
      <c r="Q3798" s="19"/>
      <c r="R3798" s="19"/>
      <c r="S3798" s="19"/>
      <c r="T3798" s="18"/>
      <c r="U3798" s="18"/>
      <c r="V3798" s="18"/>
      <c r="W3798" s="18"/>
      <c r="X3798" s="18"/>
      <c r="Y3798" s="18"/>
      <c r="Z3798" s="18"/>
    </row>
    <row r="3799" ht="15.75" customHeight="1">
      <c r="A3799" s="32"/>
      <c r="B3799" s="22"/>
      <c r="C3799" s="22"/>
      <c r="D3799" s="22"/>
      <c r="E3799" s="22"/>
      <c r="F3799" s="22"/>
      <c r="G3799" s="22"/>
      <c r="H3799" s="18"/>
      <c r="I3799" s="18"/>
      <c r="J3799" s="18"/>
      <c r="K3799" s="18"/>
      <c r="L3799" s="18"/>
      <c r="M3799" s="18"/>
      <c r="N3799" s="18"/>
      <c r="O3799" s="18"/>
      <c r="P3799" s="18"/>
      <c r="Q3799" s="19"/>
      <c r="R3799" s="19"/>
      <c r="S3799" s="19"/>
      <c r="T3799" s="18"/>
      <c r="U3799" s="18"/>
      <c r="V3799" s="18"/>
      <c r="W3799" s="18"/>
      <c r="X3799" s="18"/>
      <c r="Y3799" s="18"/>
      <c r="Z3799" s="18"/>
    </row>
    <row r="3800" ht="15.75" customHeight="1">
      <c r="A3800" s="32"/>
      <c r="B3800" s="22"/>
      <c r="C3800" s="22"/>
      <c r="D3800" s="22"/>
      <c r="E3800" s="22"/>
      <c r="F3800" s="22"/>
      <c r="G3800" s="22"/>
      <c r="H3800" s="18"/>
      <c r="I3800" s="18"/>
      <c r="J3800" s="18"/>
      <c r="K3800" s="18"/>
      <c r="L3800" s="18"/>
      <c r="M3800" s="18"/>
      <c r="N3800" s="18"/>
      <c r="O3800" s="18"/>
      <c r="P3800" s="18"/>
      <c r="Q3800" s="19"/>
      <c r="R3800" s="19"/>
      <c r="S3800" s="19"/>
      <c r="T3800" s="18"/>
      <c r="U3800" s="18"/>
      <c r="V3800" s="18"/>
      <c r="W3800" s="18"/>
      <c r="X3800" s="18"/>
      <c r="Y3800" s="18"/>
      <c r="Z3800" s="18"/>
    </row>
    <row r="3801" ht="15.75" customHeight="1">
      <c r="A3801" s="32"/>
      <c r="B3801" s="22"/>
      <c r="C3801" s="22"/>
      <c r="D3801" s="22"/>
      <c r="E3801" s="22"/>
      <c r="F3801" s="22"/>
      <c r="G3801" s="22"/>
      <c r="H3801" s="18"/>
      <c r="I3801" s="18"/>
      <c r="J3801" s="18"/>
      <c r="K3801" s="18"/>
      <c r="L3801" s="18"/>
      <c r="M3801" s="18"/>
      <c r="N3801" s="18"/>
      <c r="O3801" s="18"/>
      <c r="P3801" s="18"/>
      <c r="Q3801" s="19"/>
      <c r="R3801" s="19"/>
      <c r="S3801" s="19"/>
      <c r="T3801" s="18"/>
      <c r="U3801" s="18"/>
      <c r="V3801" s="18"/>
      <c r="W3801" s="18"/>
      <c r="X3801" s="18"/>
      <c r="Y3801" s="18"/>
      <c r="Z3801" s="18"/>
    </row>
    <row r="3802" ht="15.75" customHeight="1">
      <c r="A3802" s="32"/>
      <c r="B3802" s="22"/>
      <c r="C3802" s="22"/>
      <c r="D3802" s="22"/>
      <c r="E3802" s="22"/>
      <c r="F3802" s="22"/>
      <c r="G3802" s="22"/>
      <c r="H3802" s="18"/>
      <c r="I3802" s="18"/>
      <c r="J3802" s="18"/>
      <c r="K3802" s="18"/>
      <c r="L3802" s="18"/>
      <c r="M3802" s="18"/>
      <c r="N3802" s="18"/>
      <c r="O3802" s="18"/>
      <c r="P3802" s="18"/>
      <c r="Q3802" s="19"/>
      <c r="R3802" s="19"/>
      <c r="S3802" s="19"/>
      <c r="T3802" s="18"/>
      <c r="U3802" s="18"/>
      <c r="V3802" s="18"/>
      <c r="W3802" s="18"/>
      <c r="X3802" s="18"/>
      <c r="Y3802" s="18"/>
      <c r="Z3802" s="18"/>
    </row>
    <row r="3803" ht="15.75" customHeight="1">
      <c r="A3803" s="32"/>
      <c r="B3803" s="22"/>
      <c r="C3803" s="22"/>
      <c r="D3803" s="22"/>
      <c r="E3803" s="22"/>
      <c r="F3803" s="22"/>
      <c r="G3803" s="22"/>
      <c r="H3803" s="18"/>
      <c r="I3803" s="18"/>
      <c r="J3803" s="18"/>
      <c r="K3803" s="18"/>
      <c r="L3803" s="18"/>
      <c r="M3803" s="18"/>
      <c r="N3803" s="18"/>
      <c r="O3803" s="18"/>
      <c r="P3803" s="18"/>
      <c r="Q3803" s="19"/>
      <c r="R3803" s="19"/>
      <c r="S3803" s="19"/>
      <c r="T3803" s="18"/>
      <c r="U3803" s="18"/>
      <c r="V3803" s="18"/>
      <c r="W3803" s="18"/>
      <c r="X3803" s="18"/>
      <c r="Y3803" s="18"/>
      <c r="Z3803" s="18"/>
    </row>
    <row r="3804" ht="15.75" customHeight="1">
      <c r="A3804" s="32"/>
      <c r="B3804" s="22"/>
      <c r="C3804" s="22"/>
      <c r="D3804" s="22"/>
      <c r="E3804" s="22"/>
      <c r="F3804" s="22"/>
      <c r="G3804" s="22"/>
      <c r="H3804" s="18"/>
      <c r="I3804" s="18"/>
      <c r="J3804" s="18"/>
      <c r="K3804" s="18"/>
      <c r="L3804" s="18"/>
      <c r="M3804" s="18"/>
      <c r="N3804" s="18"/>
      <c r="O3804" s="18"/>
      <c r="P3804" s="18"/>
      <c r="Q3804" s="19"/>
      <c r="R3804" s="19"/>
      <c r="S3804" s="19"/>
      <c r="T3804" s="18"/>
      <c r="U3804" s="18"/>
      <c r="V3804" s="18"/>
      <c r="W3804" s="18"/>
      <c r="X3804" s="18"/>
      <c r="Y3804" s="18"/>
      <c r="Z3804" s="18"/>
    </row>
    <row r="3805" ht="15.75" customHeight="1">
      <c r="A3805" s="32"/>
      <c r="B3805" s="22"/>
      <c r="C3805" s="22"/>
      <c r="D3805" s="22"/>
      <c r="E3805" s="22"/>
      <c r="F3805" s="22"/>
      <c r="G3805" s="22"/>
      <c r="H3805" s="18"/>
      <c r="I3805" s="18"/>
      <c r="J3805" s="18"/>
      <c r="K3805" s="18"/>
      <c r="L3805" s="18"/>
      <c r="M3805" s="18"/>
      <c r="N3805" s="18"/>
      <c r="O3805" s="18"/>
      <c r="P3805" s="18"/>
      <c r="Q3805" s="19"/>
      <c r="R3805" s="19"/>
      <c r="S3805" s="19"/>
      <c r="T3805" s="18"/>
      <c r="U3805" s="18"/>
      <c r="V3805" s="18"/>
      <c r="W3805" s="18"/>
      <c r="X3805" s="18"/>
      <c r="Y3805" s="18"/>
      <c r="Z3805" s="18"/>
    </row>
    <row r="3806" ht="15.75" customHeight="1">
      <c r="A3806" s="32"/>
      <c r="B3806" s="22"/>
      <c r="C3806" s="22"/>
      <c r="D3806" s="22"/>
      <c r="E3806" s="22"/>
      <c r="F3806" s="22"/>
      <c r="G3806" s="22"/>
      <c r="H3806" s="18"/>
      <c r="I3806" s="18"/>
      <c r="J3806" s="18"/>
      <c r="K3806" s="18"/>
      <c r="L3806" s="18"/>
      <c r="M3806" s="18"/>
      <c r="N3806" s="18"/>
      <c r="O3806" s="18"/>
      <c r="P3806" s="18"/>
      <c r="Q3806" s="19"/>
      <c r="R3806" s="19"/>
      <c r="S3806" s="19"/>
      <c r="T3806" s="18"/>
      <c r="U3806" s="18"/>
      <c r="V3806" s="18"/>
      <c r="W3806" s="18"/>
      <c r="X3806" s="18"/>
      <c r="Y3806" s="18"/>
      <c r="Z3806" s="18"/>
    </row>
    <row r="3807" ht="15.75" customHeight="1">
      <c r="A3807" s="32"/>
      <c r="B3807" s="22"/>
      <c r="C3807" s="22"/>
      <c r="D3807" s="22"/>
      <c r="E3807" s="22"/>
      <c r="F3807" s="22"/>
      <c r="G3807" s="22"/>
      <c r="H3807" s="18"/>
      <c r="I3807" s="18"/>
      <c r="J3807" s="18"/>
      <c r="K3807" s="18"/>
      <c r="L3807" s="18"/>
      <c r="M3807" s="18"/>
      <c r="N3807" s="18"/>
      <c r="O3807" s="18"/>
      <c r="P3807" s="18"/>
      <c r="Q3807" s="19"/>
      <c r="R3807" s="19"/>
      <c r="S3807" s="19"/>
      <c r="T3807" s="18"/>
      <c r="U3807" s="18"/>
      <c r="V3807" s="18"/>
      <c r="W3807" s="18"/>
      <c r="X3807" s="18"/>
      <c r="Y3807" s="18"/>
      <c r="Z3807" s="18"/>
    </row>
    <row r="3808" ht="15.75" customHeight="1">
      <c r="A3808" s="32"/>
      <c r="B3808" s="22"/>
      <c r="C3808" s="22"/>
      <c r="D3808" s="22"/>
      <c r="E3808" s="22"/>
      <c r="F3808" s="22"/>
      <c r="G3808" s="22"/>
      <c r="H3808" s="18"/>
      <c r="I3808" s="18"/>
      <c r="J3808" s="18"/>
      <c r="K3808" s="18"/>
      <c r="L3808" s="18"/>
      <c r="M3808" s="18"/>
      <c r="N3808" s="18"/>
      <c r="O3808" s="18"/>
      <c r="P3808" s="18"/>
      <c r="Q3808" s="19"/>
      <c r="R3808" s="19"/>
      <c r="S3808" s="19"/>
      <c r="T3808" s="18"/>
      <c r="U3808" s="18"/>
      <c r="V3808" s="18"/>
      <c r="W3808" s="18"/>
      <c r="X3808" s="18"/>
      <c r="Y3808" s="18"/>
      <c r="Z3808" s="18"/>
    </row>
    <row r="3809" ht="15.75" customHeight="1">
      <c r="A3809" s="32"/>
      <c r="B3809" s="22"/>
      <c r="C3809" s="22"/>
      <c r="D3809" s="22"/>
      <c r="E3809" s="22"/>
      <c r="F3809" s="22"/>
      <c r="G3809" s="22"/>
      <c r="H3809" s="18"/>
      <c r="I3809" s="18"/>
      <c r="J3809" s="18"/>
      <c r="K3809" s="18"/>
      <c r="L3809" s="18"/>
      <c r="M3809" s="18"/>
      <c r="N3809" s="18"/>
      <c r="O3809" s="18"/>
      <c r="P3809" s="18"/>
      <c r="Q3809" s="19"/>
      <c r="R3809" s="19"/>
      <c r="S3809" s="19"/>
      <c r="T3809" s="18"/>
      <c r="U3809" s="18"/>
      <c r="V3809" s="18"/>
      <c r="W3809" s="18"/>
      <c r="X3809" s="18"/>
      <c r="Y3809" s="18"/>
      <c r="Z3809" s="18"/>
    </row>
    <row r="3810" ht="15.75" customHeight="1">
      <c r="A3810" s="32"/>
      <c r="B3810" s="22"/>
      <c r="C3810" s="22"/>
      <c r="D3810" s="22"/>
      <c r="E3810" s="22"/>
      <c r="F3810" s="22"/>
      <c r="G3810" s="22"/>
      <c r="H3810" s="18"/>
      <c r="I3810" s="18"/>
      <c r="J3810" s="18"/>
      <c r="K3810" s="18"/>
      <c r="L3810" s="18"/>
      <c r="M3810" s="18"/>
      <c r="N3810" s="18"/>
      <c r="O3810" s="18"/>
      <c r="P3810" s="18"/>
      <c r="Q3810" s="19"/>
      <c r="R3810" s="19"/>
      <c r="S3810" s="19"/>
      <c r="T3810" s="18"/>
      <c r="U3810" s="18"/>
      <c r="V3810" s="18"/>
      <c r="W3810" s="18"/>
      <c r="X3810" s="18"/>
      <c r="Y3810" s="18"/>
      <c r="Z3810" s="18"/>
    </row>
    <row r="3811" ht="15.75" customHeight="1">
      <c r="A3811" s="32"/>
      <c r="B3811" s="22"/>
      <c r="C3811" s="22"/>
      <c r="D3811" s="22"/>
      <c r="E3811" s="22"/>
      <c r="F3811" s="22"/>
      <c r="G3811" s="22"/>
      <c r="H3811" s="18"/>
      <c r="I3811" s="18"/>
      <c r="J3811" s="18"/>
      <c r="K3811" s="18"/>
      <c r="L3811" s="18"/>
      <c r="M3811" s="18"/>
      <c r="N3811" s="18"/>
      <c r="O3811" s="18"/>
      <c r="P3811" s="18"/>
      <c r="Q3811" s="19"/>
      <c r="R3811" s="19"/>
      <c r="S3811" s="19"/>
      <c r="T3811" s="18"/>
      <c r="U3811" s="18"/>
      <c r="V3811" s="18"/>
      <c r="W3811" s="18"/>
      <c r="X3811" s="18"/>
      <c r="Y3811" s="18"/>
      <c r="Z3811" s="18"/>
    </row>
    <row r="3812" ht="15.75" customHeight="1">
      <c r="A3812" s="32"/>
      <c r="B3812" s="22"/>
      <c r="C3812" s="22"/>
      <c r="D3812" s="22"/>
      <c r="E3812" s="22"/>
      <c r="F3812" s="22"/>
      <c r="G3812" s="22"/>
      <c r="H3812" s="18"/>
      <c r="I3812" s="18"/>
      <c r="J3812" s="18"/>
      <c r="K3812" s="18"/>
      <c r="L3812" s="18"/>
      <c r="M3812" s="18"/>
      <c r="N3812" s="18"/>
      <c r="O3812" s="18"/>
      <c r="P3812" s="18"/>
      <c r="Q3812" s="19"/>
      <c r="R3812" s="19"/>
      <c r="S3812" s="19"/>
      <c r="T3812" s="18"/>
      <c r="U3812" s="18"/>
      <c r="V3812" s="18"/>
      <c r="W3812" s="18"/>
      <c r="X3812" s="18"/>
      <c r="Y3812" s="18"/>
      <c r="Z3812" s="18"/>
    </row>
    <row r="3813" ht="15.75" customHeight="1">
      <c r="A3813" s="32"/>
      <c r="B3813" s="22"/>
      <c r="C3813" s="22"/>
      <c r="D3813" s="22"/>
      <c r="E3813" s="22"/>
      <c r="F3813" s="22"/>
      <c r="G3813" s="22"/>
      <c r="H3813" s="18"/>
      <c r="I3813" s="18"/>
      <c r="J3813" s="18"/>
      <c r="K3813" s="18"/>
      <c r="L3813" s="18"/>
      <c r="M3813" s="18"/>
      <c r="N3813" s="18"/>
      <c r="O3813" s="18"/>
      <c r="P3813" s="18"/>
      <c r="Q3813" s="19"/>
      <c r="R3813" s="19"/>
      <c r="S3813" s="19"/>
      <c r="T3813" s="18"/>
      <c r="U3813" s="18"/>
      <c r="V3813" s="18"/>
      <c r="W3813" s="18"/>
      <c r="X3813" s="18"/>
      <c r="Y3813" s="18"/>
      <c r="Z3813" s="18"/>
    </row>
    <row r="3814" ht="15.75" customHeight="1">
      <c r="A3814" s="32"/>
      <c r="B3814" s="22"/>
      <c r="C3814" s="22"/>
      <c r="D3814" s="22"/>
      <c r="E3814" s="22"/>
      <c r="F3814" s="22"/>
      <c r="G3814" s="22"/>
      <c r="H3814" s="18"/>
      <c r="I3814" s="18"/>
      <c r="J3814" s="18"/>
      <c r="K3814" s="18"/>
      <c r="L3814" s="18"/>
      <c r="M3814" s="18"/>
      <c r="N3814" s="18"/>
      <c r="O3814" s="18"/>
      <c r="P3814" s="18"/>
      <c r="Q3814" s="19"/>
      <c r="R3814" s="19"/>
      <c r="S3814" s="19"/>
      <c r="T3814" s="18"/>
      <c r="U3814" s="18"/>
      <c r="V3814" s="18"/>
      <c r="W3814" s="18"/>
      <c r="X3814" s="18"/>
      <c r="Y3814" s="18"/>
      <c r="Z3814" s="18"/>
    </row>
    <row r="3815" ht="15.75" customHeight="1">
      <c r="A3815" s="32"/>
      <c r="B3815" s="22"/>
      <c r="C3815" s="22"/>
      <c r="D3815" s="22"/>
      <c r="E3815" s="22"/>
      <c r="F3815" s="22"/>
      <c r="G3815" s="22"/>
      <c r="H3815" s="18"/>
      <c r="I3815" s="18"/>
      <c r="J3815" s="18"/>
      <c r="K3815" s="18"/>
      <c r="L3815" s="18"/>
      <c r="M3815" s="18"/>
      <c r="N3815" s="18"/>
      <c r="O3815" s="18"/>
      <c r="P3815" s="18"/>
      <c r="Q3815" s="19"/>
      <c r="R3815" s="19"/>
      <c r="S3815" s="19"/>
      <c r="T3815" s="18"/>
      <c r="U3815" s="18"/>
      <c r="V3815" s="18"/>
      <c r="W3815" s="18"/>
      <c r="X3815" s="18"/>
      <c r="Y3815" s="18"/>
      <c r="Z3815" s="18"/>
    </row>
    <row r="3816" ht="15.75" customHeight="1">
      <c r="A3816" s="32"/>
      <c r="B3816" s="22"/>
      <c r="C3816" s="22"/>
      <c r="D3816" s="22"/>
      <c r="E3816" s="22"/>
      <c r="F3816" s="22"/>
      <c r="G3816" s="22"/>
      <c r="H3816" s="18"/>
      <c r="I3816" s="18"/>
      <c r="J3816" s="18"/>
      <c r="K3816" s="18"/>
      <c r="L3816" s="18"/>
      <c r="M3816" s="18"/>
      <c r="N3816" s="18"/>
      <c r="O3816" s="18"/>
      <c r="P3816" s="18"/>
      <c r="Q3816" s="19"/>
      <c r="R3816" s="19"/>
      <c r="S3816" s="19"/>
      <c r="T3816" s="18"/>
      <c r="U3816" s="18"/>
      <c r="V3816" s="18"/>
      <c r="W3816" s="18"/>
      <c r="X3816" s="18"/>
      <c r="Y3816" s="18"/>
      <c r="Z3816" s="18"/>
    </row>
    <row r="3817" ht="15.75" customHeight="1">
      <c r="A3817" s="32"/>
      <c r="B3817" s="22"/>
      <c r="C3817" s="22"/>
      <c r="D3817" s="22"/>
      <c r="E3817" s="22"/>
      <c r="F3817" s="22"/>
      <c r="G3817" s="22"/>
      <c r="H3817" s="18"/>
      <c r="I3817" s="18"/>
      <c r="J3817" s="18"/>
      <c r="K3817" s="18"/>
      <c r="L3817" s="18"/>
      <c r="M3817" s="18"/>
      <c r="N3817" s="18"/>
      <c r="O3817" s="18"/>
      <c r="P3817" s="18"/>
      <c r="Q3817" s="19"/>
      <c r="R3817" s="19"/>
      <c r="S3817" s="19"/>
      <c r="T3817" s="18"/>
      <c r="U3817" s="18"/>
      <c r="V3817" s="18"/>
      <c r="W3817" s="18"/>
      <c r="X3817" s="18"/>
      <c r="Y3817" s="18"/>
      <c r="Z3817" s="18"/>
    </row>
    <row r="3818" ht="15.75" customHeight="1">
      <c r="A3818" s="32"/>
      <c r="B3818" s="22"/>
      <c r="C3818" s="22"/>
      <c r="D3818" s="22"/>
      <c r="E3818" s="22"/>
      <c r="F3818" s="22"/>
      <c r="G3818" s="22"/>
      <c r="H3818" s="18"/>
      <c r="I3818" s="18"/>
      <c r="J3818" s="18"/>
      <c r="K3818" s="18"/>
      <c r="L3818" s="18"/>
      <c r="M3818" s="18"/>
      <c r="N3818" s="18"/>
      <c r="O3818" s="18"/>
      <c r="P3818" s="18"/>
      <c r="Q3818" s="19"/>
      <c r="R3818" s="19"/>
      <c r="S3818" s="19"/>
      <c r="T3818" s="18"/>
      <c r="U3818" s="18"/>
      <c r="V3818" s="18"/>
      <c r="W3818" s="18"/>
      <c r="X3818" s="18"/>
      <c r="Y3818" s="18"/>
      <c r="Z3818" s="18"/>
    </row>
    <row r="3819" ht="15.75" customHeight="1">
      <c r="A3819" s="32"/>
      <c r="B3819" s="22"/>
      <c r="C3819" s="22"/>
      <c r="D3819" s="22"/>
      <c r="E3819" s="22"/>
      <c r="F3819" s="22"/>
      <c r="G3819" s="22"/>
      <c r="H3819" s="18"/>
      <c r="I3819" s="18"/>
      <c r="J3819" s="18"/>
      <c r="K3819" s="18"/>
      <c r="L3819" s="18"/>
      <c r="M3819" s="18"/>
      <c r="N3819" s="18"/>
      <c r="O3819" s="18"/>
      <c r="P3819" s="18"/>
      <c r="Q3819" s="19"/>
      <c r="R3819" s="19"/>
      <c r="S3819" s="19"/>
      <c r="T3819" s="18"/>
      <c r="U3819" s="18"/>
      <c r="V3819" s="18"/>
      <c r="W3819" s="18"/>
      <c r="X3819" s="18"/>
      <c r="Y3819" s="18"/>
      <c r="Z3819" s="18"/>
    </row>
    <row r="3820" ht="15.75" customHeight="1">
      <c r="A3820" s="32"/>
      <c r="B3820" s="22"/>
      <c r="C3820" s="22"/>
      <c r="D3820" s="22"/>
      <c r="E3820" s="22"/>
      <c r="F3820" s="22"/>
      <c r="G3820" s="22"/>
      <c r="H3820" s="18"/>
      <c r="I3820" s="18"/>
      <c r="J3820" s="18"/>
      <c r="K3820" s="18"/>
      <c r="L3820" s="18"/>
      <c r="M3820" s="18"/>
      <c r="N3820" s="18"/>
      <c r="O3820" s="18"/>
      <c r="P3820" s="18"/>
      <c r="Q3820" s="19"/>
      <c r="R3820" s="19"/>
      <c r="S3820" s="19"/>
      <c r="T3820" s="18"/>
      <c r="U3820" s="18"/>
      <c r="V3820" s="18"/>
      <c r="W3820" s="18"/>
      <c r="X3820" s="18"/>
      <c r="Y3820" s="18"/>
      <c r="Z3820" s="18"/>
    </row>
    <row r="3821" ht="15.75" customHeight="1">
      <c r="A3821" s="32"/>
      <c r="B3821" s="22"/>
      <c r="C3821" s="22"/>
      <c r="D3821" s="22"/>
      <c r="E3821" s="22"/>
      <c r="F3821" s="22"/>
      <c r="G3821" s="22"/>
      <c r="H3821" s="18"/>
      <c r="I3821" s="18"/>
      <c r="J3821" s="18"/>
      <c r="K3821" s="18"/>
      <c r="L3821" s="18"/>
      <c r="M3821" s="18"/>
      <c r="N3821" s="18"/>
      <c r="O3821" s="18"/>
      <c r="P3821" s="18"/>
      <c r="Q3821" s="19"/>
      <c r="R3821" s="19"/>
      <c r="S3821" s="19"/>
      <c r="T3821" s="18"/>
      <c r="U3821" s="18"/>
      <c r="V3821" s="18"/>
      <c r="W3821" s="18"/>
      <c r="X3821" s="18"/>
      <c r="Y3821" s="18"/>
      <c r="Z3821" s="18"/>
    </row>
    <row r="3822" ht="15.75" customHeight="1">
      <c r="A3822" s="32"/>
      <c r="B3822" s="22"/>
      <c r="C3822" s="22"/>
      <c r="D3822" s="22"/>
      <c r="E3822" s="22"/>
      <c r="F3822" s="22"/>
      <c r="G3822" s="22"/>
      <c r="H3822" s="18"/>
      <c r="I3822" s="18"/>
      <c r="J3822" s="18"/>
      <c r="K3822" s="18"/>
      <c r="L3822" s="18"/>
      <c r="M3822" s="18"/>
      <c r="N3822" s="18"/>
      <c r="O3822" s="18"/>
      <c r="P3822" s="18"/>
      <c r="Q3822" s="19"/>
      <c r="R3822" s="19"/>
      <c r="S3822" s="19"/>
      <c r="T3822" s="18"/>
      <c r="U3822" s="18"/>
      <c r="V3822" s="18"/>
      <c r="W3822" s="18"/>
      <c r="X3822" s="18"/>
      <c r="Y3822" s="18"/>
      <c r="Z3822" s="18"/>
    </row>
    <row r="3823" ht="15.75" customHeight="1">
      <c r="A3823" s="32"/>
      <c r="B3823" s="22"/>
      <c r="C3823" s="22"/>
      <c r="D3823" s="22"/>
      <c r="E3823" s="22"/>
      <c r="F3823" s="22"/>
      <c r="G3823" s="22"/>
      <c r="H3823" s="18"/>
      <c r="I3823" s="18"/>
      <c r="J3823" s="18"/>
      <c r="K3823" s="18"/>
      <c r="L3823" s="18"/>
      <c r="M3823" s="18"/>
      <c r="N3823" s="18"/>
      <c r="O3823" s="18"/>
      <c r="P3823" s="18"/>
      <c r="Q3823" s="19"/>
      <c r="R3823" s="19"/>
      <c r="S3823" s="19"/>
      <c r="T3823" s="18"/>
      <c r="U3823" s="18"/>
      <c r="V3823" s="18"/>
      <c r="W3823" s="18"/>
      <c r="X3823" s="18"/>
      <c r="Y3823" s="18"/>
      <c r="Z3823" s="18"/>
    </row>
    <row r="3824" ht="15.75" customHeight="1">
      <c r="A3824" s="32"/>
      <c r="B3824" s="22"/>
      <c r="C3824" s="22"/>
      <c r="D3824" s="22"/>
      <c r="E3824" s="22"/>
      <c r="F3824" s="22"/>
      <c r="G3824" s="22"/>
      <c r="H3824" s="18"/>
      <c r="I3824" s="18"/>
      <c r="J3824" s="18"/>
      <c r="K3824" s="18"/>
      <c r="L3824" s="18"/>
      <c r="M3824" s="18"/>
      <c r="N3824" s="18"/>
      <c r="O3824" s="18"/>
      <c r="P3824" s="18"/>
      <c r="Q3824" s="19"/>
      <c r="R3824" s="19"/>
      <c r="S3824" s="19"/>
      <c r="T3824" s="18"/>
      <c r="U3824" s="18"/>
      <c r="V3824" s="18"/>
      <c r="W3824" s="18"/>
      <c r="X3824" s="18"/>
      <c r="Y3824" s="18"/>
      <c r="Z3824" s="18"/>
    </row>
    <row r="3825" ht="15.75" customHeight="1">
      <c r="A3825" s="32"/>
      <c r="B3825" s="22"/>
      <c r="C3825" s="22"/>
      <c r="D3825" s="22"/>
      <c r="E3825" s="22"/>
      <c r="F3825" s="22"/>
      <c r="G3825" s="22"/>
      <c r="H3825" s="18"/>
      <c r="I3825" s="18"/>
      <c r="J3825" s="18"/>
      <c r="K3825" s="18"/>
      <c r="L3825" s="18"/>
      <c r="M3825" s="18"/>
      <c r="N3825" s="18"/>
      <c r="O3825" s="18"/>
      <c r="P3825" s="18"/>
      <c r="Q3825" s="19"/>
      <c r="R3825" s="19"/>
      <c r="S3825" s="19"/>
      <c r="T3825" s="18"/>
      <c r="U3825" s="18"/>
      <c r="V3825" s="18"/>
      <c r="W3825" s="18"/>
      <c r="X3825" s="18"/>
      <c r="Y3825" s="18"/>
      <c r="Z3825" s="18"/>
    </row>
    <row r="3826" ht="15.75" customHeight="1">
      <c r="A3826" s="32"/>
      <c r="B3826" s="22"/>
      <c r="C3826" s="22"/>
      <c r="D3826" s="22"/>
      <c r="E3826" s="22"/>
      <c r="F3826" s="22"/>
      <c r="G3826" s="22"/>
      <c r="H3826" s="18"/>
      <c r="I3826" s="18"/>
      <c r="J3826" s="18"/>
      <c r="K3826" s="18"/>
      <c r="L3826" s="18"/>
      <c r="M3826" s="18"/>
      <c r="N3826" s="18"/>
      <c r="O3826" s="18"/>
      <c r="P3826" s="18"/>
      <c r="Q3826" s="19"/>
      <c r="R3826" s="19"/>
      <c r="S3826" s="19"/>
      <c r="T3826" s="18"/>
      <c r="U3826" s="18"/>
      <c r="V3826" s="18"/>
      <c r="W3826" s="18"/>
      <c r="X3826" s="18"/>
      <c r="Y3826" s="18"/>
      <c r="Z3826" s="18"/>
    </row>
    <row r="3827" ht="15.75" customHeight="1">
      <c r="A3827" s="32"/>
      <c r="B3827" s="22"/>
      <c r="C3827" s="22"/>
      <c r="D3827" s="22"/>
      <c r="E3827" s="22"/>
      <c r="F3827" s="22"/>
      <c r="G3827" s="22"/>
      <c r="H3827" s="18"/>
      <c r="I3827" s="18"/>
      <c r="J3827" s="18"/>
      <c r="K3827" s="18"/>
      <c r="L3827" s="18"/>
      <c r="M3827" s="18"/>
      <c r="N3827" s="18"/>
      <c r="O3827" s="18"/>
      <c r="P3827" s="18"/>
      <c r="Q3827" s="19"/>
      <c r="R3827" s="19"/>
      <c r="S3827" s="19"/>
      <c r="T3827" s="18"/>
      <c r="U3827" s="18"/>
      <c r="V3827" s="18"/>
      <c r="W3827" s="18"/>
      <c r="X3827" s="18"/>
      <c r="Y3827" s="18"/>
      <c r="Z3827" s="18"/>
    </row>
    <row r="3828" ht="15.75" customHeight="1">
      <c r="A3828" s="32"/>
      <c r="B3828" s="22"/>
      <c r="C3828" s="22"/>
      <c r="D3828" s="22"/>
      <c r="E3828" s="22"/>
      <c r="F3828" s="22"/>
      <c r="G3828" s="22"/>
      <c r="H3828" s="18"/>
      <c r="I3828" s="18"/>
      <c r="J3828" s="18"/>
      <c r="K3828" s="18"/>
      <c r="L3828" s="18"/>
      <c r="M3828" s="18"/>
      <c r="N3828" s="18"/>
      <c r="O3828" s="18"/>
      <c r="P3828" s="18"/>
      <c r="Q3828" s="19"/>
      <c r="R3828" s="19"/>
      <c r="S3828" s="19"/>
      <c r="T3828" s="18"/>
      <c r="U3828" s="18"/>
      <c r="V3828" s="18"/>
      <c r="W3828" s="18"/>
      <c r="X3828" s="18"/>
      <c r="Y3828" s="18"/>
      <c r="Z3828" s="18"/>
    </row>
    <row r="3829" ht="15.75" customHeight="1">
      <c r="A3829" s="32"/>
      <c r="B3829" s="22"/>
      <c r="C3829" s="22"/>
      <c r="D3829" s="22"/>
      <c r="E3829" s="22"/>
      <c r="F3829" s="22"/>
      <c r="G3829" s="22"/>
      <c r="H3829" s="18"/>
      <c r="I3829" s="18"/>
      <c r="J3829" s="18"/>
      <c r="K3829" s="18"/>
      <c r="L3829" s="18"/>
      <c r="M3829" s="18"/>
      <c r="N3829" s="18"/>
      <c r="O3829" s="18"/>
      <c r="P3829" s="18"/>
      <c r="Q3829" s="19"/>
      <c r="R3829" s="19"/>
      <c r="S3829" s="19"/>
      <c r="T3829" s="18"/>
      <c r="U3829" s="18"/>
      <c r="V3829" s="18"/>
      <c r="W3829" s="18"/>
      <c r="X3829" s="18"/>
      <c r="Y3829" s="18"/>
      <c r="Z3829" s="18"/>
    </row>
    <row r="3830" ht="15.75" customHeight="1">
      <c r="A3830" s="32"/>
      <c r="B3830" s="22"/>
      <c r="C3830" s="22"/>
      <c r="D3830" s="22"/>
      <c r="E3830" s="22"/>
      <c r="F3830" s="22"/>
      <c r="G3830" s="22"/>
      <c r="H3830" s="18"/>
      <c r="I3830" s="18"/>
      <c r="J3830" s="18"/>
      <c r="K3830" s="18"/>
      <c r="L3830" s="18"/>
      <c r="M3830" s="18"/>
      <c r="N3830" s="18"/>
      <c r="O3830" s="18"/>
      <c r="P3830" s="18"/>
      <c r="Q3830" s="19"/>
      <c r="R3830" s="19"/>
      <c r="S3830" s="19"/>
      <c r="T3830" s="18"/>
      <c r="U3830" s="18"/>
      <c r="V3830" s="18"/>
      <c r="W3830" s="18"/>
      <c r="X3830" s="18"/>
      <c r="Y3830" s="18"/>
      <c r="Z3830" s="18"/>
    </row>
    <row r="3831" ht="15.75" customHeight="1">
      <c r="A3831" s="32"/>
      <c r="B3831" s="22"/>
      <c r="C3831" s="22"/>
      <c r="D3831" s="22"/>
      <c r="E3831" s="22"/>
      <c r="F3831" s="22"/>
      <c r="G3831" s="22"/>
      <c r="H3831" s="18"/>
      <c r="I3831" s="18"/>
      <c r="J3831" s="18"/>
      <c r="K3831" s="18"/>
      <c r="L3831" s="18"/>
      <c r="M3831" s="18"/>
      <c r="N3831" s="18"/>
      <c r="O3831" s="18"/>
      <c r="P3831" s="18"/>
      <c r="Q3831" s="19"/>
      <c r="R3831" s="19"/>
      <c r="S3831" s="19"/>
      <c r="T3831" s="18"/>
      <c r="U3831" s="18"/>
      <c r="V3831" s="18"/>
      <c r="W3831" s="18"/>
      <c r="X3831" s="18"/>
      <c r="Y3831" s="18"/>
      <c r="Z3831" s="18"/>
    </row>
    <row r="3832" ht="15.75" customHeight="1">
      <c r="A3832" s="32"/>
      <c r="B3832" s="22"/>
      <c r="C3832" s="22"/>
      <c r="D3832" s="22"/>
      <c r="E3832" s="22"/>
      <c r="F3832" s="22"/>
      <c r="G3832" s="22"/>
      <c r="H3832" s="18"/>
      <c r="I3832" s="18"/>
      <c r="J3832" s="18"/>
      <c r="K3832" s="18"/>
      <c r="L3832" s="18"/>
      <c r="M3832" s="18"/>
      <c r="N3832" s="18"/>
      <c r="O3832" s="18"/>
      <c r="P3832" s="18"/>
      <c r="Q3832" s="19"/>
      <c r="R3832" s="19"/>
      <c r="S3832" s="19"/>
      <c r="T3832" s="18"/>
      <c r="U3832" s="18"/>
      <c r="V3832" s="18"/>
      <c r="W3832" s="18"/>
      <c r="X3832" s="18"/>
      <c r="Y3832" s="18"/>
      <c r="Z3832" s="18"/>
    </row>
    <row r="3833" ht="15.75" customHeight="1">
      <c r="A3833" s="32"/>
      <c r="B3833" s="22"/>
      <c r="C3833" s="22"/>
      <c r="D3833" s="22"/>
      <c r="E3833" s="22"/>
      <c r="F3833" s="22"/>
      <c r="G3833" s="22"/>
      <c r="H3833" s="18"/>
      <c r="I3833" s="18"/>
      <c r="J3833" s="18"/>
      <c r="K3833" s="18"/>
      <c r="L3833" s="18"/>
      <c r="M3833" s="18"/>
      <c r="N3833" s="18"/>
      <c r="O3833" s="18"/>
      <c r="P3833" s="18"/>
      <c r="Q3833" s="19"/>
      <c r="R3833" s="19"/>
      <c r="S3833" s="19"/>
      <c r="T3833" s="18"/>
      <c r="U3833" s="18"/>
      <c r="V3833" s="18"/>
      <c r="W3833" s="18"/>
      <c r="X3833" s="18"/>
      <c r="Y3833" s="18"/>
      <c r="Z3833" s="18"/>
    </row>
    <row r="3834" ht="15.75" customHeight="1">
      <c r="A3834" s="32"/>
      <c r="B3834" s="22"/>
      <c r="C3834" s="22"/>
      <c r="D3834" s="22"/>
      <c r="E3834" s="22"/>
      <c r="F3834" s="22"/>
      <c r="G3834" s="22"/>
      <c r="H3834" s="18"/>
      <c r="I3834" s="18"/>
      <c r="J3834" s="18"/>
      <c r="K3834" s="18"/>
      <c r="L3834" s="18"/>
      <c r="M3834" s="18"/>
      <c r="N3834" s="18"/>
      <c r="O3834" s="18"/>
      <c r="P3834" s="18"/>
      <c r="Q3834" s="19"/>
      <c r="R3834" s="19"/>
      <c r="S3834" s="19"/>
      <c r="T3834" s="18"/>
      <c r="U3834" s="18"/>
      <c r="V3834" s="18"/>
      <c r="W3834" s="18"/>
      <c r="X3834" s="18"/>
      <c r="Y3834" s="18"/>
      <c r="Z3834" s="18"/>
    </row>
    <row r="3835" ht="15.75" customHeight="1">
      <c r="A3835" s="32"/>
      <c r="B3835" s="22"/>
      <c r="C3835" s="22"/>
      <c r="D3835" s="22"/>
      <c r="E3835" s="22"/>
      <c r="F3835" s="22"/>
      <c r="G3835" s="22"/>
      <c r="H3835" s="18"/>
      <c r="I3835" s="18"/>
      <c r="J3835" s="18"/>
      <c r="K3835" s="18"/>
      <c r="L3835" s="18"/>
      <c r="M3835" s="18"/>
      <c r="N3835" s="18"/>
      <c r="O3835" s="18"/>
      <c r="P3835" s="18"/>
      <c r="Q3835" s="19"/>
      <c r="R3835" s="19"/>
      <c r="S3835" s="19"/>
      <c r="T3835" s="18"/>
      <c r="U3835" s="18"/>
      <c r="V3835" s="18"/>
      <c r="W3835" s="18"/>
      <c r="X3835" s="18"/>
      <c r="Y3835" s="18"/>
      <c r="Z3835" s="18"/>
    </row>
    <row r="3836" ht="15.75" customHeight="1">
      <c r="A3836" s="32"/>
      <c r="B3836" s="22"/>
      <c r="C3836" s="22"/>
      <c r="D3836" s="22"/>
      <c r="E3836" s="22"/>
      <c r="F3836" s="22"/>
      <c r="G3836" s="22"/>
      <c r="H3836" s="18"/>
      <c r="I3836" s="18"/>
      <c r="J3836" s="18"/>
      <c r="K3836" s="18"/>
      <c r="L3836" s="18"/>
      <c r="M3836" s="18"/>
      <c r="N3836" s="18"/>
      <c r="O3836" s="18"/>
      <c r="P3836" s="18"/>
      <c r="Q3836" s="19"/>
      <c r="R3836" s="19"/>
      <c r="S3836" s="19"/>
      <c r="T3836" s="18"/>
      <c r="U3836" s="18"/>
      <c r="V3836" s="18"/>
      <c r="W3836" s="18"/>
      <c r="X3836" s="18"/>
      <c r="Y3836" s="18"/>
      <c r="Z3836" s="18"/>
    </row>
    <row r="3837" ht="15.75" customHeight="1">
      <c r="A3837" s="32"/>
      <c r="B3837" s="22"/>
      <c r="C3837" s="22"/>
      <c r="D3837" s="22"/>
      <c r="E3837" s="22"/>
      <c r="F3837" s="22"/>
      <c r="G3837" s="22"/>
      <c r="H3837" s="18"/>
      <c r="I3837" s="18"/>
      <c r="J3837" s="18"/>
      <c r="K3837" s="18"/>
      <c r="L3837" s="18"/>
      <c r="M3837" s="18"/>
      <c r="N3837" s="18"/>
      <c r="O3837" s="18"/>
      <c r="P3837" s="18"/>
      <c r="Q3837" s="19"/>
      <c r="R3837" s="19"/>
      <c r="S3837" s="19"/>
      <c r="T3837" s="18"/>
      <c r="U3837" s="18"/>
      <c r="V3837" s="18"/>
      <c r="W3837" s="18"/>
      <c r="X3837" s="18"/>
      <c r="Y3837" s="18"/>
      <c r="Z3837" s="18"/>
    </row>
    <row r="3838" ht="15.75" customHeight="1">
      <c r="A3838" s="32"/>
      <c r="B3838" s="22"/>
      <c r="C3838" s="22"/>
      <c r="D3838" s="22"/>
      <c r="E3838" s="22"/>
      <c r="F3838" s="22"/>
      <c r="G3838" s="22"/>
      <c r="H3838" s="18"/>
      <c r="I3838" s="18"/>
      <c r="J3838" s="18"/>
      <c r="K3838" s="18"/>
      <c r="L3838" s="18"/>
      <c r="M3838" s="18"/>
      <c r="N3838" s="18"/>
      <c r="O3838" s="18"/>
      <c r="P3838" s="18"/>
      <c r="Q3838" s="19"/>
      <c r="R3838" s="19"/>
      <c r="S3838" s="19"/>
      <c r="T3838" s="18"/>
      <c r="U3838" s="18"/>
      <c r="V3838" s="18"/>
      <c r="W3838" s="18"/>
      <c r="X3838" s="18"/>
      <c r="Y3838" s="18"/>
      <c r="Z3838" s="18"/>
    </row>
    <row r="3839" ht="15.75" customHeight="1">
      <c r="A3839" s="32"/>
      <c r="B3839" s="22"/>
      <c r="C3839" s="22"/>
      <c r="D3839" s="22"/>
      <c r="E3839" s="22"/>
      <c r="F3839" s="22"/>
      <c r="G3839" s="22"/>
      <c r="H3839" s="18"/>
      <c r="I3839" s="18"/>
      <c r="J3839" s="18"/>
      <c r="K3839" s="18"/>
      <c r="L3839" s="18"/>
      <c r="M3839" s="18"/>
      <c r="N3839" s="18"/>
      <c r="O3839" s="18"/>
      <c r="P3839" s="18"/>
      <c r="Q3839" s="19"/>
      <c r="R3839" s="19"/>
      <c r="S3839" s="19"/>
      <c r="T3839" s="18"/>
      <c r="U3839" s="18"/>
      <c r="V3839" s="18"/>
      <c r="W3839" s="18"/>
      <c r="X3839" s="18"/>
      <c r="Y3839" s="18"/>
      <c r="Z3839" s="18"/>
    </row>
    <row r="3840" ht="15.75" customHeight="1">
      <c r="A3840" s="32"/>
      <c r="B3840" s="22"/>
      <c r="C3840" s="22"/>
      <c r="D3840" s="22"/>
      <c r="E3840" s="22"/>
      <c r="F3840" s="22"/>
      <c r="G3840" s="22"/>
      <c r="H3840" s="18"/>
      <c r="I3840" s="18"/>
      <c r="J3840" s="18"/>
      <c r="K3840" s="18"/>
      <c r="L3840" s="18"/>
      <c r="M3840" s="18"/>
      <c r="N3840" s="18"/>
      <c r="O3840" s="18"/>
      <c r="P3840" s="18"/>
      <c r="Q3840" s="19"/>
      <c r="R3840" s="19"/>
      <c r="S3840" s="19"/>
      <c r="T3840" s="18"/>
      <c r="U3840" s="18"/>
      <c r="V3840" s="18"/>
      <c r="W3840" s="18"/>
      <c r="X3840" s="18"/>
      <c r="Y3840" s="18"/>
      <c r="Z3840" s="18"/>
    </row>
    <row r="3841" ht="15.75" customHeight="1">
      <c r="A3841" s="32"/>
      <c r="B3841" s="22"/>
      <c r="C3841" s="22"/>
      <c r="D3841" s="22"/>
      <c r="E3841" s="22"/>
      <c r="F3841" s="22"/>
      <c r="G3841" s="22"/>
      <c r="H3841" s="18"/>
      <c r="I3841" s="18"/>
      <c r="J3841" s="18"/>
      <c r="K3841" s="18"/>
      <c r="L3841" s="18"/>
      <c r="M3841" s="18"/>
      <c r="N3841" s="18"/>
      <c r="O3841" s="18"/>
      <c r="P3841" s="18"/>
      <c r="Q3841" s="19"/>
      <c r="R3841" s="19"/>
      <c r="S3841" s="19"/>
      <c r="T3841" s="18"/>
      <c r="U3841" s="18"/>
      <c r="V3841" s="18"/>
      <c r="W3841" s="18"/>
      <c r="X3841" s="18"/>
      <c r="Y3841" s="18"/>
      <c r="Z3841" s="18"/>
    </row>
    <row r="3842" ht="15.75" customHeight="1">
      <c r="A3842" s="32"/>
      <c r="B3842" s="22"/>
      <c r="C3842" s="22"/>
      <c r="D3842" s="22"/>
      <c r="E3842" s="22"/>
      <c r="F3842" s="22"/>
      <c r="G3842" s="22"/>
      <c r="H3842" s="18"/>
      <c r="I3842" s="18"/>
      <c r="J3842" s="18"/>
      <c r="K3842" s="18"/>
      <c r="L3842" s="18"/>
      <c r="M3842" s="18"/>
      <c r="N3842" s="18"/>
      <c r="O3842" s="18"/>
      <c r="P3842" s="18"/>
      <c r="Q3842" s="19"/>
      <c r="R3842" s="19"/>
      <c r="S3842" s="19"/>
      <c r="T3842" s="18"/>
      <c r="U3842" s="18"/>
      <c r="V3842" s="18"/>
      <c r="W3842" s="18"/>
      <c r="X3842" s="18"/>
      <c r="Y3842" s="18"/>
      <c r="Z3842" s="18"/>
    </row>
    <row r="3843" ht="15.75" customHeight="1">
      <c r="A3843" s="32"/>
      <c r="B3843" s="22"/>
      <c r="C3843" s="22"/>
      <c r="D3843" s="22"/>
      <c r="E3843" s="22"/>
      <c r="F3843" s="22"/>
      <c r="G3843" s="22"/>
      <c r="H3843" s="18"/>
      <c r="I3843" s="18"/>
      <c r="J3843" s="18"/>
      <c r="K3843" s="18"/>
      <c r="L3843" s="18"/>
      <c r="M3843" s="18"/>
      <c r="N3843" s="18"/>
      <c r="O3843" s="18"/>
      <c r="P3843" s="18"/>
      <c r="Q3843" s="19"/>
      <c r="R3843" s="19"/>
      <c r="S3843" s="19"/>
      <c r="T3843" s="18"/>
      <c r="U3843" s="18"/>
      <c r="V3843" s="18"/>
      <c r="W3843" s="18"/>
      <c r="X3843" s="18"/>
      <c r="Y3843" s="18"/>
      <c r="Z3843" s="18"/>
    </row>
    <row r="3844" ht="15.75" customHeight="1">
      <c r="A3844" s="32"/>
      <c r="B3844" s="22"/>
      <c r="C3844" s="22"/>
      <c r="D3844" s="22"/>
      <c r="E3844" s="22"/>
      <c r="F3844" s="22"/>
      <c r="G3844" s="22"/>
      <c r="H3844" s="18"/>
      <c r="I3844" s="18"/>
      <c r="J3844" s="18"/>
      <c r="K3844" s="18"/>
      <c r="L3844" s="18"/>
      <c r="M3844" s="18"/>
      <c r="N3844" s="18"/>
      <c r="O3844" s="18"/>
      <c r="P3844" s="18"/>
      <c r="Q3844" s="19"/>
      <c r="R3844" s="19"/>
      <c r="S3844" s="19"/>
      <c r="T3844" s="18"/>
      <c r="U3844" s="18"/>
      <c r="V3844" s="18"/>
      <c r="W3844" s="18"/>
      <c r="X3844" s="18"/>
      <c r="Y3844" s="18"/>
      <c r="Z3844" s="18"/>
    </row>
    <row r="3845" ht="15.75" customHeight="1">
      <c r="A3845" s="32"/>
      <c r="B3845" s="22"/>
      <c r="C3845" s="22"/>
      <c r="D3845" s="22"/>
      <c r="E3845" s="22"/>
      <c r="F3845" s="22"/>
      <c r="G3845" s="22"/>
      <c r="H3845" s="18"/>
      <c r="I3845" s="18"/>
      <c r="J3845" s="18"/>
      <c r="K3845" s="18"/>
      <c r="L3845" s="18"/>
      <c r="M3845" s="18"/>
      <c r="N3845" s="18"/>
      <c r="O3845" s="18"/>
      <c r="P3845" s="18"/>
      <c r="Q3845" s="19"/>
      <c r="R3845" s="19"/>
      <c r="S3845" s="19"/>
      <c r="T3845" s="18"/>
      <c r="U3845" s="18"/>
      <c r="V3845" s="18"/>
      <c r="W3845" s="18"/>
      <c r="X3845" s="18"/>
      <c r="Y3845" s="18"/>
      <c r="Z3845" s="18"/>
    </row>
    <row r="3846" ht="15.75" customHeight="1">
      <c r="A3846" s="32"/>
      <c r="B3846" s="22"/>
      <c r="C3846" s="22"/>
      <c r="D3846" s="22"/>
      <c r="E3846" s="22"/>
      <c r="F3846" s="22"/>
      <c r="G3846" s="22"/>
      <c r="H3846" s="18"/>
      <c r="I3846" s="18"/>
      <c r="J3846" s="18"/>
      <c r="K3846" s="18"/>
      <c r="L3846" s="18"/>
      <c r="M3846" s="18"/>
      <c r="N3846" s="18"/>
      <c r="O3846" s="18"/>
      <c r="P3846" s="18"/>
      <c r="Q3846" s="19"/>
      <c r="R3846" s="19"/>
      <c r="S3846" s="19"/>
      <c r="T3846" s="18"/>
      <c r="U3846" s="18"/>
      <c r="V3846" s="18"/>
      <c r="W3846" s="18"/>
      <c r="X3846" s="18"/>
      <c r="Y3846" s="18"/>
      <c r="Z3846" s="18"/>
    </row>
    <row r="3847" ht="15.75" customHeight="1">
      <c r="A3847" s="32"/>
      <c r="B3847" s="22"/>
      <c r="C3847" s="22"/>
      <c r="D3847" s="22"/>
      <c r="E3847" s="22"/>
      <c r="F3847" s="22"/>
      <c r="G3847" s="22"/>
      <c r="H3847" s="18"/>
      <c r="I3847" s="18"/>
      <c r="J3847" s="18"/>
      <c r="K3847" s="18"/>
      <c r="L3847" s="18"/>
      <c r="M3847" s="18"/>
      <c r="N3847" s="18"/>
      <c r="O3847" s="18"/>
      <c r="P3847" s="18"/>
      <c r="Q3847" s="19"/>
      <c r="R3847" s="19"/>
      <c r="S3847" s="19"/>
      <c r="T3847" s="18"/>
      <c r="U3847" s="18"/>
      <c r="V3847" s="18"/>
      <c r="W3847" s="18"/>
      <c r="X3847" s="18"/>
      <c r="Y3847" s="18"/>
      <c r="Z3847" s="18"/>
    </row>
    <row r="3848" ht="15.75" customHeight="1">
      <c r="A3848" s="32"/>
      <c r="B3848" s="22"/>
      <c r="C3848" s="22"/>
      <c r="D3848" s="22"/>
      <c r="E3848" s="22"/>
      <c r="F3848" s="22"/>
      <c r="G3848" s="22"/>
      <c r="H3848" s="18"/>
      <c r="I3848" s="18"/>
      <c r="J3848" s="18"/>
      <c r="K3848" s="18"/>
      <c r="L3848" s="18"/>
      <c r="M3848" s="18"/>
      <c r="N3848" s="18"/>
      <c r="O3848" s="18"/>
      <c r="P3848" s="18"/>
      <c r="Q3848" s="19"/>
      <c r="R3848" s="19"/>
      <c r="S3848" s="19"/>
      <c r="T3848" s="18"/>
      <c r="U3848" s="18"/>
      <c r="V3848" s="18"/>
      <c r="W3848" s="18"/>
      <c r="X3848" s="18"/>
      <c r="Y3848" s="18"/>
      <c r="Z3848" s="18"/>
    </row>
    <row r="3849" ht="15.75" customHeight="1">
      <c r="A3849" s="32"/>
      <c r="B3849" s="22"/>
      <c r="C3849" s="22"/>
      <c r="D3849" s="22"/>
      <c r="E3849" s="22"/>
      <c r="F3849" s="22"/>
      <c r="G3849" s="22"/>
      <c r="H3849" s="18"/>
      <c r="I3849" s="18"/>
      <c r="J3849" s="18"/>
      <c r="K3849" s="18"/>
      <c r="L3849" s="18"/>
      <c r="M3849" s="18"/>
      <c r="N3849" s="18"/>
      <c r="O3849" s="18"/>
      <c r="P3849" s="18"/>
      <c r="Q3849" s="19"/>
      <c r="R3849" s="19"/>
      <c r="S3849" s="19"/>
      <c r="T3849" s="18"/>
      <c r="U3849" s="18"/>
      <c r="V3849" s="18"/>
      <c r="W3849" s="18"/>
      <c r="X3849" s="18"/>
      <c r="Y3849" s="18"/>
      <c r="Z3849" s="18"/>
    </row>
    <row r="3850" ht="15.75" customHeight="1">
      <c r="A3850" s="32"/>
      <c r="B3850" s="22"/>
      <c r="C3850" s="22"/>
      <c r="D3850" s="22"/>
      <c r="E3850" s="22"/>
      <c r="F3850" s="22"/>
      <c r="G3850" s="22"/>
      <c r="H3850" s="18"/>
      <c r="I3850" s="18"/>
      <c r="J3850" s="18"/>
      <c r="K3850" s="18"/>
      <c r="L3850" s="18"/>
      <c r="M3850" s="18"/>
      <c r="N3850" s="18"/>
      <c r="O3850" s="18"/>
      <c r="P3850" s="18"/>
      <c r="Q3850" s="19"/>
      <c r="R3850" s="19"/>
      <c r="S3850" s="19"/>
      <c r="T3850" s="18"/>
      <c r="U3850" s="18"/>
      <c r="V3850" s="18"/>
      <c r="W3850" s="18"/>
      <c r="X3850" s="18"/>
      <c r="Y3850" s="18"/>
      <c r="Z3850" s="18"/>
    </row>
    <row r="3851" ht="15.75" customHeight="1">
      <c r="A3851" s="32"/>
      <c r="B3851" s="22"/>
      <c r="C3851" s="22"/>
      <c r="D3851" s="22"/>
      <c r="E3851" s="22"/>
      <c r="F3851" s="22"/>
      <c r="G3851" s="22"/>
      <c r="H3851" s="18"/>
      <c r="I3851" s="18"/>
      <c r="J3851" s="18"/>
      <c r="K3851" s="18"/>
      <c r="L3851" s="18"/>
      <c r="M3851" s="18"/>
      <c r="N3851" s="18"/>
      <c r="O3851" s="18"/>
      <c r="P3851" s="18"/>
      <c r="Q3851" s="19"/>
      <c r="R3851" s="19"/>
      <c r="S3851" s="19"/>
      <c r="T3851" s="18"/>
      <c r="U3851" s="18"/>
      <c r="V3851" s="18"/>
      <c r="W3851" s="18"/>
      <c r="X3851" s="18"/>
      <c r="Y3851" s="18"/>
      <c r="Z3851" s="18"/>
    </row>
    <row r="3852" ht="15.75" customHeight="1">
      <c r="A3852" s="32"/>
      <c r="B3852" s="22"/>
      <c r="C3852" s="22"/>
      <c r="D3852" s="22"/>
      <c r="E3852" s="22"/>
      <c r="F3852" s="22"/>
      <c r="G3852" s="22"/>
      <c r="H3852" s="18"/>
      <c r="I3852" s="18"/>
      <c r="J3852" s="18"/>
      <c r="K3852" s="18"/>
      <c r="L3852" s="18"/>
      <c r="M3852" s="18"/>
      <c r="N3852" s="18"/>
      <c r="O3852" s="18"/>
      <c r="P3852" s="18"/>
      <c r="Q3852" s="19"/>
      <c r="R3852" s="19"/>
      <c r="S3852" s="19"/>
      <c r="T3852" s="18"/>
      <c r="U3852" s="18"/>
      <c r="V3852" s="18"/>
      <c r="W3852" s="18"/>
      <c r="X3852" s="18"/>
      <c r="Y3852" s="18"/>
      <c r="Z3852" s="18"/>
    </row>
    <row r="3853" ht="15.75" customHeight="1">
      <c r="A3853" s="32"/>
      <c r="B3853" s="22"/>
      <c r="C3853" s="22"/>
      <c r="D3853" s="22"/>
      <c r="E3853" s="22"/>
      <c r="F3853" s="22"/>
      <c r="G3853" s="22"/>
      <c r="H3853" s="18"/>
      <c r="I3853" s="18"/>
      <c r="J3853" s="18"/>
      <c r="K3853" s="18"/>
      <c r="L3853" s="18"/>
      <c r="M3853" s="18"/>
      <c r="N3853" s="18"/>
      <c r="O3853" s="18"/>
      <c r="P3853" s="18"/>
      <c r="Q3853" s="19"/>
      <c r="R3853" s="19"/>
      <c r="S3853" s="19"/>
      <c r="T3853" s="18"/>
      <c r="U3853" s="18"/>
      <c r="V3853" s="18"/>
      <c r="W3853" s="18"/>
      <c r="X3853" s="18"/>
      <c r="Y3853" s="18"/>
      <c r="Z3853" s="18"/>
    </row>
    <row r="3854" ht="15.75" customHeight="1">
      <c r="A3854" s="32"/>
      <c r="B3854" s="22"/>
      <c r="C3854" s="22"/>
      <c r="D3854" s="22"/>
      <c r="E3854" s="22"/>
      <c r="F3854" s="22"/>
      <c r="G3854" s="22"/>
      <c r="H3854" s="18"/>
      <c r="I3854" s="18"/>
      <c r="J3854" s="18"/>
      <c r="K3854" s="18"/>
      <c r="L3854" s="18"/>
      <c r="M3854" s="18"/>
      <c r="N3854" s="18"/>
      <c r="O3854" s="18"/>
      <c r="P3854" s="18"/>
      <c r="Q3854" s="19"/>
      <c r="R3854" s="19"/>
      <c r="S3854" s="19"/>
      <c r="T3854" s="18"/>
      <c r="U3854" s="18"/>
      <c r="V3854" s="18"/>
      <c r="W3854" s="18"/>
      <c r="X3854" s="18"/>
      <c r="Y3854" s="18"/>
      <c r="Z3854" s="18"/>
    </row>
    <row r="3855" ht="15.75" customHeight="1">
      <c r="A3855" s="32"/>
      <c r="B3855" s="22"/>
      <c r="C3855" s="22"/>
      <c r="D3855" s="22"/>
      <c r="E3855" s="22"/>
      <c r="F3855" s="22"/>
      <c r="G3855" s="22"/>
      <c r="H3855" s="18"/>
      <c r="I3855" s="18"/>
      <c r="J3855" s="18"/>
      <c r="K3855" s="18"/>
      <c r="L3855" s="18"/>
      <c r="M3855" s="18"/>
      <c r="N3855" s="18"/>
      <c r="O3855" s="18"/>
      <c r="P3855" s="18"/>
      <c r="Q3855" s="19"/>
      <c r="R3855" s="19"/>
      <c r="S3855" s="19"/>
      <c r="T3855" s="18"/>
      <c r="U3855" s="18"/>
      <c r="V3855" s="18"/>
      <c r="W3855" s="18"/>
      <c r="X3855" s="18"/>
      <c r="Y3855" s="18"/>
      <c r="Z3855" s="18"/>
    </row>
    <row r="3856" ht="15.75" customHeight="1">
      <c r="A3856" s="32"/>
      <c r="B3856" s="22"/>
      <c r="C3856" s="22"/>
      <c r="D3856" s="22"/>
      <c r="E3856" s="22"/>
      <c r="F3856" s="22"/>
      <c r="G3856" s="22"/>
      <c r="H3856" s="18"/>
      <c r="I3856" s="18"/>
      <c r="J3856" s="18"/>
      <c r="K3856" s="18"/>
      <c r="L3856" s="18"/>
      <c r="M3856" s="18"/>
      <c r="N3856" s="18"/>
      <c r="O3856" s="18"/>
      <c r="P3856" s="18"/>
      <c r="Q3856" s="19"/>
      <c r="R3856" s="19"/>
      <c r="S3856" s="19"/>
      <c r="T3856" s="18"/>
      <c r="U3856" s="18"/>
      <c r="V3856" s="18"/>
      <c r="W3856" s="18"/>
      <c r="X3856" s="18"/>
      <c r="Y3856" s="18"/>
      <c r="Z3856" s="18"/>
    </row>
    <row r="3857" ht="15.75" customHeight="1">
      <c r="A3857" s="32"/>
      <c r="B3857" s="22"/>
      <c r="C3857" s="22"/>
      <c r="D3857" s="22"/>
      <c r="E3857" s="22"/>
      <c r="F3857" s="22"/>
      <c r="G3857" s="22"/>
      <c r="H3857" s="18"/>
      <c r="I3857" s="18"/>
      <c r="J3857" s="18"/>
      <c r="K3857" s="18"/>
      <c r="L3857" s="18"/>
      <c r="M3857" s="18"/>
      <c r="N3857" s="18"/>
      <c r="O3857" s="18"/>
      <c r="P3857" s="18"/>
      <c r="Q3857" s="19"/>
      <c r="R3857" s="19"/>
      <c r="S3857" s="19"/>
      <c r="T3857" s="18"/>
      <c r="U3857" s="18"/>
      <c r="V3857" s="18"/>
      <c r="W3857" s="18"/>
      <c r="X3857" s="18"/>
      <c r="Y3857" s="18"/>
      <c r="Z3857" s="18"/>
    </row>
    <row r="3858" ht="15.75" customHeight="1">
      <c r="A3858" s="32"/>
      <c r="B3858" s="22"/>
      <c r="C3858" s="22"/>
      <c r="D3858" s="22"/>
      <c r="E3858" s="22"/>
      <c r="F3858" s="22"/>
      <c r="G3858" s="22"/>
      <c r="H3858" s="18"/>
      <c r="I3858" s="18"/>
      <c r="J3858" s="18"/>
      <c r="K3858" s="18"/>
      <c r="L3858" s="18"/>
      <c r="M3858" s="18"/>
      <c r="N3858" s="18"/>
      <c r="O3858" s="18"/>
      <c r="P3858" s="18"/>
      <c r="Q3858" s="19"/>
      <c r="R3858" s="19"/>
      <c r="S3858" s="19"/>
      <c r="T3858" s="18"/>
      <c r="U3858" s="18"/>
      <c r="V3858" s="18"/>
      <c r="W3858" s="18"/>
      <c r="X3858" s="18"/>
      <c r="Y3858" s="18"/>
      <c r="Z3858" s="18"/>
    </row>
    <row r="3859" ht="15.75" customHeight="1">
      <c r="A3859" s="32"/>
      <c r="B3859" s="22"/>
      <c r="C3859" s="22"/>
      <c r="D3859" s="22"/>
      <c r="E3859" s="22"/>
      <c r="F3859" s="22"/>
      <c r="G3859" s="22"/>
      <c r="H3859" s="18"/>
      <c r="I3859" s="18"/>
      <c r="J3859" s="18"/>
      <c r="K3859" s="18"/>
      <c r="L3859" s="18"/>
      <c r="M3859" s="18"/>
      <c r="N3859" s="18"/>
      <c r="O3859" s="18"/>
      <c r="P3859" s="18"/>
      <c r="Q3859" s="19"/>
      <c r="R3859" s="19"/>
      <c r="S3859" s="19"/>
      <c r="T3859" s="18"/>
      <c r="U3859" s="18"/>
      <c r="V3859" s="18"/>
      <c r="W3859" s="18"/>
      <c r="X3859" s="18"/>
      <c r="Y3859" s="18"/>
      <c r="Z3859" s="18"/>
    </row>
    <row r="3860" ht="15.75" customHeight="1">
      <c r="A3860" s="32"/>
      <c r="B3860" s="22"/>
      <c r="C3860" s="22"/>
      <c r="D3860" s="22"/>
      <c r="E3860" s="22"/>
      <c r="F3860" s="22"/>
      <c r="G3860" s="22"/>
      <c r="H3860" s="18"/>
      <c r="I3860" s="18"/>
      <c r="J3860" s="18"/>
      <c r="K3860" s="18"/>
      <c r="L3860" s="18"/>
      <c r="M3860" s="18"/>
      <c r="N3860" s="18"/>
      <c r="O3860" s="18"/>
      <c r="P3860" s="18"/>
      <c r="Q3860" s="19"/>
      <c r="R3860" s="19"/>
      <c r="S3860" s="19"/>
      <c r="T3860" s="18"/>
      <c r="U3860" s="18"/>
      <c r="V3860" s="18"/>
      <c r="W3860" s="18"/>
      <c r="X3860" s="18"/>
      <c r="Y3860" s="18"/>
      <c r="Z3860" s="18"/>
    </row>
    <row r="3861" ht="15.75" customHeight="1">
      <c r="A3861" s="32"/>
      <c r="B3861" s="22"/>
      <c r="C3861" s="22"/>
      <c r="D3861" s="22"/>
      <c r="E3861" s="22"/>
      <c r="F3861" s="22"/>
      <c r="G3861" s="22"/>
      <c r="H3861" s="18"/>
      <c r="I3861" s="18"/>
      <c r="J3861" s="18"/>
      <c r="K3861" s="18"/>
      <c r="L3861" s="18"/>
      <c r="M3861" s="18"/>
      <c r="N3861" s="18"/>
      <c r="O3861" s="18"/>
      <c r="P3861" s="18"/>
      <c r="Q3861" s="19"/>
      <c r="R3861" s="19"/>
      <c r="S3861" s="19"/>
      <c r="T3861" s="18"/>
      <c r="U3861" s="18"/>
      <c r="V3861" s="18"/>
      <c r="W3861" s="18"/>
      <c r="X3861" s="18"/>
      <c r="Y3861" s="18"/>
      <c r="Z3861" s="18"/>
    </row>
    <row r="3862" ht="15.75" customHeight="1">
      <c r="A3862" s="32"/>
      <c r="B3862" s="22"/>
      <c r="C3862" s="22"/>
      <c r="D3862" s="22"/>
      <c r="E3862" s="22"/>
      <c r="F3862" s="22"/>
      <c r="G3862" s="22"/>
      <c r="H3862" s="18"/>
      <c r="I3862" s="18"/>
      <c r="J3862" s="18"/>
      <c r="K3862" s="18"/>
      <c r="L3862" s="18"/>
      <c r="M3862" s="18"/>
      <c r="N3862" s="18"/>
      <c r="O3862" s="18"/>
      <c r="P3862" s="18"/>
      <c r="Q3862" s="19"/>
      <c r="R3862" s="19"/>
      <c r="S3862" s="19"/>
      <c r="T3862" s="18"/>
      <c r="U3862" s="18"/>
      <c r="V3862" s="18"/>
      <c r="W3862" s="18"/>
      <c r="X3862" s="18"/>
      <c r="Y3862" s="18"/>
      <c r="Z3862" s="18"/>
    </row>
    <row r="3863" ht="15.75" customHeight="1">
      <c r="A3863" s="32"/>
      <c r="B3863" s="22"/>
      <c r="C3863" s="22"/>
      <c r="D3863" s="22"/>
      <c r="E3863" s="22"/>
      <c r="F3863" s="22"/>
      <c r="G3863" s="22"/>
      <c r="H3863" s="18"/>
      <c r="I3863" s="18"/>
      <c r="J3863" s="18"/>
      <c r="K3863" s="18"/>
      <c r="L3863" s="18"/>
      <c r="M3863" s="18"/>
      <c r="N3863" s="18"/>
      <c r="O3863" s="18"/>
      <c r="P3863" s="18"/>
      <c r="Q3863" s="19"/>
      <c r="R3863" s="19"/>
      <c r="S3863" s="19"/>
      <c r="T3863" s="18"/>
      <c r="U3863" s="18"/>
      <c r="V3863" s="18"/>
      <c r="W3863" s="18"/>
      <c r="X3863" s="18"/>
      <c r="Y3863" s="18"/>
      <c r="Z3863" s="18"/>
    </row>
    <row r="3864" ht="15.75" customHeight="1">
      <c r="A3864" s="32"/>
      <c r="B3864" s="22"/>
      <c r="C3864" s="22"/>
      <c r="D3864" s="22"/>
      <c r="E3864" s="22"/>
      <c r="F3864" s="22"/>
      <c r="G3864" s="22"/>
      <c r="H3864" s="18"/>
      <c r="I3864" s="18"/>
      <c r="J3864" s="18"/>
      <c r="K3864" s="18"/>
      <c r="L3864" s="18"/>
      <c r="M3864" s="18"/>
      <c r="N3864" s="18"/>
      <c r="O3864" s="18"/>
      <c r="P3864" s="18"/>
      <c r="Q3864" s="19"/>
      <c r="R3864" s="19"/>
      <c r="S3864" s="19"/>
      <c r="T3864" s="18"/>
      <c r="U3864" s="18"/>
      <c r="V3864" s="18"/>
      <c r="W3864" s="18"/>
      <c r="X3864" s="18"/>
      <c r="Y3864" s="18"/>
      <c r="Z3864" s="18"/>
    </row>
    <row r="3865" ht="15.75" customHeight="1">
      <c r="A3865" s="32"/>
      <c r="B3865" s="22"/>
      <c r="C3865" s="22"/>
      <c r="D3865" s="22"/>
      <c r="E3865" s="22"/>
      <c r="F3865" s="22"/>
      <c r="G3865" s="22"/>
      <c r="H3865" s="18"/>
      <c r="I3865" s="18"/>
      <c r="J3865" s="18"/>
      <c r="K3865" s="18"/>
      <c r="L3865" s="18"/>
      <c r="M3865" s="18"/>
      <c r="N3865" s="18"/>
      <c r="O3865" s="18"/>
      <c r="P3865" s="18"/>
      <c r="Q3865" s="19"/>
      <c r="R3865" s="19"/>
      <c r="S3865" s="19"/>
      <c r="T3865" s="18"/>
      <c r="U3865" s="18"/>
      <c r="V3865" s="18"/>
      <c r="W3865" s="18"/>
      <c r="X3865" s="18"/>
      <c r="Y3865" s="18"/>
      <c r="Z3865" s="18"/>
    </row>
    <row r="3866" ht="15.75" customHeight="1">
      <c r="A3866" s="32"/>
      <c r="B3866" s="22"/>
      <c r="C3866" s="22"/>
      <c r="D3866" s="22"/>
      <c r="E3866" s="22"/>
      <c r="F3866" s="22"/>
      <c r="G3866" s="22"/>
      <c r="H3866" s="18"/>
      <c r="I3866" s="18"/>
      <c r="J3866" s="18"/>
      <c r="K3866" s="18"/>
      <c r="L3866" s="18"/>
      <c r="M3866" s="18"/>
      <c r="N3866" s="18"/>
      <c r="O3866" s="18"/>
      <c r="P3866" s="18"/>
      <c r="Q3866" s="19"/>
      <c r="R3866" s="19"/>
      <c r="S3866" s="19"/>
      <c r="T3866" s="18"/>
      <c r="U3866" s="18"/>
      <c r="V3866" s="18"/>
      <c r="W3866" s="18"/>
      <c r="X3866" s="18"/>
      <c r="Y3866" s="18"/>
      <c r="Z3866" s="18"/>
    </row>
    <row r="3867" ht="15.75" customHeight="1">
      <c r="A3867" s="32"/>
      <c r="B3867" s="22"/>
      <c r="C3867" s="22"/>
      <c r="D3867" s="22"/>
      <c r="E3867" s="22"/>
      <c r="F3867" s="22"/>
      <c r="G3867" s="22"/>
      <c r="H3867" s="18"/>
      <c r="I3867" s="18"/>
      <c r="J3867" s="18"/>
      <c r="K3867" s="18"/>
      <c r="L3867" s="18"/>
      <c r="M3867" s="18"/>
      <c r="N3867" s="18"/>
      <c r="O3867" s="18"/>
      <c r="P3867" s="18"/>
      <c r="Q3867" s="19"/>
      <c r="R3867" s="19"/>
      <c r="S3867" s="19"/>
      <c r="T3867" s="18"/>
      <c r="U3867" s="18"/>
      <c r="V3867" s="18"/>
      <c r="W3867" s="18"/>
      <c r="X3867" s="18"/>
      <c r="Y3867" s="18"/>
      <c r="Z3867" s="18"/>
    </row>
    <row r="3868" ht="15.75" customHeight="1">
      <c r="A3868" s="32"/>
      <c r="B3868" s="22"/>
      <c r="C3868" s="22"/>
      <c r="D3868" s="22"/>
      <c r="E3868" s="22"/>
      <c r="F3868" s="22"/>
      <c r="G3868" s="22"/>
      <c r="H3868" s="18"/>
      <c r="I3868" s="18"/>
      <c r="J3868" s="18"/>
      <c r="K3868" s="18"/>
      <c r="L3868" s="18"/>
      <c r="M3868" s="18"/>
      <c r="N3868" s="18"/>
      <c r="O3868" s="18"/>
      <c r="P3868" s="18"/>
      <c r="Q3868" s="19"/>
      <c r="R3868" s="19"/>
      <c r="S3868" s="19"/>
      <c r="T3868" s="18"/>
      <c r="U3868" s="18"/>
      <c r="V3868" s="18"/>
      <c r="W3868" s="18"/>
      <c r="X3868" s="18"/>
      <c r="Y3868" s="18"/>
      <c r="Z3868" s="18"/>
    </row>
    <row r="3869" ht="15.75" customHeight="1">
      <c r="A3869" s="32"/>
      <c r="B3869" s="22"/>
      <c r="C3869" s="22"/>
      <c r="D3869" s="22"/>
      <c r="E3869" s="22"/>
      <c r="F3869" s="22"/>
      <c r="G3869" s="22"/>
      <c r="H3869" s="18"/>
      <c r="I3869" s="18"/>
      <c r="J3869" s="18"/>
      <c r="K3869" s="18"/>
      <c r="L3869" s="18"/>
      <c r="M3869" s="18"/>
      <c r="N3869" s="18"/>
      <c r="O3869" s="18"/>
      <c r="P3869" s="18"/>
      <c r="Q3869" s="19"/>
      <c r="R3869" s="19"/>
      <c r="S3869" s="19"/>
      <c r="T3869" s="18"/>
      <c r="U3869" s="18"/>
      <c r="V3869" s="18"/>
      <c r="W3869" s="18"/>
      <c r="X3869" s="18"/>
      <c r="Y3869" s="18"/>
      <c r="Z3869" s="18"/>
    </row>
    <row r="3870" ht="15.75" customHeight="1">
      <c r="A3870" s="32"/>
      <c r="B3870" s="22"/>
      <c r="C3870" s="22"/>
      <c r="D3870" s="22"/>
      <c r="E3870" s="22"/>
      <c r="F3870" s="22"/>
      <c r="G3870" s="22"/>
      <c r="H3870" s="18"/>
      <c r="I3870" s="18"/>
      <c r="J3870" s="18"/>
      <c r="K3870" s="18"/>
      <c r="L3870" s="18"/>
      <c r="M3870" s="18"/>
      <c r="N3870" s="18"/>
      <c r="O3870" s="18"/>
      <c r="P3870" s="18"/>
      <c r="Q3870" s="19"/>
      <c r="R3870" s="19"/>
      <c r="S3870" s="19"/>
      <c r="T3870" s="18"/>
      <c r="U3870" s="18"/>
      <c r="V3870" s="18"/>
      <c r="W3870" s="18"/>
      <c r="X3870" s="18"/>
      <c r="Y3870" s="18"/>
      <c r="Z3870" s="18"/>
    </row>
    <row r="3871" ht="15.75" customHeight="1">
      <c r="A3871" s="32"/>
      <c r="B3871" s="22"/>
      <c r="C3871" s="22"/>
      <c r="D3871" s="22"/>
      <c r="E3871" s="22"/>
      <c r="F3871" s="22"/>
      <c r="G3871" s="22"/>
      <c r="H3871" s="18"/>
      <c r="I3871" s="18"/>
      <c r="J3871" s="18"/>
      <c r="K3871" s="18"/>
      <c r="L3871" s="18"/>
      <c r="M3871" s="18"/>
      <c r="N3871" s="18"/>
      <c r="O3871" s="18"/>
      <c r="P3871" s="18"/>
      <c r="Q3871" s="19"/>
      <c r="R3871" s="19"/>
      <c r="S3871" s="19"/>
      <c r="T3871" s="18"/>
      <c r="U3871" s="18"/>
      <c r="V3871" s="18"/>
      <c r="W3871" s="18"/>
      <c r="X3871" s="18"/>
      <c r="Y3871" s="18"/>
      <c r="Z3871" s="18"/>
    </row>
    <row r="3872" ht="15.75" customHeight="1">
      <c r="A3872" s="32"/>
      <c r="B3872" s="22"/>
      <c r="C3872" s="22"/>
      <c r="D3872" s="22"/>
      <c r="E3872" s="22"/>
      <c r="F3872" s="22"/>
      <c r="G3872" s="22"/>
      <c r="H3872" s="18"/>
      <c r="I3872" s="18"/>
      <c r="J3872" s="18"/>
      <c r="K3872" s="18"/>
      <c r="L3872" s="18"/>
      <c r="M3872" s="18"/>
      <c r="N3872" s="18"/>
      <c r="O3872" s="18"/>
      <c r="P3872" s="18"/>
      <c r="Q3872" s="19"/>
      <c r="R3872" s="19"/>
      <c r="S3872" s="19"/>
      <c r="T3872" s="18"/>
      <c r="U3872" s="18"/>
      <c r="V3872" s="18"/>
      <c r="W3872" s="18"/>
      <c r="X3872" s="18"/>
      <c r="Y3872" s="18"/>
      <c r="Z3872" s="18"/>
    </row>
    <row r="3873" ht="15.75" customHeight="1">
      <c r="A3873" s="32"/>
      <c r="B3873" s="22"/>
      <c r="C3873" s="22"/>
      <c r="D3873" s="22"/>
      <c r="E3873" s="22"/>
      <c r="F3873" s="22"/>
      <c r="G3873" s="22"/>
      <c r="H3873" s="18"/>
      <c r="I3873" s="18"/>
      <c r="J3873" s="18"/>
      <c r="K3873" s="18"/>
      <c r="L3873" s="18"/>
      <c r="M3873" s="18"/>
      <c r="N3873" s="18"/>
      <c r="O3873" s="18"/>
      <c r="P3873" s="18"/>
      <c r="Q3873" s="19"/>
      <c r="R3873" s="19"/>
      <c r="S3873" s="19"/>
      <c r="T3873" s="18"/>
      <c r="U3873" s="18"/>
      <c r="V3873" s="18"/>
      <c r="W3873" s="18"/>
      <c r="X3873" s="18"/>
      <c r="Y3873" s="18"/>
      <c r="Z3873" s="18"/>
    </row>
    <row r="3874" ht="15.75" customHeight="1">
      <c r="A3874" s="32"/>
      <c r="B3874" s="22"/>
      <c r="C3874" s="22"/>
      <c r="D3874" s="22"/>
      <c r="E3874" s="22"/>
      <c r="F3874" s="22"/>
      <c r="G3874" s="22"/>
      <c r="H3874" s="18"/>
      <c r="I3874" s="18"/>
      <c r="J3874" s="18"/>
      <c r="K3874" s="18"/>
      <c r="L3874" s="18"/>
      <c r="M3874" s="18"/>
      <c r="N3874" s="18"/>
      <c r="O3874" s="18"/>
      <c r="P3874" s="18"/>
      <c r="Q3874" s="19"/>
      <c r="R3874" s="19"/>
      <c r="S3874" s="19"/>
      <c r="T3874" s="18"/>
      <c r="U3874" s="18"/>
      <c r="V3874" s="18"/>
      <c r="W3874" s="18"/>
      <c r="X3874" s="18"/>
      <c r="Y3874" s="18"/>
      <c r="Z3874" s="18"/>
    </row>
    <row r="3875" ht="15.75" customHeight="1">
      <c r="A3875" s="32"/>
      <c r="B3875" s="22"/>
      <c r="C3875" s="22"/>
      <c r="D3875" s="22"/>
      <c r="E3875" s="22"/>
      <c r="F3875" s="22"/>
      <c r="G3875" s="22"/>
      <c r="H3875" s="18"/>
      <c r="I3875" s="18"/>
      <c r="J3875" s="18"/>
      <c r="K3875" s="18"/>
      <c r="L3875" s="18"/>
      <c r="M3875" s="18"/>
      <c r="N3875" s="18"/>
      <c r="O3875" s="18"/>
      <c r="P3875" s="18"/>
      <c r="Q3875" s="19"/>
      <c r="R3875" s="19"/>
      <c r="S3875" s="19"/>
      <c r="T3875" s="18"/>
      <c r="U3875" s="18"/>
      <c r="V3875" s="18"/>
      <c r="W3875" s="18"/>
      <c r="X3875" s="18"/>
      <c r="Y3875" s="18"/>
      <c r="Z3875" s="18"/>
    </row>
    <row r="3876" ht="15.75" customHeight="1">
      <c r="A3876" s="32"/>
      <c r="B3876" s="22"/>
      <c r="C3876" s="22"/>
      <c r="D3876" s="22"/>
      <c r="E3876" s="22"/>
      <c r="F3876" s="22"/>
      <c r="G3876" s="22"/>
      <c r="H3876" s="18"/>
      <c r="I3876" s="18"/>
      <c r="J3876" s="18"/>
      <c r="K3876" s="18"/>
      <c r="L3876" s="18"/>
      <c r="M3876" s="18"/>
      <c r="N3876" s="18"/>
      <c r="O3876" s="18"/>
      <c r="P3876" s="18"/>
      <c r="Q3876" s="19"/>
      <c r="R3876" s="19"/>
      <c r="S3876" s="19"/>
      <c r="T3876" s="18"/>
      <c r="U3876" s="18"/>
      <c r="V3876" s="18"/>
      <c r="W3876" s="18"/>
      <c r="X3876" s="18"/>
      <c r="Y3876" s="18"/>
      <c r="Z3876" s="18"/>
    </row>
    <row r="3877" ht="15.75" customHeight="1">
      <c r="A3877" s="32"/>
      <c r="B3877" s="22"/>
      <c r="C3877" s="22"/>
      <c r="D3877" s="22"/>
      <c r="E3877" s="22"/>
      <c r="F3877" s="22"/>
      <c r="G3877" s="22"/>
      <c r="H3877" s="18"/>
      <c r="I3877" s="18"/>
      <c r="J3877" s="18"/>
      <c r="K3877" s="18"/>
      <c r="L3877" s="18"/>
      <c r="M3877" s="18"/>
      <c r="N3877" s="18"/>
      <c r="O3877" s="18"/>
      <c r="P3877" s="18"/>
      <c r="Q3877" s="19"/>
      <c r="R3877" s="19"/>
      <c r="S3877" s="19"/>
      <c r="T3877" s="18"/>
      <c r="U3877" s="18"/>
      <c r="V3877" s="18"/>
      <c r="W3877" s="18"/>
      <c r="X3877" s="18"/>
      <c r="Y3877" s="18"/>
      <c r="Z3877" s="18"/>
    </row>
    <row r="3878" ht="15.75" customHeight="1">
      <c r="A3878" s="32"/>
      <c r="B3878" s="22"/>
      <c r="C3878" s="22"/>
      <c r="D3878" s="22"/>
      <c r="E3878" s="22"/>
      <c r="F3878" s="22"/>
      <c r="G3878" s="22"/>
      <c r="H3878" s="18"/>
      <c r="I3878" s="18"/>
      <c r="J3878" s="18"/>
      <c r="K3878" s="18"/>
      <c r="L3878" s="18"/>
      <c r="M3878" s="18"/>
      <c r="N3878" s="18"/>
      <c r="O3878" s="18"/>
      <c r="P3878" s="18"/>
      <c r="Q3878" s="19"/>
      <c r="R3878" s="19"/>
      <c r="S3878" s="19"/>
      <c r="T3878" s="18"/>
      <c r="U3878" s="18"/>
      <c r="V3878" s="18"/>
      <c r="W3878" s="18"/>
      <c r="X3878" s="18"/>
      <c r="Y3878" s="18"/>
      <c r="Z3878" s="18"/>
    </row>
    <row r="3879" ht="15.75" customHeight="1">
      <c r="A3879" s="32"/>
      <c r="B3879" s="22"/>
      <c r="C3879" s="22"/>
      <c r="D3879" s="22"/>
      <c r="E3879" s="22"/>
      <c r="F3879" s="22"/>
      <c r="G3879" s="22"/>
      <c r="H3879" s="18"/>
      <c r="I3879" s="18"/>
      <c r="J3879" s="18"/>
      <c r="K3879" s="18"/>
      <c r="L3879" s="18"/>
      <c r="M3879" s="18"/>
      <c r="N3879" s="18"/>
      <c r="O3879" s="18"/>
      <c r="P3879" s="18"/>
      <c r="Q3879" s="19"/>
      <c r="R3879" s="19"/>
      <c r="S3879" s="19"/>
      <c r="T3879" s="18"/>
      <c r="U3879" s="18"/>
      <c r="V3879" s="18"/>
      <c r="W3879" s="18"/>
      <c r="X3879" s="18"/>
      <c r="Y3879" s="18"/>
      <c r="Z3879" s="18"/>
    </row>
    <row r="3880" ht="15.75" customHeight="1">
      <c r="A3880" s="32"/>
      <c r="B3880" s="22"/>
      <c r="C3880" s="22"/>
      <c r="D3880" s="22"/>
      <c r="E3880" s="22"/>
      <c r="F3880" s="22"/>
      <c r="G3880" s="22"/>
      <c r="H3880" s="18"/>
      <c r="I3880" s="18"/>
      <c r="J3880" s="18"/>
      <c r="K3880" s="18"/>
      <c r="L3880" s="18"/>
      <c r="M3880" s="18"/>
      <c r="N3880" s="18"/>
      <c r="O3880" s="18"/>
      <c r="P3880" s="18"/>
      <c r="Q3880" s="19"/>
      <c r="R3880" s="19"/>
      <c r="S3880" s="19"/>
      <c r="T3880" s="18"/>
      <c r="U3880" s="18"/>
      <c r="V3880" s="18"/>
      <c r="W3880" s="18"/>
      <c r="X3880" s="18"/>
      <c r="Y3880" s="18"/>
      <c r="Z3880" s="18"/>
    </row>
    <row r="3881" ht="15.75" customHeight="1">
      <c r="A3881" s="32"/>
      <c r="B3881" s="22"/>
      <c r="C3881" s="22"/>
      <c r="D3881" s="22"/>
      <c r="E3881" s="22"/>
      <c r="F3881" s="22"/>
      <c r="G3881" s="22"/>
      <c r="H3881" s="18"/>
      <c r="I3881" s="18"/>
      <c r="J3881" s="18"/>
      <c r="K3881" s="18"/>
      <c r="L3881" s="18"/>
      <c r="M3881" s="18"/>
      <c r="N3881" s="18"/>
      <c r="O3881" s="18"/>
      <c r="P3881" s="18"/>
      <c r="Q3881" s="19"/>
      <c r="R3881" s="19"/>
      <c r="S3881" s="19"/>
      <c r="T3881" s="18"/>
      <c r="U3881" s="18"/>
      <c r="V3881" s="18"/>
      <c r="W3881" s="18"/>
      <c r="X3881" s="18"/>
      <c r="Y3881" s="18"/>
      <c r="Z3881" s="18"/>
    </row>
    <row r="3882" ht="15.75" customHeight="1">
      <c r="A3882" s="32"/>
      <c r="B3882" s="22"/>
      <c r="C3882" s="22"/>
      <c r="D3882" s="22"/>
      <c r="E3882" s="22"/>
      <c r="F3882" s="22"/>
      <c r="G3882" s="22"/>
      <c r="H3882" s="18"/>
      <c r="I3882" s="18"/>
      <c r="J3882" s="18"/>
      <c r="K3882" s="18"/>
      <c r="L3882" s="18"/>
      <c r="M3882" s="18"/>
      <c r="N3882" s="18"/>
      <c r="O3882" s="18"/>
      <c r="P3882" s="18"/>
      <c r="Q3882" s="19"/>
      <c r="R3882" s="19"/>
      <c r="S3882" s="19"/>
      <c r="T3882" s="18"/>
      <c r="U3882" s="18"/>
      <c r="V3882" s="18"/>
      <c r="W3882" s="18"/>
      <c r="X3882" s="18"/>
      <c r="Y3882" s="18"/>
      <c r="Z3882" s="18"/>
    </row>
    <row r="3883" ht="15.75" customHeight="1">
      <c r="A3883" s="32"/>
      <c r="B3883" s="22"/>
      <c r="C3883" s="22"/>
      <c r="D3883" s="22"/>
      <c r="E3883" s="22"/>
      <c r="F3883" s="22"/>
      <c r="G3883" s="22"/>
      <c r="H3883" s="18"/>
      <c r="I3883" s="18"/>
      <c r="J3883" s="18"/>
      <c r="K3883" s="18"/>
      <c r="L3883" s="18"/>
      <c r="M3883" s="18"/>
      <c r="N3883" s="18"/>
      <c r="O3883" s="18"/>
      <c r="P3883" s="18"/>
      <c r="Q3883" s="19"/>
      <c r="R3883" s="19"/>
      <c r="S3883" s="19"/>
      <c r="T3883" s="18"/>
      <c r="U3883" s="18"/>
      <c r="V3883" s="18"/>
      <c r="W3883" s="18"/>
      <c r="X3883" s="18"/>
      <c r="Y3883" s="18"/>
      <c r="Z3883" s="18"/>
    </row>
    <row r="3884" ht="15.75" customHeight="1">
      <c r="A3884" s="32"/>
      <c r="B3884" s="22"/>
      <c r="C3884" s="22"/>
      <c r="D3884" s="22"/>
      <c r="E3884" s="22"/>
      <c r="F3884" s="22"/>
      <c r="G3884" s="22"/>
      <c r="H3884" s="18"/>
      <c r="I3884" s="18"/>
      <c r="J3884" s="18"/>
      <c r="K3884" s="18"/>
      <c r="L3884" s="18"/>
      <c r="M3884" s="18"/>
      <c r="N3884" s="18"/>
      <c r="O3884" s="18"/>
      <c r="P3884" s="18"/>
      <c r="Q3884" s="19"/>
      <c r="R3884" s="19"/>
      <c r="S3884" s="19"/>
      <c r="T3884" s="18"/>
      <c r="U3884" s="18"/>
      <c r="V3884" s="18"/>
      <c r="W3884" s="18"/>
      <c r="X3884" s="18"/>
      <c r="Y3884" s="18"/>
      <c r="Z3884" s="18"/>
    </row>
    <row r="3885" ht="15.75" customHeight="1">
      <c r="A3885" s="32"/>
      <c r="B3885" s="22"/>
      <c r="C3885" s="22"/>
      <c r="D3885" s="22"/>
      <c r="E3885" s="22"/>
      <c r="F3885" s="22"/>
      <c r="G3885" s="22"/>
      <c r="H3885" s="18"/>
      <c r="I3885" s="18"/>
      <c r="J3885" s="18"/>
      <c r="K3885" s="18"/>
      <c r="L3885" s="18"/>
      <c r="M3885" s="18"/>
      <c r="N3885" s="18"/>
      <c r="O3885" s="18"/>
      <c r="P3885" s="18"/>
      <c r="Q3885" s="19"/>
      <c r="R3885" s="19"/>
      <c r="S3885" s="19"/>
      <c r="T3885" s="18"/>
      <c r="U3885" s="18"/>
      <c r="V3885" s="18"/>
      <c r="W3885" s="18"/>
      <c r="X3885" s="18"/>
      <c r="Y3885" s="18"/>
      <c r="Z3885" s="18"/>
    </row>
    <row r="3886" ht="15.75" customHeight="1">
      <c r="A3886" s="32"/>
      <c r="B3886" s="22"/>
      <c r="C3886" s="22"/>
      <c r="D3886" s="22"/>
      <c r="E3886" s="22"/>
      <c r="F3886" s="22"/>
      <c r="G3886" s="22"/>
      <c r="H3886" s="18"/>
      <c r="I3886" s="18"/>
      <c r="J3886" s="18"/>
      <c r="K3886" s="18"/>
      <c r="L3886" s="18"/>
      <c r="M3886" s="18"/>
      <c r="N3886" s="18"/>
      <c r="O3886" s="18"/>
      <c r="P3886" s="18"/>
      <c r="Q3886" s="19"/>
      <c r="R3886" s="19"/>
      <c r="S3886" s="19"/>
      <c r="T3886" s="18"/>
      <c r="U3886" s="18"/>
      <c r="V3886" s="18"/>
      <c r="W3886" s="18"/>
      <c r="X3886" s="18"/>
      <c r="Y3886" s="18"/>
      <c r="Z3886" s="18"/>
    </row>
    <row r="3887" ht="15.75" customHeight="1">
      <c r="A3887" s="32"/>
      <c r="B3887" s="22"/>
      <c r="C3887" s="22"/>
      <c r="D3887" s="22"/>
      <c r="E3887" s="22"/>
      <c r="F3887" s="22"/>
      <c r="G3887" s="22"/>
      <c r="H3887" s="18"/>
      <c r="I3887" s="18"/>
      <c r="J3887" s="18"/>
      <c r="K3887" s="18"/>
      <c r="L3887" s="18"/>
      <c r="M3887" s="18"/>
      <c r="N3887" s="18"/>
      <c r="O3887" s="18"/>
      <c r="P3887" s="18"/>
      <c r="Q3887" s="19"/>
      <c r="R3887" s="19"/>
      <c r="S3887" s="19"/>
      <c r="T3887" s="18"/>
      <c r="U3887" s="18"/>
      <c r="V3887" s="18"/>
      <c r="W3887" s="18"/>
      <c r="X3887" s="18"/>
      <c r="Y3887" s="18"/>
      <c r="Z3887" s="18"/>
    </row>
    <row r="3888" ht="15.75" customHeight="1">
      <c r="A3888" s="32"/>
      <c r="B3888" s="22"/>
      <c r="C3888" s="22"/>
      <c r="D3888" s="22"/>
      <c r="E3888" s="22"/>
      <c r="F3888" s="22"/>
      <c r="G3888" s="22"/>
      <c r="H3888" s="18"/>
      <c r="I3888" s="18"/>
      <c r="J3888" s="18"/>
      <c r="K3888" s="18"/>
      <c r="L3888" s="18"/>
      <c r="M3888" s="18"/>
      <c r="N3888" s="18"/>
      <c r="O3888" s="18"/>
      <c r="P3888" s="18"/>
      <c r="Q3888" s="19"/>
      <c r="R3888" s="19"/>
      <c r="S3888" s="19"/>
      <c r="T3888" s="18"/>
      <c r="U3888" s="18"/>
      <c r="V3888" s="18"/>
      <c r="W3888" s="18"/>
      <c r="X3888" s="18"/>
      <c r="Y3888" s="18"/>
      <c r="Z3888" s="18"/>
    </row>
    <row r="3889" ht="15.75" customHeight="1">
      <c r="A3889" s="32"/>
      <c r="B3889" s="22"/>
      <c r="C3889" s="22"/>
      <c r="D3889" s="22"/>
      <c r="E3889" s="22"/>
      <c r="F3889" s="22"/>
      <c r="G3889" s="22"/>
      <c r="H3889" s="18"/>
      <c r="I3889" s="18"/>
      <c r="J3889" s="18"/>
      <c r="K3889" s="18"/>
      <c r="L3889" s="18"/>
      <c r="M3889" s="18"/>
      <c r="N3889" s="18"/>
      <c r="O3889" s="18"/>
      <c r="P3889" s="18"/>
      <c r="Q3889" s="19"/>
      <c r="R3889" s="19"/>
      <c r="S3889" s="19"/>
      <c r="T3889" s="18"/>
      <c r="U3889" s="18"/>
      <c r="V3889" s="18"/>
      <c r="W3889" s="18"/>
      <c r="X3889" s="18"/>
      <c r="Y3889" s="18"/>
      <c r="Z3889" s="18"/>
    </row>
    <row r="3890" ht="15.75" customHeight="1">
      <c r="A3890" s="32"/>
      <c r="B3890" s="22"/>
      <c r="C3890" s="22"/>
      <c r="D3890" s="22"/>
      <c r="E3890" s="22"/>
      <c r="F3890" s="22"/>
      <c r="G3890" s="22"/>
      <c r="H3890" s="18"/>
      <c r="I3890" s="18"/>
      <c r="J3890" s="18"/>
      <c r="K3890" s="18"/>
      <c r="L3890" s="18"/>
      <c r="M3890" s="18"/>
      <c r="N3890" s="18"/>
      <c r="O3890" s="18"/>
      <c r="P3890" s="18"/>
      <c r="Q3890" s="19"/>
      <c r="R3890" s="19"/>
      <c r="S3890" s="19"/>
      <c r="T3890" s="18"/>
      <c r="U3890" s="18"/>
      <c r="V3890" s="18"/>
      <c r="W3890" s="18"/>
      <c r="X3890" s="18"/>
      <c r="Y3890" s="18"/>
      <c r="Z3890" s="18"/>
    </row>
    <row r="3891" ht="15.75" customHeight="1">
      <c r="A3891" s="32"/>
      <c r="B3891" s="22"/>
      <c r="C3891" s="22"/>
      <c r="D3891" s="22"/>
      <c r="E3891" s="22"/>
      <c r="F3891" s="22"/>
      <c r="G3891" s="22"/>
      <c r="H3891" s="18"/>
      <c r="I3891" s="18"/>
      <c r="J3891" s="18"/>
      <c r="K3891" s="18"/>
      <c r="L3891" s="18"/>
      <c r="M3891" s="18"/>
      <c r="N3891" s="18"/>
      <c r="O3891" s="18"/>
      <c r="P3891" s="18"/>
      <c r="Q3891" s="19"/>
      <c r="R3891" s="19"/>
      <c r="S3891" s="19"/>
      <c r="T3891" s="18"/>
      <c r="U3891" s="18"/>
      <c r="V3891" s="18"/>
      <c r="W3891" s="18"/>
      <c r="X3891" s="18"/>
      <c r="Y3891" s="18"/>
      <c r="Z3891" s="18"/>
    </row>
    <row r="3892" ht="15.75" customHeight="1">
      <c r="A3892" s="32"/>
      <c r="B3892" s="22"/>
      <c r="C3892" s="22"/>
      <c r="D3892" s="22"/>
      <c r="E3892" s="22"/>
      <c r="F3892" s="22"/>
      <c r="G3892" s="22"/>
      <c r="H3892" s="18"/>
      <c r="I3892" s="18"/>
      <c r="J3892" s="18"/>
      <c r="K3892" s="18"/>
      <c r="L3892" s="18"/>
      <c r="M3892" s="18"/>
      <c r="N3892" s="18"/>
      <c r="O3892" s="18"/>
      <c r="P3892" s="18"/>
      <c r="Q3892" s="19"/>
      <c r="R3892" s="19"/>
      <c r="S3892" s="19"/>
      <c r="T3892" s="18"/>
      <c r="U3892" s="18"/>
      <c r="V3892" s="18"/>
      <c r="W3892" s="18"/>
      <c r="X3892" s="18"/>
      <c r="Y3892" s="18"/>
      <c r="Z3892" s="18"/>
    </row>
    <row r="3893" ht="15.75" customHeight="1">
      <c r="A3893" s="32"/>
      <c r="B3893" s="22"/>
      <c r="C3893" s="22"/>
      <c r="D3893" s="22"/>
      <c r="E3893" s="22"/>
      <c r="F3893" s="22"/>
      <c r="G3893" s="22"/>
      <c r="H3893" s="18"/>
      <c r="I3893" s="18"/>
      <c r="J3893" s="18"/>
      <c r="K3893" s="18"/>
      <c r="L3893" s="18"/>
      <c r="M3893" s="18"/>
      <c r="N3893" s="18"/>
      <c r="O3893" s="18"/>
      <c r="P3893" s="18"/>
      <c r="Q3893" s="19"/>
      <c r="R3893" s="19"/>
      <c r="S3893" s="19"/>
      <c r="T3893" s="18"/>
      <c r="U3893" s="18"/>
      <c r="V3893" s="18"/>
      <c r="W3893" s="18"/>
      <c r="X3893" s="18"/>
      <c r="Y3893" s="18"/>
      <c r="Z3893" s="18"/>
    </row>
    <row r="3894" ht="15.75" customHeight="1">
      <c r="A3894" s="32"/>
      <c r="B3894" s="22"/>
      <c r="C3894" s="22"/>
      <c r="D3894" s="22"/>
      <c r="E3894" s="22"/>
      <c r="F3894" s="22"/>
      <c r="G3894" s="22"/>
      <c r="H3894" s="18"/>
      <c r="I3894" s="18"/>
      <c r="J3894" s="18"/>
      <c r="K3894" s="18"/>
      <c r="L3894" s="18"/>
      <c r="M3894" s="18"/>
      <c r="N3894" s="18"/>
      <c r="O3894" s="18"/>
      <c r="P3894" s="18"/>
      <c r="Q3894" s="19"/>
      <c r="R3894" s="19"/>
      <c r="S3894" s="19"/>
      <c r="T3894" s="18"/>
      <c r="U3894" s="18"/>
      <c r="V3894" s="18"/>
      <c r="W3894" s="18"/>
      <c r="X3894" s="18"/>
      <c r="Y3894" s="18"/>
      <c r="Z3894" s="18"/>
    </row>
    <row r="3895" ht="15.75" customHeight="1">
      <c r="A3895" s="32"/>
      <c r="B3895" s="22"/>
      <c r="C3895" s="22"/>
      <c r="D3895" s="22"/>
      <c r="E3895" s="22"/>
      <c r="F3895" s="22"/>
      <c r="G3895" s="22"/>
      <c r="H3895" s="18"/>
      <c r="I3895" s="18"/>
      <c r="J3895" s="18"/>
      <c r="K3895" s="18"/>
      <c r="L3895" s="18"/>
      <c r="M3895" s="18"/>
      <c r="N3895" s="18"/>
      <c r="O3895" s="18"/>
      <c r="P3895" s="18"/>
      <c r="Q3895" s="19"/>
      <c r="R3895" s="19"/>
      <c r="S3895" s="19"/>
      <c r="T3895" s="18"/>
      <c r="U3895" s="18"/>
      <c r="V3895" s="18"/>
      <c r="W3895" s="18"/>
      <c r="X3895" s="18"/>
      <c r="Y3895" s="18"/>
      <c r="Z3895" s="18"/>
    </row>
    <row r="3896" ht="15.75" customHeight="1">
      <c r="A3896" s="32"/>
      <c r="B3896" s="22"/>
      <c r="C3896" s="22"/>
      <c r="D3896" s="22"/>
      <c r="E3896" s="22"/>
      <c r="F3896" s="22"/>
      <c r="G3896" s="22"/>
      <c r="H3896" s="18"/>
      <c r="I3896" s="18"/>
      <c r="J3896" s="18"/>
      <c r="K3896" s="18"/>
      <c r="L3896" s="18"/>
      <c r="M3896" s="18"/>
      <c r="N3896" s="18"/>
      <c r="O3896" s="18"/>
      <c r="P3896" s="18"/>
      <c r="Q3896" s="19"/>
      <c r="R3896" s="19"/>
      <c r="S3896" s="19"/>
      <c r="T3896" s="18"/>
      <c r="U3896" s="18"/>
      <c r="V3896" s="18"/>
      <c r="W3896" s="18"/>
      <c r="X3896" s="18"/>
      <c r="Y3896" s="18"/>
      <c r="Z3896" s="18"/>
    </row>
    <row r="3897" ht="15.75" customHeight="1">
      <c r="A3897" s="32"/>
      <c r="B3897" s="22"/>
      <c r="C3897" s="22"/>
      <c r="D3897" s="22"/>
      <c r="E3897" s="22"/>
      <c r="F3897" s="22"/>
      <c r="G3897" s="22"/>
      <c r="H3897" s="18"/>
      <c r="I3897" s="18"/>
      <c r="J3897" s="18"/>
      <c r="K3897" s="18"/>
      <c r="L3897" s="18"/>
      <c r="M3897" s="18"/>
      <c r="N3897" s="18"/>
      <c r="O3897" s="18"/>
      <c r="P3897" s="18"/>
      <c r="Q3897" s="19"/>
      <c r="R3897" s="19"/>
      <c r="S3897" s="19"/>
      <c r="T3897" s="18"/>
      <c r="U3897" s="18"/>
      <c r="V3897" s="18"/>
      <c r="W3897" s="18"/>
      <c r="X3897" s="18"/>
      <c r="Y3897" s="18"/>
      <c r="Z3897" s="18"/>
    </row>
    <row r="3898" ht="15.75" customHeight="1">
      <c r="A3898" s="32"/>
      <c r="B3898" s="22"/>
      <c r="C3898" s="22"/>
      <c r="D3898" s="22"/>
      <c r="E3898" s="22"/>
      <c r="F3898" s="22"/>
      <c r="G3898" s="22"/>
      <c r="H3898" s="18"/>
      <c r="I3898" s="18"/>
      <c r="J3898" s="18"/>
      <c r="K3898" s="18"/>
      <c r="L3898" s="18"/>
      <c r="M3898" s="18"/>
      <c r="N3898" s="18"/>
      <c r="O3898" s="18"/>
      <c r="P3898" s="18"/>
      <c r="Q3898" s="19"/>
      <c r="R3898" s="19"/>
      <c r="S3898" s="19"/>
      <c r="T3898" s="18"/>
      <c r="U3898" s="18"/>
      <c r="V3898" s="18"/>
      <c r="W3898" s="18"/>
      <c r="X3898" s="18"/>
      <c r="Y3898" s="18"/>
      <c r="Z3898" s="18"/>
    </row>
    <row r="3899" ht="15.75" customHeight="1">
      <c r="A3899" s="32"/>
      <c r="B3899" s="22"/>
      <c r="C3899" s="22"/>
      <c r="D3899" s="22"/>
      <c r="E3899" s="22"/>
      <c r="F3899" s="22"/>
      <c r="G3899" s="22"/>
      <c r="H3899" s="18"/>
      <c r="I3899" s="18"/>
      <c r="J3899" s="18"/>
      <c r="K3899" s="18"/>
      <c r="L3899" s="18"/>
      <c r="M3899" s="18"/>
      <c r="N3899" s="18"/>
      <c r="O3899" s="18"/>
      <c r="P3899" s="18"/>
      <c r="Q3899" s="19"/>
      <c r="R3899" s="19"/>
      <c r="S3899" s="19"/>
      <c r="T3899" s="18"/>
      <c r="U3899" s="18"/>
      <c r="V3899" s="18"/>
      <c r="W3899" s="18"/>
      <c r="X3899" s="18"/>
      <c r="Y3899" s="18"/>
      <c r="Z3899" s="18"/>
    </row>
    <row r="3900" ht="15.75" customHeight="1">
      <c r="A3900" s="32"/>
      <c r="B3900" s="22"/>
      <c r="C3900" s="22"/>
      <c r="D3900" s="22"/>
      <c r="E3900" s="22"/>
      <c r="F3900" s="22"/>
      <c r="G3900" s="22"/>
      <c r="H3900" s="18"/>
      <c r="I3900" s="18"/>
      <c r="J3900" s="18"/>
      <c r="K3900" s="18"/>
      <c r="L3900" s="18"/>
      <c r="M3900" s="18"/>
      <c r="N3900" s="18"/>
      <c r="O3900" s="18"/>
      <c r="P3900" s="18"/>
      <c r="Q3900" s="19"/>
      <c r="R3900" s="19"/>
      <c r="S3900" s="19"/>
      <c r="T3900" s="18"/>
      <c r="U3900" s="18"/>
      <c r="V3900" s="18"/>
      <c r="W3900" s="18"/>
      <c r="X3900" s="18"/>
      <c r="Y3900" s="18"/>
      <c r="Z3900" s="18"/>
    </row>
    <row r="3901" ht="15.75" customHeight="1">
      <c r="A3901" s="32"/>
      <c r="B3901" s="22"/>
      <c r="C3901" s="22"/>
      <c r="D3901" s="22"/>
      <c r="E3901" s="22"/>
      <c r="F3901" s="22"/>
      <c r="G3901" s="22"/>
      <c r="H3901" s="18"/>
      <c r="I3901" s="18"/>
      <c r="J3901" s="18"/>
      <c r="K3901" s="18"/>
      <c r="L3901" s="18"/>
      <c r="M3901" s="18"/>
      <c r="N3901" s="18"/>
      <c r="O3901" s="18"/>
      <c r="P3901" s="18"/>
      <c r="Q3901" s="19"/>
      <c r="R3901" s="19"/>
      <c r="S3901" s="19"/>
      <c r="T3901" s="18"/>
      <c r="U3901" s="18"/>
      <c r="V3901" s="18"/>
      <c r="W3901" s="18"/>
      <c r="X3901" s="18"/>
      <c r="Y3901" s="18"/>
      <c r="Z3901" s="18"/>
    </row>
    <row r="3902" ht="15.75" customHeight="1">
      <c r="A3902" s="32"/>
      <c r="B3902" s="22"/>
      <c r="C3902" s="22"/>
      <c r="D3902" s="22"/>
      <c r="E3902" s="22"/>
      <c r="F3902" s="22"/>
      <c r="G3902" s="22"/>
      <c r="H3902" s="18"/>
      <c r="I3902" s="18"/>
      <c r="J3902" s="18"/>
      <c r="K3902" s="18"/>
      <c r="L3902" s="18"/>
      <c r="M3902" s="18"/>
      <c r="N3902" s="18"/>
      <c r="O3902" s="18"/>
      <c r="P3902" s="18"/>
      <c r="Q3902" s="19"/>
      <c r="R3902" s="19"/>
      <c r="S3902" s="19"/>
      <c r="T3902" s="18"/>
      <c r="U3902" s="18"/>
      <c r="V3902" s="18"/>
      <c r="W3902" s="18"/>
      <c r="X3902" s="18"/>
      <c r="Y3902" s="18"/>
      <c r="Z3902" s="18"/>
    </row>
    <row r="3903" ht="15.75" customHeight="1">
      <c r="A3903" s="32"/>
      <c r="B3903" s="22"/>
      <c r="C3903" s="22"/>
      <c r="D3903" s="22"/>
      <c r="E3903" s="22"/>
      <c r="F3903" s="22"/>
      <c r="G3903" s="22"/>
      <c r="H3903" s="18"/>
      <c r="I3903" s="18"/>
      <c r="J3903" s="18"/>
      <c r="K3903" s="18"/>
      <c r="L3903" s="18"/>
      <c r="M3903" s="18"/>
      <c r="N3903" s="18"/>
      <c r="O3903" s="18"/>
      <c r="P3903" s="18"/>
      <c r="Q3903" s="19"/>
      <c r="R3903" s="19"/>
      <c r="S3903" s="19"/>
      <c r="T3903" s="18"/>
      <c r="U3903" s="18"/>
      <c r="V3903" s="18"/>
      <c r="W3903" s="18"/>
      <c r="X3903" s="18"/>
      <c r="Y3903" s="18"/>
      <c r="Z3903" s="18"/>
    </row>
    <row r="3904" ht="15.75" customHeight="1">
      <c r="A3904" s="32"/>
      <c r="B3904" s="22"/>
      <c r="C3904" s="22"/>
      <c r="D3904" s="22"/>
      <c r="E3904" s="22"/>
      <c r="F3904" s="22"/>
      <c r="G3904" s="22"/>
      <c r="H3904" s="18"/>
      <c r="I3904" s="18"/>
      <c r="J3904" s="18"/>
      <c r="K3904" s="18"/>
      <c r="L3904" s="18"/>
      <c r="M3904" s="18"/>
      <c r="N3904" s="18"/>
      <c r="O3904" s="18"/>
      <c r="P3904" s="18"/>
      <c r="Q3904" s="19"/>
      <c r="R3904" s="19"/>
      <c r="S3904" s="19"/>
      <c r="T3904" s="18"/>
      <c r="U3904" s="18"/>
      <c r="V3904" s="18"/>
      <c r="W3904" s="18"/>
      <c r="X3904" s="18"/>
      <c r="Y3904" s="18"/>
      <c r="Z3904" s="18"/>
    </row>
    <row r="3905" ht="15.75" customHeight="1">
      <c r="A3905" s="32"/>
      <c r="B3905" s="22"/>
      <c r="C3905" s="22"/>
      <c r="D3905" s="22"/>
      <c r="E3905" s="22"/>
      <c r="F3905" s="22"/>
      <c r="G3905" s="22"/>
      <c r="H3905" s="18"/>
      <c r="I3905" s="18"/>
      <c r="J3905" s="18"/>
      <c r="K3905" s="18"/>
      <c r="L3905" s="18"/>
      <c r="M3905" s="18"/>
      <c r="N3905" s="18"/>
      <c r="O3905" s="18"/>
      <c r="P3905" s="18"/>
      <c r="Q3905" s="19"/>
      <c r="R3905" s="19"/>
      <c r="S3905" s="19"/>
      <c r="T3905" s="18"/>
      <c r="U3905" s="18"/>
      <c r="V3905" s="18"/>
      <c r="W3905" s="18"/>
      <c r="X3905" s="18"/>
      <c r="Y3905" s="18"/>
      <c r="Z3905" s="18"/>
    </row>
    <row r="3906" ht="15.75" customHeight="1">
      <c r="A3906" s="32"/>
      <c r="B3906" s="22"/>
      <c r="C3906" s="22"/>
      <c r="D3906" s="22"/>
      <c r="E3906" s="22"/>
      <c r="F3906" s="22"/>
      <c r="G3906" s="22"/>
      <c r="H3906" s="18"/>
      <c r="I3906" s="18"/>
      <c r="J3906" s="18"/>
      <c r="K3906" s="18"/>
      <c r="L3906" s="18"/>
      <c r="M3906" s="18"/>
      <c r="N3906" s="18"/>
      <c r="O3906" s="18"/>
      <c r="P3906" s="18"/>
      <c r="Q3906" s="19"/>
      <c r="R3906" s="19"/>
      <c r="S3906" s="19"/>
      <c r="T3906" s="18"/>
      <c r="U3906" s="18"/>
      <c r="V3906" s="18"/>
      <c r="W3906" s="18"/>
      <c r="X3906" s="18"/>
      <c r="Y3906" s="18"/>
      <c r="Z3906" s="18"/>
    </row>
    <row r="3907" ht="15.75" customHeight="1">
      <c r="A3907" s="32"/>
      <c r="B3907" s="22"/>
      <c r="C3907" s="22"/>
      <c r="D3907" s="22"/>
      <c r="E3907" s="22"/>
      <c r="F3907" s="22"/>
      <c r="G3907" s="22"/>
      <c r="H3907" s="18"/>
      <c r="I3907" s="18"/>
      <c r="J3907" s="18"/>
      <c r="K3907" s="18"/>
      <c r="L3907" s="18"/>
      <c r="M3907" s="18"/>
      <c r="N3907" s="18"/>
      <c r="O3907" s="18"/>
      <c r="P3907" s="18"/>
      <c r="Q3907" s="19"/>
      <c r="R3907" s="19"/>
      <c r="S3907" s="19"/>
      <c r="T3907" s="18"/>
      <c r="U3907" s="18"/>
      <c r="V3907" s="18"/>
      <c r="W3907" s="18"/>
      <c r="X3907" s="18"/>
      <c r="Y3907" s="18"/>
      <c r="Z3907" s="18"/>
    </row>
    <row r="3908" ht="15.75" customHeight="1">
      <c r="A3908" s="32"/>
      <c r="B3908" s="22"/>
      <c r="C3908" s="22"/>
      <c r="D3908" s="22"/>
      <c r="E3908" s="22"/>
      <c r="F3908" s="22"/>
      <c r="G3908" s="22"/>
      <c r="H3908" s="18"/>
      <c r="I3908" s="18"/>
      <c r="J3908" s="18"/>
      <c r="K3908" s="18"/>
      <c r="L3908" s="18"/>
      <c r="M3908" s="18"/>
      <c r="N3908" s="18"/>
      <c r="O3908" s="18"/>
      <c r="P3908" s="18"/>
      <c r="Q3908" s="19"/>
      <c r="R3908" s="19"/>
      <c r="S3908" s="19"/>
      <c r="T3908" s="18"/>
      <c r="U3908" s="18"/>
      <c r="V3908" s="18"/>
      <c r="W3908" s="18"/>
      <c r="X3908" s="18"/>
      <c r="Y3908" s="18"/>
      <c r="Z3908" s="18"/>
    </row>
    <row r="3909" ht="15.75" customHeight="1">
      <c r="A3909" s="32"/>
      <c r="B3909" s="22"/>
      <c r="C3909" s="22"/>
      <c r="D3909" s="22"/>
      <c r="E3909" s="22"/>
      <c r="F3909" s="22"/>
      <c r="G3909" s="22"/>
      <c r="H3909" s="18"/>
      <c r="I3909" s="18"/>
      <c r="J3909" s="18"/>
      <c r="K3909" s="18"/>
      <c r="L3909" s="18"/>
      <c r="M3909" s="18"/>
      <c r="N3909" s="18"/>
      <c r="O3909" s="18"/>
      <c r="P3909" s="18"/>
      <c r="Q3909" s="19"/>
      <c r="R3909" s="19"/>
      <c r="S3909" s="19"/>
      <c r="T3909" s="18"/>
      <c r="U3909" s="18"/>
      <c r="V3909" s="18"/>
      <c r="W3909" s="18"/>
      <c r="X3909" s="18"/>
      <c r="Y3909" s="18"/>
      <c r="Z3909" s="18"/>
    </row>
    <row r="3910" ht="15.75" customHeight="1">
      <c r="A3910" s="32"/>
      <c r="B3910" s="22"/>
      <c r="C3910" s="22"/>
      <c r="D3910" s="22"/>
      <c r="E3910" s="22"/>
      <c r="F3910" s="22"/>
      <c r="G3910" s="22"/>
      <c r="H3910" s="18"/>
      <c r="I3910" s="18"/>
      <c r="J3910" s="18"/>
      <c r="K3910" s="18"/>
      <c r="L3910" s="18"/>
      <c r="M3910" s="18"/>
      <c r="N3910" s="18"/>
      <c r="O3910" s="18"/>
      <c r="P3910" s="18"/>
      <c r="Q3910" s="19"/>
      <c r="R3910" s="19"/>
      <c r="S3910" s="19"/>
      <c r="T3910" s="18"/>
      <c r="U3910" s="18"/>
      <c r="V3910" s="18"/>
      <c r="W3910" s="18"/>
      <c r="X3910" s="18"/>
      <c r="Y3910" s="18"/>
      <c r="Z3910" s="18"/>
    </row>
    <row r="3911" ht="15.75" customHeight="1">
      <c r="A3911" s="32"/>
      <c r="B3911" s="22"/>
      <c r="C3911" s="22"/>
      <c r="D3911" s="22"/>
      <c r="E3911" s="22"/>
      <c r="F3911" s="22"/>
      <c r="G3911" s="22"/>
      <c r="H3911" s="18"/>
      <c r="I3911" s="18"/>
      <c r="J3911" s="18"/>
      <c r="K3911" s="18"/>
      <c r="L3911" s="18"/>
      <c r="M3911" s="18"/>
      <c r="N3911" s="18"/>
      <c r="O3911" s="18"/>
      <c r="P3911" s="18"/>
      <c r="Q3911" s="19"/>
      <c r="R3911" s="19"/>
      <c r="S3911" s="19"/>
      <c r="T3911" s="18"/>
      <c r="U3911" s="18"/>
      <c r="V3911" s="18"/>
      <c r="W3911" s="18"/>
      <c r="X3911" s="18"/>
      <c r="Y3911" s="18"/>
      <c r="Z3911" s="18"/>
    </row>
    <row r="3912" ht="15.75" customHeight="1">
      <c r="A3912" s="32"/>
      <c r="B3912" s="22"/>
      <c r="C3912" s="22"/>
      <c r="D3912" s="22"/>
      <c r="E3912" s="22"/>
      <c r="F3912" s="22"/>
      <c r="G3912" s="22"/>
      <c r="H3912" s="18"/>
      <c r="I3912" s="18"/>
      <c r="J3912" s="18"/>
      <c r="K3912" s="18"/>
      <c r="L3912" s="18"/>
      <c r="M3912" s="18"/>
      <c r="N3912" s="18"/>
      <c r="O3912" s="18"/>
      <c r="P3912" s="18"/>
      <c r="Q3912" s="19"/>
      <c r="R3912" s="19"/>
      <c r="S3912" s="19"/>
      <c r="T3912" s="18"/>
      <c r="U3912" s="18"/>
      <c r="V3912" s="18"/>
      <c r="W3912" s="18"/>
      <c r="X3912" s="18"/>
      <c r="Y3912" s="18"/>
      <c r="Z3912" s="18"/>
    </row>
    <row r="3913" ht="15.75" customHeight="1">
      <c r="A3913" s="32"/>
      <c r="B3913" s="22"/>
      <c r="C3913" s="22"/>
      <c r="D3913" s="22"/>
      <c r="E3913" s="22"/>
      <c r="F3913" s="22"/>
      <c r="G3913" s="22"/>
      <c r="H3913" s="18"/>
      <c r="I3913" s="18"/>
      <c r="J3913" s="18"/>
      <c r="K3913" s="18"/>
      <c r="L3913" s="18"/>
      <c r="M3913" s="18"/>
      <c r="N3913" s="18"/>
      <c r="O3913" s="18"/>
      <c r="P3913" s="18"/>
      <c r="Q3913" s="19"/>
      <c r="R3913" s="19"/>
      <c r="S3913" s="19"/>
      <c r="T3913" s="18"/>
      <c r="U3913" s="18"/>
      <c r="V3913" s="18"/>
      <c r="W3913" s="18"/>
      <c r="X3913" s="18"/>
      <c r="Y3913" s="18"/>
      <c r="Z3913" s="18"/>
    </row>
    <row r="3914" ht="15.75" customHeight="1">
      <c r="A3914" s="32"/>
      <c r="B3914" s="22"/>
      <c r="C3914" s="22"/>
      <c r="D3914" s="22"/>
      <c r="E3914" s="22"/>
      <c r="F3914" s="22"/>
      <c r="G3914" s="22"/>
      <c r="H3914" s="18"/>
      <c r="I3914" s="18"/>
      <c r="J3914" s="18"/>
      <c r="K3914" s="18"/>
      <c r="L3914" s="18"/>
      <c r="M3914" s="18"/>
      <c r="N3914" s="18"/>
      <c r="O3914" s="18"/>
      <c r="P3914" s="18"/>
      <c r="Q3914" s="19"/>
      <c r="R3914" s="19"/>
      <c r="S3914" s="19"/>
      <c r="T3914" s="18"/>
      <c r="U3914" s="18"/>
      <c r="V3914" s="18"/>
      <c r="W3914" s="18"/>
      <c r="X3914" s="18"/>
      <c r="Y3914" s="18"/>
      <c r="Z3914" s="18"/>
    </row>
    <row r="3915" ht="15.75" customHeight="1">
      <c r="A3915" s="32"/>
      <c r="B3915" s="22"/>
      <c r="C3915" s="22"/>
      <c r="D3915" s="22"/>
      <c r="E3915" s="22"/>
      <c r="F3915" s="22"/>
      <c r="G3915" s="22"/>
      <c r="H3915" s="18"/>
      <c r="I3915" s="18"/>
      <c r="J3915" s="18"/>
      <c r="K3915" s="18"/>
      <c r="L3915" s="18"/>
      <c r="M3915" s="18"/>
      <c r="N3915" s="18"/>
      <c r="O3915" s="18"/>
      <c r="P3915" s="18"/>
      <c r="Q3915" s="19"/>
      <c r="R3915" s="19"/>
      <c r="S3915" s="19"/>
      <c r="T3915" s="18"/>
      <c r="U3915" s="18"/>
      <c r="V3915" s="18"/>
      <c r="W3915" s="18"/>
      <c r="X3915" s="18"/>
      <c r="Y3915" s="18"/>
      <c r="Z3915" s="18"/>
    </row>
    <row r="3916" ht="15.75" customHeight="1">
      <c r="A3916" s="32"/>
      <c r="B3916" s="22"/>
      <c r="C3916" s="22"/>
      <c r="D3916" s="22"/>
      <c r="E3916" s="22"/>
      <c r="F3916" s="22"/>
      <c r="G3916" s="22"/>
      <c r="H3916" s="18"/>
      <c r="I3916" s="18"/>
      <c r="J3916" s="18"/>
      <c r="K3916" s="18"/>
      <c r="L3916" s="18"/>
      <c r="M3916" s="18"/>
      <c r="N3916" s="18"/>
      <c r="O3916" s="18"/>
      <c r="P3916" s="18"/>
      <c r="Q3916" s="19"/>
      <c r="R3916" s="19"/>
      <c r="S3916" s="19"/>
      <c r="T3916" s="18"/>
      <c r="U3916" s="18"/>
      <c r="V3916" s="18"/>
      <c r="W3916" s="18"/>
      <c r="X3916" s="18"/>
      <c r="Y3916" s="18"/>
      <c r="Z3916" s="18"/>
    </row>
    <row r="3917" ht="15.75" customHeight="1">
      <c r="A3917" s="32"/>
      <c r="B3917" s="22"/>
      <c r="C3917" s="22"/>
      <c r="D3917" s="22"/>
      <c r="E3917" s="22"/>
      <c r="F3917" s="22"/>
      <c r="G3917" s="22"/>
      <c r="H3917" s="18"/>
      <c r="I3917" s="18"/>
      <c r="J3917" s="18"/>
      <c r="K3917" s="18"/>
      <c r="L3917" s="18"/>
      <c r="M3917" s="18"/>
      <c r="N3917" s="18"/>
      <c r="O3917" s="18"/>
      <c r="P3917" s="18"/>
      <c r="Q3917" s="19"/>
      <c r="R3917" s="19"/>
      <c r="S3917" s="19"/>
      <c r="T3917" s="18"/>
      <c r="U3917" s="18"/>
      <c r="V3917" s="18"/>
      <c r="W3917" s="18"/>
      <c r="X3917" s="18"/>
      <c r="Y3917" s="18"/>
      <c r="Z3917" s="18"/>
    </row>
    <row r="3918" ht="15.75" customHeight="1">
      <c r="A3918" s="32"/>
      <c r="B3918" s="22"/>
      <c r="C3918" s="22"/>
      <c r="D3918" s="22"/>
      <c r="E3918" s="22"/>
      <c r="F3918" s="22"/>
      <c r="G3918" s="22"/>
      <c r="H3918" s="18"/>
      <c r="I3918" s="18"/>
      <c r="J3918" s="18"/>
      <c r="K3918" s="18"/>
      <c r="L3918" s="18"/>
      <c r="M3918" s="18"/>
      <c r="N3918" s="18"/>
      <c r="O3918" s="18"/>
      <c r="P3918" s="18"/>
      <c r="Q3918" s="19"/>
      <c r="R3918" s="19"/>
      <c r="S3918" s="19"/>
      <c r="T3918" s="18"/>
      <c r="U3918" s="18"/>
      <c r="V3918" s="18"/>
      <c r="W3918" s="18"/>
      <c r="X3918" s="18"/>
      <c r="Y3918" s="18"/>
      <c r="Z3918" s="18"/>
    </row>
    <row r="3919" ht="15.75" customHeight="1">
      <c r="A3919" s="32"/>
      <c r="B3919" s="22"/>
      <c r="C3919" s="22"/>
      <c r="D3919" s="22"/>
      <c r="E3919" s="22"/>
      <c r="F3919" s="22"/>
      <c r="G3919" s="22"/>
      <c r="H3919" s="18"/>
      <c r="I3919" s="18"/>
      <c r="J3919" s="18"/>
      <c r="K3919" s="18"/>
      <c r="L3919" s="18"/>
      <c r="M3919" s="18"/>
      <c r="N3919" s="18"/>
      <c r="O3919" s="18"/>
      <c r="P3919" s="18"/>
      <c r="Q3919" s="19"/>
      <c r="R3919" s="19"/>
      <c r="S3919" s="19"/>
      <c r="T3919" s="18"/>
      <c r="U3919" s="18"/>
      <c r="V3919" s="18"/>
      <c r="W3919" s="18"/>
      <c r="X3919" s="18"/>
      <c r="Y3919" s="18"/>
      <c r="Z3919" s="18"/>
    </row>
    <row r="3920" ht="15.75" customHeight="1">
      <c r="A3920" s="32"/>
      <c r="B3920" s="22"/>
      <c r="C3920" s="22"/>
      <c r="D3920" s="22"/>
      <c r="E3920" s="22"/>
      <c r="F3920" s="22"/>
      <c r="G3920" s="22"/>
      <c r="H3920" s="18"/>
      <c r="I3920" s="18"/>
      <c r="J3920" s="18"/>
      <c r="K3920" s="18"/>
      <c r="L3920" s="18"/>
      <c r="M3920" s="18"/>
      <c r="N3920" s="18"/>
      <c r="O3920" s="18"/>
      <c r="P3920" s="18"/>
      <c r="Q3920" s="19"/>
      <c r="R3920" s="19"/>
      <c r="S3920" s="19"/>
      <c r="T3920" s="18"/>
      <c r="U3920" s="18"/>
      <c r="V3920" s="18"/>
      <c r="W3920" s="18"/>
      <c r="X3920" s="18"/>
      <c r="Y3920" s="18"/>
      <c r="Z3920" s="18"/>
    </row>
    <row r="3921" ht="15.75" customHeight="1">
      <c r="A3921" s="32"/>
      <c r="B3921" s="22"/>
      <c r="C3921" s="22"/>
      <c r="D3921" s="22"/>
      <c r="E3921" s="22"/>
      <c r="F3921" s="22"/>
      <c r="G3921" s="22"/>
      <c r="H3921" s="18"/>
      <c r="I3921" s="18"/>
      <c r="J3921" s="18"/>
      <c r="K3921" s="18"/>
      <c r="L3921" s="18"/>
      <c r="M3921" s="18"/>
      <c r="N3921" s="18"/>
      <c r="O3921" s="18"/>
      <c r="P3921" s="18"/>
      <c r="Q3921" s="19"/>
      <c r="R3921" s="19"/>
      <c r="S3921" s="19"/>
      <c r="T3921" s="18"/>
      <c r="U3921" s="18"/>
      <c r="V3921" s="18"/>
      <c r="W3921" s="18"/>
      <c r="X3921" s="18"/>
      <c r="Y3921" s="18"/>
      <c r="Z3921" s="18"/>
    </row>
    <row r="3922" ht="15.75" customHeight="1">
      <c r="A3922" s="32"/>
      <c r="B3922" s="22"/>
      <c r="C3922" s="22"/>
      <c r="D3922" s="22"/>
      <c r="E3922" s="22"/>
      <c r="F3922" s="22"/>
      <c r="G3922" s="22"/>
      <c r="H3922" s="18"/>
      <c r="I3922" s="18"/>
      <c r="J3922" s="18"/>
      <c r="K3922" s="18"/>
      <c r="L3922" s="18"/>
      <c r="M3922" s="18"/>
      <c r="N3922" s="18"/>
      <c r="O3922" s="18"/>
      <c r="P3922" s="18"/>
      <c r="Q3922" s="19"/>
      <c r="R3922" s="19"/>
      <c r="S3922" s="19"/>
      <c r="T3922" s="18"/>
      <c r="U3922" s="18"/>
      <c r="V3922" s="18"/>
      <c r="W3922" s="18"/>
      <c r="X3922" s="18"/>
      <c r="Y3922" s="18"/>
      <c r="Z3922" s="18"/>
    </row>
    <row r="3923" ht="15.75" customHeight="1">
      <c r="A3923" s="32"/>
      <c r="B3923" s="22"/>
      <c r="C3923" s="22"/>
      <c r="D3923" s="22"/>
      <c r="E3923" s="22"/>
      <c r="F3923" s="22"/>
      <c r="G3923" s="22"/>
      <c r="H3923" s="18"/>
      <c r="I3923" s="18"/>
      <c r="J3923" s="18"/>
      <c r="K3923" s="18"/>
      <c r="L3923" s="18"/>
      <c r="M3923" s="18"/>
      <c r="N3923" s="18"/>
      <c r="O3923" s="18"/>
      <c r="P3923" s="18"/>
      <c r="Q3923" s="19"/>
      <c r="R3923" s="19"/>
      <c r="S3923" s="19"/>
      <c r="T3923" s="18"/>
      <c r="U3923" s="18"/>
      <c r="V3923" s="18"/>
      <c r="W3923" s="18"/>
      <c r="X3923" s="18"/>
      <c r="Y3923" s="18"/>
      <c r="Z3923" s="18"/>
    </row>
    <row r="3924" ht="15.75" customHeight="1">
      <c r="A3924" s="32"/>
      <c r="B3924" s="22"/>
      <c r="C3924" s="22"/>
      <c r="D3924" s="22"/>
      <c r="E3924" s="22"/>
      <c r="F3924" s="22"/>
      <c r="G3924" s="22"/>
      <c r="H3924" s="18"/>
      <c r="I3924" s="18"/>
      <c r="J3924" s="18"/>
      <c r="K3924" s="18"/>
      <c r="L3924" s="18"/>
      <c r="M3924" s="18"/>
      <c r="N3924" s="18"/>
      <c r="O3924" s="18"/>
      <c r="P3924" s="18"/>
      <c r="Q3924" s="19"/>
      <c r="R3924" s="19"/>
      <c r="S3924" s="19"/>
      <c r="T3924" s="18"/>
      <c r="U3924" s="18"/>
      <c r="V3924" s="18"/>
      <c r="W3924" s="18"/>
      <c r="X3924" s="18"/>
      <c r="Y3924" s="18"/>
      <c r="Z3924" s="18"/>
    </row>
    <row r="3925" ht="15.75" customHeight="1">
      <c r="A3925" s="32"/>
      <c r="B3925" s="22"/>
      <c r="C3925" s="22"/>
      <c r="D3925" s="22"/>
      <c r="E3925" s="22"/>
      <c r="F3925" s="22"/>
      <c r="G3925" s="22"/>
      <c r="H3925" s="18"/>
      <c r="I3925" s="18"/>
      <c r="J3925" s="18"/>
      <c r="K3925" s="18"/>
      <c r="L3925" s="18"/>
      <c r="M3925" s="18"/>
      <c r="N3925" s="18"/>
      <c r="O3925" s="18"/>
      <c r="P3925" s="18"/>
      <c r="Q3925" s="19"/>
      <c r="R3925" s="19"/>
      <c r="S3925" s="19"/>
      <c r="T3925" s="18"/>
      <c r="U3925" s="18"/>
      <c r="V3925" s="18"/>
      <c r="W3925" s="18"/>
      <c r="X3925" s="18"/>
      <c r="Y3925" s="18"/>
      <c r="Z3925" s="18"/>
    </row>
    <row r="3926" ht="15.75" customHeight="1">
      <c r="A3926" s="32"/>
      <c r="B3926" s="22"/>
      <c r="C3926" s="22"/>
      <c r="D3926" s="22"/>
      <c r="E3926" s="22"/>
      <c r="F3926" s="22"/>
      <c r="G3926" s="22"/>
      <c r="H3926" s="18"/>
      <c r="I3926" s="18"/>
      <c r="J3926" s="18"/>
      <c r="K3926" s="18"/>
      <c r="L3926" s="18"/>
      <c r="M3926" s="18"/>
      <c r="N3926" s="18"/>
      <c r="O3926" s="18"/>
      <c r="P3926" s="18"/>
      <c r="Q3926" s="19"/>
      <c r="R3926" s="19"/>
      <c r="S3926" s="19"/>
      <c r="T3926" s="18"/>
      <c r="U3926" s="18"/>
      <c r="V3926" s="18"/>
      <c r="W3926" s="18"/>
      <c r="X3926" s="18"/>
      <c r="Y3926" s="18"/>
      <c r="Z3926" s="18"/>
    </row>
    <row r="3927" ht="15.75" customHeight="1">
      <c r="A3927" s="32"/>
      <c r="B3927" s="22"/>
      <c r="C3927" s="22"/>
      <c r="D3927" s="22"/>
      <c r="E3927" s="22"/>
      <c r="F3927" s="22"/>
      <c r="G3927" s="22"/>
      <c r="H3927" s="18"/>
      <c r="I3927" s="18"/>
      <c r="J3927" s="18"/>
      <c r="K3927" s="18"/>
      <c r="L3927" s="18"/>
      <c r="M3927" s="18"/>
      <c r="N3927" s="18"/>
      <c r="O3927" s="18"/>
      <c r="P3927" s="18"/>
      <c r="Q3927" s="19"/>
      <c r="R3927" s="19"/>
      <c r="S3927" s="19"/>
      <c r="T3927" s="18"/>
      <c r="U3927" s="18"/>
      <c r="V3927" s="18"/>
      <c r="W3927" s="18"/>
      <c r="X3927" s="18"/>
      <c r="Y3927" s="18"/>
      <c r="Z3927" s="18"/>
    </row>
    <row r="3928" ht="15.75" customHeight="1">
      <c r="A3928" s="32"/>
      <c r="B3928" s="22"/>
      <c r="C3928" s="22"/>
      <c r="D3928" s="22"/>
      <c r="E3928" s="22"/>
      <c r="F3928" s="22"/>
      <c r="G3928" s="22"/>
      <c r="H3928" s="18"/>
      <c r="I3928" s="18"/>
      <c r="J3928" s="18"/>
      <c r="K3928" s="18"/>
      <c r="L3928" s="18"/>
      <c r="M3928" s="18"/>
      <c r="N3928" s="18"/>
      <c r="O3928" s="18"/>
      <c r="P3928" s="18"/>
      <c r="Q3928" s="19"/>
      <c r="R3928" s="19"/>
      <c r="S3928" s="19"/>
      <c r="T3928" s="18"/>
      <c r="U3928" s="18"/>
      <c r="V3928" s="18"/>
      <c r="W3928" s="18"/>
      <c r="X3928" s="18"/>
      <c r="Y3928" s="18"/>
      <c r="Z3928" s="18"/>
    </row>
    <row r="3929" ht="15.75" customHeight="1">
      <c r="A3929" s="32"/>
      <c r="B3929" s="22"/>
      <c r="C3929" s="22"/>
      <c r="D3929" s="22"/>
      <c r="E3929" s="22"/>
      <c r="F3929" s="22"/>
      <c r="G3929" s="22"/>
      <c r="H3929" s="18"/>
      <c r="I3929" s="18"/>
      <c r="J3929" s="18"/>
      <c r="K3929" s="18"/>
      <c r="L3929" s="18"/>
      <c r="M3929" s="18"/>
      <c r="N3929" s="18"/>
      <c r="O3929" s="18"/>
      <c r="P3929" s="18"/>
      <c r="Q3929" s="19"/>
      <c r="R3929" s="19"/>
      <c r="S3929" s="19"/>
      <c r="T3929" s="18"/>
      <c r="U3929" s="18"/>
      <c r="V3929" s="18"/>
      <c r="W3929" s="18"/>
      <c r="X3929" s="18"/>
      <c r="Y3929" s="18"/>
      <c r="Z3929" s="18"/>
    </row>
    <row r="3930" ht="15.75" customHeight="1">
      <c r="A3930" s="32"/>
      <c r="B3930" s="22"/>
      <c r="C3930" s="22"/>
      <c r="D3930" s="22"/>
      <c r="E3930" s="22"/>
      <c r="F3930" s="22"/>
      <c r="G3930" s="22"/>
      <c r="H3930" s="18"/>
      <c r="I3930" s="18"/>
      <c r="J3930" s="18"/>
      <c r="K3930" s="18"/>
      <c r="L3930" s="18"/>
      <c r="M3930" s="18"/>
      <c r="N3930" s="18"/>
      <c r="O3930" s="18"/>
      <c r="P3930" s="18"/>
      <c r="Q3930" s="19"/>
      <c r="R3930" s="19"/>
      <c r="S3930" s="19"/>
      <c r="T3930" s="18"/>
      <c r="U3930" s="18"/>
      <c r="V3930" s="18"/>
      <c r="W3930" s="18"/>
      <c r="X3930" s="18"/>
      <c r="Y3930" s="18"/>
      <c r="Z3930" s="18"/>
    </row>
    <row r="3931" ht="15.75" customHeight="1">
      <c r="A3931" s="32"/>
      <c r="B3931" s="22"/>
      <c r="C3931" s="22"/>
      <c r="D3931" s="22"/>
      <c r="E3931" s="22"/>
      <c r="F3931" s="22"/>
      <c r="G3931" s="22"/>
      <c r="H3931" s="18"/>
      <c r="I3931" s="18"/>
      <c r="J3931" s="18"/>
      <c r="K3931" s="18"/>
      <c r="L3931" s="18"/>
      <c r="M3931" s="18"/>
      <c r="N3931" s="18"/>
      <c r="O3931" s="18"/>
      <c r="P3931" s="18"/>
      <c r="Q3931" s="19"/>
      <c r="R3931" s="19"/>
      <c r="S3931" s="19"/>
      <c r="T3931" s="18"/>
      <c r="U3931" s="18"/>
      <c r="V3931" s="18"/>
      <c r="W3931" s="18"/>
      <c r="X3931" s="18"/>
      <c r="Y3931" s="18"/>
      <c r="Z3931" s="18"/>
    </row>
    <row r="3932" ht="15.75" customHeight="1">
      <c r="A3932" s="32"/>
      <c r="B3932" s="22"/>
      <c r="C3932" s="22"/>
      <c r="D3932" s="22"/>
      <c r="E3932" s="22"/>
      <c r="F3932" s="22"/>
      <c r="G3932" s="22"/>
      <c r="H3932" s="18"/>
      <c r="I3932" s="18"/>
      <c r="J3932" s="18"/>
      <c r="K3932" s="18"/>
      <c r="L3932" s="18"/>
      <c r="M3932" s="18"/>
      <c r="N3932" s="18"/>
      <c r="O3932" s="18"/>
      <c r="P3932" s="18"/>
      <c r="Q3932" s="19"/>
      <c r="R3932" s="19"/>
      <c r="S3932" s="19"/>
      <c r="T3932" s="18"/>
      <c r="U3932" s="18"/>
      <c r="V3932" s="18"/>
      <c r="W3932" s="18"/>
      <c r="X3932" s="18"/>
      <c r="Y3932" s="18"/>
      <c r="Z3932" s="18"/>
    </row>
    <row r="3933" ht="15.75" customHeight="1">
      <c r="A3933" s="32"/>
      <c r="B3933" s="22"/>
      <c r="C3933" s="22"/>
      <c r="D3933" s="22"/>
      <c r="E3933" s="22"/>
      <c r="F3933" s="22"/>
      <c r="G3933" s="22"/>
      <c r="H3933" s="18"/>
      <c r="I3933" s="18"/>
      <c r="J3933" s="18"/>
      <c r="K3933" s="18"/>
      <c r="L3933" s="18"/>
      <c r="M3933" s="18"/>
      <c r="N3933" s="18"/>
      <c r="O3933" s="18"/>
      <c r="P3933" s="18"/>
      <c r="Q3933" s="19"/>
      <c r="R3933" s="19"/>
      <c r="S3933" s="19"/>
      <c r="T3933" s="18"/>
      <c r="U3933" s="18"/>
      <c r="V3933" s="18"/>
      <c r="W3933" s="18"/>
      <c r="X3933" s="18"/>
      <c r="Y3933" s="18"/>
      <c r="Z3933" s="18"/>
    </row>
    <row r="3934" ht="15.75" customHeight="1">
      <c r="A3934" s="32"/>
      <c r="B3934" s="22"/>
      <c r="C3934" s="22"/>
      <c r="D3934" s="22"/>
      <c r="E3934" s="22"/>
      <c r="F3934" s="22"/>
      <c r="G3934" s="22"/>
      <c r="H3934" s="18"/>
      <c r="I3934" s="18"/>
      <c r="J3934" s="18"/>
      <c r="K3934" s="18"/>
      <c r="L3934" s="18"/>
      <c r="M3934" s="18"/>
      <c r="N3934" s="18"/>
      <c r="O3934" s="18"/>
      <c r="P3934" s="18"/>
      <c r="Q3934" s="19"/>
      <c r="R3934" s="19"/>
      <c r="S3934" s="19"/>
      <c r="T3934" s="18"/>
      <c r="U3934" s="18"/>
      <c r="V3934" s="18"/>
      <c r="W3934" s="18"/>
      <c r="X3934" s="18"/>
      <c r="Y3934" s="18"/>
      <c r="Z3934" s="18"/>
    </row>
    <row r="3935" ht="15.75" customHeight="1">
      <c r="A3935" s="32"/>
      <c r="B3935" s="22"/>
      <c r="C3935" s="22"/>
      <c r="D3935" s="22"/>
      <c r="E3935" s="22"/>
      <c r="F3935" s="22"/>
      <c r="G3935" s="22"/>
      <c r="H3935" s="18"/>
      <c r="I3935" s="18"/>
      <c r="J3935" s="18"/>
      <c r="K3935" s="18"/>
      <c r="L3935" s="18"/>
      <c r="M3935" s="18"/>
      <c r="N3935" s="18"/>
      <c r="O3935" s="18"/>
      <c r="P3935" s="18"/>
      <c r="Q3935" s="19"/>
      <c r="R3935" s="19"/>
      <c r="S3935" s="19"/>
      <c r="T3935" s="18"/>
      <c r="U3935" s="18"/>
      <c r="V3935" s="18"/>
      <c r="W3935" s="18"/>
      <c r="X3935" s="18"/>
      <c r="Y3935" s="18"/>
      <c r="Z3935" s="18"/>
    </row>
    <row r="3936" ht="15.75" customHeight="1">
      <c r="A3936" s="32"/>
      <c r="B3936" s="22"/>
      <c r="C3936" s="22"/>
      <c r="D3936" s="22"/>
      <c r="E3936" s="22"/>
      <c r="F3936" s="22"/>
      <c r="G3936" s="22"/>
      <c r="H3936" s="18"/>
      <c r="I3936" s="18"/>
      <c r="J3936" s="18"/>
      <c r="K3936" s="18"/>
      <c r="L3936" s="18"/>
      <c r="M3936" s="18"/>
      <c r="N3936" s="18"/>
      <c r="O3936" s="18"/>
      <c r="P3936" s="18"/>
      <c r="Q3936" s="19"/>
      <c r="R3936" s="19"/>
      <c r="S3936" s="19"/>
      <c r="T3936" s="18"/>
      <c r="U3936" s="18"/>
      <c r="V3936" s="18"/>
      <c r="W3936" s="18"/>
      <c r="X3936" s="18"/>
      <c r="Y3936" s="18"/>
      <c r="Z3936" s="18"/>
    </row>
    <row r="3937" ht="15.75" customHeight="1">
      <c r="A3937" s="32"/>
      <c r="B3937" s="22"/>
      <c r="C3937" s="22"/>
      <c r="D3937" s="22"/>
      <c r="E3937" s="22"/>
      <c r="F3937" s="22"/>
      <c r="G3937" s="22"/>
      <c r="H3937" s="18"/>
      <c r="I3937" s="18"/>
      <c r="J3937" s="18"/>
      <c r="K3937" s="18"/>
      <c r="L3937" s="18"/>
      <c r="M3937" s="18"/>
      <c r="N3937" s="18"/>
      <c r="O3937" s="18"/>
      <c r="P3937" s="18"/>
      <c r="Q3937" s="19"/>
      <c r="R3937" s="19"/>
      <c r="S3937" s="19"/>
      <c r="T3937" s="18"/>
      <c r="U3937" s="18"/>
      <c r="V3937" s="18"/>
      <c r="W3937" s="18"/>
      <c r="X3937" s="18"/>
      <c r="Y3937" s="18"/>
      <c r="Z3937" s="18"/>
    </row>
    <row r="3938" ht="15.75" customHeight="1">
      <c r="A3938" s="32"/>
      <c r="B3938" s="22"/>
      <c r="C3938" s="22"/>
      <c r="D3938" s="22"/>
      <c r="E3938" s="22"/>
      <c r="F3938" s="22"/>
      <c r="G3938" s="22"/>
      <c r="H3938" s="18"/>
      <c r="I3938" s="18"/>
      <c r="J3938" s="18"/>
      <c r="K3938" s="18"/>
      <c r="L3938" s="18"/>
      <c r="M3938" s="18"/>
      <c r="N3938" s="18"/>
      <c r="O3938" s="18"/>
      <c r="P3938" s="18"/>
      <c r="Q3938" s="19"/>
      <c r="R3938" s="19"/>
      <c r="S3938" s="19"/>
      <c r="T3938" s="18"/>
      <c r="U3938" s="18"/>
      <c r="V3938" s="18"/>
      <c r="W3938" s="18"/>
      <c r="X3938" s="18"/>
      <c r="Y3938" s="18"/>
      <c r="Z3938" s="18"/>
    </row>
    <row r="3939" ht="15.75" customHeight="1">
      <c r="A3939" s="32"/>
      <c r="B3939" s="22"/>
      <c r="C3939" s="22"/>
      <c r="D3939" s="22"/>
      <c r="E3939" s="22"/>
      <c r="F3939" s="22"/>
      <c r="G3939" s="22"/>
      <c r="H3939" s="18"/>
      <c r="I3939" s="18"/>
      <c r="J3939" s="18"/>
      <c r="K3939" s="18"/>
      <c r="L3939" s="18"/>
      <c r="M3939" s="18"/>
      <c r="N3939" s="18"/>
      <c r="O3939" s="18"/>
      <c r="P3939" s="18"/>
      <c r="Q3939" s="19"/>
      <c r="R3939" s="19"/>
      <c r="S3939" s="19"/>
      <c r="T3939" s="18"/>
      <c r="U3939" s="18"/>
      <c r="V3939" s="18"/>
      <c r="W3939" s="18"/>
      <c r="X3939" s="18"/>
      <c r="Y3939" s="18"/>
      <c r="Z3939" s="18"/>
    </row>
    <row r="3940" ht="15.75" customHeight="1">
      <c r="A3940" s="32"/>
      <c r="B3940" s="22"/>
      <c r="C3940" s="22"/>
      <c r="D3940" s="22"/>
      <c r="E3940" s="22"/>
      <c r="F3940" s="22"/>
      <c r="G3940" s="22"/>
      <c r="H3940" s="18"/>
      <c r="I3940" s="18"/>
      <c r="J3940" s="18"/>
      <c r="K3940" s="18"/>
      <c r="L3940" s="18"/>
      <c r="M3940" s="18"/>
      <c r="N3940" s="18"/>
      <c r="O3940" s="18"/>
      <c r="P3940" s="18"/>
      <c r="Q3940" s="19"/>
      <c r="R3940" s="19"/>
      <c r="S3940" s="19"/>
      <c r="T3940" s="18"/>
      <c r="U3940" s="18"/>
      <c r="V3940" s="18"/>
      <c r="W3940" s="18"/>
      <c r="X3940" s="18"/>
      <c r="Y3940" s="18"/>
      <c r="Z3940" s="18"/>
    </row>
    <row r="3941" ht="15.75" customHeight="1">
      <c r="A3941" s="32"/>
      <c r="B3941" s="22"/>
      <c r="C3941" s="22"/>
      <c r="D3941" s="22"/>
      <c r="E3941" s="22"/>
      <c r="F3941" s="22"/>
      <c r="G3941" s="22"/>
      <c r="H3941" s="18"/>
      <c r="I3941" s="18"/>
      <c r="J3941" s="18"/>
      <c r="K3941" s="18"/>
      <c r="L3941" s="18"/>
      <c r="M3941" s="18"/>
      <c r="N3941" s="18"/>
      <c r="O3941" s="18"/>
      <c r="P3941" s="18"/>
      <c r="Q3941" s="19"/>
      <c r="R3941" s="19"/>
      <c r="S3941" s="19"/>
      <c r="T3941" s="18"/>
      <c r="U3941" s="18"/>
      <c r="V3941" s="18"/>
      <c r="W3941" s="18"/>
      <c r="X3941" s="18"/>
      <c r="Y3941" s="18"/>
      <c r="Z3941" s="18"/>
    </row>
    <row r="3942" ht="15.75" customHeight="1">
      <c r="A3942" s="32"/>
      <c r="B3942" s="22"/>
      <c r="C3942" s="22"/>
      <c r="D3942" s="22"/>
      <c r="E3942" s="22"/>
      <c r="F3942" s="22"/>
      <c r="G3942" s="22"/>
      <c r="H3942" s="18"/>
      <c r="I3942" s="18"/>
      <c r="J3942" s="18"/>
      <c r="K3942" s="18"/>
      <c r="L3942" s="18"/>
      <c r="M3942" s="18"/>
      <c r="N3942" s="18"/>
      <c r="O3942" s="18"/>
      <c r="P3942" s="18"/>
      <c r="Q3942" s="19"/>
      <c r="R3942" s="19"/>
      <c r="S3942" s="19"/>
      <c r="T3942" s="18"/>
      <c r="U3942" s="18"/>
      <c r="V3942" s="18"/>
      <c r="W3942" s="18"/>
      <c r="X3942" s="18"/>
      <c r="Y3942" s="18"/>
      <c r="Z3942" s="18"/>
    </row>
    <row r="3943" ht="15.75" customHeight="1">
      <c r="A3943" s="32"/>
      <c r="B3943" s="22"/>
      <c r="C3943" s="22"/>
      <c r="D3943" s="22"/>
      <c r="E3943" s="22"/>
      <c r="F3943" s="22"/>
      <c r="G3943" s="22"/>
      <c r="H3943" s="18"/>
      <c r="I3943" s="18"/>
      <c r="J3943" s="18"/>
      <c r="K3943" s="18"/>
      <c r="L3943" s="18"/>
      <c r="M3943" s="18"/>
      <c r="N3943" s="18"/>
      <c r="O3943" s="18"/>
      <c r="P3943" s="18"/>
      <c r="Q3943" s="19"/>
      <c r="R3943" s="19"/>
      <c r="S3943" s="19"/>
      <c r="T3943" s="18"/>
      <c r="U3943" s="18"/>
      <c r="V3943" s="18"/>
      <c r="W3943" s="18"/>
      <c r="X3943" s="18"/>
      <c r="Y3943" s="18"/>
      <c r="Z3943" s="18"/>
    </row>
    <row r="3944" ht="15.75" customHeight="1">
      <c r="A3944" s="32"/>
      <c r="B3944" s="22"/>
      <c r="C3944" s="22"/>
      <c r="D3944" s="22"/>
      <c r="E3944" s="22"/>
      <c r="F3944" s="22"/>
      <c r="G3944" s="22"/>
      <c r="H3944" s="18"/>
      <c r="I3944" s="18"/>
      <c r="J3944" s="18"/>
      <c r="K3944" s="18"/>
      <c r="L3944" s="18"/>
      <c r="M3944" s="18"/>
      <c r="N3944" s="18"/>
      <c r="O3944" s="18"/>
      <c r="P3944" s="18"/>
      <c r="Q3944" s="19"/>
      <c r="R3944" s="19"/>
      <c r="S3944" s="19"/>
      <c r="T3944" s="18"/>
      <c r="U3944" s="18"/>
      <c r="V3944" s="18"/>
      <c r="W3944" s="18"/>
      <c r="X3944" s="18"/>
      <c r="Y3944" s="18"/>
      <c r="Z3944" s="18"/>
    </row>
    <row r="3945" ht="15.75" customHeight="1">
      <c r="A3945" s="32"/>
      <c r="B3945" s="22"/>
      <c r="C3945" s="22"/>
      <c r="D3945" s="22"/>
      <c r="E3945" s="22"/>
      <c r="F3945" s="22"/>
      <c r="G3945" s="22"/>
      <c r="H3945" s="18"/>
      <c r="I3945" s="18"/>
      <c r="J3945" s="18"/>
      <c r="K3945" s="18"/>
      <c r="L3945" s="18"/>
      <c r="M3945" s="18"/>
      <c r="N3945" s="18"/>
      <c r="O3945" s="18"/>
      <c r="P3945" s="18"/>
      <c r="Q3945" s="19"/>
      <c r="R3945" s="19"/>
      <c r="S3945" s="19"/>
      <c r="T3945" s="18"/>
      <c r="U3945" s="18"/>
      <c r="V3945" s="18"/>
      <c r="W3945" s="18"/>
      <c r="X3945" s="18"/>
      <c r="Y3945" s="18"/>
      <c r="Z3945" s="18"/>
    </row>
    <row r="3946" ht="15.75" customHeight="1">
      <c r="A3946" s="32"/>
      <c r="B3946" s="22"/>
      <c r="C3946" s="22"/>
      <c r="D3946" s="22"/>
      <c r="E3946" s="22"/>
      <c r="F3946" s="22"/>
      <c r="G3946" s="22"/>
      <c r="H3946" s="18"/>
      <c r="I3946" s="18"/>
      <c r="J3946" s="18"/>
      <c r="K3946" s="18"/>
      <c r="L3946" s="18"/>
      <c r="M3946" s="18"/>
      <c r="N3946" s="18"/>
      <c r="O3946" s="18"/>
      <c r="P3946" s="18"/>
      <c r="Q3946" s="19"/>
      <c r="R3946" s="19"/>
      <c r="S3946" s="19"/>
      <c r="T3946" s="18"/>
      <c r="U3946" s="18"/>
      <c r="V3946" s="18"/>
      <c r="W3946" s="18"/>
      <c r="X3946" s="18"/>
      <c r="Y3946" s="18"/>
      <c r="Z3946" s="18"/>
    </row>
    <row r="3947" ht="15.75" customHeight="1">
      <c r="A3947" s="32"/>
      <c r="B3947" s="22"/>
      <c r="C3947" s="22"/>
      <c r="D3947" s="22"/>
      <c r="E3947" s="22"/>
      <c r="F3947" s="22"/>
      <c r="G3947" s="22"/>
      <c r="H3947" s="18"/>
      <c r="I3947" s="18"/>
      <c r="J3947" s="18"/>
      <c r="K3947" s="18"/>
      <c r="L3947" s="18"/>
      <c r="M3947" s="18"/>
      <c r="N3947" s="18"/>
      <c r="O3947" s="18"/>
      <c r="P3947" s="18"/>
      <c r="Q3947" s="19"/>
      <c r="R3947" s="19"/>
      <c r="S3947" s="19"/>
      <c r="T3947" s="18"/>
      <c r="U3947" s="18"/>
      <c r="V3947" s="18"/>
      <c r="W3947" s="18"/>
      <c r="X3947" s="18"/>
      <c r="Y3947" s="18"/>
      <c r="Z3947" s="18"/>
    </row>
    <row r="3948" ht="15.75" customHeight="1">
      <c r="A3948" s="32"/>
      <c r="B3948" s="22"/>
      <c r="C3948" s="22"/>
      <c r="D3948" s="22"/>
      <c r="E3948" s="22"/>
      <c r="F3948" s="22"/>
      <c r="G3948" s="22"/>
      <c r="H3948" s="18"/>
      <c r="I3948" s="18"/>
      <c r="J3948" s="18"/>
      <c r="K3948" s="18"/>
      <c r="L3948" s="18"/>
      <c r="M3948" s="18"/>
      <c r="N3948" s="18"/>
      <c r="O3948" s="18"/>
      <c r="P3948" s="18"/>
      <c r="Q3948" s="19"/>
      <c r="R3948" s="19"/>
      <c r="S3948" s="19"/>
      <c r="T3948" s="18"/>
      <c r="U3948" s="18"/>
      <c r="V3948" s="18"/>
      <c r="W3948" s="18"/>
      <c r="X3948" s="18"/>
      <c r="Y3948" s="18"/>
      <c r="Z3948" s="18"/>
    </row>
    <row r="3949" ht="15.75" customHeight="1">
      <c r="A3949" s="32"/>
      <c r="B3949" s="22"/>
      <c r="C3949" s="22"/>
      <c r="D3949" s="22"/>
      <c r="E3949" s="22"/>
      <c r="F3949" s="22"/>
      <c r="G3949" s="22"/>
      <c r="H3949" s="18"/>
      <c r="I3949" s="18"/>
      <c r="J3949" s="18"/>
      <c r="K3949" s="18"/>
      <c r="L3949" s="18"/>
      <c r="M3949" s="18"/>
      <c r="N3949" s="18"/>
      <c r="O3949" s="18"/>
      <c r="P3949" s="18"/>
      <c r="Q3949" s="19"/>
      <c r="R3949" s="19"/>
      <c r="S3949" s="19"/>
      <c r="T3949" s="18"/>
      <c r="U3949" s="18"/>
      <c r="V3949" s="18"/>
      <c r="W3949" s="18"/>
      <c r="X3949" s="18"/>
      <c r="Y3949" s="18"/>
      <c r="Z3949" s="18"/>
    </row>
    <row r="3950" ht="15.75" customHeight="1">
      <c r="A3950" s="32"/>
      <c r="B3950" s="22"/>
      <c r="C3950" s="22"/>
      <c r="D3950" s="22"/>
      <c r="E3950" s="22"/>
      <c r="F3950" s="22"/>
      <c r="G3950" s="22"/>
      <c r="H3950" s="18"/>
      <c r="I3950" s="18"/>
      <c r="J3950" s="18"/>
      <c r="K3950" s="18"/>
      <c r="L3950" s="18"/>
      <c r="M3950" s="18"/>
      <c r="N3950" s="18"/>
      <c r="O3950" s="18"/>
      <c r="P3950" s="18"/>
      <c r="Q3950" s="19"/>
      <c r="R3950" s="19"/>
      <c r="S3950" s="19"/>
      <c r="T3950" s="18"/>
      <c r="U3950" s="18"/>
      <c r="V3950" s="18"/>
      <c r="W3950" s="18"/>
      <c r="X3950" s="18"/>
      <c r="Y3950" s="18"/>
      <c r="Z3950" s="18"/>
    </row>
    <row r="3951" ht="15.75" customHeight="1">
      <c r="A3951" s="32"/>
      <c r="B3951" s="22"/>
      <c r="C3951" s="22"/>
      <c r="D3951" s="22"/>
      <c r="E3951" s="22"/>
      <c r="F3951" s="22"/>
      <c r="G3951" s="22"/>
      <c r="H3951" s="18"/>
      <c r="I3951" s="18"/>
      <c r="J3951" s="18"/>
      <c r="K3951" s="18"/>
      <c r="L3951" s="18"/>
      <c r="M3951" s="18"/>
      <c r="N3951" s="18"/>
      <c r="O3951" s="18"/>
      <c r="P3951" s="18"/>
      <c r="Q3951" s="19"/>
      <c r="R3951" s="19"/>
      <c r="S3951" s="19"/>
      <c r="T3951" s="18"/>
      <c r="U3951" s="18"/>
      <c r="V3951" s="18"/>
      <c r="W3951" s="18"/>
      <c r="X3951" s="18"/>
      <c r="Y3951" s="18"/>
      <c r="Z3951" s="18"/>
    </row>
    <row r="3952" ht="15.75" customHeight="1">
      <c r="A3952" s="32"/>
      <c r="B3952" s="22"/>
      <c r="C3952" s="22"/>
      <c r="D3952" s="22"/>
      <c r="E3952" s="22"/>
      <c r="F3952" s="22"/>
      <c r="G3952" s="22"/>
      <c r="H3952" s="18"/>
      <c r="I3952" s="18"/>
      <c r="J3952" s="18"/>
      <c r="K3952" s="18"/>
      <c r="L3952" s="18"/>
      <c r="M3952" s="18"/>
      <c r="N3952" s="18"/>
      <c r="O3952" s="18"/>
      <c r="P3952" s="18"/>
      <c r="Q3952" s="19"/>
      <c r="R3952" s="19"/>
      <c r="S3952" s="19"/>
      <c r="T3952" s="18"/>
      <c r="U3952" s="18"/>
      <c r="V3952" s="18"/>
      <c r="W3952" s="18"/>
      <c r="X3952" s="18"/>
      <c r="Y3952" s="18"/>
      <c r="Z3952" s="18"/>
    </row>
    <row r="3953" ht="15.75" customHeight="1">
      <c r="A3953" s="32"/>
      <c r="B3953" s="22"/>
      <c r="C3953" s="22"/>
      <c r="D3953" s="22"/>
      <c r="E3953" s="22"/>
      <c r="F3953" s="22"/>
      <c r="G3953" s="22"/>
      <c r="H3953" s="18"/>
      <c r="I3953" s="18"/>
      <c r="J3953" s="18"/>
      <c r="K3953" s="18"/>
      <c r="L3953" s="18"/>
      <c r="M3953" s="18"/>
      <c r="N3953" s="18"/>
      <c r="O3953" s="18"/>
      <c r="P3953" s="18"/>
      <c r="Q3953" s="19"/>
      <c r="R3953" s="19"/>
      <c r="S3953" s="19"/>
      <c r="T3953" s="18"/>
      <c r="U3953" s="18"/>
      <c r="V3953" s="18"/>
      <c r="W3953" s="18"/>
      <c r="X3953" s="18"/>
      <c r="Y3953" s="18"/>
      <c r="Z3953" s="18"/>
    </row>
    <row r="3954" ht="15.75" customHeight="1">
      <c r="A3954" s="32"/>
      <c r="B3954" s="22"/>
      <c r="C3954" s="22"/>
      <c r="D3954" s="22"/>
      <c r="E3954" s="22"/>
      <c r="F3954" s="22"/>
      <c r="G3954" s="22"/>
      <c r="H3954" s="18"/>
      <c r="I3954" s="18"/>
      <c r="J3954" s="18"/>
      <c r="K3954" s="18"/>
      <c r="L3954" s="18"/>
      <c r="M3954" s="18"/>
      <c r="N3954" s="18"/>
      <c r="O3954" s="18"/>
      <c r="P3954" s="18"/>
      <c r="Q3954" s="19"/>
      <c r="R3954" s="19"/>
      <c r="S3954" s="19"/>
      <c r="T3954" s="18"/>
      <c r="U3954" s="18"/>
      <c r="V3954" s="18"/>
      <c r="W3954" s="18"/>
      <c r="X3954" s="18"/>
      <c r="Y3954" s="18"/>
      <c r="Z3954" s="18"/>
    </row>
    <row r="3955" ht="15.75" customHeight="1">
      <c r="A3955" s="32"/>
      <c r="B3955" s="22"/>
      <c r="C3955" s="22"/>
      <c r="D3955" s="22"/>
      <c r="E3955" s="22"/>
      <c r="F3955" s="22"/>
      <c r="G3955" s="22"/>
      <c r="H3955" s="18"/>
      <c r="I3955" s="18"/>
      <c r="J3955" s="18"/>
      <c r="K3955" s="18"/>
      <c r="L3955" s="18"/>
      <c r="M3955" s="18"/>
      <c r="N3955" s="18"/>
      <c r="O3955" s="18"/>
      <c r="P3955" s="18"/>
      <c r="Q3955" s="19"/>
      <c r="R3955" s="19"/>
      <c r="S3955" s="19"/>
      <c r="T3955" s="18"/>
      <c r="U3955" s="18"/>
      <c r="V3955" s="18"/>
      <c r="W3955" s="18"/>
      <c r="X3955" s="18"/>
      <c r="Y3955" s="18"/>
      <c r="Z3955" s="18"/>
    </row>
    <row r="3956" ht="15.75" customHeight="1">
      <c r="A3956" s="32"/>
      <c r="B3956" s="22"/>
      <c r="C3956" s="22"/>
      <c r="D3956" s="22"/>
      <c r="E3956" s="22"/>
      <c r="F3956" s="22"/>
      <c r="G3956" s="22"/>
      <c r="H3956" s="18"/>
      <c r="I3956" s="18"/>
      <c r="J3956" s="18"/>
      <c r="K3956" s="18"/>
      <c r="L3956" s="18"/>
      <c r="M3956" s="18"/>
      <c r="N3956" s="18"/>
      <c r="O3956" s="18"/>
      <c r="P3956" s="18"/>
      <c r="Q3956" s="19"/>
      <c r="R3956" s="19"/>
      <c r="S3956" s="19"/>
      <c r="T3956" s="18"/>
      <c r="U3956" s="18"/>
      <c r="V3956" s="18"/>
      <c r="W3956" s="18"/>
      <c r="X3956" s="18"/>
      <c r="Y3956" s="18"/>
      <c r="Z3956" s="18"/>
    </row>
    <row r="3957" ht="15.75" customHeight="1">
      <c r="A3957" s="32"/>
      <c r="B3957" s="22"/>
      <c r="C3957" s="22"/>
      <c r="D3957" s="22"/>
      <c r="E3957" s="22"/>
      <c r="F3957" s="22"/>
      <c r="G3957" s="22"/>
      <c r="H3957" s="18"/>
      <c r="I3957" s="18"/>
      <c r="J3957" s="18"/>
      <c r="K3957" s="18"/>
      <c r="L3957" s="18"/>
      <c r="M3957" s="18"/>
      <c r="N3957" s="18"/>
      <c r="O3957" s="18"/>
      <c r="P3957" s="18"/>
      <c r="Q3957" s="19"/>
      <c r="R3957" s="19"/>
      <c r="S3957" s="19"/>
      <c r="T3957" s="18"/>
      <c r="U3957" s="18"/>
      <c r="V3957" s="18"/>
      <c r="W3957" s="18"/>
      <c r="X3957" s="18"/>
      <c r="Y3957" s="18"/>
      <c r="Z3957" s="18"/>
    </row>
    <row r="3958" ht="15.75" customHeight="1">
      <c r="A3958" s="32"/>
      <c r="B3958" s="22"/>
      <c r="C3958" s="22"/>
      <c r="D3958" s="22"/>
      <c r="E3958" s="22"/>
      <c r="F3958" s="22"/>
      <c r="G3958" s="22"/>
      <c r="H3958" s="18"/>
      <c r="I3958" s="18"/>
      <c r="J3958" s="18"/>
      <c r="K3958" s="18"/>
      <c r="L3958" s="18"/>
      <c r="M3958" s="18"/>
      <c r="N3958" s="18"/>
      <c r="O3958" s="18"/>
      <c r="P3958" s="18"/>
      <c r="Q3958" s="19"/>
      <c r="R3958" s="19"/>
      <c r="S3958" s="19"/>
      <c r="T3958" s="18"/>
      <c r="U3958" s="18"/>
      <c r="V3958" s="18"/>
      <c r="W3958" s="18"/>
      <c r="X3958" s="18"/>
      <c r="Y3958" s="18"/>
      <c r="Z3958" s="18"/>
    </row>
    <row r="3959" ht="15.75" customHeight="1">
      <c r="A3959" s="32"/>
      <c r="B3959" s="22"/>
      <c r="C3959" s="22"/>
      <c r="D3959" s="22"/>
      <c r="E3959" s="22"/>
      <c r="F3959" s="22"/>
      <c r="G3959" s="22"/>
      <c r="H3959" s="18"/>
      <c r="I3959" s="18"/>
      <c r="J3959" s="18"/>
      <c r="K3959" s="18"/>
      <c r="L3959" s="18"/>
      <c r="M3959" s="18"/>
      <c r="N3959" s="18"/>
      <c r="O3959" s="18"/>
      <c r="P3959" s="18"/>
      <c r="Q3959" s="19"/>
      <c r="R3959" s="19"/>
      <c r="S3959" s="19"/>
      <c r="T3959" s="18"/>
      <c r="U3959" s="18"/>
      <c r="V3959" s="18"/>
      <c r="W3959" s="18"/>
      <c r="X3959" s="18"/>
      <c r="Y3959" s="18"/>
      <c r="Z3959" s="18"/>
    </row>
    <row r="3960" ht="15.75" customHeight="1">
      <c r="A3960" s="32"/>
      <c r="B3960" s="22"/>
      <c r="C3960" s="22"/>
      <c r="D3960" s="22"/>
      <c r="E3960" s="22"/>
      <c r="F3960" s="22"/>
      <c r="G3960" s="22"/>
      <c r="H3960" s="18"/>
      <c r="I3960" s="18"/>
      <c r="J3960" s="18"/>
      <c r="K3960" s="18"/>
      <c r="L3960" s="18"/>
      <c r="M3960" s="18"/>
      <c r="N3960" s="18"/>
      <c r="O3960" s="18"/>
      <c r="P3960" s="18"/>
      <c r="Q3960" s="19"/>
      <c r="R3960" s="19"/>
      <c r="S3960" s="19"/>
      <c r="T3960" s="18"/>
      <c r="U3960" s="18"/>
      <c r="V3960" s="18"/>
      <c r="W3960" s="18"/>
      <c r="X3960" s="18"/>
      <c r="Y3960" s="18"/>
      <c r="Z3960" s="18"/>
    </row>
    <row r="3961" ht="15.75" customHeight="1">
      <c r="A3961" s="32"/>
      <c r="B3961" s="22"/>
      <c r="C3961" s="22"/>
      <c r="D3961" s="22"/>
      <c r="E3961" s="22"/>
      <c r="F3961" s="22"/>
      <c r="G3961" s="22"/>
      <c r="H3961" s="18"/>
      <c r="I3961" s="18"/>
      <c r="J3961" s="18"/>
      <c r="K3961" s="18"/>
      <c r="L3961" s="18"/>
      <c r="M3961" s="18"/>
      <c r="N3961" s="18"/>
      <c r="O3961" s="18"/>
      <c r="P3961" s="18"/>
      <c r="Q3961" s="19"/>
      <c r="R3961" s="19"/>
      <c r="S3961" s="19"/>
      <c r="T3961" s="18"/>
      <c r="U3961" s="18"/>
      <c r="V3961" s="18"/>
      <c r="W3961" s="18"/>
      <c r="X3961" s="18"/>
      <c r="Y3961" s="18"/>
      <c r="Z3961" s="18"/>
    </row>
    <row r="3962" ht="15.75" customHeight="1">
      <c r="A3962" s="32"/>
      <c r="B3962" s="22"/>
      <c r="C3962" s="22"/>
      <c r="D3962" s="22"/>
      <c r="E3962" s="22"/>
      <c r="F3962" s="22"/>
      <c r="G3962" s="22"/>
      <c r="H3962" s="18"/>
      <c r="I3962" s="18"/>
      <c r="J3962" s="18"/>
      <c r="K3962" s="18"/>
      <c r="L3962" s="18"/>
      <c r="M3962" s="18"/>
      <c r="N3962" s="18"/>
      <c r="O3962" s="18"/>
      <c r="P3962" s="18"/>
      <c r="Q3962" s="19"/>
      <c r="R3962" s="19"/>
      <c r="S3962" s="19"/>
      <c r="T3962" s="18"/>
      <c r="U3962" s="18"/>
      <c r="V3962" s="18"/>
      <c r="W3962" s="18"/>
      <c r="X3962" s="18"/>
      <c r="Y3962" s="18"/>
      <c r="Z3962" s="18"/>
    </row>
    <row r="3963" ht="15.75" customHeight="1">
      <c r="A3963" s="32"/>
      <c r="B3963" s="22"/>
      <c r="C3963" s="22"/>
      <c r="D3963" s="22"/>
      <c r="E3963" s="22"/>
      <c r="F3963" s="22"/>
      <c r="G3963" s="22"/>
      <c r="H3963" s="18"/>
      <c r="I3963" s="18"/>
      <c r="J3963" s="18"/>
      <c r="K3963" s="18"/>
      <c r="L3963" s="18"/>
      <c r="M3963" s="18"/>
      <c r="N3963" s="18"/>
      <c r="O3963" s="18"/>
      <c r="P3963" s="18"/>
      <c r="Q3963" s="19"/>
      <c r="R3963" s="19"/>
      <c r="S3963" s="19"/>
      <c r="T3963" s="18"/>
      <c r="U3963" s="18"/>
      <c r="V3963" s="18"/>
      <c r="W3963" s="18"/>
      <c r="X3963" s="18"/>
      <c r="Y3963" s="18"/>
      <c r="Z3963" s="18"/>
    </row>
    <row r="3964" ht="15.75" customHeight="1">
      <c r="A3964" s="32"/>
      <c r="B3964" s="22"/>
      <c r="C3964" s="22"/>
      <c r="D3964" s="22"/>
      <c r="E3964" s="22"/>
      <c r="F3964" s="22"/>
      <c r="G3964" s="22"/>
      <c r="H3964" s="18"/>
      <c r="I3964" s="18"/>
      <c r="J3964" s="18"/>
      <c r="K3964" s="18"/>
      <c r="L3964" s="18"/>
      <c r="M3964" s="18"/>
      <c r="N3964" s="18"/>
      <c r="O3964" s="18"/>
      <c r="P3964" s="18"/>
      <c r="Q3964" s="19"/>
      <c r="R3964" s="19"/>
      <c r="S3964" s="19"/>
      <c r="T3964" s="18"/>
      <c r="U3964" s="18"/>
      <c r="V3964" s="18"/>
      <c r="W3964" s="18"/>
      <c r="X3964" s="18"/>
      <c r="Y3964" s="18"/>
      <c r="Z3964" s="18"/>
    </row>
    <row r="3965" ht="15.75" customHeight="1">
      <c r="A3965" s="32"/>
      <c r="B3965" s="22"/>
      <c r="C3965" s="22"/>
      <c r="D3965" s="22"/>
      <c r="E3965" s="22"/>
      <c r="F3965" s="22"/>
      <c r="G3965" s="22"/>
      <c r="H3965" s="18"/>
      <c r="I3965" s="18"/>
      <c r="J3965" s="18"/>
      <c r="K3965" s="18"/>
      <c r="L3965" s="18"/>
      <c r="M3965" s="18"/>
      <c r="N3965" s="18"/>
      <c r="O3965" s="18"/>
      <c r="P3965" s="18"/>
      <c r="Q3965" s="19"/>
      <c r="R3965" s="19"/>
      <c r="S3965" s="19"/>
      <c r="T3965" s="18"/>
      <c r="U3965" s="18"/>
      <c r="V3965" s="18"/>
      <c r="W3965" s="18"/>
      <c r="X3965" s="18"/>
      <c r="Y3965" s="18"/>
      <c r="Z3965" s="18"/>
    </row>
    <row r="3966" ht="15.75" customHeight="1">
      <c r="A3966" s="32"/>
      <c r="B3966" s="22"/>
      <c r="C3966" s="22"/>
      <c r="D3966" s="22"/>
      <c r="E3966" s="22"/>
      <c r="F3966" s="22"/>
      <c r="G3966" s="22"/>
      <c r="H3966" s="18"/>
      <c r="I3966" s="18"/>
      <c r="J3966" s="18"/>
      <c r="K3966" s="18"/>
      <c r="L3966" s="18"/>
      <c r="M3966" s="18"/>
      <c r="N3966" s="18"/>
      <c r="O3966" s="18"/>
      <c r="P3966" s="18"/>
      <c r="Q3966" s="19"/>
      <c r="R3966" s="19"/>
      <c r="S3966" s="19"/>
      <c r="T3966" s="18"/>
      <c r="U3966" s="18"/>
      <c r="V3966" s="18"/>
      <c r="W3966" s="18"/>
      <c r="X3966" s="18"/>
      <c r="Y3966" s="18"/>
      <c r="Z3966" s="18"/>
    </row>
    <row r="3967" ht="15.75" customHeight="1">
      <c r="A3967" s="32"/>
      <c r="B3967" s="22"/>
      <c r="C3967" s="22"/>
      <c r="D3967" s="22"/>
      <c r="E3967" s="22"/>
      <c r="F3967" s="22"/>
      <c r="G3967" s="22"/>
      <c r="H3967" s="18"/>
      <c r="I3967" s="18"/>
      <c r="J3967" s="18"/>
      <c r="K3967" s="18"/>
      <c r="L3967" s="18"/>
      <c r="M3967" s="18"/>
      <c r="N3967" s="18"/>
      <c r="O3967" s="18"/>
      <c r="P3967" s="18"/>
      <c r="Q3967" s="19"/>
      <c r="R3967" s="19"/>
      <c r="S3967" s="19"/>
      <c r="T3967" s="18"/>
      <c r="U3967" s="18"/>
      <c r="V3967" s="18"/>
      <c r="W3967" s="18"/>
      <c r="X3967" s="18"/>
      <c r="Y3967" s="18"/>
      <c r="Z3967" s="18"/>
    </row>
    <row r="3968" ht="15.75" customHeight="1">
      <c r="A3968" s="32"/>
      <c r="B3968" s="22"/>
      <c r="C3968" s="22"/>
      <c r="D3968" s="22"/>
      <c r="E3968" s="22"/>
      <c r="F3968" s="22"/>
      <c r="G3968" s="22"/>
      <c r="H3968" s="18"/>
      <c r="I3968" s="18"/>
      <c r="J3968" s="18"/>
      <c r="K3968" s="18"/>
      <c r="L3968" s="18"/>
      <c r="M3968" s="18"/>
      <c r="N3968" s="18"/>
      <c r="O3968" s="18"/>
      <c r="P3968" s="18"/>
      <c r="Q3968" s="19"/>
      <c r="R3968" s="19"/>
      <c r="S3968" s="19"/>
      <c r="T3968" s="18"/>
      <c r="U3968" s="18"/>
      <c r="V3968" s="18"/>
      <c r="W3968" s="18"/>
      <c r="X3968" s="18"/>
      <c r="Y3968" s="18"/>
      <c r="Z3968" s="18"/>
    </row>
    <row r="3969" ht="15.75" customHeight="1">
      <c r="A3969" s="32"/>
      <c r="B3969" s="22"/>
      <c r="C3969" s="22"/>
      <c r="D3969" s="22"/>
      <c r="E3969" s="22"/>
      <c r="F3969" s="22"/>
      <c r="G3969" s="22"/>
      <c r="H3969" s="18"/>
      <c r="I3969" s="18"/>
      <c r="J3969" s="18"/>
      <c r="K3969" s="18"/>
      <c r="L3969" s="18"/>
      <c r="M3969" s="18"/>
      <c r="N3969" s="18"/>
      <c r="O3969" s="18"/>
      <c r="P3969" s="18"/>
      <c r="Q3969" s="19"/>
      <c r="R3969" s="19"/>
      <c r="S3969" s="19"/>
      <c r="T3969" s="18"/>
      <c r="U3969" s="18"/>
      <c r="V3969" s="18"/>
      <c r="W3969" s="18"/>
      <c r="X3969" s="18"/>
      <c r="Y3969" s="18"/>
      <c r="Z3969" s="18"/>
    </row>
    <row r="3970" ht="15.75" customHeight="1">
      <c r="A3970" s="32"/>
      <c r="B3970" s="22"/>
      <c r="C3970" s="22"/>
      <c r="D3970" s="22"/>
      <c r="E3970" s="22"/>
      <c r="F3970" s="22"/>
      <c r="G3970" s="22"/>
      <c r="H3970" s="18"/>
      <c r="I3970" s="18"/>
      <c r="J3970" s="18"/>
      <c r="K3970" s="18"/>
      <c r="L3970" s="18"/>
      <c r="M3970" s="18"/>
      <c r="N3970" s="18"/>
      <c r="O3970" s="18"/>
      <c r="P3970" s="18"/>
      <c r="Q3970" s="19"/>
      <c r="R3970" s="19"/>
      <c r="S3970" s="19"/>
      <c r="T3970" s="18"/>
      <c r="U3970" s="18"/>
      <c r="V3970" s="18"/>
      <c r="W3970" s="18"/>
      <c r="X3970" s="18"/>
      <c r="Y3970" s="18"/>
      <c r="Z3970" s="18"/>
    </row>
    <row r="3971" ht="15.75" customHeight="1">
      <c r="A3971" s="32"/>
      <c r="B3971" s="22"/>
      <c r="C3971" s="22"/>
      <c r="D3971" s="22"/>
      <c r="E3971" s="22"/>
      <c r="F3971" s="22"/>
      <c r="G3971" s="22"/>
      <c r="H3971" s="18"/>
      <c r="I3971" s="18"/>
      <c r="J3971" s="18"/>
      <c r="K3971" s="18"/>
      <c r="L3971" s="18"/>
      <c r="M3971" s="18"/>
      <c r="N3971" s="18"/>
      <c r="O3971" s="18"/>
      <c r="P3971" s="18"/>
      <c r="Q3971" s="19"/>
      <c r="R3971" s="19"/>
      <c r="S3971" s="19"/>
      <c r="T3971" s="18"/>
      <c r="U3971" s="18"/>
      <c r="V3971" s="18"/>
      <c r="W3971" s="18"/>
      <c r="X3971" s="18"/>
      <c r="Y3971" s="18"/>
      <c r="Z3971" s="18"/>
    </row>
    <row r="3972" ht="15.75" customHeight="1">
      <c r="A3972" s="32"/>
      <c r="B3972" s="22"/>
      <c r="C3972" s="22"/>
      <c r="D3972" s="22"/>
      <c r="E3972" s="22"/>
      <c r="F3972" s="22"/>
      <c r="G3972" s="22"/>
      <c r="H3972" s="18"/>
      <c r="I3972" s="18"/>
      <c r="J3972" s="18"/>
      <c r="K3972" s="18"/>
      <c r="L3972" s="18"/>
      <c r="M3972" s="18"/>
      <c r="N3972" s="18"/>
      <c r="O3972" s="18"/>
      <c r="P3972" s="18"/>
      <c r="Q3972" s="19"/>
      <c r="R3972" s="19"/>
      <c r="S3972" s="19"/>
      <c r="T3972" s="18"/>
      <c r="U3972" s="18"/>
      <c r="V3972" s="18"/>
      <c r="W3972" s="18"/>
      <c r="X3972" s="18"/>
      <c r="Y3972" s="18"/>
      <c r="Z3972" s="18"/>
    </row>
    <row r="3973" ht="15.75" customHeight="1">
      <c r="A3973" s="32"/>
      <c r="B3973" s="22"/>
      <c r="C3973" s="22"/>
      <c r="D3973" s="22"/>
      <c r="E3973" s="22"/>
      <c r="F3973" s="22"/>
      <c r="G3973" s="22"/>
      <c r="H3973" s="18"/>
      <c r="I3973" s="18"/>
      <c r="J3973" s="18"/>
      <c r="K3973" s="18"/>
      <c r="L3973" s="18"/>
      <c r="M3973" s="18"/>
      <c r="N3973" s="18"/>
      <c r="O3973" s="18"/>
      <c r="P3973" s="18"/>
      <c r="Q3973" s="19"/>
      <c r="R3973" s="19"/>
      <c r="S3973" s="19"/>
      <c r="T3973" s="18"/>
      <c r="U3973" s="18"/>
      <c r="V3973" s="18"/>
      <c r="W3973" s="18"/>
      <c r="X3973" s="18"/>
      <c r="Y3973" s="18"/>
      <c r="Z3973" s="18"/>
    </row>
    <row r="3974" ht="15.75" customHeight="1">
      <c r="A3974" s="32"/>
      <c r="B3974" s="22"/>
      <c r="C3974" s="22"/>
      <c r="D3974" s="22"/>
      <c r="E3974" s="22"/>
      <c r="F3974" s="22"/>
      <c r="G3974" s="22"/>
      <c r="H3974" s="18"/>
      <c r="I3974" s="18"/>
      <c r="J3974" s="18"/>
      <c r="K3974" s="18"/>
      <c r="L3974" s="18"/>
      <c r="M3974" s="18"/>
      <c r="N3974" s="18"/>
      <c r="O3974" s="18"/>
      <c r="P3974" s="18"/>
      <c r="Q3974" s="19"/>
      <c r="R3974" s="19"/>
      <c r="S3974" s="19"/>
      <c r="T3974" s="18"/>
      <c r="U3974" s="18"/>
      <c r="V3974" s="18"/>
      <c r="W3974" s="18"/>
      <c r="X3974" s="18"/>
      <c r="Y3974" s="18"/>
      <c r="Z3974" s="18"/>
    </row>
    <row r="3975" ht="15.75" customHeight="1">
      <c r="A3975" s="32"/>
      <c r="B3975" s="22"/>
      <c r="C3975" s="22"/>
      <c r="D3975" s="22"/>
      <c r="E3975" s="22"/>
      <c r="F3975" s="22"/>
      <c r="G3975" s="22"/>
      <c r="H3975" s="18"/>
      <c r="I3975" s="18"/>
      <c r="J3975" s="18"/>
      <c r="K3975" s="18"/>
      <c r="L3975" s="18"/>
      <c r="M3975" s="18"/>
      <c r="N3975" s="18"/>
      <c r="O3975" s="18"/>
      <c r="P3975" s="18"/>
      <c r="Q3975" s="19"/>
      <c r="R3975" s="19"/>
      <c r="S3975" s="19"/>
      <c r="T3975" s="18"/>
      <c r="U3975" s="18"/>
      <c r="V3975" s="18"/>
      <c r="W3975" s="18"/>
      <c r="X3975" s="18"/>
      <c r="Y3975" s="18"/>
      <c r="Z3975" s="18"/>
    </row>
    <row r="3976" ht="15.75" customHeight="1">
      <c r="A3976" s="32"/>
      <c r="B3976" s="22"/>
      <c r="C3976" s="22"/>
      <c r="D3976" s="22"/>
      <c r="E3976" s="22"/>
      <c r="F3976" s="22"/>
      <c r="G3976" s="22"/>
      <c r="H3976" s="18"/>
      <c r="I3976" s="18"/>
      <c r="J3976" s="18"/>
      <c r="K3976" s="18"/>
      <c r="L3976" s="18"/>
      <c r="M3976" s="18"/>
      <c r="N3976" s="18"/>
      <c r="O3976" s="18"/>
      <c r="P3976" s="18"/>
      <c r="Q3976" s="19"/>
      <c r="R3976" s="19"/>
      <c r="S3976" s="19"/>
      <c r="T3976" s="18"/>
      <c r="U3976" s="18"/>
      <c r="V3976" s="18"/>
      <c r="W3976" s="18"/>
      <c r="X3976" s="18"/>
      <c r="Y3976" s="18"/>
      <c r="Z3976" s="18"/>
    </row>
    <row r="3977" ht="15.75" customHeight="1">
      <c r="A3977" s="32"/>
      <c r="B3977" s="22"/>
      <c r="C3977" s="22"/>
      <c r="D3977" s="22"/>
      <c r="E3977" s="22"/>
      <c r="F3977" s="22"/>
      <c r="G3977" s="22"/>
      <c r="H3977" s="18"/>
      <c r="I3977" s="18"/>
      <c r="J3977" s="18"/>
      <c r="K3977" s="18"/>
      <c r="L3977" s="18"/>
      <c r="M3977" s="18"/>
      <c r="N3977" s="18"/>
      <c r="O3977" s="18"/>
      <c r="P3977" s="18"/>
      <c r="Q3977" s="19"/>
      <c r="R3977" s="19"/>
      <c r="S3977" s="19"/>
      <c r="T3977" s="18"/>
      <c r="U3977" s="18"/>
      <c r="V3977" s="18"/>
      <c r="W3977" s="18"/>
      <c r="X3977" s="18"/>
      <c r="Y3977" s="18"/>
      <c r="Z3977" s="18"/>
    </row>
    <row r="3978" ht="15.75" customHeight="1">
      <c r="A3978" s="32"/>
      <c r="B3978" s="22"/>
      <c r="C3978" s="22"/>
      <c r="D3978" s="22"/>
      <c r="E3978" s="22"/>
      <c r="F3978" s="22"/>
      <c r="G3978" s="22"/>
      <c r="H3978" s="18"/>
      <c r="I3978" s="18"/>
      <c r="J3978" s="18"/>
      <c r="K3978" s="18"/>
      <c r="L3978" s="18"/>
      <c r="M3978" s="18"/>
      <c r="N3978" s="18"/>
      <c r="O3978" s="18"/>
      <c r="P3978" s="18"/>
      <c r="Q3978" s="19"/>
      <c r="R3978" s="19"/>
      <c r="S3978" s="19"/>
      <c r="T3978" s="18"/>
      <c r="U3978" s="18"/>
      <c r="V3978" s="18"/>
      <c r="W3978" s="18"/>
      <c r="X3978" s="18"/>
      <c r="Y3978" s="18"/>
      <c r="Z3978" s="18"/>
    </row>
    <row r="3979" ht="15.75" customHeight="1">
      <c r="A3979" s="32"/>
      <c r="B3979" s="22"/>
      <c r="C3979" s="22"/>
      <c r="D3979" s="22"/>
      <c r="E3979" s="22"/>
      <c r="F3979" s="22"/>
      <c r="G3979" s="22"/>
      <c r="H3979" s="18"/>
      <c r="I3979" s="18"/>
      <c r="J3979" s="18"/>
      <c r="K3979" s="18"/>
      <c r="L3979" s="18"/>
      <c r="M3979" s="18"/>
      <c r="N3979" s="18"/>
      <c r="O3979" s="18"/>
      <c r="P3979" s="18"/>
      <c r="Q3979" s="19"/>
      <c r="R3979" s="19"/>
      <c r="S3979" s="19"/>
      <c r="T3979" s="18"/>
      <c r="U3979" s="18"/>
      <c r="V3979" s="18"/>
      <c r="W3979" s="18"/>
      <c r="X3979" s="18"/>
      <c r="Y3979" s="18"/>
      <c r="Z3979" s="18"/>
    </row>
    <row r="3980" ht="15.75" customHeight="1">
      <c r="A3980" s="32"/>
      <c r="B3980" s="22"/>
      <c r="C3980" s="22"/>
      <c r="D3980" s="22"/>
      <c r="E3980" s="22"/>
      <c r="F3980" s="22"/>
      <c r="G3980" s="22"/>
      <c r="H3980" s="18"/>
      <c r="I3980" s="18"/>
      <c r="J3980" s="18"/>
      <c r="K3980" s="18"/>
      <c r="L3980" s="18"/>
      <c r="M3980" s="18"/>
      <c r="N3980" s="18"/>
      <c r="O3980" s="18"/>
      <c r="P3980" s="18"/>
      <c r="Q3980" s="19"/>
      <c r="R3980" s="19"/>
      <c r="S3980" s="19"/>
      <c r="T3980" s="18"/>
      <c r="U3980" s="18"/>
      <c r="V3980" s="18"/>
      <c r="W3980" s="18"/>
      <c r="X3980" s="18"/>
      <c r="Y3980" s="18"/>
      <c r="Z3980" s="18"/>
    </row>
    <row r="3981" ht="15.75" customHeight="1">
      <c r="A3981" s="32"/>
      <c r="B3981" s="22"/>
      <c r="C3981" s="22"/>
      <c r="D3981" s="22"/>
      <c r="E3981" s="22"/>
      <c r="F3981" s="22"/>
      <c r="G3981" s="22"/>
      <c r="H3981" s="18"/>
      <c r="I3981" s="18"/>
      <c r="J3981" s="18"/>
      <c r="K3981" s="18"/>
      <c r="L3981" s="18"/>
      <c r="M3981" s="18"/>
      <c r="N3981" s="18"/>
      <c r="O3981" s="18"/>
      <c r="P3981" s="18"/>
      <c r="Q3981" s="19"/>
      <c r="R3981" s="19"/>
      <c r="S3981" s="19"/>
      <c r="T3981" s="18"/>
      <c r="U3981" s="18"/>
      <c r="V3981" s="18"/>
      <c r="W3981" s="18"/>
      <c r="X3981" s="18"/>
      <c r="Y3981" s="18"/>
      <c r="Z3981" s="18"/>
    </row>
    <row r="3982" ht="15.75" customHeight="1">
      <c r="A3982" s="32"/>
      <c r="B3982" s="22"/>
      <c r="C3982" s="22"/>
      <c r="D3982" s="22"/>
      <c r="E3982" s="22"/>
      <c r="F3982" s="22"/>
      <c r="G3982" s="22"/>
      <c r="H3982" s="18"/>
      <c r="I3982" s="18"/>
      <c r="J3982" s="18"/>
      <c r="K3982" s="18"/>
      <c r="L3982" s="18"/>
      <c r="M3982" s="18"/>
      <c r="N3982" s="18"/>
      <c r="O3982" s="18"/>
      <c r="P3982" s="18"/>
      <c r="Q3982" s="19"/>
      <c r="R3982" s="19"/>
      <c r="S3982" s="19"/>
      <c r="T3982" s="18"/>
      <c r="U3982" s="18"/>
      <c r="V3982" s="18"/>
      <c r="W3982" s="18"/>
      <c r="X3982" s="18"/>
      <c r="Y3982" s="18"/>
      <c r="Z3982" s="18"/>
    </row>
    <row r="3983" ht="15.75" customHeight="1">
      <c r="A3983" s="32"/>
      <c r="B3983" s="22"/>
      <c r="C3983" s="22"/>
      <c r="D3983" s="22"/>
      <c r="E3983" s="22"/>
      <c r="F3983" s="22"/>
      <c r="G3983" s="22"/>
      <c r="H3983" s="18"/>
      <c r="I3983" s="18"/>
      <c r="J3983" s="18"/>
      <c r="K3983" s="18"/>
      <c r="L3983" s="18"/>
      <c r="M3983" s="18"/>
      <c r="N3983" s="18"/>
      <c r="O3983" s="18"/>
      <c r="P3983" s="18"/>
      <c r="Q3983" s="19"/>
      <c r="R3983" s="19"/>
      <c r="S3983" s="19"/>
      <c r="T3983" s="18"/>
      <c r="U3983" s="18"/>
      <c r="V3983" s="18"/>
      <c r="W3983" s="18"/>
      <c r="X3983" s="18"/>
      <c r="Y3983" s="18"/>
      <c r="Z3983" s="18"/>
    </row>
    <row r="3984" ht="15.75" customHeight="1">
      <c r="A3984" s="32"/>
      <c r="B3984" s="22"/>
      <c r="C3984" s="22"/>
      <c r="D3984" s="22"/>
      <c r="E3984" s="22"/>
      <c r="F3984" s="22"/>
      <c r="G3984" s="22"/>
      <c r="H3984" s="18"/>
      <c r="I3984" s="18"/>
      <c r="J3984" s="18"/>
      <c r="K3984" s="18"/>
      <c r="L3984" s="18"/>
      <c r="M3984" s="18"/>
      <c r="N3984" s="18"/>
      <c r="O3984" s="18"/>
      <c r="P3984" s="18"/>
      <c r="Q3984" s="19"/>
      <c r="R3984" s="19"/>
      <c r="S3984" s="19"/>
      <c r="T3984" s="18"/>
      <c r="U3984" s="18"/>
      <c r="V3984" s="18"/>
      <c r="W3984" s="18"/>
      <c r="X3984" s="18"/>
      <c r="Y3984" s="18"/>
      <c r="Z3984" s="18"/>
    </row>
    <row r="3985" ht="15.75" customHeight="1">
      <c r="A3985" s="32"/>
      <c r="B3985" s="22"/>
      <c r="C3985" s="22"/>
      <c r="D3985" s="22"/>
      <c r="E3985" s="22"/>
      <c r="F3985" s="22"/>
      <c r="G3985" s="22"/>
      <c r="H3985" s="18"/>
      <c r="I3985" s="18"/>
      <c r="J3985" s="18"/>
      <c r="K3985" s="18"/>
      <c r="L3985" s="18"/>
      <c r="M3985" s="18"/>
      <c r="N3985" s="18"/>
      <c r="O3985" s="18"/>
      <c r="P3985" s="18"/>
      <c r="Q3985" s="19"/>
      <c r="R3985" s="19"/>
      <c r="S3985" s="19"/>
      <c r="T3985" s="18"/>
      <c r="U3985" s="18"/>
      <c r="V3985" s="18"/>
      <c r="W3985" s="18"/>
      <c r="X3985" s="18"/>
      <c r="Y3985" s="18"/>
      <c r="Z3985" s="18"/>
    </row>
    <row r="3986" ht="15.75" customHeight="1">
      <c r="A3986" s="32"/>
      <c r="B3986" s="22"/>
      <c r="C3986" s="22"/>
      <c r="D3986" s="22"/>
      <c r="E3986" s="22"/>
      <c r="F3986" s="22"/>
      <c r="G3986" s="22"/>
      <c r="H3986" s="18"/>
      <c r="I3986" s="18"/>
      <c r="J3986" s="18"/>
      <c r="K3986" s="18"/>
      <c r="L3986" s="18"/>
      <c r="M3986" s="18"/>
      <c r="N3986" s="18"/>
      <c r="O3986" s="18"/>
      <c r="P3986" s="18"/>
      <c r="Q3986" s="19"/>
      <c r="R3986" s="19"/>
      <c r="S3986" s="19"/>
      <c r="T3986" s="18"/>
      <c r="U3986" s="18"/>
      <c r="V3986" s="18"/>
      <c r="W3986" s="18"/>
      <c r="X3986" s="18"/>
      <c r="Y3986" s="18"/>
      <c r="Z3986" s="18"/>
    </row>
    <row r="3987" ht="15.75" customHeight="1">
      <c r="A3987" s="32"/>
      <c r="B3987" s="22"/>
      <c r="C3987" s="22"/>
      <c r="D3987" s="22"/>
      <c r="E3987" s="22"/>
      <c r="F3987" s="22"/>
      <c r="G3987" s="22"/>
      <c r="H3987" s="18"/>
      <c r="I3987" s="18"/>
      <c r="J3987" s="18"/>
      <c r="K3987" s="18"/>
      <c r="L3987" s="18"/>
      <c r="M3987" s="18"/>
      <c r="N3987" s="18"/>
      <c r="O3987" s="18"/>
      <c r="P3987" s="18"/>
      <c r="Q3987" s="19"/>
      <c r="R3987" s="19"/>
      <c r="S3987" s="19"/>
      <c r="T3987" s="18"/>
      <c r="U3987" s="18"/>
      <c r="V3987" s="18"/>
      <c r="W3987" s="18"/>
      <c r="X3987" s="18"/>
      <c r="Y3987" s="18"/>
      <c r="Z3987" s="18"/>
    </row>
    <row r="3988" ht="15.75" customHeight="1">
      <c r="A3988" s="32"/>
      <c r="B3988" s="22"/>
      <c r="C3988" s="22"/>
      <c r="D3988" s="22"/>
      <c r="E3988" s="22"/>
      <c r="F3988" s="22"/>
      <c r="G3988" s="22"/>
      <c r="H3988" s="18"/>
      <c r="I3988" s="18"/>
      <c r="J3988" s="18"/>
      <c r="K3988" s="18"/>
      <c r="L3988" s="18"/>
      <c r="M3988" s="18"/>
      <c r="N3988" s="18"/>
      <c r="O3988" s="18"/>
      <c r="P3988" s="18"/>
      <c r="Q3988" s="19"/>
      <c r="R3988" s="19"/>
      <c r="S3988" s="19"/>
      <c r="T3988" s="18"/>
      <c r="U3988" s="18"/>
      <c r="V3988" s="18"/>
      <c r="W3988" s="18"/>
      <c r="X3988" s="18"/>
      <c r="Y3988" s="18"/>
      <c r="Z3988" s="18"/>
    </row>
    <row r="3989" ht="15.75" customHeight="1">
      <c r="A3989" s="32"/>
      <c r="B3989" s="22"/>
      <c r="C3989" s="22"/>
      <c r="D3989" s="22"/>
      <c r="E3989" s="22"/>
      <c r="F3989" s="22"/>
      <c r="G3989" s="22"/>
      <c r="H3989" s="18"/>
      <c r="I3989" s="18"/>
      <c r="J3989" s="18"/>
      <c r="K3989" s="18"/>
      <c r="L3989" s="18"/>
      <c r="M3989" s="18"/>
      <c r="N3989" s="18"/>
      <c r="O3989" s="18"/>
      <c r="P3989" s="18"/>
      <c r="Q3989" s="19"/>
      <c r="R3989" s="19"/>
      <c r="S3989" s="19"/>
      <c r="T3989" s="18"/>
      <c r="U3989" s="18"/>
      <c r="V3989" s="18"/>
      <c r="W3989" s="18"/>
      <c r="X3989" s="18"/>
      <c r="Y3989" s="18"/>
      <c r="Z3989" s="18"/>
    </row>
    <row r="3990" ht="15.75" customHeight="1">
      <c r="A3990" s="32"/>
      <c r="B3990" s="22"/>
      <c r="C3990" s="22"/>
      <c r="D3990" s="22"/>
      <c r="E3990" s="22"/>
      <c r="F3990" s="22"/>
      <c r="G3990" s="22"/>
      <c r="H3990" s="18"/>
      <c r="I3990" s="18"/>
      <c r="J3990" s="18"/>
      <c r="K3990" s="18"/>
      <c r="L3990" s="18"/>
      <c r="M3990" s="18"/>
      <c r="N3990" s="18"/>
      <c r="O3990" s="18"/>
      <c r="P3990" s="18"/>
      <c r="Q3990" s="19"/>
      <c r="R3990" s="19"/>
      <c r="S3990" s="19"/>
      <c r="T3990" s="18"/>
      <c r="U3990" s="18"/>
      <c r="V3990" s="18"/>
      <c r="W3990" s="18"/>
      <c r="X3990" s="18"/>
      <c r="Y3990" s="18"/>
      <c r="Z3990" s="18"/>
    </row>
    <row r="3991" ht="15.75" customHeight="1">
      <c r="A3991" s="32"/>
      <c r="B3991" s="22"/>
      <c r="C3991" s="22"/>
      <c r="D3991" s="22"/>
      <c r="E3991" s="22"/>
      <c r="F3991" s="22"/>
      <c r="G3991" s="22"/>
      <c r="H3991" s="18"/>
      <c r="I3991" s="18"/>
      <c r="J3991" s="18"/>
      <c r="K3991" s="18"/>
      <c r="L3991" s="18"/>
      <c r="M3991" s="18"/>
      <c r="N3991" s="18"/>
      <c r="O3991" s="18"/>
      <c r="P3991" s="18"/>
      <c r="Q3991" s="19"/>
      <c r="R3991" s="19"/>
      <c r="S3991" s="19"/>
      <c r="T3991" s="18"/>
      <c r="U3991" s="18"/>
      <c r="V3991" s="18"/>
      <c r="W3991" s="18"/>
      <c r="X3991" s="18"/>
      <c r="Y3991" s="18"/>
      <c r="Z3991" s="18"/>
    </row>
    <row r="3992" ht="15.75" customHeight="1">
      <c r="A3992" s="32"/>
      <c r="B3992" s="22"/>
      <c r="C3992" s="22"/>
      <c r="D3992" s="22"/>
      <c r="E3992" s="22"/>
      <c r="F3992" s="22"/>
      <c r="G3992" s="22"/>
      <c r="H3992" s="18"/>
      <c r="I3992" s="18"/>
      <c r="J3992" s="18"/>
      <c r="K3992" s="18"/>
      <c r="L3992" s="18"/>
      <c r="M3992" s="18"/>
      <c r="N3992" s="18"/>
      <c r="O3992" s="18"/>
      <c r="P3992" s="18"/>
      <c r="Q3992" s="19"/>
      <c r="R3992" s="19"/>
      <c r="S3992" s="19"/>
      <c r="T3992" s="18"/>
      <c r="U3992" s="18"/>
      <c r="V3992" s="18"/>
      <c r="W3992" s="18"/>
      <c r="X3992" s="18"/>
      <c r="Y3992" s="18"/>
      <c r="Z3992" s="18"/>
    </row>
    <row r="3993" ht="15.75" customHeight="1">
      <c r="A3993" s="32"/>
      <c r="B3993" s="22"/>
      <c r="C3993" s="22"/>
      <c r="D3993" s="22"/>
      <c r="E3993" s="22"/>
      <c r="F3993" s="22"/>
      <c r="G3993" s="22"/>
      <c r="H3993" s="18"/>
      <c r="I3993" s="18"/>
      <c r="J3993" s="18"/>
      <c r="K3993" s="18"/>
      <c r="L3993" s="18"/>
      <c r="M3993" s="18"/>
      <c r="N3993" s="18"/>
      <c r="O3993" s="18"/>
      <c r="P3993" s="18"/>
      <c r="Q3993" s="19"/>
      <c r="R3993" s="19"/>
      <c r="S3993" s="19"/>
      <c r="T3993" s="18"/>
      <c r="U3993" s="18"/>
      <c r="V3993" s="18"/>
      <c r="W3993" s="18"/>
      <c r="X3993" s="18"/>
      <c r="Y3993" s="18"/>
      <c r="Z3993" s="18"/>
    </row>
    <row r="3994" ht="15.75" customHeight="1">
      <c r="A3994" s="32"/>
      <c r="B3994" s="22"/>
      <c r="C3994" s="22"/>
      <c r="D3994" s="22"/>
      <c r="E3994" s="22"/>
      <c r="F3994" s="22"/>
      <c r="G3994" s="22"/>
      <c r="H3994" s="18"/>
      <c r="I3994" s="18"/>
      <c r="J3994" s="18"/>
      <c r="K3994" s="18"/>
      <c r="L3994" s="18"/>
      <c r="M3994" s="18"/>
      <c r="N3994" s="18"/>
      <c r="O3994" s="18"/>
      <c r="P3994" s="18"/>
      <c r="Q3994" s="19"/>
      <c r="R3994" s="19"/>
      <c r="S3994" s="19"/>
      <c r="T3994" s="18"/>
      <c r="U3994" s="18"/>
      <c r="V3994" s="18"/>
      <c r="W3994" s="18"/>
      <c r="X3994" s="18"/>
      <c r="Y3994" s="18"/>
      <c r="Z3994" s="18"/>
    </row>
    <row r="3995" ht="15.75" customHeight="1">
      <c r="A3995" s="32"/>
      <c r="B3995" s="22"/>
      <c r="C3995" s="22"/>
      <c r="D3995" s="22"/>
      <c r="E3995" s="22"/>
      <c r="F3995" s="22"/>
      <c r="G3995" s="22"/>
      <c r="H3995" s="18"/>
      <c r="I3995" s="18"/>
      <c r="J3995" s="18"/>
      <c r="K3995" s="18"/>
      <c r="L3995" s="18"/>
      <c r="M3995" s="18"/>
      <c r="N3995" s="18"/>
      <c r="O3995" s="18"/>
      <c r="P3995" s="18"/>
      <c r="Q3995" s="19"/>
      <c r="R3995" s="19"/>
      <c r="S3995" s="19"/>
      <c r="T3995" s="18"/>
      <c r="U3995" s="18"/>
      <c r="V3995" s="18"/>
      <c r="W3995" s="18"/>
      <c r="X3995" s="18"/>
      <c r="Y3995" s="18"/>
      <c r="Z3995" s="18"/>
    </row>
    <row r="3996" ht="15.75" customHeight="1">
      <c r="A3996" s="32"/>
      <c r="B3996" s="22"/>
      <c r="C3996" s="22"/>
      <c r="D3996" s="22"/>
      <c r="E3996" s="22"/>
      <c r="F3996" s="22"/>
      <c r="G3996" s="22"/>
      <c r="H3996" s="18"/>
      <c r="I3996" s="18"/>
      <c r="J3996" s="18"/>
      <c r="K3996" s="18"/>
      <c r="L3996" s="18"/>
      <c r="M3996" s="18"/>
      <c r="N3996" s="18"/>
      <c r="O3996" s="18"/>
      <c r="P3996" s="18"/>
      <c r="Q3996" s="19"/>
      <c r="R3996" s="19"/>
      <c r="S3996" s="19"/>
      <c r="T3996" s="18"/>
      <c r="U3996" s="18"/>
      <c r="V3996" s="18"/>
      <c r="W3996" s="18"/>
      <c r="X3996" s="18"/>
      <c r="Y3996" s="18"/>
      <c r="Z3996" s="18"/>
    </row>
    <row r="3997" ht="15.75" customHeight="1">
      <c r="A3997" s="32"/>
      <c r="B3997" s="22"/>
      <c r="C3997" s="22"/>
      <c r="D3997" s="22"/>
      <c r="E3997" s="22"/>
      <c r="F3997" s="22"/>
      <c r="G3997" s="22"/>
      <c r="H3997" s="18"/>
      <c r="I3997" s="18"/>
      <c r="J3997" s="18"/>
      <c r="K3997" s="18"/>
      <c r="L3997" s="18"/>
      <c r="M3997" s="18"/>
      <c r="N3997" s="18"/>
      <c r="O3997" s="18"/>
      <c r="P3997" s="18"/>
      <c r="Q3997" s="19"/>
      <c r="R3997" s="19"/>
      <c r="S3997" s="19"/>
      <c r="T3997" s="18"/>
      <c r="U3997" s="18"/>
      <c r="V3997" s="18"/>
      <c r="W3997" s="18"/>
      <c r="X3997" s="18"/>
      <c r="Y3997" s="18"/>
      <c r="Z3997" s="18"/>
    </row>
    <row r="3998" ht="15.75" customHeight="1">
      <c r="A3998" s="32"/>
      <c r="B3998" s="22"/>
      <c r="C3998" s="22"/>
      <c r="D3998" s="22"/>
      <c r="E3998" s="22"/>
      <c r="F3998" s="22"/>
      <c r="G3998" s="22"/>
      <c r="H3998" s="18"/>
      <c r="I3998" s="18"/>
      <c r="J3998" s="18"/>
      <c r="K3998" s="18"/>
      <c r="L3998" s="18"/>
      <c r="M3998" s="18"/>
      <c r="N3998" s="18"/>
      <c r="O3998" s="18"/>
      <c r="P3998" s="18"/>
      <c r="Q3998" s="19"/>
      <c r="R3998" s="19"/>
      <c r="S3998" s="19"/>
      <c r="T3998" s="18"/>
      <c r="U3998" s="18"/>
      <c r="V3998" s="18"/>
      <c r="W3998" s="18"/>
      <c r="X3998" s="18"/>
      <c r="Y3998" s="18"/>
      <c r="Z3998" s="18"/>
    </row>
    <row r="3999" ht="15.75" customHeight="1">
      <c r="A3999" s="32"/>
      <c r="B3999" s="22"/>
      <c r="C3999" s="22"/>
      <c r="D3999" s="22"/>
      <c r="E3999" s="22"/>
      <c r="F3999" s="22"/>
      <c r="G3999" s="22"/>
      <c r="H3999" s="18"/>
      <c r="I3999" s="18"/>
      <c r="J3999" s="18"/>
      <c r="K3999" s="18"/>
      <c r="L3999" s="18"/>
      <c r="M3999" s="18"/>
      <c r="N3999" s="18"/>
      <c r="O3999" s="18"/>
      <c r="P3999" s="18"/>
      <c r="Q3999" s="19"/>
      <c r="R3999" s="19"/>
      <c r="S3999" s="19"/>
      <c r="T3999" s="18"/>
      <c r="U3999" s="18"/>
      <c r="V3999" s="18"/>
      <c r="W3999" s="18"/>
      <c r="X3999" s="18"/>
      <c r="Y3999" s="18"/>
      <c r="Z3999" s="18"/>
    </row>
    <row r="4000" ht="15.75" customHeight="1">
      <c r="A4000" s="32"/>
      <c r="B4000" s="22"/>
      <c r="C4000" s="22"/>
      <c r="D4000" s="22"/>
      <c r="E4000" s="22"/>
      <c r="F4000" s="22"/>
      <c r="G4000" s="22"/>
      <c r="H4000" s="18"/>
      <c r="I4000" s="18"/>
      <c r="J4000" s="18"/>
      <c r="K4000" s="18"/>
      <c r="L4000" s="18"/>
      <c r="M4000" s="18"/>
      <c r="N4000" s="18"/>
      <c r="O4000" s="18"/>
      <c r="P4000" s="18"/>
      <c r="Q4000" s="19"/>
      <c r="R4000" s="19"/>
      <c r="S4000" s="19"/>
      <c r="T4000" s="18"/>
      <c r="U4000" s="18"/>
      <c r="V4000" s="18"/>
      <c r="W4000" s="18"/>
      <c r="X4000" s="18"/>
      <c r="Y4000" s="18"/>
      <c r="Z4000" s="18"/>
    </row>
    <row r="4001" ht="15.75" customHeight="1">
      <c r="A4001" s="32"/>
      <c r="B4001" s="22"/>
      <c r="C4001" s="22"/>
      <c r="D4001" s="22"/>
      <c r="E4001" s="22"/>
      <c r="F4001" s="22"/>
      <c r="G4001" s="22"/>
      <c r="H4001" s="18"/>
      <c r="I4001" s="18"/>
      <c r="J4001" s="18"/>
      <c r="K4001" s="18"/>
      <c r="L4001" s="18"/>
      <c r="M4001" s="18"/>
      <c r="N4001" s="18"/>
      <c r="O4001" s="18"/>
      <c r="P4001" s="18"/>
      <c r="Q4001" s="19"/>
      <c r="R4001" s="19"/>
      <c r="S4001" s="19"/>
      <c r="T4001" s="18"/>
      <c r="U4001" s="18"/>
      <c r="V4001" s="18"/>
      <c r="W4001" s="18"/>
      <c r="X4001" s="18"/>
      <c r="Y4001" s="18"/>
      <c r="Z4001" s="18"/>
    </row>
    <row r="4002" ht="15.75" customHeight="1">
      <c r="A4002" s="32"/>
      <c r="B4002" s="22"/>
      <c r="C4002" s="22"/>
      <c r="D4002" s="22"/>
      <c r="E4002" s="22"/>
      <c r="F4002" s="22"/>
      <c r="G4002" s="22"/>
      <c r="H4002" s="18"/>
      <c r="I4002" s="18"/>
      <c r="J4002" s="18"/>
      <c r="K4002" s="18"/>
      <c r="L4002" s="18"/>
      <c r="M4002" s="18"/>
      <c r="N4002" s="18"/>
      <c r="O4002" s="18"/>
      <c r="P4002" s="18"/>
      <c r="Q4002" s="19"/>
      <c r="R4002" s="19"/>
      <c r="S4002" s="19"/>
      <c r="T4002" s="18"/>
      <c r="U4002" s="18"/>
      <c r="V4002" s="18"/>
      <c r="W4002" s="18"/>
      <c r="X4002" s="18"/>
      <c r="Y4002" s="18"/>
      <c r="Z4002" s="18"/>
    </row>
    <row r="4003" ht="15.75" customHeight="1">
      <c r="A4003" s="32"/>
      <c r="B4003" s="22"/>
      <c r="C4003" s="22"/>
      <c r="D4003" s="22"/>
      <c r="E4003" s="22"/>
      <c r="F4003" s="22"/>
      <c r="G4003" s="22"/>
      <c r="H4003" s="18"/>
      <c r="I4003" s="18"/>
      <c r="J4003" s="18"/>
      <c r="K4003" s="18"/>
      <c r="L4003" s="18"/>
      <c r="M4003" s="18"/>
      <c r="N4003" s="18"/>
      <c r="O4003" s="18"/>
      <c r="P4003" s="18"/>
      <c r="Q4003" s="19"/>
      <c r="R4003" s="19"/>
      <c r="S4003" s="19"/>
      <c r="T4003" s="18"/>
      <c r="U4003" s="18"/>
      <c r="V4003" s="18"/>
      <c r="W4003" s="18"/>
      <c r="X4003" s="18"/>
      <c r="Y4003" s="18"/>
      <c r="Z4003" s="18"/>
    </row>
    <row r="4004" ht="15.75" customHeight="1">
      <c r="A4004" s="32"/>
      <c r="B4004" s="22"/>
      <c r="C4004" s="22"/>
      <c r="D4004" s="22"/>
      <c r="E4004" s="22"/>
      <c r="F4004" s="22"/>
      <c r="G4004" s="22"/>
      <c r="H4004" s="18"/>
      <c r="I4004" s="18"/>
      <c r="J4004" s="18"/>
      <c r="K4004" s="18"/>
      <c r="L4004" s="18"/>
      <c r="M4004" s="18"/>
      <c r="N4004" s="18"/>
      <c r="O4004" s="18"/>
      <c r="P4004" s="18"/>
      <c r="Q4004" s="19"/>
      <c r="R4004" s="19"/>
      <c r="S4004" s="19"/>
      <c r="T4004" s="18"/>
      <c r="U4004" s="18"/>
      <c r="V4004" s="18"/>
      <c r="W4004" s="18"/>
      <c r="X4004" s="18"/>
      <c r="Y4004" s="18"/>
      <c r="Z4004" s="18"/>
    </row>
    <row r="4005" ht="15.75" customHeight="1">
      <c r="A4005" s="32"/>
      <c r="B4005" s="22"/>
      <c r="C4005" s="22"/>
      <c r="D4005" s="22"/>
      <c r="E4005" s="22"/>
      <c r="F4005" s="22"/>
      <c r="G4005" s="22"/>
      <c r="H4005" s="18"/>
      <c r="I4005" s="18"/>
      <c r="J4005" s="18"/>
      <c r="K4005" s="18"/>
      <c r="L4005" s="18"/>
      <c r="M4005" s="18"/>
      <c r="N4005" s="18"/>
      <c r="O4005" s="18"/>
      <c r="P4005" s="18"/>
      <c r="Q4005" s="19"/>
      <c r="R4005" s="19"/>
      <c r="S4005" s="19"/>
      <c r="T4005" s="18"/>
      <c r="U4005" s="18"/>
      <c r="V4005" s="18"/>
      <c r="W4005" s="18"/>
      <c r="X4005" s="18"/>
      <c r="Y4005" s="18"/>
      <c r="Z4005" s="18"/>
    </row>
    <row r="4006" ht="15.75" customHeight="1">
      <c r="A4006" s="32"/>
      <c r="B4006" s="22"/>
      <c r="C4006" s="22"/>
      <c r="D4006" s="22"/>
      <c r="E4006" s="22"/>
      <c r="F4006" s="22"/>
      <c r="G4006" s="22"/>
      <c r="H4006" s="18"/>
      <c r="I4006" s="18"/>
      <c r="J4006" s="18"/>
      <c r="K4006" s="18"/>
      <c r="L4006" s="18"/>
      <c r="M4006" s="18"/>
      <c r="N4006" s="18"/>
      <c r="O4006" s="18"/>
      <c r="P4006" s="18"/>
      <c r="Q4006" s="19"/>
      <c r="R4006" s="19"/>
      <c r="S4006" s="19"/>
      <c r="T4006" s="18"/>
      <c r="U4006" s="18"/>
      <c r="V4006" s="18"/>
      <c r="W4006" s="18"/>
      <c r="X4006" s="18"/>
      <c r="Y4006" s="18"/>
      <c r="Z4006" s="18"/>
    </row>
    <row r="4007" ht="15.75" customHeight="1">
      <c r="A4007" s="32"/>
      <c r="B4007" s="22"/>
      <c r="C4007" s="22"/>
      <c r="D4007" s="22"/>
      <c r="E4007" s="22"/>
      <c r="F4007" s="22"/>
      <c r="G4007" s="22"/>
      <c r="H4007" s="18"/>
      <c r="I4007" s="18"/>
      <c r="J4007" s="18"/>
      <c r="K4007" s="18"/>
      <c r="L4007" s="18"/>
      <c r="M4007" s="18"/>
      <c r="N4007" s="18"/>
      <c r="O4007" s="18"/>
      <c r="P4007" s="18"/>
      <c r="Q4007" s="19"/>
      <c r="R4007" s="19"/>
      <c r="S4007" s="19"/>
      <c r="T4007" s="18"/>
      <c r="U4007" s="18"/>
      <c r="V4007" s="18"/>
      <c r="W4007" s="18"/>
      <c r="X4007" s="18"/>
      <c r="Y4007" s="18"/>
      <c r="Z4007" s="18"/>
    </row>
    <row r="4008" ht="15.75" customHeight="1">
      <c r="A4008" s="32"/>
      <c r="B4008" s="22"/>
      <c r="C4008" s="22"/>
      <c r="D4008" s="22"/>
      <c r="E4008" s="22"/>
      <c r="F4008" s="22"/>
      <c r="G4008" s="22"/>
      <c r="H4008" s="18"/>
      <c r="I4008" s="18"/>
      <c r="J4008" s="18"/>
      <c r="K4008" s="18"/>
      <c r="L4008" s="18"/>
      <c r="M4008" s="18"/>
      <c r="N4008" s="18"/>
      <c r="O4008" s="18"/>
      <c r="P4008" s="18"/>
      <c r="Q4008" s="19"/>
      <c r="R4008" s="19"/>
      <c r="S4008" s="19"/>
      <c r="T4008" s="18"/>
      <c r="U4008" s="18"/>
      <c r="V4008" s="18"/>
      <c r="W4008" s="18"/>
      <c r="X4008" s="18"/>
      <c r="Y4008" s="18"/>
      <c r="Z4008" s="18"/>
    </row>
    <row r="4009" ht="15.75" customHeight="1">
      <c r="A4009" s="32"/>
      <c r="B4009" s="22"/>
      <c r="C4009" s="22"/>
      <c r="D4009" s="22"/>
      <c r="E4009" s="22"/>
      <c r="F4009" s="22"/>
      <c r="G4009" s="22"/>
      <c r="H4009" s="18"/>
      <c r="I4009" s="18"/>
      <c r="J4009" s="18"/>
      <c r="K4009" s="18"/>
      <c r="L4009" s="18"/>
      <c r="M4009" s="18"/>
      <c r="N4009" s="18"/>
      <c r="O4009" s="18"/>
      <c r="P4009" s="18"/>
      <c r="Q4009" s="19"/>
      <c r="R4009" s="19"/>
      <c r="S4009" s="19"/>
      <c r="T4009" s="18"/>
      <c r="U4009" s="18"/>
      <c r="V4009" s="18"/>
      <c r="W4009" s="18"/>
      <c r="X4009" s="18"/>
      <c r="Y4009" s="18"/>
      <c r="Z4009" s="18"/>
    </row>
    <row r="4010" ht="15.75" customHeight="1">
      <c r="A4010" s="32"/>
      <c r="B4010" s="22"/>
      <c r="C4010" s="22"/>
      <c r="D4010" s="22"/>
      <c r="E4010" s="22"/>
      <c r="F4010" s="22"/>
      <c r="G4010" s="22"/>
      <c r="H4010" s="18"/>
      <c r="I4010" s="18"/>
      <c r="J4010" s="18"/>
      <c r="K4010" s="18"/>
      <c r="L4010" s="18"/>
      <c r="M4010" s="18"/>
      <c r="N4010" s="18"/>
      <c r="O4010" s="18"/>
      <c r="P4010" s="18"/>
      <c r="Q4010" s="19"/>
      <c r="R4010" s="19"/>
      <c r="S4010" s="19"/>
      <c r="T4010" s="18"/>
      <c r="U4010" s="18"/>
      <c r="V4010" s="18"/>
      <c r="W4010" s="18"/>
      <c r="X4010" s="18"/>
      <c r="Y4010" s="18"/>
      <c r="Z4010" s="18"/>
    </row>
    <row r="4011" ht="15.75" customHeight="1">
      <c r="A4011" s="32"/>
      <c r="B4011" s="22"/>
      <c r="C4011" s="22"/>
      <c r="D4011" s="22"/>
      <c r="E4011" s="22"/>
      <c r="F4011" s="22"/>
      <c r="G4011" s="22"/>
      <c r="H4011" s="18"/>
      <c r="I4011" s="18"/>
      <c r="J4011" s="18"/>
      <c r="K4011" s="18"/>
      <c r="L4011" s="18"/>
      <c r="M4011" s="18"/>
      <c r="N4011" s="18"/>
      <c r="O4011" s="18"/>
      <c r="P4011" s="18"/>
      <c r="Q4011" s="19"/>
      <c r="R4011" s="19"/>
      <c r="S4011" s="19"/>
      <c r="T4011" s="18"/>
      <c r="U4011" s="18"/>
      <c r="V4011" s="18"/>
      <c r="W4011" s="18"/>
      <c r="X4011" s="18"/>
      <c r="Y4011" s="18"/>
      <c r="Z4011" s="18"/>
    </row>
    <row r="4012" ht="15.75" customHeight="1">
      <c r="A4012" s="32"/>
      <c r="B4012" s="22"/>
      <c r="C4012" s="22"/>
      <c r="D4012" s="22"/>
      <c r="E4012" s="22"/>
      <c r="F4012" s="22"/>
      <c r="G4012" s="22"/>
      <c r="H4012" s="18"/>
      <c r="I4012" s="18"/>
      <c r="J4012" s="18"/>
      <c r="K4012" s="18"/>
      <c r="L4012" s="18"/>
      <c r="M4012" s="18"/>
      <c r="N4012" s="18"/>
      <c r="O4012" s="18"/>
      <c r="P4012" s="18"/>
      <c r="Q4012" s="19"/>
      <c r="R4012" s="19"/>
      <c r="S4012" s="19"/>
      <c r="T4012" s="18"/>
      <c r="U4012" s="18"/>
      <c r="V4012" s="18"/>
      <c r="W4012" s="18"/>
      <c r="X4012" s="18"/>
      <c r="Y4012" s="18"/>
      <c r="Z4012" s="18"/>
    </row>
    <row r="4013" ht="15.75" customHeight="1">
      <c r="A4013" s="32"/>
      <c r="B4013" s="22"/>
      <c r="C4013" s="22"/>
      <c r="D4013" s="22"/>
      <c r="E4013" s="22"/>
      <c r="F4013" s="22"/>
      <c r="G4013" s="22"/>
      <c r="H4013" s="18"/>
      <c r="I4013" s="18"/>
      <c r="J4013" s="18"/>
      <c r="K4013" s="18"/>
      <c r="L4013" s="18"/>
      <c r="M4013" s="18"/>
      <c r="N4013" s="18"/>
      <c r="O4013" s="18"/>
      <c r="P4013" s="18"/>
      <c r="Q4013" s="19"/>
      <c r="R4013" s="19"/>
      <c r="S4013" s="19"/>
      <c r="T4013" s="18"/>
      <c r="U4013" s="18"/>
      <c r="V4013" s="18"/>
      <c r="W4013" s="18"/>
      <c r="X4013" s="18"/>
      <c r="Y4013" s="18"/>
      <c r="Z4013" s="18"/>
    </row>
    <row r="4014" ht="15.75" customHeight="1">
      <c r="A4014" s="32"/>
      <c r="B4014" s="22"/>
      <c r="C4014" s="22"/>
      <c r="D4014" s="22"/>
      <c r="E4014" s="22"/>
      <c r="F4014" s="22"/>
      <c r="G4014" s="22"/>
      <c r="H4014" s="18"/>
      <c r="I4014" s="18"/>
      <c r="J4014" s="18"/>
      <c r="K4014" s="18"/>
      <c r="L4014" s="18"/>
      <c r="M4014" s="18"/>
      <c r="N4014" s="18"/>
      <c r="O4014" s="18"/>
      <c r="P4014" s="18"/>
      <c r="Q4014" s="19"/>
      <c r="R4014" s="19"/>
      <c r="S4014" s="19"/>
      <c r="T4014" s="18"/>
      <c r="U4014" s="18"/>
      <c r="V4014" s="18"/>
      <c r="W4014" s="18"/>
      <c r="X4014" s="18"/>
      <c r="Y4014" s="18"/>
      <c r="Z4014" s="18"/>
    </row>
    <row r="4015" ht="15.75" customHeight="1">
      <c r="A4015" s="32"/>
      <c r="B4015" s="22"/>
      <c r="C4015" s="22"/>
      <c r="D4015" s="22"/>
      <c r="E4015" s="22"/>
      <c r="F4015" s="22"/>
      <c r="G4015" s="22"/>
      <c r="H4015" s="18"/>
      <c r="I4015" s="18"/>
      <c r="J4015" s="18"/>
      <c r="K4015" s="18"/>
      <c r="L4015" s="18"/>
      <c r="M4015" s="18"/>
      <c r="N4015" s="18"/>
      <c r="O4015" s="18"/>
      <c r="P4015" s="18"/>
      <c r="Q4015" s="19"/>
      <c r="R4015" s="19"/>
      <c r="S4015" s="19"/>
      <c r="T4015" s="18"/>
      <c r="U4015" s="18"/>
      <c r="V4015" s="18"/>
      <c r="W4015" s="18"/>
      <c r="X4015" s="18"/>
      <c r="Y4015" s="18"/>
      <c r="Z4015" s="18"/>
    </row>
    <row r="4016" ht="15.75" customHeight="1">
      <c r="A4016" s="32"/>
      <c r="B4016" s="22"/>
      <c r="C4016" s="22"/>
      <c r="D4016" s="22"/>
      <c r="E4016" s="22"/>
      <c r="F4016" s="22"/>
      <c r="G4016" s="22"/>
      <c r="H4016" s="18"/>
      <c r="I4016" s="18"/>
      <c r="J4016" s="18"/>
      <c r="K4016" s="18"/>
      <c r="L4016" s="18"/>
      <c r="M4016" s="18"/>
      <c r="N4016" s="18"/>
      <c r="O4016" s="18"/>
      <c r="P4016" s="18"/>
      <c r="Q4016" s="19"/>
      <c r="R4016" s="19"/>
      <c r="S4016" s="19"/>
      <c r="T4016" s="18"/>
      <c r="U4016" s="18"/>
      <c r="V4016" s="18"/>
      <c r="W4016" s="18"/>
      <c r="X4016" s="18"/>
      <c r="Y4016" s="18"/>
      <c r="Z4016" s="18"/>
    </row>
    <row r="4017" ht="15.75" customHeight="1">
      <c r="A4017" s="32"/>
      <c r="B4017" s="22"/>
      <c r="C4017" s="22"/>
      <c r="D4017" s="22"/>
      <c r="E4017" s="22"/>
      <c r="F4017" s="22"/>
      <c r="G4017" s="22"/>
      <c r="H4017" s="18"/>
      <c r="I4017" s="18"/>
      <c r="J4017" s="18"/>
      <c r="K4017" s="18"/>
      <c r="L4017" s="18"/>
      <c r="M4017" s="18"/>
      <c r="N4017" s="18"/>
      <c r="O4017" s="18"/>
      <c r="P4017" s="18"/>
      <c r="Q4017" s="19"/>
      <c r="R4017" s="19"/>
      <c r="S4017" s="19"/>
      <c r="T4017" s="18"/>
      <c r="U4017" s="18"/>
      <c r="V4017" s="18"/>
      <c r="W4017" s="18"/>
      <c r="X4017" s="18"/>
      <c r="Y4017" s="18"/>
      <c r="Z4017" s="18"/>
    </row>
    <row r="4018" ht="15.75" customHeight="1">
      <c r="A4018" s="32"/>
      <c r="B4018" s="22"/>
      <c r="C4018" s="22"/>
      <c r="D4018" s="22"/>
      <c r="E4018" s="22"/>
      <c r="F4018" s="22"/>
      <c r="G4018" s="22"/>
      <c r="H4018" s="18"/>
      <c r="I4018" s="18"/>
      <c r="J4018" s="18"/>
      <c r="K4018" s="18"/>
      <c r="L4018" s="18"/>
      <c r="M4018" s="18"/>
      <c r="N4018" s="18"/>
      <c r="O4018" s="18"/>
      <c r="P4018" s="18"/>
      <c r="Q4018" s="19"/>
      <c r="R4018" s="19"/>
      <c r="S4018" s="19"/>
      <c r="T4018" s="18"/>
      <c r="U4018" s="18"/>
      <c r="V4018" s="18"/>
      <c r="W4018" s="18"/>
      <c r="X4018" s="18"/>
      <c r="Y4018" s="18"/>
      <c r="Z4018" s="18"/>
    </row>
    <row r="4019" ht="15.75" customHeight="1">
      <c r="A4019" s="32"/>
      <c r="B4019" s="22"/>
      <c r="C4019" s="22"/>
      <c r="D4019" s="22"/>
      <c r="E4019" s="22"/>
      <c r="F4019" s="22"/>
      <c r="G4019" s="22"/>
      <c r="H4019" s="18"/>
      <c r="I4019" s="18"/>
      <c r="J4019" s="18"/>
      <c r="K4019" s="18"/>
      <c r="L4019" s="18"/>
      <c r="M4019" s="18"/>
      <c r="N4019" s="18"/>
      <c r="O4019" s="18"/>
      <c r="P4019" s="18"/>
      <c r="Q4019" s="19"/>
      <c r="R4019" s="19"/>
      <c r="S4019" s="19"/>
      <c r="T4019" s="18"/>
      <c r="U4019" s="18"/>
      <c r="V4019" s="18"/>
      <c r="W4019" s="18"/>
      <c r="X4019" s="18"/>
      <c r="Y4019" s="18"/>
      <c r="Z4019" s="18"/>
    </row>
    <row r="4020" ht="15.75" customHeight="1">
      <c r="A4020" s="32"/>
      <c r="B4020" s="22"/>
      <c r="C4020" s="22"/>
      <c r="D4020" s="22"/>
      <c r="E4020" s="22"/>
      <c r="F4020" s="22"/>
      <c r="G4020" s="22"/>
      <c r="H4020" s="18"/>
      <c r="I4020" s="18"/>
      <c r="J4020" s="18"/>
      <c r="K4020" s="18"/>
      <c r="L4020" s="18"/>
      <c r="M4020" s="18"/>
      <c r="N4020" s="18"/>
      <c r="O4020" s="18"/>
      <c r="P4020" s="18"/>
      <c r="Q4020" s="19"/>
      <c r="R4020" s="19"/>
      <c r="S4020" s="19"/>
      <c r="T4020" s="18"/>
      <c r="U4020" s="18"/>
      <c r="V4020" s="18"/>
      <c r="W4020" s="18"/>
      <c r="X4020" s="18"/>
      <c r="Y4020" s="18"/>
      <c r="Z4020" s="18"/>
    </row>
    <row r="4021" ht="15.75" customHeight="1">
      <c r="A4021" s="32"/>
      <c r="B4021" s="22"/>
      <c r="C4021" s="22"/>
      <c r="D4021" s="22"/>
      <c r="E4021" s="22"/>
      <c r="F4021" s="22"/>
      <c r="G4021" s="22"/>
      <c r="H4021" s="18"/>
      <c r="I4021" s="18"/>
      <c r="J4021" s="18"/>
      <c r="K4021" s="18"/>
      <c r="L4021" s="18"/>
      <c r="M4021" s="18"/>
      <c r="N4021" s="18"/>
      <c r="O4021" s="18"/>
      <c r="P4021" s="18"/>
      <c r="Q4021" s="19"/>
      <c r="R4021" s="19"/>
      <c r="S4021" s="19"/>
      <c r="T4021" s="18"/>
      <c r="U4021" s="18"/>
      <c r="V4021" s="18"/>
      <c r="W4021" s="18"/>
      <c r="X4021" s="18"/>
      <c r="Y4021" s="18"/>
      <c r="Z4021" s="18"/>
    </row>
    <row r="4022" ht="15.75" customHeight="1">
      <c r="A4022" s="32"/>
      <c r="B4022" s="22"/>
      <c r="C4022" s="22"/>
      <c r="D4022" s="22"/>
      <c r="E4022" s="22"/>
      <c r="F4022" s="22"/>
      <c r="G4022" s="22"/>
      <c r="H4022" s="18"/>
      <c r="I4022" s="18"/>
      <c r="J4022" s="18"/>
      <c r="K4022" s="18"/>
      <c r="L4022" s="18"/>
      <c r="M4022" s="18"/>
      <c r="N4022" s="18"/>
      <c r="O4022" s="18"/>
      <c r="P4022" s="18"/>
      <c r="Q4022" s="19"/>
      <c r="R4022" s="19"/>
      <c r="S4022" s="19"/>
      <c r="T4022" s="18"/>
      <c r="U4022" s="18"/>
      <c r="V4022" s="18"/>
      <c r="W4022" s="18"/>
      <c r="X4022" s="18"/>
      <c r="Y4022" s="18"/>
      <c r="Z4022" s="18"/>
    </row>
    <row r="4023" ht="15.75" customHeight="1">
      <c r="A4023" s="32"/>
      <c r="B4023" s="22"/>
      <c r="C4023" s="22"/>
      <c r="D4023" s="22"/>
      <c r="E4023" s="22"/>
      <c r="F4023" s="22"/>
      <c r="G4023" s="22"/>
      <c r="H4023" s="18"/>
      <c r="I4023" s="18"/>
      <c r="J4023" s="18"/>
      <c r="K4023" s="18"/>
      <c r="L4023" s="18"/>
      <c r="M4023" s="18"/>
      <c r="N4023" s="18"/>
      <c r="O4023" s="18"/>
      <c r="P4023" s="18"/>
      <c r="Q4023" s="19"/>
      <c r="R4023" s="19"/>
      <c r="S4023" s="19"/>
      <c r="T4023" s="18"/>
      <c r="U4023" s="18"/>
      <c r="V4023" s="18"/>
      <c r="W4023" s="18"/>
      <c r="X4023" s="18"/>
      <c r="Y4023" s="18"/>
      <c r="Z4023" s="18"/>
    </row>
    <row r="4024" ht="15.75" customHeight="1">
      <c r="A4024" s="32"/>
      <c r="B4024" s="22"/>
      <c r="C4024" s="22"/>
      <c r="D4024" s="22"/>
      <c r="E4024" s="22"/>
      <c r="F4024" s="22"/>
      <c r="G4024" s="22"/>
      <c r="H4024" s="18"/>
      <c r="I4024" s="18"/>
      <c r="J4024" s="18"/>
      <c r="K4024" s="18"/>
      <c r="L4024" s="18"/>
      <c r="M4024" s="18"/>
      <c r="N4024" s="18"/>
      <c r="O4024" s="18"/>
      <c r="P4024" s="18"/>
      <c r="Q4024" s="19"/>
      <c r="R4024" s="19"/>
      <c r="S4024" s="19"/>
      <c r="T4024" s="18"/>
      <c r="U4024" s="18"/>
      <c r="V4024" s="18"/>
      <c r="W4024" s="18"/>
      <c r="X4024" s="18"/>
      <c r="Y4024" s="18"/>
      <c r="Z4024" s="18"/>
    </row>
    <row r="4025" ht="15.75" customHeight="1">
      <c r="A4025" s="32"/>
      <c r="B4025" s="22"/>
      <c r="C4025" s="22"/>
      <c r="D4025" s="22"/>
      <c r="E4025" s="22"/>
      <c r="F4025" s="22"/>
      <c r="G4025" s="22"/>
      <c r="H4025" s="18"/>
      <c r="I4025" s="18"/>
      <c r="J4025" s="18"/>
      <c r="K4025" s="18"/>
      <c r="L4025" s="18"/>
      <c r="M4025" s="18"/>
      <c r="N4025" s="18"/>
      <c r="O4025" s="18"/>
      <c r="P4025" s="18"/>
      <c r="Q4025" s="19"/>
      <c r="R4025" s="19"/>
      <c r="S4025" s="19"/>
      <c r="T4025" s="18"/>
      <c r="U4025" s="18"/>
      <c r="V4025" s="18"/>
      <c r="W4025" s="18"/>
      <c r="X4025" s="18"/>
      <c r="Y4025" s="18"/>
      <c r="Z4025" s="18"/>
    </row>
    <row r="4026" ht="15.75" customHeight="1">
      <c r="A4026" s="32"/>
      <c r="B4026" s="22"/>
      <c r="C4026" s="22"/>
      <c r="D4026" s="22"/>
      <c r="E4026" s="22"/>
      <c r="F4026" s="22"/>
      <c r="G4026" s="22"/>
      <c r="H4026" s="18"/>
      <c r="I4026" s="18"/>
      <c r="J4026" s="18"/>
      <c r="K4026" s="18"/>
      <c r="L4026" s="18"/>
      <c r="M4026" s="18"/>
      <c r="N4026" s="18"/>
      <c r="O4026" s="18"/>
      <c r="P4026" s="18"/>
      <c r="Q4026" s="19"/>
      <c r="R4026" s="19"/>
      <c r="S4026" s="19"/>
      <c r="T4026" s="18"/>
      <c r="U4026" s="18"/>
      <c r="V4026" s="18"/>
      <c r="W4026" s="18"/>
      <c r="X4026" s="18"/>
      <c r="Y4026" s="18"/>
      <c r="Z4026" s="18"/>
    </row>
    <row r="4027" ht="15.75" customHeight="1">
      <c r="A4027" s="32"/>
      <c r="B4027" s="22"/>
      <c r="C4027" s="22"/>
      <c r="D4027" s="22"/>
      <c r="E4027" s="22"/>
      <c r="F4027" s="22"/>
      <c r="G4027" s="22"/>
      <c r="H4027" s="18"/>
      <c r="I4027" s="18"/>
      <c r="J4027" s="18"/>
      <c r="K4027" s="18"/>
      <c r="L4027" s="18"/>
      <c r="M4027" s="18"/>
      <c r="N4027" s="18"/>
      <c r="O4027" s="18"/>
      <c r="P4027" s="18"/>
      <c r="Q4027" s="19"/>
      <c r="R4027" s="19"/>
      <c r="S4027" s="19"/>
      <c r="T4027" s="18"/>
      <c r="U4027" s="18"/>
      <c r="V4027" s="18"/>
      <c r="W4027" s="18"/>
      <c r="X4027" s="18"/>
      <c r="Y4027" s="18"/>
      <c r="Z4027" s="18"/>
    </row>
    <row r="4028" ht="15.75" customHeight="1">
      <c r="A4028" s="32"/>
      <c r="B4028" s="22"/>
      <c r="C4028" s="22"/>
      <c r="D4028" s="22"/>
      <c r="E4028" s="22"/>
      <c r="F4028" s="22"/>
      <c r="G4028" s="22"/>
      <c r="H4028" s="18"/>
      <c r="I4028" s="18"/>
      <c r="J4028" s="18"/>
      <c r="K4028" s="18"/>
      <c r="L4028" s="18"/>
      <c r="M4028" s="18"/>
      <c r="N4028" s="18"/>
      <c r="O4028" s="18"/>
      <c r="P4028" s="18"/>
      <c r="Q4028" s="19"/>
      <c r="R4028" s="19"/>
      <c r="S4028" s="19"/>
      <c r="T4028" s="18"/>
      <c r="U4028" s="18"/>
      <c r="V4028" s="18"/>
      <c r="W4028" s="18"/>
      <c r="X4028" s="18"/>
      <c r="Y4028" s="18"/>
      <c r="Z4028" s="18"/>
    </row>
    <row r="4029" ht="15.75" customHeight="1">
      <c r="A4029" s="32"/>
      <c r="B4029" s="22"/>
      <c r="C4029" s="22"/>
      <c r="D4029" s="22"/>
      <c r="E4029" s="22"/>
      <c r="F4029" s="22"/>
      <c r="G4029" s="22"/>
      <c r="H4029" s="18"/>
      <c r="I4029" s="18"/>
      <c r="J4029" s="18"/>
      <c r="K4029" s="18"/>
      <c r="L4029" s="18"/>
      <c r="M4029" s="18"/>
      <c r="N4029" s="18"/>
      <c r="O4029" s="18"/>
      <c r="P4029" s="18"/>
      <c r="Q4029" s="19"/>
      <c r="R4029" s="19"/>
      <c r="S4029" s="19"/>
      <c r="T4029" s="18"/>
      <c r="U4029" s="18"/>
      <c r="V4029" s="18"/>
      <c r="W4029" s="18"/>
      <c r="X4029" s="18"/>
      <c r="Y4029" s="18"/>
      <c r="Z4029" s="18"/>
    </row>
    <row r="4030" ht="15.75" customHeight="1">
      <c r="A4030" s="32"/>
      <c r="B4030" s="22"/>
      <c r="C4030" s="22"/>
      <c r="D4030" s="22"/>
      <c r="E4030" s="22"/>
      <c r="F4030" s="22"/>
      <c r="G4030" s="22"/>
      <c r="H4030" s="18"/>
      <c r="I4030" s="18"/>
      <c r="J4030" s="18"/>
      <c r="K4030" s="18"/>
      <c r="L4030" s="18"/>
      <c r="M4030" s="18"/>
      <c r="N4030" s="18"/>
      <c r="O4030" s="18"/>
      <c r="P4030" s="18"/>
      <c r="Q4030" s="19"/>
      <c r="R4030" s="19"/>
      <c r="S4030" s="19"/>
      <c r="T4030" s="18"/>
      <c r="U4030" s="18"/>
      <c r="V4030" s="18"/>
      <c r="W4030" s="18"/>
      <c r="X4030" s="18"/>
      <c r="Y4030" s="18"/>
      <c r="Z4030" s="18"/>
    </row>
    <row r="4031" ht="15.75" customHeight="1">
      <c r="A4031" s="32"/>
      <c r="B4031" s="22"/>
      <c r="C4031" s="22"/>
      <c r="D4031" s="22"/>
      <c r="E4031" s="22"/>
      <c r="F4031" s="22"/>
      <c r="G4031" s="22"/>
      <c r="H4031" s="18"/>
      <c r="I4031" s="18"/>
      <c r="J4031" s="18"/>
      <c r="K4031" s="18"/>
      <c r="L4031" s="18"/>
      <c r="M4031" s="18"/>
      <c r="N4031" s="18"/>
      <c r="O4031" s="18"/>
      <c r="P4031" s="18"/>
      <c r="Q4031" s="19"/>
      <c r="R4031" s="19"/>
      <c r="S4031" s="19"/>
      <c r="T4031" s="18"/>
      <c r="U4031" s="18"/>
      <c r="V4031" s="18"/>
      <c r="W4031" s="18"/>
      <c r="X4031" s="18"/>
      <c r="Y4031" s="18"/>
      <c r="Z4031" s="18"/>
    </row>
    <row r="4032" ht="15.75" customHeight="1">
      <c r="A4032" s="32"/>
      <c r="B4032" s="22"/>
      <c r="C4032" s="22"/>
      <c r="D4032" s="22"/>
      <c r="E4032" s="22"/>
      <c r="F4032" s="22"/>
      <c r="G4032" s="22"/>
      <c r="H4032" s="18"/>
      <c r="I4032" s="18"/>
      <c r="J4032" s="18"/>
      <c r="K4032" s="18"/>
      <c r="L4032" s="18"/>
      <c r="M4032" s="18"/>
      <c r="N4032" s="18"/>
      <c r="O4032" s="18"/>
      <c r="P4032" s="18"/>
      <c r="Q4032" s="19"/>
      <c r="R4032" s="19"/>
      <c r="S4032" s="19"/>
      <c r="T4032" s="18"/>
      <c r="U4032" s="18"/>
      <c r="V4032" s="18"/>
      <c r="W4032" s="18"/>
      <c r="X4032" s="18"/>
      <c r="Y4032" s="18"/>
      <c r="Z4032" s="18"/>
    </row>
    <row r="4033" ht="15.75" customHeight="1">
      <c r="A4033" s="32"/>
      <c r="B4033" s="22"/>
      <c r="C4033" s="22"/>
      <c r="D4033" s="22"/>
      <c r="E4033" s="22"/>
      <c r="F4033" s="22"/>
      <c r="G4033" s="22"/>
      <c r="H4033" s="18"/>
      <c r="I4033" s="18"/>
      <c r="J4033" s="18"/>
      <c r="K4033" s="18"/>
      <c r="L4033" s="18"/>
      <c r="M4033" s="18"/>
      <c r="N4033" s="18"/>
      <c r="O4033" s="18"/>
      <c r="P4033" s="18"/>
      <c r="Q4033" s="19"/>
      <c r="R4033" s="19"/>
      <c r="S4033" s="19"/>
      <c r="T4033" s="18"/>
      <c r="U4033" s="18"/>
      <c r="V4033" s="18"/>
      <c r="W4033" s="18"/>
      <c r="X4033" s="18"/>
      <c r="Y4033" s="18"/>
      <c r="Z4033" s="18"/>
    </row>
    <row r="4034" ht="15.75" customHeight="1">
      <c r="A4034" s="32"/>
      <c r="B4034" s="22"/>
      <c r="C4034" s="22"/>
      <c r="D4034" s="22"/>
      <c r="E4034" s="22"/>
      <c r="F4034" s="22"/>
      <c r="G4034" s="22"/>
      <c r="H4034" s="18"/>
      <c r="I4034" s="18"/>
      <c r="J4034" s="18"/>
      <c r="K4034" s="18"/>
      <c r="L4034" s="18"/>
      <c r="M4034" s="18"/>
      <c r="N4034" s="18"/>
      <c r="O4034" s="18"/>
      <c r="P4034" s="18"/>
      <c r="Q4034" s="19"/>
      <c r="R4034" s="19"/>
      <c r="S4034" s="19"/>
      <c r="T4034" s="18"/>
      <c r="U4034" s="18"/>
      <c r="V4034" s="18"/>
      <c r="W4034" s="18"/>
      <c r="X4034" s="18"/>
      <c r="Y4034" s="18"/>
      <c r="Z4034" s="18"/>
    </row>
    <row r="4035" ht="15.75" customHeight="1">
      <c r="A4035" s="32"/>
      <c r="B4035" s="22"/>
      <c r="C4035" s="22"/>
      <c r="D4035" s="22"/>
      <c r="E4035" s="22"/>
      <c r="F4035" s="22"/>
      <c r="G4035" s="22"/>
      <c r="H4035" s="18"/>
      <c r="I4035" s="18"/>
      <c r="J4035" s="18"/>
      <c r="K4035" s="18"/>
      <c r="L4035" s="18"/>
      <c r="M4035" s="18"/>
      <c r="N4035" s="18"/>
      <c r="O4035" s="18"/>
      <c r="P4035" s="18"/>
      <c r="Q4035" s="19"/>
      <c r="R4035" s="19"/>
      <c r="S4035" s="19"/>
      <c r="T4035" s="18"/>
      <c r="U4035" s="18"/>
      <c r="V4035" s="18"/>
      <c r="W4035" s="18"/>
      <c r="X4035" s="18"/>
      <c r="Y4035" s="18"/>
      <c r="Z4035" s="18"/>
    </row>
    <row r="4036" ht="15.75" customHeight="1">
      <c r="A4036" s="32"/>
      <c r="B4036" s="22"/>
      <c r="C4036" s="22"/>
      <c r="D4036" s="22"/>
      <c r="E4036" s="22"/>
      <c r="F4036" s="22"/>
      <c r="G4036" s="22"/>
      <c r="H4036" s="18"/>
      <c r="I4036" s="18"/>
      <c r="J4036" s="18"/>
      <c r="K4036" s="18"/>
      <c r="L4036" s="18"/>
      <c r="M4036" s="18"/>
      <c r="N4036" s="18"/>
      <c r="O4036" s="18"/>
      <c r="P4036" s="18"/>
      <c r="Q4036" s="19"/>
      <c r="R4036" s="19"/>
      <c r="S4036" s="19"/>
      <c r="T4036" s="18"/>
      <c r="U4036" s="18"/>
      <c r="V4036" s="18"/>
      <c r="W4036" s="18"/>
      <c r="X4036" s="18"/>
      <c r="Y4036" s="18"/>
      <c r="Z4036" s="18"/>
    </row>
    <row r="4037" ht="15.75" customHeight="1">
      <c r="A4037" s="32"/>
      <c r="B4037" s="22"/>
      <c r="C4037" s="22"/>
      <c r="D4037" s="22"/>
      <c r="E4037" s="22"/>
      <c r="F4037" s="22"/>
      <c r="G4037" s="22"/>
      <c r="H4037" s="18"/>
      <c r="I4037" s="18"/>
      <c r="J4037" s="18"/>
      <c r="K4037" s="18"/>
      <c r="L4037" s="18"/>
      <c r="M4037" s="18"/>
      <c r="N4037" s="18"/>
      <c r="O4037" s="18"/>
      <c r="P4037" s="18"/>
      <c r="Q4037" s="19"/>
      <c r="R4037" s="19"/>
      <c r="S4037" s="19"/>
      <c r="T4037" s="18"/>
      <c r="U4037" s="18"/>
      <c r="V4037" s="18"/>
      <c r="W4037" s="18"/>
      <c r="X4037" s="18"/>
      <c r="Y4037" s="18"/>
      <c r="Z4037" s="18"/>
    </row>
    <row r="4038" ht="15.75" customHeight="1">
      <c r="A4038" s="32"/>
      <c r="B4038" s="22"/>
      <c r="C4038" s="22"/>
      <c r="D4038" s="22"/>
      <c r="E4038" s="22"/>
      <c r="F4038" s="22"/>
      <c r="G4038" s="22"/>
      <c r="H4038" s="18"/>
      <c r="I4038" s="18"/>
      <c r="J4038" s="18"/>
      <c r="K4038" s="18"/>
      <c r="L4038" s="18"/>
      <c r="M4038" s="18"/>
      <c r="N4038" s="18"/>
      <c r="O4038" s="18"/>
      <c r="P4038" s="18"/>
      <c r="Q4038" s="19"/>
      <c r="R4038" s="19"/>
      <c r="S4038" s="19"/>
      <c r="T4038" s="18"/>
      <c r="U4038" s="18"/>
      <c r="V4038" s="18"/>
      <c r="W4038" s="18"/>
      <c r="X4038" s="18"/>
      <c r="Y4038" s="18"/>
      <c r="Z4038" s="18"/>
    </row>
    <row r="4039" ht="15.75" customHeight="1">
      <c r="A4039" s="32"/>
      <c r="B4039" s="22"/>
      <c r="C4039" s="22"/>
      <c r="D4039" s="22"/>
      <c r="E4039" s="22"/>
      <c r="F4039" s="22"/>
      <c r="G4039" s="22"/>
      <c r="H4039" s="18"/>
      <c r="I4039" s="18"/>
      <c r="J4039" s="18"/>
      <c r="K4039" s="18"/>
      <c r="L4039" s="18"/>
      <c r="M4039" s="18"/>
      <c r="N4039" s="18"/>
      <c r="O4039" s="18"/>
      <c r="P4039" s="18"/>
      <c r="Q4039" s="19"/>
      <c r="R4039" s="19"/>
      <c r="S4039" s="19"/>
      <c r="T4039" s="18"/>
      <c r="U4039" s="18"/>
      <c r="V4039" s="18"/>
      <c r="W4039" s="18"/>
      <c r="X4039" s="18"/>
      <c r="Y4039" s="18"/>
      <c r="Z4039" s="18"/>
    </row>
    <row r="4040" ht="15.75" customHeight="1">
      <c r="A4040" s="32"/>
      <c r="B4040" s="22"/>
      <c r="C4040" s="22"/>
      <c r="D4040" s="22"/>
      <c r="E4040" s="22"/>
      <c r="F4040" s="22"/>
      <c r="G4040" s="22"/>
      <c r="H4040" s="18"/>
      <c r="I4040" s="18"/>
      <c r="J4040" s="18"/>
      <c r="K4040" s="18"/>
      <c r="L4040" s="18"/>
      <c r="M4040" s="18"/>
      <c r="N4040" s="18"/>
      <c r="O4040" s="18"/>
      <c r="P4040" s="18"/>
      <c r="Q4040" s="19"/>
      <c r="R4040" s="19"/>
      <c r="S4040" s="19"/>
      <c r="T4040" s="18"/>
      <c r="U4040" s="18"/>
      <c r="V4040" s="18"/>
      <c r="W4040" s="18"/>
      <c r="X4040" s="18"/>
      <c r="Y4040" s="18"/>
      <c r="Z4040" s="18"/>
    </row>
    <row r="4041" ht="15.75" customHeight="1">
      <c r="A4041" s="32"/>
      <c r="B4041" s="22"/>
      <c r="C4041" s="22"/>
      <c r="D4041" s="22"/>
      <c r="E4041" s="22"/>
      <c r="F4041" s="22"/>
      <c r="G4041" s="22"/>
      <c r="H4041" s="18"/>
      <c r="I4041" s="18"/>
      <c r="J4041" s="18"/>
      <c r="K4041" s="18"/>
      <c r="L4041" s="18"/>
      <c r="M4041" s="18"/>
      <c r="N4041" s="18"/>
      <c r="O4041" s="18"/>
      <c r="P4041" s="18"/>
      <c r="Q4041" s="19"/>
      <c r="R4041" s="19"/>
      <c r="S4041" s="19"/>
      <c r="T4041" s="18"/>
      <c r="U4041" s="18"/>
      <c r="V4041" s="18"/>
      <c r="W4041" s="18"/>
      <c r="X4041" s="18"/>
      <c r="Y4041" s="18"/>
      <c r="Z4041" s="18"/>
    </row>
    <row r="4042" ht="15.75" customHeight="1">
      <c r="A4042" s="32"/>
      <c r="B4042" s="22"/>
      <c r="C4042" s="22"/>
      <c r="D4042" s="22"/>
      <c r="E4042" s="22"/>
      <c r="F4042" s="22"/>
      <c r="G4042" s="22"/>
      <c r="H4042" s="18"/>
      <c r="I4042" s="18"/>
      <c r="J4042" s="18"/>
      <c r="K4042" s="18"/>
      <c r="L4042" s="18"/>
      <c r="M4042" s="18"/>
      <c r="N4042" s="18"/>
      <c r="O4042" s="18"/>
      <c r="P4042" s="18"/>
      <c r="Q4042" s="19"/>
      <c r="R4042" s="19"/>
      <c r="S4042" s="19"/>
      <c r="T4042" s="18"/>
      <c r="U4042" s="18"/>
      <c r="V4042" s="18"/>
      <c r="W4042" s="18"/>
      <c r="X4042" s="18"/>
      <c r="Y4042" s="18"/>
      <c r="Z4042" s="18"/>
    </row>
    <row r="4043" ht="15.75" customHeight="1">
      <c r="A4043" s="32"/>
      <c r="B4043" s="22"/>
      <c r="C4043" s="22"/>
      <c r="D4043" s="22"/>
      <c r="E4043" s="22"/>
      <c r="F4043" s="22"/>
      <c r="G4043" s="22"/>
      <c r="H4043" s="18"/>
      <c r="I4043" s="18"/>
      <c r="J4043" s="18"/>
      <c r="K4043" s="18"/>
      <c r="L4043" s="18"/>
      <c r="M4043" s="18"/>
      <c r="N4043" s="18"/>
      <c r="O4043" s="18"/>
      <c r="P4043" s="18"/>
      <c r="Q4043" s="19"/>
      <c r="R4043" s="19"/>
      <c r="S4043" s="19"/>
      <c r="T4043" s="18"/>
      <c r="U4043" s="18"/>
      <c r="V4043" s="18"/>
      <c r="W4043" s="18"/>
      <c r="X4043" s="18"/>
      <c r="Y4043" s="18"/>
      <c r="Z4043" s="18"/>
    </row>
    <row r="4044" ht="15.75" customHeight="1">
      <c r="A4044" s="32"/>
      <c r="B4044" s="22"/>
      <c r="C4044" s="22"/>
      <c r="D4044" s="22"/>
      <c r="E4044" s="22"/>
      <c r="F4044" s="22"/>
      <c r="G4044" s="22"/>
      <c r="H4044" s="18"/>
      <c r="I4044" s="18"/>
      <c r="J4044" s="18"/>
      <c r="K4044" s="18"/>
      <c r="L4044" s="18"/>
      <c r="M4044" s="18"/>
      <c r="N4044" s="18"/>
      <c r="O4044" s="18"/>
      <c r="P4044" s="18"/>
      <c r="Q4044" s="19"/>
      <c r="R4044" s="19"/>
      <c r="S4044" s="19"/>
      <c r="T4044" s="18"/>
      <c r="U4044" s="18"/>
      <c r="V4044" s="18"/>
      <c r="W4044" s="18"/>
      <c r="X4044" s="18"/>
      <c r="Y4044" s="18"/>
      <c r="Z4044" s="18"/>
    </row>
    <row r="4045" ht="15.75" customHeight="1">
      <c r="A4045" s="32"/>
      <c r="B4045" s="22"/>
      <c r="C4045" s="22"/>
      <c r="D4045" s="22"/>
      <c r="E4045" s="22"/>
      <c r="F4045" s="22"/>
      <c r="G4045" s="22"/>
      <c r="H4045" s="18"/>
      <c r="I4045" s="18"/>
      <c r="J4045" s="18"/>
      <c r="K4045" s="18"/>
      <c r="L4045" s="18"/>
      <c r="M4045" s="18"/>
      <c r="N4045" s="18"/>
      <c r="O4045" s="18"/>
      <c r="P4045" s="18"/>
      <c r="Q4045" s="19"/>
      <c r="R4045" s="19"/>
      <c r="S4045" s="19"/>
      <c r="T4045" s="18"/>
      <c r="U4045" s="18"/>
      <c r="V4045" s="18"/>
      <c r="W4045" s="18"/>
      <c r="X4045" s="18"/>
      <c r="Y4045" s="18"/>
      <c r="Z4045" s="18"/>
    </row>
    <row r="4046" ht="15.75" customHeight="1">
      <c r="A4046" s="32"/>
      <c r="B4046" s="22"/>
      <c r="C4046" s="22"/>
      <c r="D4046" s="22"/>
      <c r="E4046" s="22"/>
      <c r="F4046" s="22"/>
      <c r="G4046" s="22"/>
      <c r="H4046" s="18"/>
      <c r="I4046" s="18"/>
      <c r="J4046" s="18"/>
      <c r="K4046" s="18"/>
      <c r="L4046" s="18"/>
      <c r="M4046" s="18"/>
      <c r="N4046" s="18"/>
      <c r="O4046" s="18"/>
      <c r="P4046" s="18"/>
      <c r="Q4046" s="19"/>
      <c r="R4046" s="19"/>
      <c r="S4046" s="19"/>
      <c r="T4046" s="18"/>
      <c r="U4046" s="18"/>
      <c r="V4046" s="18"/>
      <c r="W4046" s="18"/>
      <c r="X4046" s="18"/>
      <c r="Y4046" s="18"/>
      <c r="Z4046" s="18"/>
    </row>
    <row r="4047" ht="15.75" customHeight="1">
      <c r="A4047" s="32"/>
      <c r="B4047" s="22"/>
      <c r="C4047" s="22"/>
      <c r="D4047" s="22"/>
      <c r="E4047" s="22"/>
      <c r="F4047" s="22"/>
      <c r="G4047" s="22"/>
      <c r="H4047" s="18"/>
      <c r="I4047" s="18"/>
      <c r="J4047" s="18"/>
      <c r="K4047" s="18"/>
      <c r="L4047" s="18"/>
      <c r="M4047" s="18"/>
      <c r="N4047" s="18"/>
      <c r="O4047" s="18"/>
      <c r="P4047" s="18"/>
      <c r="Q4047" s="19"/>
      <c r="R4047" s="19"/>
      <c r="S4047" s="19"/>
      <c r="T4047" s="18"/>
      <c r="U4047" s="18"/>
      <c r="V4047" s="18"/>
      <c r="W4047" s="18"/>
      <c r="X4047" s="18"/>
      <c r="Y4047" s="18"/>
      <c r="Z4047" s="18"/>
    </row>
    <row r="4048" ht="15.75" customHeight="1">
      <c r="A4048" s="32"/>
      <c r="B4048" s="22"/>
      <c r="C4048" s="22"/>
      <c r="D4048" s="22"/>
      <c r="E4048" s="22"/>
      <c r="F4048" s="22"/>
      <c r="G4048" s="22"/>
      <c r="H4048" s="18"/>
      <c r="I4048" s="18"/>
      <c r="J4048" s="18"/>
      <c r="K4048" s="18"/>
      <c r="L4048" s="18"/>
      <c r="M4048" s="18"/>
      <c r="N4048" s="18"/>
      <c r="O4048" s="18"/>
      <c r="P4048" s="18"/>
      <c r="Q4048" s="19"/>
      <c r="R4048" s="19"/>
      <c r="S4048" s="19"/>
      <c r="T4048" s="18"/>
      <c r="U4048" s="18"/>
      <c r="V4048" s="18"/>
      <c r="W4048" s="18"/>
      <c r="X4048" s="18"/>
      <c r="Y4048" s="18"/>
      <c r="Z4048" s="18"/>
    </row>
    <row r="4049" ht="15.75" customHeight="1">
      <c r="A4049" s="32"/>
      <c r="B4049" s="22"/>
      <c r="C4049" s="22"/>
      <c r="D4049" s="22"/>
      <c r="E4049" s="22"/>
      <c r="F4049" s="22"/>
      <c r="G4049" s="22"/>
      <c r="H4049" s="18"/>
      <c r="I4049" s="18"/>
      <c r="J4049" s="18"/>
      <c r="K4049" s="18"/>
      <c r="L4049" s="18"/>
      <c r="M4049" s="18"/>
      <c r="N4049" s="18"/>
      <c r="O4049" s="18"/>
      <c r="P4049" s="18"/>
      <c r="Q4049" s="19"/>
      <c r="R4049" s="19"/>
      <c r="S4049" s="19"/>
      <c r="T4049" s="18"/>
      <c r="U4049" s="18"/>
      <c r="V4049" s="18"/>
      <c r="W4049" s="18"/>
      <c r="X4049" s="18"/>
      <c r="Y4049" s="18"/>
      <c r="Z4049" s="18"/>
    </row>
    <row r="4050" ht="15.75" customHeight="1">
      <c r="A4050" s="32"/>
      <c r="B4050" s="22"/>
      <c r="C4050" s="22"/>
      <c r="D4050" s="22"/>
      <c r="E4050" s="22"/>
      <c r="F4050" s="22"/>
      <c r="G4050" s="22"/>
      <c r="H4050" s="18"/>
      <c r="I4050" s="18"/>
      <c r="J4050" s="18"/>
      <c r="K4050" s="18"/>
      <c r="L4050" s="18"/>
      <c r="M4050" s="18"/>
      <c r="N4050" s="18"/>
      <c r="O4050" s="18"/>
      <c r="P4050" s="18"/>
      <c r="Q4050" s="19"/>
      <c r="R4050" s="19"/>
      <c r="S4050" s="19"/>
      <c r="T4050" s="18"/>
      <c r="U4050" s="18"/>
      <c r="V4050" s="18"/>
      <c r="W4050" s="18"/>
      <c r="X4050" s="18"/>
      <c r="Y4050" s="18"/>
      <c r="Z4050" s="18"/>
    </row>
    <row r="4051" ht="15.75" customHeight="1">
      <c r="A4051" s="32"/>
      <c r="B4051" s="22"/>
      <c r="C4051" s="22"/>
      <c r="D4051" s="22"/>
      <c r="E4051" s="22"/>
      <c r="F4051" s="22"/>
      <c r="G4051" s="22"/>
      <c r="H4051" s="18"/>
      <c r="I4051" s="18"/>
      <c r="J4051" s="18"/>
      <c r="K4051" s="18"/>
      <c r="L4051" s="18"/>
      <c r="M4051" s="18"/>
      <c r="N4051" s="18"/>
      <c r="O4051" s="18"/>
      <c r="P4051" s="18"/>
      <c r="Q4051" s="19"/>
      <c r="R4051" s="19"/>
      <c r="S4051" s="19"/>
      <c r="T4051" s="18"/>
      <c r="U4051" s="18"/>
      <c r="V4051" s="18"/>
      <c r="W4051" s="18"/>
      <c r="X4051" s="18"/>
      <c r="Y4051" s="18"/>
      <c r="Z4051" s="18"/>
    </row>
    <row r="4052" ht="15.75" customHeight="1">
      <c r="A4052" s="32"/>
      <c r="B4052" s="22"/>
      <c r="C4052" s="22"/>
      <c r="D4052" s="22"/>
      <c r="E4052" s="22"/>
      <c r="F4052" s="22"/>
      <c r="G4052" s="22"/>
      <c r="H4052" s="18"/>
      <c r="I4052" s="18"/>
      <c r="J4052" s="18"/>
      <c r="K4052" s="18"/>
      <c r="L4052" s="18"/>
      <c r="M4052" s="18"/>
      <c r="N4052" s="18"/>
      <c r="O4052" s="18"/>
      <c r="P4052" s="18"/>
      <c r="Q4052" s="19"/>
      <c r="R4052" s="19"/>
      <c r="S4052" s="19"/>
      <c r="T4052" s="18"/>
      <c r="U4052" s="18"/>
      <c r="V4052" s="18"/>
      <c r="W4052" s="18"/>
      <c r="X4052" s="18"/>
      <c r="Y4052" s="18"/>
      <c r="Z4052" s="18"/>
    </row>
    <row r="4053" ht="15.75" customHeight="1">
      <c r="A4053" s="32"/>
      <c r="B4053" s="22"/>
      <c r="C4053" s="22"/>
      <c r="D4053" s="22"/>
      <c r="E4053" s="22"/>
      <c r="F4053" s="22"/>
      <c r="G4053" s="22"/>
      <c r="H4053" s="18"/>
      <c r="I4053" s="18"/>
      <c r="J4053" s="18"/>
      <c r="K4053" s="18"/>
      <c r="L4053" s="18"/>
      <c r="M4053" s="18"/>
      <c r="N4053" s="18"/>
      <c r="O4053" s="18"/>
      <c r="P4053" s="18"/>
      <c r="Q4053" s="19"/>
      <c r="R4053" s="19"/>
      <c r="S4053" s="19"/>
      <c r="T4053" s="18"/>
      <c r="U4053" s="18"/>
      <c r="V4053" s="18"/>
      <c r="W4053" s="18"/>
      <c r="X4053" s="18"/>
      <c r="Y4053" s="18"/>
      <c r="Z4053" s="18"/>
    </row>
    <row r="4054" ht="15.75" customHeight="1">
      <c r="A4054" s="32"/>
      <c r="B4054" s="22"/>
      <c r="C4054" s="22"/>
      <c r="D4054" s="22"/>
      <c r="E4054" s="22"/>
      <c r="F4054" s="22"/>
      <c r="G4054" s="22"/>
      <c r="H4054" s="18"/>
      <c r="I4054" s="18"/>
      <c r="J4054" s="18"/>
      <c r="K4054" s="18"/>
      <c r="L4054" s="18"/>
      <c r="M4054" s="18"/>
      <c r="N4054" s="18"/>
      <c r="O4054" s="18"/>
      <c r="P4054" s="18"/>
      <c r="Q4054" s="19"/>
      <c r="R4054" s="19"/>
      <c r="S4054" s="19"/>
      <c r="T4054" s="18"/>
      <c r="U4054" s="18"/>
      <c r="V4054" s="18"/>
      <c r="W4054" s="18"/>
      <c r="X4054" s="18"/>
      <c r="Y4054" s="18"/>
      <c r="Z4054" s="18"/>
    </row>
    <row r="4055" ht="15.75" customHeight="1">
      <c r="A4055" s="32"/>
      <c r="B4055" s="22"/>
      <c r="C4055" s="22"/>
      <c r="D4055" s="22"/>
      <c r="E4055" s="22"/>
      <c r="F4055" s="22"/>
      <c r="G4055" s="22"/>
      <c r="H4055" s="18"/>
      <c r="I4055" s="18"/>
      <c r="J4055" s="18"/>
      <c r="K4055" s="18"/>
      <c r="L4055" s="18"/>
      <c r="M4055" s="18"/>
      <c r="N4055" s="18"/>
      <c r="O4055" s="18"/>
      <c r="P4055" s="18"/>
      <c r="Q4055" s="19"/>
      <c r="R4055" s="19"/>
      <c r="S4055" s="19"/>
      <c r="T4055" s="18"/>
      <c r="U4055" s="18"/>
      <c r="V4055" s="18"/>
      <c r="W4055" s="18"/>
      <c r="X4055" s="18"/>
      <c r="Y4055" s="18"/>
      <c r="Z4055" s="18"/>
    </row>
    <row r="4056" ht="15.75" customHeight="1">
      <c r="A4056" s="32"/>
      <c r="B4056" s="22"/>
      <c r="C4056" s="22"/>
      <c r="D4056" s="22"/>
      <c r="E4056" s="22"/>
      <c r="F4056" s="22"/>
      <c r="G4056" s="22"/>
      <c r="H4056" s="18"/>
      <c r="I4056" s="18"/>
      <c r="J4056" s="18"/>
      <c r="K4056" s="18"/>
      <c r="L4056" s="18"/>
      <c r="M4056" s="18"/>
      <c r="N4056" s="18"/>
      <c r="O4056" s="18"/>
      <c r="P4056" s="18"/>
      <c r="Q4056" s="19"/>
      <c r="R4056" s="19"/>
      <c r="S4056" s="19"/>
      <c r="T4056" s="18"/>
      <c r="U4056" s="18"/>
      <c r="V4056" s="18"/>
      <c r="W4056" s="18"/>
      <c r="X4056" s="18"/>
      <c r="Y4056" s="18"/>
      <c r="Z4056" s="18"/>
    </row>
    <row r="4057" ht="15.75" customHeight="1">
      <c r="A4057" s="32"/>
      <c r="B4057" s="22"/>
      <c r="C4057" s="22"/>
      <c r="D4057" s="22"/>
      <c r="E4057" s="22"/>
      <c r="F4057" s="22"/>
      <c r="G4057" s="22"/>
      <c r="H4057" s="18"/>
      <c r="I4057" s="18"/>
      <c r="J4057" s="18"/>
      <c r="K4057" s="18"/>
      <c r="L4057" s="18"/>
      <c r="M4057" s="18"/>
      <c r="N4057" s="18"/>
      <c r="O4057" s="18"/>
      <c r="P4057" s="18"/>
      <c r="Q4057" s="19"/>
      <c r="R4057" s="19"/>
      <c r="S4057" s="19"/>
      <c r="T4057" s="18"/>
      <c r="U4057" s="18"/>
      <c r="V4057" s="18"/>
      <c r="W4057" s="18"/>
      <c r="X4057" s="18"/>
      <c r="Y4057" s="18"/>
      <c r="Z4057" s="18"/>
    </row>
    <row r="4058" ht="15.75" customHeight="1">
      <c r="A4058" s="32"/>
      <c r="B4058" s="22"/>
      <c r="C4058" s="22"/>
      <c r="D4058" s="22"/>
      <c r="E4058" s="22"/>
      <c r="F4058" s="22"/>
      <c r="G4058" s="22"/>
      <c r="H4058" s="18"/>
      <c r="I4058" s="18"/>
      <c r="J4058" s="18"/>
      <c r="K4058" s="18"/>
      <c r="L4058" s="18"/>
      <c r="M4058" s="18"/>
      <c r="N4058" s="18"/>
      <c r="O4058" s="18"/>
      <c r="P4058" s="18"/>
      <c r="Q4058" s="19"/>
      <c r="R4058" s="19"/>
      <c r="S4058" s="19"/>
      <c r="T4058" s="18"/>
      <c r="U4058" s="18"/>
      <c r="V4058" s="18"/>
      <c r="W4058" s="18"/>
      <c r="X4058" s="18"/>
      <c r="Y4058" s="18"/>
      <c r="Z4058" s="18"/>
    </row>
    <row r="4059" ht="15.75" customHeight="1">
      <c r="A4059" s="32"/>
      <c r="B4059" s="22"/>
      <c r="C4059" s="22"/>
      <c r="D4059" s="22"/>
      <c r="E4059" s="22"/>
      <c r="F4059" s="22"/>
      <c r="G4059" s="22"/>
      <c r="H4059" s="18"/>
      <c r="I4059" s="18"/>
      <c r="J4059" s="18"/>
      <c r="K4059" s="18"/>
      <c r="L4059" s="18"/>
      <c r="M4059" s="18"/>
      <c r="N4059" s="18"/>
      <c r="O4059" s="18"/>
      <c r="P4059" s="18"/>
      <c r="Q4059" s="19"/>
      <c r="R4059" s="19"/>
      <c r="S4059" s="19"/>
      <c r="T4059" s="18"/>
      <c r="U4059" s="18"/>
      <c r="V4059" s="18"/>
      <c r="W4059" s="18"/>
      <c r="X4059" s="18"/>
      <c r="Y4059" s="18"/>
      <c r="Z4059" s="18"/>
    </row>
    <row r="4060" ht="15.75" customHeight="1">
      <c r="A4060" s="32"/>
      <c r="B4060" s="22"/>
      <c r="C4060" s="22"/>
      <c r="D4060" s="22"/>
      <c r="E4060" s="22"/>
      <c r="F4060" s="22"/>
      <c r="G4060" s="22"/>
      <c r="H4060" s="18"/>
      <c r="I4060" s="18"/>
      <c r="J4060" s="18"/>
      <c r="K4060" s="18"/>
      <c r="L4060" s="18"/>
      <c r="M4060" s="18"/>
      <c r="N4060" s="18"/>
      <c r="O4060" s="18"/>
      <c r="P4060" s="18"/>
      <c r="Q4060" s="19"/>
      <c r="R4060" s="19"/>
      <c r="S4060" s="19"/>
      <c r="T4060" s="18"/>
      <c r="U4060" s="18"/>
      <c r="V4060" s="18"/>
      <c r="W4060" s="18"/>
      <c r="X4060" s="18"/>
      <c r="Y4060" s="18"/>
      <c r="Z4060" s="18"/>
    </row>
    <row r="4061" ht="15.75" customHeight="1">
      <c r="A4061" s="32"/>
      <c r="B4061" s="22"/>
      <c r="C4061" s="22"/>
      <c r="D4061" s="22"/>
      <c r="E4061" s="22"/>
      <c r="F4061" s="22"/>
      <c r="G4061" s="22"/>
      <c r="H4061" s="18"/>
      <c r="I4061" s="18"/>
      <c r="J4061" s="18"/>
      <c r="K4061" s="18"/>
      <c r="L4061" s="18"/>
      <c r="M4061" s="18"/>
      <c r="N4061" s="18"/>
      <c r="O4061" s="18"/>
      <c r="P4061" s="18"/>
      <c r="Q4061" s="19"/>
      <c r="R4061" s="19"/>
      <c r="S4061" s="19"/>
      <c r="T4061" s="18"/>
      <c r="U4061" s="18"/>
      <c r="V4061" s="18"/>
      <c r="W4061" s="18"/>
      <c r="X4061" s="18"/>
      <c r="Y4061" s="18"/>
      <c r="Z4061" s="18"/>
    </row>
    <row r="4062" ht="15.75" customHeight="1">
      <c r="A4062" s="32"/>
      <c r="B4062" s="22"/>
      <c r="C4062" s="22"/>
      <c r="D4062" s="22"/>
      <c r="E4062" s="22"/>
      <c r="F4062" s="22"/>
      <c r="G4062" s="22"/>
      <c r="H4062" s="18"/>
      <c r="I4062" s="18"/>
      <c r="J4062" s="18"/>
      <c r="K4062" s="18"/>
      <c r="L4062" s="18"/>
      <c r="M4062" s="18"/>
      <c r="N4062" s="18"/>
      <c r="O4062" s="18"/>
      <c r="P4062" s="18"/>
      <c r="Q4062" s="19"/>
      <c r="R4062" s="19"/>
      <c r="S4062" s="19"/>
      <c r="T4062" s="18"/>
      <c r="U4062" s="18"/>
      <c r="V4062" s="18"/>
      <c r="W4062" s="18"/>
      <c r="X4062" s="18"/>
      <c r="Y4062" s="18"/>
      <c r="Z4062" s="18"/>
    </row>
    <row r="4063" ht="15.75" customHeight="1">
      <c r="A4063" s="32"/>
      <c r="B4063" s="22"/>
      <c r="C4063" s="22"/>
      <c r="D4063" s="22"/>
      <c r="E4063" s="22"/>
      <c r="F4063" s="22"/>
      <c r="G4063" s="22"/>
      <c r="H4063" s="18"/>
      <c r="I4063" s="18"/>
      <c r="J4063" s="18"/>
      <c r="K4063" s="18"/>
      <c r="L4063" s="18"/>
      <c r="M4063" s="18"/>
      <c r="N4063" s="18"/>
      <c r="O4063" s="18"/>
      <c r="P4063" s="18"/>
      <c r="Q4063" s="19"/>
      <c r="R4063" s="19"/>
      <c r="S4063" s="19"/>
      <c r="T4063" s="18"/>
      <c r="U4063" s="18"/>
      <c r="V4063" s="18"/>
      <c r="W4063" s="18"/>
      <c r="X4063" s="18"/>
      <c r="Y4063" s="18"/>
      <c r="Z4063" s="18"/>
    </row>
    <row r="4064" ht="15.75" customHeight="1">
      <c r="A4064" s="32"/>
      <c r="B4064" s="22"/>
      <c r="C4064" s="22"/>
      <c r="D4064" s="22"/>
      <c r="E4064" s="22"/>
      <c r="F4064" s="22"/>
      <c r="G4064" s="22"/>
      <c r="H4064" s="18"/>
      <c r="I4064" s="18"/>
      <c r="J4064" s="18"/>
      <c r="K4064" s="18"/>
      <c r="L4064" s="18"/>
      <c r="M4064" s="18"/>
      <c r="N4064" s="18"/>
      <c r="O4064" s="18"/>
      <c r="P4064" s="18"/>
      <c r="Q4064" s="19"/>
      <c r="R4064" s="19"/>
      <c r="S4064" s="19"/>
      <c r="T4064" s="18"/>
      <c r="U4064" s="18"/>
      <c r="V4064" s="18"/>
      <c r="W4064" s="18"/>
      <c r="X4064" s="18"/>
      <c r="Y4064" s="18"/>
      <c r="Z4064" s="18"/>
    </row>
    <row r="4065" ht="15.75" customHeight="1">
      <c r="A4065" s="32"/>
      <c r="B4065" s="22"/>
      <c r="C4065" s="22"/>
      <c r="D4065" s="22"/>
      <c r="E4065" s="22"/>
      <c r="F4065" s="22"/>
      <c r="G4065" s="22"/>
      <c r="H4065" s="18"/>
      <c r="I4065" s="18"/>
      <c r="J4065" s="18"/>
      <c r="K4065" s="18"/>
      <c r="L4065" s="18"/>
      <c r="M4065" s="18"/>
      <c r="N4065" s="18"/>
      <c r="O4065" s="18"/>
      <c r="P4065" s="18"/>
      <c r="Q4065" s="19"/>
      <c r="R4065" s="19"/>
      <c r="S4065" s="19"/>
      <c r="T4065" s="18"/>
      <c r="U4065" s="18"/>
      <c r="V4065" s="18"/>
      <c r="W4065" s="18"/>
      <c r="X4065" s="18"/>
      <c r="Y4065" s="18"/>
      <c r="Z4065" s="18"/>
    </row>
    <row r="4066" ht="15.75" customHeight="1">
      <c r="A4066" s="32"/>
      <c r="B4066" s="22"/>
      <c r="C4066" s="22"/>
      <c r="D4066" s="22"/>
      <c r="E4066" s="22"/>
      <c r="F4066" s="22"/>
      <c r="G4066" s="22"/>
      <c r="H4066" s="18"/>
      <c r="I4066" s="18"/>
      <c r="J4066" s="18"/>
      <c r="K4066" s="18"/>
      <c r="L4066" s="18"/>
      <c r="M4066" s="18"/>
      <c r="N4066" s="18"/>
      <c r="O4066" s="18"/>
      <c r="P4066" s="18"/>
      <c r="Q4066" s="19"/>
      <c r="R4066" s="19"/>
      <c r="S4066" s="19"/>
      <c r="T4066" s="18"/>
      <c r="U4066" s="18"/>
      <c r="V4066" s="18"/>
      <c r="W4066" s="18"/>
      <c r="X4066" s="18"/>
      <c r="Y4066" s="18"/>
      <c r="Z4066" s="18"/>
    </row>
    <row r="4067" ht="15.75" customHeight="1">
      <c r="A4067" s="32"/>
      <c r="B4067" s="22"/>
      <c r="C4067" s="22"/>
      <c r="D4067" s="22"/>
      <c r="E4067" s="22"/>
      <c r="F4067" s="22"/>
      <c r="G4067" s="22"/>
      <c r="H4067" s="18"/>
      <c r="I4067" s="18"/>
      <c r="J4067" s="18"/>
      <c r="K4067" s="18"/>
      <c r="L4067" s="18"/>
      <c r="M4067" s="18"/>
      <c r="N4067" s="18"/>
      <c r="O4067" s="18"/>
      <c r="P4067" s="18"/>
      <c r="Q4067" s="19"/>
      <c r="R4067" s="19"/>
      <c r="S4067" s="19"/>
      <c r="T4067" s="18"/>
      <c r="U4067" s="18"/>
      <c r="V4067" s="18"/>
      <c r="W4067" s="18"/>
      <c r="X4067" s="18"/>
      <c r="Y4067" s="18"/>
      <c r="Z4067" s="18"/>
    </row>
    <row r="4068" ht="15.75" customHeight="1">
      <c r="A4068" s="32"/>
      <c r="B4068" s="22"/>
      <c r="C4068" s="22"/>
      <c r="D4068" s="22"/>
      <c r="E4068" s="22"/>
      <c r="F4068" s="22"/>
      <c r="G4068" s="22"/>
      <c r="H4068" s="18"/>
      <c r="I4068" s="18"/>
      <c r="J4068" s="18"/>
      <c r="K4068" s="18"/>
      <c r="L4068" s="18"/>
      <c r="M4068" s="18"/>
      <c r="N4068" s="18"/>
      <c r="O4068" s="18"/>
      <c r="P4068" s="18"/>
      <c r="Q4068" s="19"/>
      <c r="R4068" s="19"/>
      <c r="S4068" s="19"/>
      <c r="T4068" s="18"/>
      <c r="U4068" s="18"/>
      <c r="V4068" s="18"/>
      <c r="W4068" s="18"/>
      <c r="X4068" s="18"/>
      <c r="Y4068" s="18"/>
      <c r="Z4068" s="18"/>
    </row>
    <row r="4069" ht="15.75" customHeight="1">
      <c r="A4069" s="32"/>
      <c r="B4069" s="22"/>
      <c r="C4069" s="22"/>
      <c r="D4069" s="22"/>
      <c r="E4069" s="22"/>
      <c r="F4069" s="22"/>
      <c r="G4069" s="22"/>
      <c r="H4069" s="18"/>
      <c r="I4069" s="18"/>
      <c r="J4069" s="18"/>
      <c r="K4069" s="18"/>
      <c r="L4069" s="18"/>
      <c r="M4069" s="18"/>
      <c r="N4069" s="18"/>
      <c r="O4069" s="18"/>
      <c r="P4069" s="18"/>
      <c r="Q4069" s="19"/>
      <c r="R4069" s="19"/>
      <c r="S4069" s="19"/>
      <c r="T4069" s="18"/>
      <c r="U4069" s="18"/>
      <c r="V4069" s="18"/>
      <c r="W4069" s="18"/>
      <c r="X4069" s="18"/>
      <c r="Y4069" s="18"/>
      <c r="Z4069" s="18"/>
    </row>
    <row r="4070" ht="15.75" customHeight="1">
      <c r="A4070" s="32"/>
      <c r="B4070" s="22"/>
      <c r="C4070" s="22"/>
      <c r="D4070" s="22"/>
      <c r="E4070" s="22"/>
      <c r="F4070" s="22"/>
      <c r="G4070" s="22"/>
      <c r="H4070" s="18"/>
      <c r="I4070" s="18"/>
      <c r="J4070" s="18"/>
      <c r="K4070" s="18"/>
      <c r="L4070" s="18"/>
      <c r="M4070" s="18"/>
      <c r="N4070" s="18"/>
      <c r="O4070" s="18"/>
      <c r="P4070" s="18"/>
      <c r="Q4070" s="19"/>
      <c r="R4070" s="19"/>
      <c r="S4070" s="19"/>
      <c r="T4070" s="18"/>
      <c r="U4070" s="18"/>
      <c r="V4070" s="18"/>
      <c r="W4070" s="18"/>
      <c r="X4070" s="18"/>
      <c r="Y4070" s="18"/>
      <c r="Z4070" s="18"/>
    </row>
    <row r="4071" ht="15.75" customHeight="1">
      <c r="A4071" s="32"/>
      <c r="B4071" s="22"/>
      <c r="C4071" s="22"/>
      <c r="D4071" s="22"/>
      <c r="E4071" s="22"/>
      <c r="F4071" s="22"/>
      <c r="G4071" s="22"/>
      <c r="H4071" s="18"/>
      <c r="I4071" s="18"/>
      <c r="J4071" s="18"/>
      <c r="K4071" s="18"/>
      <c r="L4071" s="18"/>
      <c r="M4071" s="18"/>
      <c r="N4071" s="18"/>
      <c r="O4071" s="18"/>
      <c r="P4071" s="18"/>
      <c r="Q4071" s="19"/>
      <c r="R4071" s="19"/>
      <c r="S4071" s="19"/>
      <c r="T4071" s="18"/>
      <c r="U4071" s="18"/>
      <c r="V4071" s="18"/>
      <c r="W4071" s="18"/>
      <c r="X4071" s="18"/>
      <c r="Y4071" s="18"/>
      <c r="Z4071" s="18"/>
    </row>
    <row r="4072" ht="15.75" customHeight="1">
      <c r="A4072" s="32"/>
      <c r="B4072" s="22"/>
      <c r="C4072" s="22"/>
      <c r="D4072" s="22"/>
      <c r="E4072" s="22"/>
      <c r="F4072" s="22"/>
      <c r="G4072" s="22"/>
      <c r="H4072" s="18"/>
      <c r="I4072" s="18"/>
      <c r="J4072" s="18"/>
      <c r="K4072" s="18"/>
      <c r="L4072" s="18"/>
      <c r="M4072" s="18"/>
      <c r="N4072" s="18"/>
      <c r="O4072" s="18"/>
      <c r="P4072" s="18"/>
      <c r="Q4072" s="19"/>
      <c r="R4072" s="19"/>
      <c r="S4072" s="19"/>
      <c r="T4072" s="18"/>
      <c r="U4072" s="18"/>
      <c r="V4072" s="18"/>
      <c r="W4072" s="18"/>
      <c r="X4072" s="18"/>
      <c r="Y4072" s="18"/>
      <c r="Z4072" s="18"/>
    </row>
    <row r="4073" ht="15.75" customHeight="1">
      <c r="A4073" s="32"/>
      <c r="B4073" s="22"/>
      <c r="C4073" s="22"/>
      <c r="D4073" s="22"/>
      <c r="E4073" s="22"/>
      <c r="F4073" s="22"/>
      <c r="G4073" s="22"/>
      <c r="H4073" s="18"/>
      <c r="I4073" s="18"/>
      <c r="J4073" s="18"/>
      <c r="K4073" s="18"/>
      <c r="L4073" s="18"/>
      <c r="M4073" s="18"/>
      <c r="N4073" s="18"/>
      <c r="O4073" s="18"/>
      <c r="P4073" s="18"/>
      <c r="Q4073" s="19"/>
      <c r="R4073" s="19"/>
      <c r="S4073" s="19"/>
      <c r="T4073" s="18"/>
      <c r="U4073" s="18"/>
      <c r="V4073" s="18"/>
      <c r="W4073" s="18"/>
      <c r="X4073" s="18"/>
      <c r="Y4073" s="18"/>
      <c r="Z4073" s="18"/>
    </row>
    <row r="4074" ht="15.75" customHeight="1">
      <c r="A4074" s="32"/>
      <c r="B4074" s="22"/>
      <c r="C4074" s="22"/>
      <c r="D4074" s="22"/>
      <c r="E4074" s="22"/>
      <c r="F4074" s="22"/>
      <c r="G4074" s="22"/>
      <c r="H4074" s="18"/>
      <c r="I4074" s="18"/>
      <c r="J4074" s="18"/>
      <c r="K4074" s="18"/>
      <c r="L4074" s="18"/>
      <c r="M4074" s="18"/>
      <c r="N4074" s="18"/>
      <c r="O4074" s="18"/>
      <c r="P4074" s="18"/>
      <c r="Q4074" s="19"/>
      <c r="R4074" s="19"/>
      <c r="S4074" s="19"/>
      <c r="T4074" s="18"/>
      <c r="U4074" s="18"/>
      <c r="V4074" s="18"/>
      <c r="W4074" s="18"/>
      <c r="X4074" s="18"/>
      <c r="Y4074" s="18"/>
      <c r="Z4074" s="18"/>
    </row>
    <row r="4075" ht="15.75" customHeight="1">
      <c r="A4075" s="32"/>
      <c r="B4075" s="22"/>
      <c r="C4075" s="22"/>
      <c r="D4075" s="22"/>
      <c r="E4075" s="22"/>
      <c r="F4075" s="22"/>
      <c r="G4075" s="22"/>
      <c r="H4075" s="18"/>
      <c r="I4075" s="18"/>
      <c r="J4075" s="18"/>
      <c r="K4075" s="18"/>
      <c r="L4075" s="18"/>
      <c r="M4075" s="18"/>
      <c r="N4075" s="18"/>
      <c r="O4075" s="18"/>
      <c r="P4075" s="18"/>
      <c r="Q4075" s="19"/>
      <c r="R4075" s="19"/>
      <c r="S4075" s="19"/>
      <c r="T4075" s="18"/>
      <c r="U4075" s="18"/>
      <c r="V4075" s="18"/>
      <c r="W4075" s="18"/>
      <c r="X4075" s="18"/>
      <c r="Y4075" s="18"/>
      <c r="Z4075" s="18"/>
    </row>
    <row r="4076" ht="15.75" customHeight="1">
      <c r="A4076" s="32"/>
      <c r="B4076" s="22"/>
      <c r="C4076" s="22"/>
      <c r="D4076" s="22"/>
      <c r="E4076" s="22"/>
      <c r="F4076" s="22"/>
      <c r="G4076" s="22"/>
      <c r="H4076" s="18"/>
      <c r="I4076" s="18"/>
      <c r="J4076" s="18"/>
      <c r="K4076" s="18"/>
      <c r="L4076" s="18"/>
      <c r="M4076" s="18"/>
      <c r="N4076" s="18"/>
      <c r="O4076" s="18"/>
      <c r="P4076" s="18"/>
      <c r="Q4076" s="19"/>
      <c r="R4076" s="19"/>
      <c r="S4076" s="19"/>
      <c r="T4076" s="18"/>
      <c r="U4076" s="18"/>
      <c r="V4076" s="18"/>
      <c r="W4076" s="18"/>
      <c r="X4076" s="18"/>
      <c r="Y4076" s="18"/>
      <c r="Z4076" s="18"/>
    </row>
    <row r="4077" ht="15.75" customHeight="1">
      <c r="A4077" s="32"/>
      <c r="B4077" s="22"/>
      <c r="C4077" s="22"/>
      <c r="D4077" s="22"/>
      <c r="E4077" s="22"/>
      <c r="F4077" s="22"/>
      <c r="G4077" s="22"/>
      <c r="H4077" s="18"/>
      <c r="I4077" s="18"/>
      <c r="J4077" s="18"/>
      <c r="K4077" s="18"/>
      <c r="L4077" s="18"/>
      <c r="M4077" s="18"/>
      <c r="N4077" s="18"/>
      <c r="O4077" s="18"/>
      <c r="P4077" s="18"/>
      <c r="Q4077" s="19"/>
      <c r="R4077" s="19"/>
      <c r="S4077" s="19"/>
      <c r="T4077" s="18"/>
      <c r="U4077" s="18"/>
      <c r="V4077" s="18"/>
      <c r="W4077" s="18"/>
      <c r="X4077" s="18"/>
      <c r="Y4077" s="18"/>
      <c r="Z4077" s="18"/>
    </row>
    <row r="4078" ht="15.75" customHeight="1">
      <c r="A4078" s="32"/>
      <c r="B4078" s="22"/>
      <c r="C4078" s="22"/>
      <c r="D4078" s="22"/>
      <c r="E4078" s="22"/>
      <c r="F4078" s="22"/>
      <c r="G4078" s="22"/>
      <c r="H4078" s="18"/>
      <c r="I4078" s="18"/>
      <c r="J4078" s="18"/>
      <c r="K4078" s="18"/>
      <c r="L4078" s="18"/>
      <c r="M4078" s="18"/>
      <c r="N4078" s="18"/>
      <c r="O4078" s="18"/>
      <c r="P4078" s="18"/>
      <c r="Q4078" s="19"/>
      <c r="R4078" s="19"/>
      <c r="S4078" s="19"/>
      <c r="T4078" s="18"/>
      <c r="U4078" s="18"/>
      <c r="V4078" s="18"/>
      <c r="W4078" s="18"/>
      <c r="X4078" s="18"/>
      <c r="Y4078" s="18"/>
      <c r="Z4078" s="18"/>
    </row>
    <row r="4079" ht="15.75" customHeight="1">
      <c r="A4079" s="32"/>
      <c r="B4079" s="22"/>
      <c r="C4079" s="22"/>
      <c r="D4079" s="22"/>
      <c r="E4079" s="22"/>
      <c r="F4079" s="22"/>
      <c r="G4079" s="22"/>
      <c r="H4079" s="18"/>
      <c r="I4079" s="18"/>
      <c r="J4079" s="18"/>
      <c r="K4079" s="18"/>
      <c r="L4079" s="18"/>
      <c r="M4079" s="18"/>
      <c r="N4079" s="18"/>
      <c r="O4079" s="18"/>
      <c r="P4079" s="18"/>
      <c r="Q4079" s="19"/>
      <c r="R4079" s="19"/>
      <c r="S4079" s="19"/>
      <c r="T4079" s="18"/>
      <c r="U4079" s="18"/>
      <c r="V4079" s="18"/>
      <c r="W4079" s="18"/>
      <c r="X4079" s="18"/>
      <c r="Y4079" s="18"/>
      <c r="Z4079" s="18"/>
    </row>
    <row r="4080" ht="15.75" customHeight="1">
      <c r="A4080" s="32"/>
      <c r="B4080" s="22"/>
      <c r="C4080" s="22"/>
      <c r="D4080" s="22"/>
      <c r="E4080" s="22"/>
      <c r="F4080" s="22"/>
      <c r="G4080" s="22"/>
      <c r="H4080" s="18"/>
      <c r="I4080" s="18"/>
      <c r="J4080" s="18"/>
      <c r="K4080" s="18"/>
      <c r="L4080" s="18"/>
      <c r="M4080" s="18"/>
      <c r="N4080" s="18"/>
      <c r="O4080" s="18"/>
      <c r="P4080" s="18"/>
      <c r="Q4080" s="19"/>
      <c r="R4080" s="19"/>
      <c r="S4080" s="19"/>
      <c r="T4080" s="18"/>
      <c r="U4080" s="18"/>
      <c r="V4080" s="18"/>
      <c r="W4080" s="18"/>
      <c r="X4080" s="18"/>
      <c r="Y4080" s="18"/>
      <c r="Z4080" s="18"/>
    </row>
    <row r="4081" ht="15.75" customHeight="1">
      <c r="A4081" s="32"/>
      <c r="B4081" s="22"/>
      <c r="C4081" s="22"/>
      <c r="D4081" s="22"/>
      <c r="E4081" s="22"/>
      <c r="F4081" s="22"/>
      <c r="G4081" s="22"/>
      <c r="H4081" s="18"/>
      <c r="I4081" s="18"/>
      <c r="J4081" s="18"/>
      <c r="K4081" s="18"/>
      <c r="L4081" s="18"/>
      <c r="M4081" s="18"/>
      <c r="N4081" s="18"/>
      <c r="O4081" s="18"/>
      <c r="P4081" s="18"/>
      <c r="Q4081" s="19"/>
      <c r="R4081" s="19"/>
      <c r="S4081" s="19"/>
      <c r="T4081" s="18"/>
      <c r="U4081" s="18"/>
      <c r="V4081" s="18"/>
      <c r="W4081" s="18"/>
      <c r="X4081" s="18"/>
      <c r="Y4081" s="18"/>
      <c r="Z4081" s="18"/>
    </row>
    <row r="4082" ht="15.75" customHeight="1">
      <c r="A4082" s="32"/>
      <c r="B4082" s="22"/>
      <c r="C4082" s="22"/>
      <c r="D4082" s="22"/>
      <c r="E4082" s="22"/>
      <c r="F4082" s="22"/>
      <c r="G4082" s="22"/>
      <c r="H4082" s="18"/>
      <c r="I4082" s="18"/>
      <c r="J4082" s="18"/>
      <c r="K4082" s="18"/>
      <c r="L4082" s="18"/>
      <c r="M4082" s="18"/>
      <c r="N4082" s="18"/>
      <c r="O4082" s="18"/>
      <c r="P4082" s="18"/>
      <c r="Q4082" s="19"/>
      <c r="R4082" s="19"/>
      <c r="S4082" s="19"/>
      <c r="T4082" s="18"/>
      <c r="U4082" s="18"/>
      <c r="V4082" s="18"/>
      <c r="W4082" s="18"/>
      <c r="X4082" s="18"/>
      <c r="Y4082" s="18"/>
      <c r="Z4082" s="18"/>
    </row>
    <row r="4083" ht="15.75" customHeight="1">
      <c r="A4083" s="32"/>
      <c r="B4083" s="22"/>
      <c r="C4083" s="22"/>
      <c r="D4083" s="22"/>
      <c r="E4083" s="22"/>
      <c r="F4083" s="22"/>
      <c r="G4083" s="22"/>
      <c r="H4083" s="18"/>
      <c r="I4083" s="18"/>
      <c r="J4083" s="18"/>
      <c r="K4083" s="18"/>
      <c r="L4083" s="18"/>
      <c r="M4083" s="18"/>
      <c r="N4083" s="18"/>
      <c r="O4083" s="18"/>
      <c r="P4083" s="18"/>
      <c r="Q4083" s="19"/>
      <c r="R4083" s="19"/>
      <c r="S4083" s="19"/>
      <c r="T4083" s="18"/>
      <c r="U4083" s="18"/>
      <c r="V4083" s="18"/>
      <c r="W4083" s="18"/>
      <c r="X4083" s="18"/>
      <c r="Y4083" s="18"/>
      <c r="Z4083" s="18"/>
    </row>
    <row r="4084" ht="15.75" customHeight="1">
      <c r="A4084" s="32"/>
      <c r="B4084" s="22"/>
      <c r="C4084" s="22"/>
      <c r="D4084" s="22"/>
      <c r="E4084" s="22"/>
      <c r="F4084" s="22"/>
      <c r="G4084" s="22"/>
      <c r="H4084" s="18"/>
      <c r="I4084" s="18"/>
      <c r="J4084" s="18"/>
      <c r="K4084" s="18"/>
      <c r="L4084" s="18"/>
      <c r="M4084" s="18"/>
      <c r="N4084" s="18"/>
      <c r="O4084" s="18"/>
      <c r="P4084" s="18"/>
      <c r="Q4084" s="19"/>
      <c r="R4084" s="19"/>
      <c r="S4084" s="19"/>
      <c r="T4084" s="18"/>
      <c r="U4084" s="18"/>
      <c r="V4084" s="18"/>
      <c r="W4084" s="18"/>
      <c r="X4084" s="18"/>
      <c r="Y4084" s="18"/>
      <c r="Z4084" s="18"/>
    </row>
    <row r="4085" ht="15.75" customHeight="1">
      <c r="A4085" s="32"/>
      <c r="B4085" s="22"/>
      <c r="C4085" s="22"/>
      <c r="D4085" s="22"/>
      <c r="E4085" s="22"/>
      <c r="F4085" s="22"/>
      <c r="G4085" s="22"/>
      <c r="H4085" s="18"/>
      <c r="I4085" s="18"/>
      <c r="J4085" s="18"/>
      <c r="K4085" s="18"/>
      <c r="L4085" s="18"/>
      <c r="M4085" s="18"/>
      <c r="N4085" s="18"/>
      <c r="O4085" s="18"/>
      <c r="P4085" s="18"/>
      <c r="Q4085" s="19"/>
      <c r="R4085" s="19"/>
      <c r="S4085" s="19"/>
      <c r="T4085" s="18"/>
      <c r="U4085" s="18"/>
      <c r="V4085" s="18"/>
      <c r="W4085" s="18"/>
      <c r="X4085" s="18"/>
      <c r="Y4085" s="18"/>
      <c r="Z4085" s="18"/>
    </row>
    <row r="4086" ht="15.75" customHeight="1">
      <c r="A4086" s="32"/>
      <c r="B4086" s="22"/>
      <c r="C4086" s="22"/>
      <c r="D4086" s="22"/>
      <c r="E4086" s="22"/>
      <c r="F4086" s="22"/>
      <c r="G4086" s="22"/>
      <c r="H4086" s="18"/>
      <c r="I4086" s="18"/>
      <c r="J4086" s="18"/>
      <c r="K4086" s="18"/>
      <c r="L4086" s="18"/>
      <c r="M4086" s="18"/>
      <c r="N4086" s="18"/>
      <c r="O4086" s="18"/>
      <c r="P4086" s="18"/>
      <c r="Q4086" s="19"/>
      <c r="R4086" s="19"/>
      <c r="S4086" s="19"/>
      <c r="T4086" s="18"/>
      <c r="U4086" s="18"/>
      <c r="V4086" s="18"/>
      <c r="W4086" s="18"/>
      <c r="X4086" s="18"/>
      <c r="Y4086" s="18"/>
      <c r="Z4086" s="18"/>
    </row>
    <row r="4087" ht="15.75" customHeight="1">
      <c r="A4087" s="32"/>
      <c r="B4087" s="22"/>
      <c r="C4087" s="22"/>
      <c r="D4087" s="22"/>
      <c r="E4087" s="22"/>
      <c r="F4087" s="22"/>
      <c r="G4087" s="22"/>
      <c r="H4087" s="18"/>
      <c r="I4087" s="18"/>
      <c r="J4087" s="18"/>
      <c r="K4087" s="18"/>
      <c r="L4087" s="18"/>
      <c r="M4087" s="18"/>
      <c r="N4087" s="18"/>
      <c r="O4087" s="18"/>
      <c r="P4087" s="18"/>
      <c r="Q4087" s="19"/>
      <c r="R4087" s="19"/>
      <c r="S4087" s="19"/>
      <c r="T4087" s="18"/>
      <c r="U4087" s="18"/>
      <c r="V4087" s="18"/>
      <c r="W4087" s="18"/>
      <c r="X4087" s="18"/>
      <c r="Y4087" s="18"/>
      <c r="Z4087" s="18"/>
    </row>
    <row r="4088" ht="15.75" customHeight="1">
      <c r="A4088" s="32"/>
      <c r="B4088" s="22"/>
      <c r="C4088" s="22"/>
      <c r="D4088" s="22"/>
      <c r="E4088" s="22"/>
      <c r="F4088" s="22"/>
      <c r="G4088" s="22"/>
      <c r="H4088" s="18"/>
      <c r="I4088" s="18"/>
      <c r="J4088" s="18"/>
      <c r="K4088" s="18"/>
      <c r="L4088" s="18"/>
      <c r="M4088" s="18"/>
      <c r="N4088" s="18"/>
      <c r="O4088" s="18"/>
      <c r="P4088" s="18"/>
      <c r="Q4088" s="19"/>
      <c r="R4088" s="19"/>
      <c r="S4088" s="19"/>
      <c r="T4088" s="18"/>
      <c r="U4088" s="18"/>
      <c r="V4088" s="18"/>
      <c r="W4088" s="18"/>
      <c r="X4088" s="18"/>
      <c r="Y4088" s="18"/>
      <c r="Z4088" s="18"/>
    </row>
    <row r="4089" ht="15.75" customHeight="1">
      <c r="A4089" s="32"/>
      <c r="B4089" s="22"/>
      <c r="C4089" s="22"/>
      <c r="D4089" s="22"/>
      <c r="E4089" s="22"/>
      <c r="F4089" s="22"/>
      <c r="G4089" s="22"/>
      <c r="H4089" s="18"/>
      <c r="I4089" s="18"/>
      <c r="J4089" s="18"/>
      <c r="K4089" s="18"/>
      <c r="L4089" s="18"/>
      <c r="M4089" s="18"/>
      <c r="N4089" s="18"/>
      <c r="O4089" s="18"/>
      <c r="P4089" s="18"/>
      <c r="Q4089" s="19"/>
      <c r="R4089" s="19"/>
      <c r="S4089" s="19"/>
      <c r="T4089" s="18"/>
      <c r="U4089" s="18"/>
      <c r="V4089" s="18"/>
      <c r="W4089" s="18"/>
      <c r="X4089" s="18"/>
      <c r="Y4089" s="18"/>
      <c r="Z4089" s="18"/>
    </row>
    <row r="4090" ht="15.75" customHeight="1">
      <c r="A4090" s="32"/>
      <c r="B4090" s="22"/>
      <c r="C4090" s="22"/>
      <c r="D4090" s="22"/>
      <c r="E4090" s="22"/>
      <c r="F4090" s="22"/>
      <c r="G4090" s="22"/>
      <c r="H4090" s="18"/>
      <c r="I4090" s="18"/>
      <c r="J4090" s="18"/>
      <c r="K4090" s="18"/>
      <c r="L4090" s="18"/>
      <c r="M4090" s="18"/>
      <c r="N4090" s="18"/>
      <c r="O4090" s="18"/>
      <c r="P4090" s="18"/>
      <c r="Q4090" s="19"/>
      <c r="R4090" s="19"/>
      <c r="S4090" s="19"/>
      <c r="T4090" s="18"/>
      <c r="U4090" s="18"/>
      <c r="V4090" s="18"/>
      <c r="W4090" s="18"/>
      <c r="X4090" s="18"/>
      <c r="Y4090" s="18"/>
      <c r="Z4090" s="18"/>
    </row>
    <row r="4091" ht="15.75" customHeight="1">
      <c r="A4091" s="32"/>
      <c r="B4091" s="22"/>
      <c r="C4091" s="22"/>
      <c r="D4091" s="22"/>
      <c r="E4091" s="22"/>
      <c r="F4091" s="22"/>
      <c r="G4091" s="22"/>
      <c r="H4091" s="18"/>
      <c r="I4091" s="18"/>
      <c r="J4091" s="18"/>
      <c r="K4091" s="18"/>
      <c r="L4091" s="18"/>
      <c r="M4091" s="18"/>
      <c r="N4091" s="18"/>
      <c r="O4091" s="18"/>
      <c r="P4091" s="18"/>
      <c r="Q4091" s="19"/>
      <c r="R4091" s="19"/>
      <c r="S4091" s="19"/>
      <c r="T4091" s="18"/>
      <c r="U4091" s="18"/>
      <c r="V4091" s="18"/>
      <c r="W4091" s="18"/>
      <c r="X4091" s="18"/>
      <c r="Y4091" s="18"/>
      <c r="Z4091" s="18"/>
    </row>
    <row r="4092" ht="15.75" customHeight="1">
      <c r="A4092" s="32"/>
      <c r="B4092" s="22"/>
      <c r="C4092" s="22"/>
      <c r="D4092" s="22"/>
      <c r="E4092" s="22"/>
      <c r="F4092" s="22"/>
      <c r="G4092" s="22"/>
      <c r="H4092" s="18"/>
      <c r="I4092" s="18"/>
      <c r="J4092" s="18"/>
      <c r="K4092" s="18"/>
      <c r="L4092" s="18"/>
      <c r="M4092" s="18"/>
      <c r="N4092" s="18"/>
      <c r="O4092" s="18"/>
      <c r="P4092" s="18"/>
      <c r="Q4092" s="19"/>
      <c r="R4092" s="19"/>
      <c r="S4092" s="19"/>
      <c r="T4092" s="18"/>
      <c r="U4092" s="18"/>
      <c r="V4092" s="18"/>
      <c r="W4092" s="18"/>
      <c r="X4092" s="18"/>
      <c r="Y4092" s="18"/>
      <c r="Z4092" s="18"/>
    </row>
    <row r="4093" ht="15.75" customHeight="1">
      <c r="A4093" s="32"/>
      <c r="B4093" s="22"/>
      <c r="C4093" s="22"/>
      <c r="D4093" s="22"/>
      <c r="E4093" s="22"/>
      <c r="F4093" s="22"/>
      <c r="G4093" s="22"/>
      <c r="H4093" s="18"/>
      <c r="I4093" s="18"/>
      <c r="J4093" s="18"/>
      <c r="K4093" s="18"/>
      <c r="L4093" s="18"/>
      <c r="M4093" s="18"/>
      <c r="N4093" s="18"/>
      <c r="O4093" s="18"/>
      <c r="P4093" s="18"/>
      <c r="Q4093" s="19"/>
      <c r="R4093" s="19"/>
      <c r="S4093" s="19"/>
      <c r="T4093" s="18"/>
      <c r="U4093" s="18"/>
      <c r="V4093" s="18"/>
      <c r="W4093" s="18"/>
      <c r="X4093" s="18"/>
      <c r="Y4093" s="18"/>
      <c r="Z4093" s="18"/>
    </row>
    <row r="4094" ht="15.75" customHeight="1">
      <c r="A4094" s="32"/>
      <c r="B4094" s="22"/>
      <c r="C4094" s="22"/>
      <c r="D4094" s="22"/>
      <c r="E4094" s="22"/>
      <c r="F4094" s="22"/>
      <c r="G4094" s="22"/>
      <c r="H4094" s="18"/>
      <c r="I4094" s="18"/>
      <c r="J4094" s="18"/>
      <c r="K4094" s="18"/>
      <c r="L4094" s="18"/>
      <c r="M4094" s="18"/>
      <c r="N4094" s="18"/>
      <c r="O4094" s="18"/>
      <c r="P4094" s="18"/>
      <c r="Q4094" s="19"/>
      <c r="R4094" s="19"/>
      <c r="S4094" s="19"/>
      <c r="T4094" s="18"/>
      <c r="U4094" s="18"/>
      <c r="V4094" s="18"/>
      <c r="W4094" s="18"/>
      <c r="X4094" s="18"/>
      <c r="Y4094" s="18"/>
      <c r="Z4094" s="18"/>
    </row>
    <row r="4095" ht="15.75" customHeight="1">
      <c r="A4095" s="32"/>
      <c r="B4095" s="22"/>
      <c r="C4095" s="22"/>
      <c r="D4095" s="22"/>
      <c r="E4095" s="22"/>
      <c r="F4095" s="22"/>
      <c r="G4095" s="22"/>
      <c r="H4095" s="18"/>
      <c r="I4095" s="18"/>
      <c r="J4095" s="18"/>
      <c r="K4095" s="18"/>
      <c r="L4095" s="18"/>
      <c r="M4095" s="18"/>
      <c r="N4095" s="18"/>
      <c r="O4095" s="18"/>
      <c r="P4095" s="18"/>
      <c r="Q4095" s="19"/>
      <c r="R4095" s="19"/>
      <c r="S4095" s="19"/>
      <c r="T4095" s="18"/>
      <c r="U4095" s="18"/>
      <c r="V4095" s="18"/>
      <c r="W4095" s="18"/>
      <c r="X4095" s="18"/>
      <c r="Y4095" s="18"/>
      <c r="Z4095" s="18"/>
    </row>
    <row r="4096" ht="15.75" customHeight="1">
      <c r="A4096" s="32"/>
      <c r="B4096" s="22"/>
      <c r="C4096" s="22"/>
      <c r="D4096" s="22"/>
      <c r="E4096" s="22"/>
      <c r="F4096" s="22"/>
      <c r="G4096" s="22"/>
      <c r="H4096" s="18"/>
      <c r="I4096" s="18"/>
      <c r="J4096" s="18"/>
      <c r="K4096" s="18"/>
      <c r="L4096" s="18"/>
      <c r="M4096" s="18"/>
      <c r="N4096" s="18"/>
      <c r="O4096" s="18"/>
      <c r="P4096" s="18"/>
      <c r="Q4096" s="19"/>
      <c r="R4096" s="19"/>
      <c r="S4096" s="19"/>
      <c r="T4096" s="18"/>
      <c r="U4096" s="18"/>
      <c r="V4096" s="18"/>
      <c r="W4096" s="18"/>
      <c r="X4096" s="18"/>
      <c r="Y4096" s="18"/>
      <c r="Z4096" s="18"/>
    </row>
    <row r="4097" ht="15.75" customHeight="1">
      <c r="A4097" s="32"/>
      <c r="B4097" s="22"/>
      <c r="C4097" s="22"/>
      <c r="D4097" s="22"/>
      <c r="E4097" s="22"/>
      <c r="F4097" s="22"/>
      <c r="G4097" s="22"/>
      <c r="H4097" s="18"/>
      <c r="I4097" s="18"/>
      <c r="J4097" s="18"/>
      <c r="K4097" s="18"/>
      <c r="L4097" s="18"/>
      <c r="M4097" s="18"/>
      <c r="N4097" s="18"/>
      <c r="O4097" s="18"/>
      <c r="P4097" s="18"/>
      <c r="Q4097" s="19"/>
      <c r="R4097" s="19"/>
      <c r="S4097" s="19"/>
      <c r="T4097" s="18"/>
      <c r="U4097" s="18"/>
      <c r="V4097" s="18"/>
      <c r="W4097" s="18"/>
      <c r="X4097" s="18"/>
      <c r="Y4097" s="18"/>
      <c r="Z4097" s="18"/>
    </row>
    <row r="4098" ht="15.75" customHeight="1">
      <c r="A4098" s="32"/>
      <c r="B4098" s="22"/>
      <c r="C4098" s="22"/>
      <c r="D4098" s="22"/>
      <c r="E4098" s="22"/>
      <c r="F4098" s="22"/>
      <c r="G4098" s="22"/>
      <c r="H4098" s="18"/>
      <c r="I4098" s="18"/>
      <c r="J4098" s="18"/>
      <c r="K4098" s="18"/>
      <c r="L4098" s="18"/>
      <c r="M4098" s="18"/>
      <c r="N4098" s="18"/>
      <c r="O4098" s="18"/>
      <c r="P4098" s="18"/>
      <c r="Q4098" s="19"/>
      <c r="R4098" s="19"/>
      <c r="S4098" s="19"/>
      <c r="T4098" s="18"/>
      <c r="U4098" s="18"/>
      <c r="V4098" s="18"/>
      <c r="W4098" s="18"/>
      <c r="X4098" s="18"/>
      <c r="Y4098" s="18"/>
      <c r="Z4098" s="18"/>
    </row>
    <row r="4099" ht="15.75" customHeight="1">
      <c r="A4099" s="32"/>
      <c r="B4099" s="22"/>
      <c r="C4099" s="22"/>
      <c r="D4099" s="22"/>
      <c r="E4099" s="22"/>
      <c r="F4099" s="22"/>
      <c r="G4099" s="22"/>
      <c r="H4099" s="18"/>
      <c r="I4099" s="18"/>
      <c r="J4099" s="18"/>
      <c r="K4099" s="18"/>
      <c r="L4099" s="18"/>
      <c r="M4099" s="18"/>
      <c r="N4099" s="18"/>
      <c r="O4099" s="18"/>
      <c r="P4099" s="18"/>
      <c r="Q4099" s="19"/>
      <c r="R4099" s="19"/>
      <c r="S4099" s="19"/>
      <c r="T4099" s="18"/>
      <c r="U4099" s="18"/>
      <c r="V4099" s="18"/>
      <c r="W4099" s="18"/>
      <c r="X4099" s="18"/>
      <c r="Y4099" s="18"/>
      <c r="Z4099" s="18"/>
    </row>
    <row r="4100" ht="15.75" customHeight="1">
      <c r="A4100" s="32"/>
      <c r="B4100" s="22"/>
      <c r="C4100" s="22"/>
      <c r="D4100" s="22"/>
      <c r="E4100" s="22"/>
      <c r="F4100" s="22"/>
      <c r="G4100" s="22"/>
      <c r="H4100" s="18"/>
      <c r="I4100" s="18"/>
      <c r="J4100" s="18"/>
      <c r="K4100" s="18"/>
      <c r="L4100" s="18"/>
      <c r="M4100" s="18"/>
      <c r="N4100" s="18"/>
      <c r="O4100" s="18"/>
      <c r="P4100" s="18"/>
      <c r="Q4100" s="19"/>
      <c r="R4100" s="19"/>
      <c r="S4100" s="19"/>
      <c r="T4100" s="18"/>
      <c r="U4100" s="18"/>
      <c r="V4100" s="18"/>
      <c r="W4100" s="18"/>
      <c r="X4100" s="18"/>
      <c r="Y4100" s="18"/>
      <c r="Z4100" s="18"/>
    </row>
    <row r="4101" ht="15.75" customHeight="1">
      <c r="A4101" s="32"/>
      <c r="B4101" s="22"/>
      <c r="C4101" s="22"/>
      <c r="D4101" s="22"/>
      <c r="E4101" s="22"/>
      <c r="F4101" s="22"/>
      <c r="G4101" s="22"/>
      <c r="H4101" s="18"/>
      <c r="I4101" s="18"/>
      <c r="J4101" s="18"/>
      <c r="K4101" s="18"/>
      <c r="L4101" s="18"/>
      <c r="M4101" s="18"/>
      <c r="N4101" s="18"/>
      <c r="O4101" s="18"/>
      <c r="P4101" s="18"/>
      <c r="Q4101" s="19"/>
      <c r="R4101" s="19"/>
      <c r="S4101" s="19"/>
      <c r="T4101" s="18"/>
      <c r="U4101" s="18"/>
      <c r="V4101" s="18"/>
      <c r="W4101" s="18"/>
      <c r="X4101" s="18"/>
      <c r="Y4101" s="18"/>
      <c r="Z4101" s="18"/>
    </row>
    <row r="4102" ht="15.75" customHeight="1">
      <c r="A4102" s="32"/>
      <c r="B4102" s="22"/>
      <c r="C4102" s="22"/>
      <c r="D4102" s="22"/>
      <c r="E4102" s="22"/>
      <c r="F4102" s="22"/>
      <c r="G4102" s="22"/>
      <c r="H4102" s="18"/>
      <c r="I4102" s="18"/>
      <c r="J4102" s="18"/>
      <c r="K4102" s="18"/>
      <c r="L4102" s="18"/>
      <c r="M4102" s="18"/>
      <c r="N4102" s="18"/>
      <c r="O4102" s="18"/>
      <c r="P4102" s="18"/>
      <c r="Q4102" s="19"/>
      <c r="R4102" s="19"/>
      <c r="S4102" s="19"/>
      <c r="T4102" s="18"/>
      <c r="U4102" s="18"/>
      <c r="V4102" s="18"/>
      <c r="W4102" s="18"/>
      <c r="X4102" s="18"/>
      <c r="Y4102" s="18"/>
      <c r="Z4102" s="18"/>
    </row>
    <row r="4103" ht="15.75" customHeight="1">
      <c r="A4103" s="32"/>
      <c r="B4103" s="22"/>
      <c r="C4103" s="22"/>
      <c r="D4103" s="22"/>
      <c r="E4103" s="22"/>
      <c r="F4103" s="22"/>
      <c r="G4103" s="22"/>
      <c r="H4103" s="18"/>
      <c r="I4103" s="18"/>
      <c r="J4103" s="18"/>
      <c r="K4103" s="18"/>
      <c r="L4103" s="18"/>
      <c r="M4103" s="18"/>
      <c r="N4103" s="18"/>
      <c r="O4103" s="18"/>
      <c r="P4103" s="18"/>
      <c r="Q4103" s="19"/>
      <c r="R4103" s="19"/>
      <c r="S4103" s="19"/>
      <c r="T4103" s="18"/>
      <c r="U4103" s="18"/>
      <c r="V4103" s="18"/>
      <c r="W4103" s="18"/>
      <c r="X4103" s="18"/>
      <c r="Y4103" s="18"/>
      <c r="Z4103" s="18"/>
    </row>
    <row r="4104" ht="15.75" customHeight="1">
      <c r="A4104" s="32"/>
      <c r="B4104" s="22"/>
      <c r="C4104" s="22"/>
      <c r="D4104" s="22"/>
      <c r="E4104" s="22"/>
      <c r="F4104" s="22"/>
      <c r="G4104" s="22"/>
      <c r="H4104" s="18"/>
      <c r="I4104" s="18"/>
      <c r="J4104" s="18"/>
      <c r="K4104" s="18"/>
      <c r="L4104" s="18"/>
      <c r="M4104" s="18"/>
      <c r="N4104" s="18"/>
      <c r="O4104" s="18"/>
      <c r="P4104" s="18"/>
      <c r="Q4104" s="19"/>
      <c r="R4104" s="19"/>
      <c r="S4104" s="19"/>
      <c r="T4104" s="18"/>
      <c r="U4104" s="18"/>
      <c r="V4104" s="18"/>
      <c r="W4104" s="18"/>
      <c r="X4104" s="18"/>
      <c r="Y4104" s="18"/>
      <c r="Z4104" s="18"/>
    </row>
    <row r="4105" ht="15.75" customHeight="1">
      <c r="A4105" s="32"/>
      <c r="B4105" s="22"/>
      <c r="C4105" s="22"/>
      <c r="D4105" s="22"/>
      <c r="E4105" s="22"/>
      <c r="F4105" s="22"/>
      <c r="G4105" s="22"/>
      <c r="H4105" s="18"/>
      <c r="I4105" s="18"/>
      <c r="J4105" s="18"/>
      <c r="K4105" s="18"/>
      <c r="L4105" s="18"/>
      <c r="M4105" s="18"/>
      <c r="N4105" s="18"/>
      <c r="O4105" s="18"/>
      <c r="P4105" s="18"/>
      <c r="Q4105" s="19"/>
      <c r="R4105" s="19"/>
      <c r="S4105" s="19"/>
      <c r="T4105" s="18"/>
      <c r="U4105" s="18"/>
      <c r="V4105" s="18"/>
      <c r="W4105" s="18"/>
      <c r="X4105" s="18"/>
      <c r="Y4105" s="18"/>
      <c r="Z4105" s="18"/>
    </row>
    <row r="4106" ht="15.75" customHeight="1">
      <c r="A4106" s="32"/>
      <c r="B4106" s="22"/>
      <c r="C4106" s="22"/>
      <c r="D4106" s="22"/>
      <c r="E4106" s="22"/>
      <c r="F4106" s="22"/>
      <c r="G4106" s="22"/>
      <c r="H4106" s="18"/>
      <c r="I4106" s="18"/>
      <c r="J4106" s="18"/>
      <c r="K4106" s="18"/>
      <c r="L4106" s="18"/>
      <c r="M4106" s="18"/>
      <c r="N4106" s="18"/>
      <c r="O4106" s="18"/>
      <c r="P4106" s="18"/>
      <c r="Q4106" s="19"/>
      <c r="R4106" s="19"/>
      <c r="S4106" s="19"/>
      <c r="T4106" s="18"/>
      <c r="U4106" s="18"/>
      <c r="V4106" s="18"/>
      <c r="W4106" s="18"/>
      <c r="X4106" s="18"/>
      <c r="Y4106" s="18"/>
      <c r="Z4106" s="18"/>
    </row>
    <row r="4107" ht="15.75" customHeight="1">
      <c r="A4107" s="32"/>
      <c r="B4107" s="22"/>
      <c r="C4107" s="22"/>
      <c r="D4107" s="22"/>
      <c r="E4107" s="22"/>
      <c r="F4107" s="22"/>
      <c r="G4107" s="22"/>
      <c r="H4107" s="18"/>
      <c r="I4107" s="18"/>
      <c r="J4107" s="18"/>
      <c r="K4107" s="18"/>
      <c r="L4107" s="18"/>
      <c r="M4107" s="18"/>
      <c r="N4107" s="18"/>
      <c r="O4107" s="18"/>
      <c r="P4107" s="18"/>
      <c r="Q4107" s="19"/>
      <c r="R4107" s="19"/>
      <c r="S4107" s="19"/>
      <c r="T4107" s="18"/>
      <c r="U4107" s="18"/>
      <c r="V4107" s="18"/>
      <c r="W4107" s="18"/>
      <c r="X4107" s="18"/>
      <c r="Y4107" s="18"/>
      <c r="Z4107" s="18"/>
    </row>
    <row r="4108" ht="15.75" customHeight="1">
      <c r="A4108" s="32"/>
      <c r="B4108" s="22"/>
      <c r="C4108" s="22"/>
      <c r="D4108" s="22"/>
      <c r="E4108" s="22"/>
      <c r="F4108" s="22"/>
      <c r="G4108" s="22"/>
      <c r="H4108" s="18"/>
      <c r="I4108" s="18"/>
      <c r="J4108" s="18"/>
      <c r="K4108" s="18"/>
      <c r="L4108" s="18"/>
      <c r="M4108" s="18"/>
      <c r="N4108" s="18"/>
      <c r="O4108" s="18"/>
      <c r="P4108" s="18"/>
      <c r="Q4108" s="19"/>
      <c r="R4108" s="19"/>
      <c r="S4108" s="19"/>
      <c r="T4108" s="18"/>
      <c r="U4108" s="18"/>
      <c r="V4108" s="18"/>
      <c r="W4108" s="18"/>
      <c r="X4108" s="18"/>
      <c r="Y4108" s="18"/>
      <c r="Z4108" s="18"/>
    </row>
    <row r="4109" ht="15.75" customHeight="1">
      <c r="A4109" s="32"/>
      <c r="B4109" s="22"/>
      <c r="C4109" s="22"/>
      <c r="D4109" s="22"/>
      <c r="E4109" s="22"/>
      <c r="F4109" s="22"/>
      <c r="G4109" s="22"/>
      <c r="H4109" s="18"/>
      <c r="I4109" s="18"/>
      <c r="J4109" s="18"/>
      <c r="K4109" s="18"/>
      <c r="L4109" s="18"/>
      <c r="M4109" s="18"/>
      <c r="N4109" s="18"/>
      <c r="O4109" s="18"/>
      <c r="P4109" s="18"/>
      <c r="Q4109" s="19"/>
      <c r="R4109" s="19"/>
      <c r="S4109" s="19"/>
      <c r="T4109" s="18"/>
      <c r="U4109" s="18"/>
      <c r="V4109" s="18"/>
      <c r="W4109" s="18"/>
      <c r="X4109" s="18"/>
      <c r="Y4109" s="18"/>
      <c r="Z4109" s="18"/>
    </row>
    <row r="4110" ht="15.75" customHeight="1">
      <c r="A4110" s="32"/>
      <c r="B4110" s="22"/>
      <c r="C4110" s="22"/>
      <c r="D4110" s="22"/>
      <c r="E4110" s="22"/>
      <c r="F4110" s="22"/>
      <c r="G4110" s="22"/>
      <c r="H4110" s="18"/>
      <c r="I4110" s="18"/>
      <c r="J4110" s="18"/>
      <c r="K4110" s="18"/>
      <c r="L4110" s="18"/>
      <c r="M4110" s="18"/>
      <c r="N4110" s="18"/>
      <c r="O4110" s="18"/>
      <c r="P4110" s="18"/>
      <c r="Q4110" s="19"/>
      <c r="R4110" s="19"/>
      <c r="S4110" s="19"/>
      <c r="T4110" s="18"/>
      <c r="U4110" s="18"/>
      <c r="V4110" s="18"/>
      <c r="W4110" s="18"/>
      <c r="X4110" s="18"/>
      <c r="Y4110" s="18"/>
      <c r="Z4110" s="18"/>
    </row>
    <row r="4111" ht="15.75" customHeight="1">
      <c r="A4111" s="32"/>
      <c r="B4111" s="22"/>
      <c r="C4111" s="22"/>
      <c r="D4111" s="22"/>
      <c r="E4111" s="22"/>
      <c r="F4111" s="22"/>
      <c r="G4111" s="22"/>
      <c r="H4111" s="18"/>
      <c r="I4111" s="18"/>
      <c r="J4111" s="18"/>
      <c r="K4111" s="18"/>
      <c r="L4111" s="18"/>
      <c r="M4111" s="18"/>
      <c r="N4111" s="18"/>
      <c r="O4111" s="18"/>
      <c r="P4111" s="18"/>
      <c r="Q4111" s="19"/>
      <c r="R4111" s="19"/>
      <c r="S4111" s="19"/>
      <c r="T4111" s="18"/>
      <c r="U4111" s="18"/>
      <c r="V4111" s="18"/>
      <c r="W4111" s="18"/>
      <c r="X4111" s="18"/>
      <c r="Y4111" s="18"/>
      <c r="Z4111" s="18"/>
    </row>
    <row r="4112" ht="15.75" customHeight="1">
      <c r="A4112" s="32"/>
      <c r="B4112" s="22"/>
      <c r="C4112" s="22"/>
      <c r="D4112" s="22"/>
      <c r="E4112" s="22"/>
      <c r="F4112" s="22"/>
      <c r="G4112" s="22"/>
      <c r="H4112" s="18"/>
      <c r="I4112" s="18"/>
      <c r="J4112" s="18"/>
      <c r="K4112" s="18"/>
      <c r="L4112" s="18"/>
      <c r="M4112" s="18"/>
      <c r="N4112" s="18"/>
      <c r="O4112" s="18"/>
      <c r="P4112" s="18"/>
      <c r="Q4112" s="19"/>
      <c r="R4112" s="19"/>
      <c r="S4112" s="19"/>
      <c r="T4112" s="18"/>
      <c r="U4112" s="18"/>
      <c r="V4112" s="18"/>
      <c r="W4112" s="18"/>
      <c r="X4112" s="18"/>
      <c r="Y4112" s="18"/>
      <c r="Z4112" s="18"/>
    </row>
    <row r="4113" ht="15.75" customHeight="1">
      <c r="A4113" s="32"/>
      <c r="B4113" s="22"/>
      <c r="C4113" s="22"/>
      <c r="D4113" s="22"/>
      <c r="E4113" s="22"/>
      <c r="F4113" s="22"/>
      <c r="G4113" s="22"/>
      <c r="H4113" s="18"/>
      <c r="I4113" s="18"/>
      <c r="J4113" s="18"/>
      <c r="K4113" s="18"/>
      <c r="L4113" s="18"/>
      <c r="M4113" s="18"/>
      <c r="N4113" s="18"/>
      <c r="O4113" s="18"/>
      <c r="P4113" s="18"/>
      <c r="Q4113" s="19"/>
      <c r="R4113" s="19"/>
      <c r="S4113" s="19"/>
      <c r="T4113" s="18"/>
      <c r="U4113" s="18"/>
      <c r="V4113" s="18"/>
      <c r="W4113" s="18"/>
      <c r="X4113" s="18"/>
      <c r="Y4113" s="18"/>
      <c r="Z4113" s="18"/>
    </row>
    <row r="4114" ht="15.75" customHeight="1">
      <c r="A4114" s="32"/>
      <c r="B4114" s="22"/>
      <c r="C4114" s="22"/>
      <c r="D4114" s="22"/>
      <c r="E4114" s="22"/>
      <c r="F4114" s="22"/>
      <c r="G4114" s="22"/>
      <c r="H4114" s="18"/>
      <c r="I4114" s="18"/>
      <c r="J4114" s="18"/>
      <c r="K4114" s="18"/>
      <c r="L4114" s="18"/>
      <c r="M4114" s="18"/>
      <c r="N4114" s="18"/>
      <c r="O4114" s="18"/>
      <c r="P4114" s="18"/>
      <c r="Q4114" s="19"/>
      <c r="R4114" s="19"/>
      <c r="S4114" s="19"/>
      <c r="T4114" s="18"/>
      <c r="U4114" s="18"/>
      <c r="V4114" s="18"/>
      <c r="W4114" s="18"/>
      <c r="X4114" s="18"/>
      <c r="Y4114" s="18"/>
      <c r="Z4114" s="18"/>
    </row>
    <row r="4115" ht="15.75" customHeight="1">
      <c r="A4115" s="32"/>
      <c r="B4115" s="22"/>
      <c r="C4115" s="22"/>
      <c r="D4115" s="22"/>
      <c r="E4115" s="22"/>
      <c r="F4115" s="22"/>
      <c r="G4115" s="22"/>
      <c r="H4115" s="18"/>
      <c r="I4115" s="18"/>
      <c r="J4115" s="18"/>
      <c r="K4115" s="18"/>
      <c r="L4115" s="18"/>
      <c r="M4115" s="18"/>
      <c r="N4115" s="18"/>
      <c r="O4115" s="18"/>
      <c r="P4115" s="18"/>
      <c r="Q4115" s="19"/>
      <c r="R4115" s="19"/>
      <c r="S4115" s="19"/>
      <c r="T4115" s="18"/>
      <c r="U4115" s="18"/>
      <c r="V4115" s="18"/>
      <c r="W4115" s="18"/>
      <c r="X4115" s="18"/>
      <c r="Y4115" s="18"/>
      <c r="Z4115" s="18"/>
    </row>
    <row r="4116" ht="15.75" customHeight="1">
      <c r="A4116" s="32"/>
      <c r="B4116" s="22"/>
      <c r="C4116" s="22"/>
      <c r="D4116" s="22"/>
      <c r="E4116" s="22"/>
      <c r="F4116" s="22"/>
      <c r="G4116" s="22"/>
      <c r="H4116" s="18"/>
      <c r="I4116" s="18"/>
      <c r="J4116" s="18"/>
      <c r="K4116" s="18"/>
      <c r="L4116" s="18"/>
      <c r="M4116" s="18"/>
      <c r="N4116" s="18"/>
      <c r="O4116" s="18"/>
      <c r="P4116" s="18"/>
      <c r="Q4116" s="19"/>
      <c r="R4116" s="19"/>
      <c r="S4116" s="19"/>
      <c r="T4116" s="18"/>
      <c r="U4116" s="18"/>
      <c r="V4116" s="18"/>
      <c r="W4116" s="18"/>
      <c r="X4116" s="18"/>
      <c r="Y4116" s="18"/>
      <c r="Z4116" s="18"/>
    </row>
    <row r="4117" ht="15.75" customHeight="1">
      <c r="A4117" s="32"/>
      <c r="B4117" s="22"/>
      <c r="C4117" s="22"/>
      <c r="D4117" s="22"/>
      <c r="E4117" s="22"/>
      <c r="F4117" s="22"/>
      <c r="G4117" s="22"/>
      <c r="H4117" s="18"/>
      <c r="I4117" s="18"/>
      <c r="J4117" s="18"/>
      <c r="K4117" s="18"/>
      <c r="L4117" s="18"/>
      <c r="M4117" s="18"/>
      <c r="N4117" s="18"/>
      <c r="O4117" s="18"/>
      <c r="P4117" s="18"/>
      <c r="Q4117" s="19"/>
      <c r="R4117" s="19"/>
      <c r="S4117" s="19"/>
      <c r="T4117" s="18"/>
      <c r="U4117" s="18"/>
      <c r="V4117" s="18"/>
      <c r="W4117" s="18"/>
      <c r="X4117" s="18"/>
      <c r="Y4117" s="18"/>
      <c r="Z4117" s="18"/>
    </row>
    <row r="4118" ht="15.75" customHeight="1">
      <c r="A4118" s="32"/>
      <c r="B4118" s="22"/>
      <c r="C4118" s="22"/>
      <c r="D4118" s="22"/>
      <c r="E4118" s="22"/>
      <c r="F4118" s="22"/>
      <c r="G4118" s="22"/>
      <c r="H4118" s="18"/>
      <c r="I4118" s="18"/>
      <c r="J4118" s="18"/>
      <c r="K4118" s="18"/>
      <c r="L4118" s="18"/>
      <c r="M4118" s="18"/>
      <c r="N4118" s="18"/>
      <c r="O4118" s="18"/>
      <c r="P4118" s="18"/>
      <c r="Q4118" s="19"/>
      <c r="R4118" s="19"/>
      <c r="S4118" s="19"/>
      <c r="T4118" s="18"/>
      <c r="U4118" s="18"/>
      <c r="V4118" s="18"/>
      <c r="W4118" s="18"/>
      <c r="X4118" s="18"/>
      <c r="Y4118" s="18"/>
      <c r="Z4118" s="18"/>
    </row>
    <row r="4119" ht="15.75" customHeight="1">
      <c r="A4119" s="32"/>
      <c r="B4119" s="22"/>
      <c r="C4119" s="22"/>
      <c r="D4119" s="22"/>
      <c r="E4119" s="22"/>
      <c r="F4119" s="22"/>
      <c r="G4119" s="22"/>
      <c r="H4119" s="18"/>
      <c r="I4119" s="18"/>
      <c r="J4119" s="18"/>
      <c r="K4119" s="18"/>
      <c r="L4119" s="18"/>
      <c r="M4119" s="18"/>
      <c r="N4119" s="18"/>
      <c r="O4119" s="18"/>
      <c r="P4119" s="18"/>
      <c r="Q4119" s="19"/>
      <c r="R4119" s="19"/>
      <c r="S4119" s="19"/>
      <c r="T4119" s="18"/>
      <c r="U4119" s="18"/>
      <c r="V4119" s="18"/>
      <c r="W4119" s="18"/>
      <c r="X4119" s="18"/>
      <c r="Y4119" s="18"/>
      <c r="Z4119" s="18"/>
    </row>
    <row r="4120" ht="15.75" customHeight="1">
      <c r="A4120" s="32"/>
      <c r="B4120" s="22"/>
      <c r="C4120" s="22"/>
      <c r="D4120" s="22"/>
      <c r="E4120" s="22"/>
      <c r="F4120" s="22"/>
      <c r="G4120" s="22"/>
      <c r="H4120" s="18"/>
      <c r="I4120" s="18"/>
      <c r="J4120" s="18"/>
      <c r="K4120" s="18"/>
      <c r="L4120" s="18"/>
      <c r="M4120" s="18"/>
      <c r="N4120" s="18"/>
      <c r="O4120" s="18"/>
      <c r="P4120" s="18"/>
      <c r="Q4120" s="19"/>
      <c r="R4120" s="19"/>
      <c r="S4120" s="19"/>
      <c r="T4120" s="18"/>
      <c r="U4120" s="18"/>
      <c r="V4120" s="18"/>
      <c r="W4120" s="18"/>
      <c r="X4120" s="18"/>
      <c r="Y4120" s="18"/>
      <c r="Z4120" s="18"/>
    </row>
    <row r="4121" ht="15.75" customHeight="1">
      <c r="A4121" s="32"/>
      <c r="B4121" s="22"/>
      <c r="C4121" s="22"/>
      <c r="D4121" s="22"/>
      <c r="E4121" s="22"/>
      <c r="F4121" s="22"/>
      <c r="G4121" s="22"/>
      <c r="H4121" s="18"/>
      <c r="I4121" s="18"/>
      <c r="J4121" s="18"/>
      <c r="K4121" s="18"/>
      <c r="L4121" s="18"/>
      <c r="M4121" s="18"/>
      <c r="N4121" s="18"/>
      <c r="O4121" s="18"/>
      <c r="P4121" s="18"/>
      <c r="Q4121" s="19"/>
      <c r="R4121" s="19"/>
      <c r="S4121" s="19"/>
      <c r="T4121" s="18"/>
      <c r="U4121" s="18"/>
      <c r="V4121" s="18"/>
      <c r="W4121" s="18"/>
      <c r="X4121" s="18"/>
      <c r="Y4121" s="18"/>
      <c r="Z4121" s="18"/>
    </row>
    <row r="4122" ht="15.75" customHeight="1">
      <c r="A4122" s="32"/>
      <c r="B4122" s="22"/>
      <c r="C4122" s="22"/>
      <c r="D4122" s="22"/>
      <c r="E4122" s="22"/>
      <c r="F4122" s="22"/>
      <c r="G4122" s="22"/>
      <c r="H4122" s="18"/>
      <c r="I4122" s="18"/>
      <c r="J4122" s="18"/>
      <c r="K4122" s="18"/>
      <c r="L4122" s="18"/>
      <c r="M4122" s="18"/>
      <c r="N4122" s="18"/>
      <c r="O4122" s="18"/>
      <c r="P4122" s="18"/>
      <c r="Q4122" s="19"/>
      <c r="R4122" s="19"/>
      <c r="S4122" s="19"/>
      <c r="T4122" s="18"/>
      <c r="U4122" s="18"/>
      <c r="V4122" s="18"/>
      <c r="W4122" s="18"/>
      <c r="X4122" s="18"/>
      <c r="Y4122" s="18"/>
      <c r="Z4122" s="18"/>
    </row>
    <row r="4123" ht="15.75" customHeight="1">
      <c r="A4123" s="32"/>
      <c r="B4123" s="22"/>
      <c r="C4123" s="22"/>
      <c r="D4123" s="22"/>
      <c r="E4123" s="22"/>
      <c r="F4123" s="22"/>
      <c r="G4123" s="22"/>
      <c r="H4123" s="18"/>
      <c r="I4123" s="18"/>
      <c r="J4123" s="18"/>
      <c r="K4123" s="18"/>
      <c r="L4123" s="18"/>
      <c r="M4123" s="18"/>
      <c r="N4123" s="18"/>
      <c r="O4123" s="18"/>
      <c r="P4123" s="18"/>
      <c r="Q4123" s="19"/>
      <c r="R4123" s="19"/>
      <c r="S4123" s="19"/>
      <c r="T4123" s="18"/>
      <c r="U4123" s="18"/>
      <c r="V4123" s="18"/>
      <c r="W4123" s="18"/>
      <c r="X4123" s="18"/>
      <c r="Y4123" s="18"/>
      <c r="Z4123" s="18"/>
    </row>
    <row r="4124" ht="15.75" customHeight="1">
      <c r="A4124" s="32"/>
      <c r="B4124" s="22"/>
      <c r="C4124" s="22"/>
      <c r="D4124" s="22"/>
      <c r="E4124" s="22"/>
      <c r="F4124" s="22"/>
      <c r="G4124" s="22"/>
      <c r="H4124" s="18"/>
      <c r="I4124" s="18"/>
      <c r="J4124" s="18"/>
      <c r="K4124" s="18"/>
      <c r="L4124" s="18"/>
      <c r="M4124" s="18"/>
      <c r="N4124" s="18"/>
      <c r="O4124" s="18"/>
      <c r="P4124" s="18"/>
      <c r="Q4124" s="19"/>
      <c r="R4124" s="19"/>
      <c r="S4124" s="19"/>
      <c r="T4124" s="18"/>
      <c r="U4124" s="18"/>
      <c r="V4124" s="18"/>
      <c r="W4124" s="18"/>
      <c r="X4124" s="18"/>
      <c r="Y4124" s="18"/>
      <c r="Z4124" s="18"/>
    </row>
    <row r="4125" ht="15.75" customHeight="1">
      <c r="A4125" s="32"/>
      <c r="B4125" s="22"/>
      <c r="C4125" s="22"/>
      <c r="D4125" s="22"/>
      <c r="E4125" s="22"/>
      <c r="F4125" s="22"/>
      <c r="G4125" s="22"/>
      <c r="H4125" s="18"/>
      <c r="I4125" s="18"/>
      <c r="J4125" s="18"/>
      <c r="K4125" s="18"/>
      <c r="L4125" s="18"/>
      <c r="M4125" s="18"/>
      <c r="N4125" s="18"/>
      <c r="O4125" s="18"/>
      <c r="P4125" s="18"/>
      <c r="Q4125" s="19"/>
      <c r="R4125" s="19"/>
      <c r="S4125" s="19"/>
      <c r="T4125" s="18"/>
      <c r="U4125" s="18"/>
      <c r="V4125" s="18"/>
      <c r="W4125" s="18"/>
      <c r="X4125" s="18"/>
      <c r="Y4125" s="18"/>
      <c r="Z4125" s="18"/>
    </row>
    <row r="4126" ht="15.75" customHeight="1">
      <c r="A4126" s="32"/>
      <c r="B4126" s="22"/>
      <c r="C4126" s="22"/>
      <c r="D4126" s="22"/>
      <c r="E4126" s="22"/>
      <c r="F4126" s="22"/>
      <c r="G4126" s="22"/>
      <c r="H4126" s="18"/>
      <c r="I4126" s="18"/>
      <c r="J4126" s="18"/>
      <c r="K4126" s="18"/>
      <c r="L4126" s="18"/>
      <c r="M4126" s="18"/>
      <c r="N4126" s="18"/>
      <c r="O4126" s="18"/>
      <c r="P4126" s="18"/>
      <c r="Q4126" s="19"/>
      <c r="R4126" s="19"/>
      <c r="S4126" s="19"/>
      <c r="T4126" s="18"/>
      <c r="U4126" s="18"/>
      <c r="V4126" s="18"/>
      <c r="W4126" s="18"/>
      <c r="X4126" s="18"/>
      <c r="Y4126" s="18"/>
      <c r="Z4126" s="18"/>
    </row>
    <row r="4127" ht="15.75" customHeight="1">
      <c r="A4127" s="32"/>
      <c r="B4127" s="22"/>
      <c r="C4127" s="22"/>
      <c r="D4127" s="22"/>
      <c r="E4127" s="22"/>
      <c r="F4127" s="22"/>
      <c r="G4127" s="22"/>
      <c r="H4127" s="18"/>
      <c r="I4127" s="18"/>
      <c r="J4127" s="18"/>
      <c r="K4127" s="18"/>
      <c r="L4127" s="18"/>
      <c r="M4127" s="18"/>
      <c r="N4127" s="18"/>
      <c r="O4127" s="18"/>
      <c r="P4127" s="18"/>
      <c r="Q4127" s="19"/>
      <c r="R4127" s="19"/>
      <c r="S4127" s="19"/>
      <c r="T4127" s="18"/>
      <c r="U4127" s="18"/>
      <c r="V4127" s="18"/>
      <c r="W4127" s="18"/>
      <c r="X4127" s="18"/>
      <c r="Y4127" s="18"/>
      <c r="Z4127" s="18"/>
    </row>
    <row r="4128" ht="15.75" customHeight="1">
      <c r="A4128" s="32"/>
      <c r="B4128" s="22"/>
      <c r="C4128" s="22"/>
      <c r="D4128" s="22"/>
      <c r="E4128" s="22"/>
      <c r="F4128" s="22"/>
      <c r="G4128" s="22"/>
      <c r="H4128" s="18"/>
      <c r="I4128" s="18"/>
      <c r="J4128" s="18"/>
      <c r="K4128" s="18"/>
      <c r="L4128" s="18"/>
      <c r="M4128" s="18"/>
      <c r="N4128" s="18"/>
      <c r="O4128" s="18"/>
      <c r="P4128" s="18"/>
      <c r="Q4128" s="19"/>
      <c r="R4128" s="19"/>
      <c r="S4128" s="19"/>
      <c r="T4128" s="18"/>
      <c r="U4128" s="18"/>
      <c r="V4128" s="18"/>
      <c r="W4128" s="18"/>
      <c r="X4128" s="18"/>
      <c r="Y4128" s="18"/>
      <c r="Z4128" s="18"/>
    </row>
    <row r="4129" ht="15.75" customHeight="1">
      <c r="A4129" s="32"/>
      <c r="B4129" s="22"/>
      <c r="C4129" s="22"/>
      <c r="D4129" s="22"/>
      <c r="E4129" s="22"/>
      <c r="F4129" s="22"/>
      <c r="G4129" s="22"/>
      <c r="H4129" s="18"/>
      <c r="I4129" s="18"/>
      <c r="J4129" s="18"/>
      <c r="K4129" s="18"/>
      <c r="L4129" s="18"/>
      <c r="M4129" s="18"/>
      <c r="N4129" s="18"/>
      <c r="O4129" s="18"/>
      <c r="P4129" s="18"/>
      <c r="Q4129" s="19"/>
      <c r="R4129" s="19"/>
      <c r="S4129" s="19"/>
      <c r="T4129" s="18"/>
      <c r="U4129" s="18"/>
      <c r="V4129" s="18"/>
      <c r="W4129" s="18"/>
      <c r="X4129" s="18"/>
      <c r="Y4129" s="18"/>
      <c r="Z4129" s="18"/>
    </row>
    <row r="4130" ht="15.75" customHeight="1">
      <c r="A4130" s="32"/>
      <c r="B4130" s="22"/>
      <c r="C4130" s="22"/>
      <c r="D4130" s="22"/>
      <c r="E4130" s="22"/>
      <c r="F4130" s="22"/>
      <c r="G4130" s="22"/>
      <c r="H4130" s="18"/>
      <c r="I4130" s="18"/>
      <c r="J4130" s="18"/>
      <c r="K4130" s="18"/>
      <c r="L4130" s="18"/>
      <c r="M4130" s="18"/>
      <c r="N4130" s="18"/>
      <c r="O4130" s="18"/>
      <c r="P4130" s="18"/>
      <c r="Q4130" s="19"/>
      <c r="R4130" s="19"/>
      <c r="S4130" s="19"/>
      <c r="T4130" s="18"/>
      <c r="U4130" s="18"/>
      <c r="V4130" s="18"/>
      <c r="W4130" s="18"/>
      <c r="X4130" s="18"/>
      <c r="Y4130" s="18"/>
      <c r="Z4130" s="18"/>
    </row>
    <row r="4131" ht="15.75" customHeight="1">
      <c r="A4131" s="32"/>
      <c r="B4131" s="22"/>
      <c r="C4131" s="22"/>
      <c r="D4131" s="22"/>
      <c r="E4131" s="22"/>
      <c r="F4131" s="22"/>
      <c r="G4131" s="22"/>
      <c r="H4131" s="18"/>
      <c r="I4131" s="18"/>
      <c r="J4131" s="18"/>
      <c r="K4131" s="18"/>
      <c r="L4131" s="18"/>
      <c r="M4131" s="18"/>
      <c r="N4131" s="18"/>
      <c r="O4131" s="18"/>
      <c r="P4131" s="18"/>
      <c r="Q4131" s="19"/>
      <c r="R4131" s="19"/>
      <c r="S4131" s="19"/>
      <c r="T4131" s="18"/>
      <c r="U4131" s="18"/>
      <c r="V4131" s="18"/>
      <c r="W4131" s="18"/>
      <c r="X4131" s="18"/>
      <c r="Y4131" s="18"/>
      <c r="Z4131" s="18"/>
    </row>
    <row r="4132" ht="15.75" customHeight="1">
      <c r="A4132" s="32"/>
      <c r="B4132" s="22"/>
      <c r="C4132" s="22"/>
      <c r="D4132" s="22"/>
      <c r="E4132" s="22"/>
      <c r="F4132" s="22"/>
      <c r="G4132" s="22"/>
      <c r="H4132" s="18"/>
      <c r="I4132" s="18"/>
      <c r="J4132" s="18"/>
      <c r="K4132" s="18"/>
      <c r="L4132" s="18"/>
      <c r="M4132" s="18"/>
      <c r="N4132" s="18"/>
      <c r="O4132" s="18"/>
      <c r="P4132" s="18"/>
      <c r="Q4132" s="19"/>
      <c r="R4132" s="19"/>
      <c r="S4132" s="19"/>
      <c r="T4132" s="18"/>
      <c r="U4132" s="18"/>
      <c r="V4132" s="18"/>
      <c r="W4132" s="18"/>
      <c r="X4132" s="18"/>
      <c r="Y4132" s="18"/>
      <c r="Z4132" s="18"/>
    </row>
    <row r="4133" ht="15.75" customHeight="1">
      <c r="A4133" s="32"/>
      <c r="B4133" s="22"/>
      <c r="C4133" s="22"/>
      <c r="D4133" s="22"/>
      <c r="E4133" s="22"/>
      <c r="F4133" s="22"/>
      <c r="G4133" s="22"/>
      <c r="H4133" s="18"/>
      <c r="I4133" s="18"/>
      <c r="J4133" s="18"/>
      <c r="K4133" s="18"/>
      <c r="L4133" s="18"/>
      <c r="M4133" s="18"/>
      <c r="N4133" s="18"/>
      <c r="O4133" s="18"/>
      <c r="P4133" s="18"/>
      <c r="Q4133" s="19"/>
      <c r="R4133" s="19"/>
      <c r="S4133" s="19"/>
      <c r="T4133" s="18"/>
      <c r="U4133" s="18"/>
      <c r="V4133" s="18"/>
      <c r="W4133" s="18"/>
      <c r="X4133" s="18"/>
      <c r="Y4133" s="18"/>
      <c r="Z4133" s="18"/>
    </row>
    <row r="4134" ht="15.75" customHeight="1">
      <c r="A4134" s="32"/>
      <c r="B4134" s="22"/>
      <c r="C4134" s="22"/>
      <c r="D4134" s="22"/>
      <c r="E4134" s="22"/>
      <c r="F4134" s="22"/>
      <c r="G4134" s="22"/>
      <c r="H4134" s="18"/>
      <c r="I4134" s="18"/>
      <c r="J4134" s="18"/>
      <c r="K4134" s="18"/>
      <c r="L4134" s="18"/>
      <c r="M4134" s="18"/>
      <c r="N4134" s="18"/>
      <c r="O4134" s="18"/>
      <c r="P4134" s="18"/>
      <c r="Q4134" s="19"/>
      <c r="R4134" s="19"/>
      <c r="S4134" s="19"/>
      <c r="T4134" s="18"/>
      <c r="U4134" s="18"/>
      <c r="V4134" s="18"/>
      <c r="W4134" s="18"/>
      <c r="X4134" s="18"/>
      <c r="Y4134" s="18"/>
      <c r="Z4134" s="18"/>
    </row>
    <row r="4135" ht="15.75" customHeight="1">
      <c r="A4135" s="32"/>
      <c r="B4135" s="22"/>
      <c r="C4135" s="22"/>
      <c r="D4135" s="22"/>
      <c r="E4135" s="22"/>
      <c r="F4135" s="22"/>
      <c r="G4135" s="22"/>
      <c r="H4135" s="18"/>
      <c r="I4135" s="18"/>
      <c r="J4135" s="18"/>
      <c r="K4135" s="18"/>
      <c r="L4135" s="18"/>
      <c r="M4135" s="18"/>
      <c r="N4135" s="18"/>
      <c r="O4135" s="18"/>
      <c r="P4135" s="18"/>
      <c r="Q4135" s="19"/>
      <c r="R4135" s="19"/>
      <c r="S4135" s="19"/>
      <c r="T4135" s="18"/>
      <c r="U4135" s="18"/>
      <c r="V4135" s="18"/>
      <c r="W4135" s="18"/>
      <c r="X4135" s="18"/>
      <c r="Y4135" s="18"/>
      <c r="Z4135" s="18"/>
    </row>
    <row r="4136" ht="15.75" customHeight="1">
      <c r="A4136" s="32"/>
      <c r="B4136" s="22"/>
      <c r="C4136" s="22"/>
      <c r="D4136" s="22"/>
      <c r="E4136" s="22"/>
      <c r="F4136" s="22"/>
      <c r="G4136" s="22"/>
      <c r="H4136" s="18"/>
      <c r="I4136" s="18"/>
      <c r="J4136" s="18"/>
      <c r="K4136" s="18"/>
      <c r="L4136" s="18"/>
      <c r="M4136" s="18"/>
      <c r="N4136" s="18"/>
      <c r="O4136" s="18"/>
      <c r="P4136" s="18"/>
      <c r="Q4136" s="19"/>
      <c r="R4136" s="19"/>
      <c r="S4136" s="19"/>
      <c r="T4136" s="18"/>
      <c r="U4136" s="18"/>
      <c r="V4136" s="18"/>
      <c r="W4136" s="18"/>
      <c r="X4136" s="18"/>
      <c r="Y4136" s="18"/>
      <c r="Z4136" s="18"/>
    </row>
    <row r="4137" ht="15.75" customHeight="1">
      <c r="A4137" s="32"/>
      <c r="B4137" s="22"/>
      <c r="C4137" s="22"/>
      <c r="D4137" s="22"/>
      <c r="E4137" s="22"/>
      <c r="F4137" s="22"/>
      <c r="G4137" s="22"/>
      <c r="H4137" s="18"/>
      <c r="I4137" s="18"/>
      <c r="J4137" s="18"/>
      <c r="K4137" s="18"/>
      <c r="L4137" s="18"/>
      <c r="M4137" s="18"/>
      <c r="N4137" s="18"/>
      <c r="O4137" s="18"/>
      <c r="P4137" s="18"/>
      <c r="Q4137" s="19"/>
      <c r="R4137" s="19"/>
      <c r="S4137" s="19"/>
      <c r="T4137" s="18"/>
      <c r="U4137" s="18"/>
      <c r="V4137" s="18"/>
      <c r="W4137" s="18"/>
      <c r="X4137" s="18"/>
      <c r="Y4137" s="18"/>
      <c r="Z4137" s="18"/>
    </row>
    <row r="4138" ht="15.75" customHeight="1">
      <c r="A4138" s="32"/>
      <c r="B4138" s="22"/>
      <c r="C4138" s="22"/>
      <c r="D4138" s="22"/>
      <c r="E4138" s="22"/>
      <c r="F4138" s="22"/>
      <c r="G4138" s="22"/>
      <c r="H4138" s="18"/>
      <c r="I4138" s="18"/>
      <c r="J4138" s="18"/>
      <c r="K4138" s="18"/>
      <c r="L4138" s="18"/>
      <c r="M4138" s="18"/>
      <c r="N4138" s="18"/>
      <c r="O4138" s="18"/>
      <c r="P4138" s="18"/>
      <c r="Q4138" s="19"/>
      <c r="R4138" s="19"/>
      <c r="S4138" s="19"/>
      <c r="T4138" s="18"/>
      <c r="U4138" s="18"/>
      <c r="V4138" s="18"/>
      <c r="W4138" s="18"/>
      <c r="X4138" s="18"/>
      <c r="Y4138" s="18"/>
      <c r="Z4138" s="18"/>
    </row>
    <row r="4139" ht="15.75" customHeight="1">
      <c r="A4139" s="32"/>
      <c r="B4139" s="22"/>
      <c r="C4139" s="22"/>
      <c r="D4139" s="22"/>
      <c r="E4139" s="22"/>
      <c r="F4139" s="22"/>
      <c r="G4139" s="22"/>
      <c r="H4139" s="18"/>
      <c r="I4139" s="18"/>
      <c r="J4139" s="18"/>
      <c r="K4139" s="18"/>
      <c r="L4139" s="18"/>
      <c r="M4139" s="18"/>
      <c r="N4139" s="18"/>
      <c r="O4139" s="18"/>
      <c r="P4139" s="18"/>
      <c r="Q4139" s="19"/>
      <c r="R4139" s="19"/>
      <c r="S4139" s="19"/>
      <c r="T4139" s="18"/>
      <c r="U4139" s="18"/>
      <c r="V4139" s="18"/>
      <c r="W4139" s="18"/>
      <c r="X4139" s="18"/>
      <c r="Y4139" s="18"/>
      <c r="Z4139" s="18"/>
    </row>
    <row r="4140" ht="15.75" customHeight="1">
      <c r="A4140" s="32"/>
      <c r="B4140" s="22"/>
      <c r="C4140" s="22"/>
      <c r="D4140" s="22"/>
      <c r="E4140" s="22"/>
      <c r="F4140" s="22"/>
      <c r="G4140" s="22"/>
      <c r="H4140" s="18"/>
      <c r="I4140" s="18"/>
      <c r="J4140" s="18"/>
      <c r="K4140" s="18"/>
      <c r="L4140" s="18"/>
      <c r="M4140" s="18"/>
      <c r="N4140" s="18"/>
      <c r="O4140" s="18"/>
      <c r="P4140" s="18"/>
      <c r="Q4140" s="19"/>
      <c r="R4140" s="19"/>
      <c r="S4140" s="19"/>
      <c r="T4140" s="18"/>
      <c r="U4140" s="18"/>
      <c r="V4140" s="18"/>
      <c r="W4140" s="18"/>
      <c r="X4140" s="18"/>
      <c r="Y4140" s="18"/>
      <c r="Z4140" s="18"/>
    </row>
    <row r="4141" ht="15.75" customHeight="1">
      <c r="A4141" s="32"/>
      <c r="B4141" s="22"/>
      <c r="C4141" s="22"/>
      <c r="D4141" s="22"/>
      <c r="E4141" s="22"/>
      <c r="F4141" s="22"/>
      <c r="G4141" s="22"/>
      <c r="H4141" s="18"/>
      <c r="I4141" s="18"/>
      <c r="J4141" s="18"/>
      <c r="K4141" s="18"/>
      <c r="L4141" s="18"/>
      <c r="M4141" s="18"/>
      <c r="N4141" s="18"/>
      <c r="O4141" s="18"/>
      <c r="P4141" s="18"/>
      <c r="Q4141" s="19"/>
      <c r="R4141" s="19"/>
      <c r="S4141" s="19"/>
      <c r="T4141" s="18"/>
      <c r="U4141" s="18"/>
      <c r="V4141" s="18"/>
      <c r="W4141" s="18"/>
      <c r="X4141" s="18"/>
      <c r="Y4141" s="18"/>
      <c r="Z4141" s="18"/>
    </row>
    <row r="4142" ht="15.75" customHeight="1">
      <c r="A4142" s="32"/>
      <c r="B4142" s="22"/>
      <c r="C4142" s="22"/>
      <c r="D4142" s="22"/>
      <c r="E4142" s="22"/>
      <c r="F4142" s="22"/>
      <c r="G4142" s="22"/>
      <c r="H4142" s="18"/>
      <c r="I4142" s="18"/>
      <c r="J4142" s="18"/>
      <c r="K4142" s="18"/>
      <c r="L4142" s="18"/>
      <c r="M4142" s="18"/>
      <c r="N4142" s="18"/>
      <c r="O4142" s="18"/>
      <c r="P4142" s="18"/>
      <c r="Q4142" s="19"/>
      <c r="R4142" s="19"/>
      <c r="S4142" s="19"/>
      <c r="T4142" s="18"/>
      <c r="U4142" s="18"/>
      <c r="V4142" s="18"/>
      <c r="W4142" s="18"/>
      <c r="X4142" s="18"/>
      <c r="Y4142" s="18"/>
      <c r="Z4142" s="18"/>
    </row>
    <row r="4143" ht="15.75" customHeight="1">
      <c r="A4143" s="32"/>
      <c r="B4143" s="22"/>
      <c r="C4143" s="22"/>
      <c r="D4143" s="22"/>
      <c r="E4143" s="22"/>
      <c r="F4143" s="22"/>
      <c r="G4143" s="22"/>
      <c r="H4143" s="18"/>
      <c r="I4143" s="18"/>
      <c r="J4143" s="18"/>
      <c r="K4143" s="18"/>
      <c r="L4143" s="18"/>
      <c r="M4143" s="18"/>
      <c r="N4143" s="18"/>
      <c r="O4143" s="18"/>
      <c r="P4143" s="18"/>
      <c r="Q4143" s="19"/>
      <c r="R4143" s="19"/>
      <c r="S4143" s="19"/>
      <c r="T4143" s="18"/>
      <c r="U4143" s="18"/>
      <c r="V4143" s="18"/>
      <c r="W4143" s="18"/>
      <c r="X4143" s="18"/>
      <c r="Y4143" s="18"/>
      <c r="Z4143" s="18"/>
    </row>
    <row r="4144" ht="15.75" customHeight="1">
      <c r="A4144" s="32"/>
      <c r="B4144" s="22"/>
      <c r="C4144" s="22"/>
      <c r="D4144" s="22"/>
      <c r="E4144" s="22"/>
      <c r="F4144" s="22"/>
      <c r="G4144" s="22"/>
      <c r="H4144" s="18"/>
      <c r="I4144" s="18"/>
      <c r="J4144" s="18"/>
      <c r="K4144" s="18"/>
      <c r="L4144" s="18"/>
      <c r="M4144" s="18"/>
      <c r="N4144" s="18"/>
      <c r="O4144" s="18"/>
      <c r="P4144" s="18"/>
      <c r="Q4144" s="19"/>
      <c r="R4144" s="19"/>
      <c r="S4144" s="19"/>
      <c r="T4144" s="18"/>
      <c r="U4144" s="18"/>
      <c r="V4144" s="18"/>
      <c r="W4144" s="18"/>
      <c r="X4144" s="18"/>
      <c r="Y4144" s="18"/>
      <c r="Z4144" s="18"/>
    </row>
    <row r="4145" ht="15.75" customHeight="1">
      <c r="A4145" s="32"/>
      <c r="B4145" s="22"/>
      <c r="C4145" s="22"/>
      <c r="D4145" s="22"/>
      <c r="E4145" s="22"/>
      <c r="F4145" s="22"/>
      <c r="G4145" s="22"/>
      <c r="H4145" s="18"/>
      <c r="I4145" s="18"/>
      <c r="J4145" s="18"/>
      <c r="K4145" s="18"/>
      <c r="L4145" s="18"/>
      <c r="M4145" s="18"/>
      <c r="N4145" s="18"/>
      <c r="O4145" s="18"/>
      <c r="P4145" s="18"/>
      <c r="Q4145" s="19"/>
      <c r="R4145" s="19"/>
      <c r="S4145" s="19"/>
      <c r="T4145" s="18"/>
      <c r="U4145" s="18"/>
      <c r="V4145" s="18"/>
      <c r="W4145" s="18"/>
      <c r="X4145" s="18"/>
      <c r="Y4145" s="18"/>
      <c r="Z4145" s="18"/>
    </row>
    <row r="4146" ht="15.75" customHeight="1">
      <c r="A4146" s="32"/>
      <c r="B4146" s="22"/>
      <c r="C4146" s="22"/>
      <c r="D4146" s="22"/>
      <c r="E4146" s="22"/>
      <c r="F4146" s="22"/>
      <c r="G4146" s="22"/>
      <c r="H4146" s="18"/>
      <c r="I4146" s="18"/>
      <c r="J4146" s="18"/>
      <c r="K4146" s="18"/>
      <c r="L4146" s="18"/>
      <c r="M4146" s="18"/>
      <c r="N4146" s="18"/>
      <c r="O4146" s="18"/>
      <c r="P4146" s="18"/>
      <c r="Q4146" s="19"/>
      <c r="R4146" s="19"/>
      <c r="S4146" s="19"/>
      <c r="T4146" s="18"/>
      <c r="U4146" s="18"/>
      <c r="V4146" s="18"/>
      <c r="W4146" s="18"/>
      <c r="X4146" s="18"/>
      <c r="Y4146" s="18"/>
      <c r="Z4146" s="18"/>
    </row>
    <row r="4147" ht="15.75" customHeight="1">
      <c r="A4147" s="32"/>
      <c r="B4147" s="22"/>
      <c r="C4147" s="22"/>
      <c r="D4147" s="22"/>
      <c r="E4147" s="22"/>
      <c r="F4147" s="22"/>
      <c r="G4147" s="22"/>
      <c r="H4147" s="18"/>
      <c r="I4147" s="18"/>
      <c r="J4147" s="18"/>
      <c r="K4147" s="18"/>
      <c r="L4147" s="18"/>
      <c r="M4147" s="18"/>
      <c r="N4147" s="18"/>
      <c r="O4147" s="18"/>
      <c r="P4147" s="18"/>
      <c r="Q4147" s="19"/>
      <c r="R4147" s="19"/>
      <c r="S4147" s="19"/>
      <c r="T4147" s="18"/>
      <c r="U4147" s="18"/>
      <c r="V4147" s="18"/>
      <c r="W4147" s="18"/>
      <c r="X4147" s="18"/>
      <c r="Y4147" s="18"/>
      <c r="Z4147" s="18"/>
    </row>
    <row r="4148" ht="15.75" customHeight="1">
      <c r="A4148" s="32"/>
      <c r="B4148" s="22"/>
      <c r="C4148" s="22"/>
      <c r="D4148" s="22"/>
      <c r="E4148" s="22"/>
      <c r="F4148" s="22"/>
      <c r="G4148" s="22"/>
      <c r="H4148" s="18"/>
      <c r="I4148" s="18"/>
      <c r="J4148" s="18"/>
      <c r="K4148" s="18"/>
      <c r="L4148" s="18"/>
      <c r="M4148" s="18"/>
      <c r="N4148" s="18"/>
      <c r="O4148" s="18"/>
      <c r="P4148" s="18"/>
      <c r="Q4148" s="19"/>
      <c r="R4148" s="19"/>
      <c r="S4148" s="19"/>
      <c r="T4148" s="18"/>
      <c r="U4148" s="18"/>
      <c r="V4148" s="18"/>
      <c r="W4148" s="18"/>
      <c r="X4148" s="18"/>
      <c r="Y4148" s="18"/>
      <c r="Z4148" s="18"/>
    </row>
    <row r="4149" ht="15.75" customHeight="1">
      <c r="A4149" s="32"/>
      <c r="B4149" s="22"/>
      <c r="C4149" s="22"/>
      <c r="D4149" s="22"/>
      <c r="E4149" s="22"/>
      <c r="F4149" s="22"/>
      <c r="G4149" s="22"/>
      <c r="H4149" s="18"/>
      <c r="I4149" s="18"/>
      <c r="J4149" s="18"/>
      <c r="K4149" s="18"/>
      <c r="L4149" s="18"/>
      <c r="M4149" s="18"/>
      <c r="N4149" s="18"/>
      <c r="O4149" s="18"/>
      <c r="P4149" s="18"/>
      <c r="Q4149" s="19"/>
      <c r="R4149" s="19"/>
      <c r="S4149" s="19"/>
      <c r="T4149" s="18"/>
      <c r="U4149" s="18"/>
      <c r="V4149" s="18"/>
      <c r="W4149" s="18"/>
      <c r="X4149" s="18"/>
      <c r="Y4149" s="18"/>
      <c r="Z4149" s="18"/>
    </row>
    <row r="4150" ht="15.75" customHeight="1">
      <c r="A4150" s="32"/>
      <c r="B4150" s="22"/>
      <c r="C4150" s="22"/>
      <c r="D4150" s="22"/>
      <c r="E4150" s="22"/>
      <c r="F4150" s="22"/>
      <c r="G4150" s="22"/>
      <c r="H4150" s="18"/>
      <c r="I4150" s="18"/>
      <c r="J4150" s="18"/>
      <c r="K4150" s="18"/>
      <c r="L4150" s="18"/>
      <c r="M4150" s="18"/>
      <c r="N4150" s="18"/>
      <c r="O4150" s="18"/>
      <c r="P4150" s="18"/>
      <c r="Q4150" s="19"/>
      <c r="R4150" s="19"/>
      <c r="S4150" s="19"/>
      <c r="T4150" s="18"/>
      <c r="U4150" s="18"/>
      <c r="V4150" s="18"/>
      <c r="W4150" s="18"/>
      <c r="X4150" s="18"/>
      <c r="Y4150" s="18"/>
      <c r="Z4150" s="18"/>
    </row>
    <row r="4151" ht="15.75" customHeight="1">
      <c r="A4151" s="32"/>
      <c r="B4151" s="22"/>
      <c r="C4151" s="22"/>
      <c r="D4151" s="22"/>
      <c r="E4151" s="22"/>
      <c r="F4151" s="22"/>
      <c r="G4151" s="22"/>
      <c r="H4151" s="18"/>
      <c r="I4151" s="18"/>
      <c r="J4151" s="18"/>
      <c r="K4151" s="18"/>
      <c r="L4151" s="18"/>
      <c r="M4151" s="18"/>
      <c r="N4151" s="18"/>
      <c r="O4151" s="18"/>
      <c r="P4151" s="18"/>
      <c r="Q4151" s="19"/>
      <c r="R4151" s="19"/>
      <c r="S4151" s="19"/>
      <c r="T4151" s="18"/>
      <c r="U4151" s="18"/>
      <c r="V4151" s="18"/>
      <c r="W4151" s="18"/>
      <c r="X4151" s="18"/>
      <c r="Y4151" s="18"/>
      <c r="Z4151" s="18"/>
    </row>
    <row r="4152" ht="15.75" customHeight="1">
      <c r="A4152" s="32"/>
      <c r="B4152" s="22"/>
      <c r="C4152" s="22"/>
      <c r="D4152" s="22"/>
      <c r="E4152" s="22"/>
      <c r="F4152" s="22"/>
      <c r="G4152" s="22"/>
      <c r="H4152" s="18"/>
      <c r="I4152" s="18"/>
      <c r="J4152" s="18"/>
      <c r="K4152" s="18"/>
      <c r="L4152" s="18"/>
      <c r="M4152" s="18"/>
      <c r="N4152" s="18"/>
      <c r="O4152" s="18"/>
      <c r="P4152" s="18"/>
      <c r="Q4152" s="19"/>
      <c r="R4152" s="19"/>
      <c r="S4152" s="19"/>
      <c r="T4152" s="18"/>
      <c r="U4152" s="18"/>
      <c r="V4152" s="18"/>
      <c r="W4152" s="18"/>
      <c r="X4152" s="18"/>
      <c r="Y4152" s="18"/>
      <c r="Z4152" s="18"/>
    </row>
    <row r="4153" ht="15.75" customHeight="1">
      <c r="A4153" s="32"/>
      <c r="B4153" s="22"/>
      <c r="C4153" s="22"/>
      <c r="D4153" s="22"/>
      <c r="E4153" s="22"/>
      <c r="F4153" s="22"/>
      <c r="G4153" s="22"/>
      <c r="H4153" s="18"/>
      <c r="I4153" s="18"/>
      <c r="J4153" s="18"/>
      <c r="K4153" s="18"/>
      <c r="L4153" s="18"/>
      <c r="M4153" s="18"/>
      <c r="N4153" s="18"/>
      <c r="O4153" s="18"/>
      <c r="P4153" s="18"/>
      <c r="Q4153" s="19"/>
      <c r="R4153" s="19"/>
      <c r="S4153" s="19"/>
      <c r="T4153" s="18"/>
      <c r="U4153" s="18"/>
      <c r="V4153" s="18"/>
      <c r="W4153" s="18"/>
      <c r="X4153" s="18"/>
      <c r="Y4153" s="18"/>
      <c r="Z4153" s="18"/>
    </row>
    <row r="4154" ht="15.75" customHeight="1">
      <c r="A4154" s="32"/>
      <c r="B4154" s="22"/>
      <c r="C4154" s="22"/>
      <c r="D4154" s="22"/>
      <c r="E4154" s="22"/>
      <c r="F4154" s="22"/>
      <c r="G4154" s="22"/>
      <c r="H4154" s="18"/>
      <c r="I4154" s="18"/>
      <c r="J4154" s="18"/>
      <c r="K4154" s="18"/>
      <c r="L4154" s="18"/>
      <c r="M4154" s="18"/>
      <c r="N4154" s="18"/>
      <c r="O4154" s="18"/>
      <c r="P4154" s="18"/>
      <c r="Q4154" s="19"/>
      <c r="R4154" s="19"/>
      <c r="S4154" s="19"/>
      <c r="T4154" s="18"/>
      <c r="U4154" s="18"/>
      <c r="V4154" s="18"/>
      <c r="W4154" s="18"/>
      <c r="X4154" s="18"/>
      <c r="Y4154" s="18"/>
      <c r="Z4154" s="18"/>
    </row>
    <row r="4155" ht="15.75" customHeight="1">
      <c r="A4155" s="32"/>
      <c r="B4155" s="22"/>
      <c r="C4155" s="22"/>
      <c r="D4155" s="22"/>
      <c r="E4155" s="22"/>
      <c r="F4155" s="22"/>
      <c r="G4155" s="22"/>
      <c r="H4155" s="18"/>
      <c r="I4155" s="18"/>
      <c r="J4155" s="18"/>
      <c r="K4155" s="18"/>
      <c r="L4155" s="18"/>
      <c r="M4155" s="18"/>
      <c r="N4155" s="18"/>
      <c r="O4155" s="18"/>
      <c r="P4155" s="18"/>
      <c r="Q4155" s="19"/>
      <c r="R4155" s="19"/>
      <c r="S4155" s="19"/>
      <c r="T4155" s="18"/>
      <c r="U4155" s="18"/>
      <c r="V4155" s="18"/>
      <c r="W4155" s="18"/>
      <c r="X4155" s="18"/>
      <c r="Y4155" s="18"/>
      <c r="Z4155" s="18"/>
    </row>
    <row r="4156" ht="15.75" customHeight="1">
      <c r="A4156" s="32"/>
      <c r="B4156" s="22"/>
      <c r="C4156" s="22"/>
      <c r="D4156" s="22"/>
      <c r="E4156" s="22"/>
      <c r="F4156" s="22"/>
      <c r="G4156" s="22"/>
      <c r="H4156" s="18"/>
      <c r="I4156" s="18"/>
      <c r="J4156" s="18"/>
      <c r="K4156" s="18"/>
      <c r="L4156" s="18"/>
      <c r="M4156" s="18"/>
      <c r="N4156" s="18"/>
      <c r="O4156" s="18"/>
      <c r="P4156" s="18"/>
      <c r="Q4156" s="19"/>
      <c r="R4156" s="19"/>
      <c r="S4156" s="19"/>
      <c r="T4156" s="18"/>
      <c r="U4156" s="18"/>
      <c r="V4156" s="18"/>
      <c r="W4156" s="18"/>
      <c r="X4156" s="18"/>
      <c r="Y4156" s="18"/>
      <c r="Z4156" s="18"/>
    </row>
    <row r="4157" ht="15.75" customHeight="1">
      <c r="A4157" s="32"/>
      <c r="B4157" s="22"/>
      <c r="C4157" s="22"/>
      <c r="D4157" s="22"/>
      <c r="E4157" s="22"/>
      <c r="F4157" s="22"/>
      <c r="G4157" s="22"/>
      <c r="H4157" s="18"/>
      <c r="I4157" s="18"/>
      <c r="J4157" s="18"/>
      <c r="K4157" s="18"/>
      <c r="L4157" s="18"/>
      <c r="M4157" s="18"/>
      <c r="N4157" s="18"/>
      <c r="O4157" s="18"/>
      <c r="P4157" s="18"/>
      <c r="Q4157" s="19"/>
      <c r="R4157" s="19"/>
      <c r="S4157" s="19"/>
      <c r="T4157" s="18"/>
      <c r="U4157" s="18"/>
      <c r="V4157" s="18"/>
      <c r="W4157" s="18"/>
      <c r="X4157" s="18"/>
      <c r="Y4157" s="18"/>
      <c r="Z4157" s="18"/>
    </row>
    <row r="4158" ht="15.75" customHeight="1">
      <c r="A4158" s="32"/>
      <c r="B4158" s="22"/>
      <c r="C4158" s="22"/>
      <c r="D4158" s="22"/>
      <c r="E4158" s="22"/>
      <c r="F4158" s="22"/>
      <c r="G4158" s="22"/>
      <c r="H4158" s="18"/>
      <c r="I4158" s="18"/>
      <c r="J4158" s="18"/>
      <c r="K4158" s="18"/>
      <c r="L4158" s="18"/>
      <c r="M4158" s="18"/>
      <c r="N4158" s="18"/>
      <c r="O4158" s="18"/>
      <c r="P4158" s="18"/>
      <c r="Q4158" s="19"/>
      <c r="R4158" s="19"/>
      <c r="S4158" s="19"/>
      <c r="T4158" s="18"/>
      <c r="U4158" s="18"/>
      <c r="V4158" s="18"/>
      <c r="W4158" s="18"/>
      <c r="X4158" s="18"/>
      <c r="Y4158" s="18"/>
      <c r="Z4158" s="18"/>
    </row>
    <row r="4159" ht="15.75" customHeight="1">
      <c r="A4159" s="32"/>
      <c r="B4159" s="22"/>
      <c r="C4159" s="22"/>
      <c r="D4159" s="22"/>
      <c r="E4159" s="22"/>
      <c r="F4159" s="22"/>
      <c r="G4159" s="22"/>
      <c r="H4159" s="18"/>
      <c r="I4159" s="18"/>
      <c r="J4159" s="18"/>
      <c r="K4159" s="18"/>
      <c r="L4159" s="18"/>
      <c r="M4159" s="18"/>
      <c r="N4159" s="18"/>
      <c r="O4159" s="18"/>
      <c r="P4159" s="18"/>
      <c r="Q4159" s="19"/>
      <c r="R4159" s="19"/>
      <c r="S4159" s="19"/>
      <c r="T4159" s="18"/>
      <c r="U4159" s="18"/>
      <c r="V4159" s="18"/>
      <c r="W4159" s="18"/>
      <c r="X4159" s="18"/>
      <c r="Y4159" s="18"/>
      <c r="Z4159" s="18"/>
    </row>
    <row r="4160" ht="15.75" customHeight="1">
      <c r="A4160" s="32"/>
      <c r="B4160" s="22"/>
      <c r="C4160" s="22"/>
      <c r="D4160" s="22"/>
      <c r="E4160" s="22"/>
      <c r="F4160" s="22"/>
      <c r="G4160" s="22"/>
      <c r="H4160" s="18"/>
      <c r="I4160" s="18"/>
      <c r="J4160" s="18"/>
      <c r="K4160" s="18"/>
      <c r="L4160" s="18"/>
      <c r="M4160" s="18"/>
      <c r="N4160" s="18"/>
      <c r="O4160" s="18"/>
      <c r="P4160" s="18"/>
      <c r="Q4160" s="19"/>
      <c r="R4160" s="19"/>
      <c r="S4160" s="19"/>
      <c r="T4160" s="18"/>
      <c r="U4160" s="18"/>
      <c r="V4160" s="18"/>
      <c r="W4160" s="18"/>
      <c r="X4160" s="18"/>
      <c r="Y4160" s="18"/>
      <c r="Z4160" s="18"/>
    </row>
    <row r="4161" ht="15.75" customHeight="1">
      <c r="A4161" s="32"/>
      <c r="B4161" s="22"/>
      <c r="C4161" s="22"/>
      <c r="D4161" s="22"/>
      <c r="E4161" s="22"/>
      <c r="F4161" s="22"/>
      <c r="G4161" s="22"/>
      <c r="H4161" s="18"/>
      <c r="I4161" s="18"/>
      <c r="J4161" s="18"/>
      <c r="K4161" s="18"/>
      <c r="L4161" s="18"/>
      <c r="M4161" s="18"/>
      <c r="N4161" s="18"/>
      <c r="O4161" s="18"/>
      <c r="P4161" s="18"/>
      <c r="Q4161" s="19"/>
      <c r="R4161" s="19"/>
      <c r="S4161" s="19"/>
      <c r="T4161" s="18"/>
      <c r="U4161" s="18"/>
      <c r="V4161" s="18"/>
      <c r="W4161" s="18"/>
      <c r="X4161" s="18"/>
      <c r="Y4161" s="18"/>
      <c r="Z4161" s="18"/>
    </row>
    <row r="4162" ht="15.75" customHeight="1">
      <c r="A4162" s="32"/>
      <c r="B4162" s="22"/>
      <c r="C4162" s="22"/>
      <c r="D4162" s="22"/>
      <c r="E4162" s="22"/>
      <c r="F4162" s="22"/>
      <c r="G4162" s="22"/>
      <c r="H4162" s="18"/>
      <c r="I4162" s="18"/>
      <c r="J4162" s="18"/>
      <c r="K4162" s="18"/>
      <c r="L4162" s="18"/>
      <c r="M4162" s="18"/>
      <c r="N4162" s="18"/>
      <c r="O4162" s="18"/>
      <c r="P4162" s="18"/>
      <c r="Q4162" s="19"/>
      <c r="R4162" s="19"/>
      <c r="S4162" s="19"/>
      <c r="T4162" s="18"/>
      <c r="U4162" s="18"/>
      <c r="V4162" s="18"/>
      <c r="W4162" s="18"/>
      <c r="X4162" s="18"/>
      <c r="Y4162" s="18"/>
      <c r="Z4162" s="18"/>
    </row>
    <row r="4163" ht="15.75" customHeight="1">
      <c r="A4163" s="32"/>
      <c r="B4163" s="22"/>
      <c r="C4163" s="22"/>
      <c r="D4163" s="22"/>
      <c r="E4163" s="22"/>
      <c r="F4163" s="22"/>
      <c r="G4163" s="22"/>
      <c r="H4163" s="18"/>
      <c r="I4163" s="18"/>
      <c r="J4163" s="18"/>
      <c r="K4163" s="18"/>
      <c r="L4163" s="18"/>
      <c r="M4163" s="18"/>
      <c r="N4163" s="18"/>
      <c r="O4163" s="18"/>
      <c r="P4163" s="18"/>
      <c r="Q4163" s="19"/>
      <c r="R4163" s="19"/>
      <c r="S4163" s="19"/>
      <c r="T4163" s="18"/>
      <c r="U4163" s="18"/>
      <c r="V4163" s="18"/>
      <c r="W4163" s="18"/>
      <c r="X4163" s="18"/>
      <c r="Y4163" s="18"/>
      <c r="Z4163" s="18"/>
    </row>
    <row r="4164" ht="15.75" customHeight="1">
      <c r="A4164" s="32"/>
      <c r="B4164" s="22"/>
      <c r="C4164" s="22"/>
      <c r="D4164" s="22"/>
      <c r="E4164" s="22"/>
      <c r="F4164" s="22"/>
      <c r="G4164" s="22"/>
      <c r="H4164" s="18"/>
      <c r="I4164" s="18"/>
      <c r="J4164" s="18"/>
      <c r="K4164" s="18"/>
      <c r="L4164" s="18"/>
      <c r="M4164" s="18"/>
      <c r="N4164" s="18"/>
      <c r="O4164" s="18"/>
      <c r="P4164" s="18"/>
      <c r="Q4164" s="19"/>
      <c r="R4164" s="19"/>
      <c r="S4164" s="19"/>
      <c r="T4164" s="18"/>
      <c r="U4164" s="18"/>
      <c r="V4164" s="18"/>
      <c r="W4164" s="18"/>
      <c r="X4164" s="18"/>
      <c r="Y4164" s="18"/>
      <c r="Z4164" s="18"/>
    </row>
    <row r="4165" ht="15.75" customHeight="1">
      <c r="A4165" s="32"/>
      <c r="B4165" s="22"/>
      <c r="C4165" s="22"/>
      <c r="D4165" s="22"/>
      <c r="E4165" s="22"/>
      <c r="F4165" s="22"/>
      <c r="G4165" s="22"/>
      <c r="H4165" s="18"/>
      <c r="I4165" s="18"/>
      <c r="J4165" s="18"/>
      <c r="K4165" s="18"/>
      <c r="L4165" s="18"/>
      <c r="M4165" s="18"/>
      <c r="N4165" s="18"/>
      <c r="O4165" s="18"/>
      <c r="P4165" s="18"/>
      <c r="Q4165" s="19"/>
      <c r="R4165" s="19"/>
      <c r="S4165" s="19"/>
      <c r="T4165" s="18"/>
      <c r="U4165" s="18"/>
      <c r="V4165" s="18"/>
      <c r="W4165" s="18"/>
      <c r="X4165" s="18"/>
      <c r="Y4165" s="18"/>
      <c r="Z4165" s="18"/>
    </row>
    <row r="4166" ht="15.75" customHeight="1">
      <c r="A4166" s="32"/>
      <c r="B4166" s="22"/>
      <c r="C4166" s="22"/>
      <c r="D4166" s="22"/>
      <c r="E4166" s="22"/>
      <c r="F4166" s="22"/>
      <c r="G4166" s="22"/>
      <c r="H4166" s="18"/>
      <c r="I4166" s="18"/>
      <c r="J4166" s="18"/>
      <c r="K4166" s="18"/>
      <c r="L4166" s="18"/>
      <c r="M4166" s="18"/>
      <c r="N4166" s="18"/>
      <c r="O4166" s="18"/>
      <c r="P4166" s="18"/>
      <c r="Q4166" s="19"/>
      <c r="R4166" s="19"/>
      <c r="S4166" s="19"/>
      <c r="T4166" s="18"/>
      <c r="U4166" s="18"/>
      <c r="V4166" s="18"/>
      <c r="W4166" s="18"/>
      <c r="X4166" s="18"/>
      <c r="Y4166" s="18"/>
      <c r="Z4166" s="18"/>
    </row>
    <row r="4167" ht="15.75" customHeight="1">
      <c r="A4167" s="32"/>
      <c r="B4167" s="22"/>
      <c r="C4167" s="22"/>
      <c r="D4167" s="22"/>
      <c r="E4167" s="22"/>
      <c r="F4167" s="22"/>
      <c r="G4167" s="22"/>
      <c r="H4167" s="18"/>
      <c r="I4167" s="18"/>
      <c r="J4167" s="18"/>
      <c r="K4167" s="18"/>
      <c r="L4167" s="18"/>
      <c r="M4167" s="18"/>
      <c r="N4167" s="18"/>
      <c r="O4167" s="18"/>
      <c r="P4167" s="18"/>
      <c r="Q4167" s="19"/>
      <c r="R4167" s="19"/>
      <c r="S4167" s="19"/>
      <c r="T4167" s="18"/>
      <c r="U4167" s="18"/>
      <c r="V4167" s="18"/>
      <c r="W4167" s="18"/>
      <c r="X4167" s="18"/>
      <c r="Y4167" s="18"/>
      <c r="Z4167" s="18"/>
    </row>
    <row r="4168" ht="15.75" customHeight="1">
      <c r="A4168" s="32"/>
      <c r="B4168" s="22"/>
      <c r="C4168" s="22"/>
      <c r="D4168" s="22"/>
      <c r="E4168" s="22"/>
      <c r="F4168" s="22"/>
      <c r="G4168" s="22"/>
      <c r="H4168" s="18"/>
      <c r="I4168" s="18"/>
      <c r="J4168" s="18"/>
      <c r="K4168" s="18"/>
      <c r="L4168" s="18"/>
      <c r="M4168" s="18"/>
      <c r="N4168" s="18"/>
      <c r="O4168" s="18"/>
      <c r="P4168" s="18"/>
      <c r="Q4168" s="19"/>
      <c r="R4168" s="19"/>
      <c r="S4168" s="19"/>
      <c r="T4168" s="18"/>
      <c r="U4168" s="18"/>
      <c r="V4168" s="18"/>
      <c r="W4168" s="18"/>
      <c r="X4168" s="18"/>
      <c r="Y4168" s="18"/>
      <c r="Z4168" s="18"/>
    </row>
    <row r="4169" ht="15.75" customHeight="1">
      <c r="A4169" s="32"/>
      <c r="B4169" s="22"/>
      <c r="C4169" s="22"/>
      <c r="D4169" s="22"/>
      <c r="E4169" s="22"/>
      <c r="F4169" s="22"/>
      <c r="G4169" s="22"/>
      <c r="H4169" s="18"/>
      <c r="I4169" s="18"/>
      <c r="J4169" s="18"/>
      <c r="K4169" s="18"/>
      <c r="L4169" s="18"/>
      <c r="M4169" s="18"/>
      <c r="N4169" s="18"/>
      <c r="O4169" s="18"/>
      <c r="P4169" s="18"/>
      <c r="Q4169" s="19"/>
      <c r="R4169" s="19"/>
      <c r="S4169" s="19"/>
      <c r="T4169" s="18"/>
      <c r="U4169" s="18"/>
      <c r="V4169" s="18"/>
      <c r="W4169" s="18"/>
      <c r="X4169" s="18"/>
      <c r="Y4169" s="18"/>
      <c r="Z4169" s="18"/>
    </row>
    <row r="4170" ht="15.75" customHeight="1">
      <c r="A4170" s="32"/>
      <c r="B4170" s="22"/>
      <c r="C4170" s="22"/>
      <c r="D4170" s="22"/>
      <c r="E4170" s="22"/>
      <c r="F4170" s="22"/>
      <c r="G4170" s="22"/>
      <c r="H4170" s="18"/>
      <c r="I4170" s="18"/>
      <c r="J4170" s="18"/>
      <c r="K4170" s="18"/>
      <c r="L4170" s="18"/>
      <c r="M4170" s="18"/>
      <c r="N4170" s="18"/>
      <c r="O4170" s="18"/>
      <c r="P4170" s="18"/>
      <c r="Q4170" s="19"/>
      <c r="R4170" s="19"/>
      <c r="S4170" s="19"/>
      <c r="T4170" s="18"/>
      <c r="U4170" s="18"/>
      <c r="V4170" s="18"/>
      <c r="W4170" s="18"/>
      <c r="X4170" s="18"/>
      <c r="Y4170" s="18"/>
      <c r="Z4170" s="18"/>
    </row>
    <row r="4171" ht="15.75" customHeight="1">
      <c r="A4171" s="32"/>
      <c r="B4171" s="22"/>
      <c r="C4171" s="22"/>
      <c r="D4171" s="22"/>
      <c r="E4171" s="22"/>
      <c r="F4171" s="22"/>
      <c r="G4171" s="22"/>
      <c r="H4171" s="18"/>
      <c r="I4171" s="18"/>
      <c r="J4171" s="18"/>
      <c r="K4171" s="18"/>
      <c r="L4171" s="18"/>
      <c r="M4171" s="18"/>
      <c r="N4171" s="18"/>
      <c r="O4171" s="18"/>
      <c r="P4171" s="18"/>
      <c r="Q4171" s="19"/>
      <c r="R4171" s="19"/>
      <c r="S4171" s="19"/>
      <c r="T4171" s="18"/>
      <c r="U4171" s="18"/>
      <c r="V4171" s="18"/>
      <c r="W4171" s="18"/>
      <c r="X4171" s="18"/>
      <c r="Y4171" s="18"/>
      <c r="Z4171" s="18"/>
    </row>
    <row r="4172" ht="15.75" customHeight="1">
      <c r="A4172" s="32"/>
      <c r="B4172" s="22"/>
      <c r="C4172" s="22"/>
      <c r="D4172" s="22"/>
      <c r="E4172" s="22"/>
      <c r="F4172" s="22"/>
      <c r="G4172" s="22"/>
      <c r="H4172" s="18"/>
      <c r="I4172" s="18"/>
      <c r="J4172" s="18"/>
      <c r="K4172" s="18"/>
      <c r="L4172" s="18"/>
      <c r="M4172" s="18"/>
      <c r="N4172" s="18"/>
      <c r="O4172" s="18"/>
      <c r="P4172" s="18"/>
      <c r="Q4172" s="19"/>
      <c r="R4172" s="19"/>
      <c r="S4172" s="19"/>
      <c r="T4172" s="18"/>
      <c r="U4172" s="18"/>
      <c r="V4172" s="18"/>
      <c r="W4172" s="18"/>
      <c r="X4172" s="18"/>
      <c r="Y4172" s="18"/>
      <c r="Z4172" s="18"/>
    </row>
    <row r="4173" ht="15.75" customHeight="1">
      <c r="A4173" s="32"/>
      <c r="B4173" s="22"/>
      <c r="C4173" s="22"/>
      <c r="D4173" s="22"/>
      <c r="E4173" s="22"/>
      <c r="F4173" s="22"/>
      <c r="G4173" s="22"/>
      <c r="H4173" s="18"/>
      <c r="I4173" s="18"/>
      <c r="J4173" s="18"/>
      <c r="K4173" s="18"/>
      <c r="L4173" s="18"/>
      <c r="M4173" s="18"/>
      <c r="N4173" s="18"/>
      <c r="O4173" s="18"/>
      <c r="P4173" s="18"/>
      <c r="Q4173" s="19"/>
      <c r="R4173" s="19"/>
      <c r="S4173" s="19"/>
      <c r="T4173" s="18"/>
      <c r="U4173" s="18"/>
      <c r="V4173" s="18"/>
      <c r="W4173" s="18"/>
      <c r="X4173" s="18"/>
      <c r="Y4173" s="18"/>
      <c r="Z4173" s="18"/>
    </row>
    <row r="4174" ht="15.75" customHeight="1">
      <c r="A4174" s="32"/>
      <c r="B4174" s="22"/>
      <c r="C4174" s="22"/>
      <c r="D4174" s="22"/>
      <c r="E4174" s="22"/>
      <c r="F4174" s="22"/>
      <c r="G4174" s="22"/>
      <c r="H4174" s="18"/>
      <c r="I4174" s="18"/>
      <c r="J4174" s="18"/>
      <c r="K4174" s="18"/>
      <c r="L4174" s="18"/>
      <c r="M4174" s="18"/>
      <c r="N4174" s="18"/>
      <c r="O4174" s="18"/>
      <c r="P4174" s="18"/>
      <c r="Q4174" s="19"/>
      <c r="R4174" s="19"/>
      <c r="S4174" s="19"/>
      <c r="T4174" s="18"/>
      <c r="U4174" s="18"/>
      <c r="V4174" s="18"/>
      <c r="W4174" s="18"/>
      <c r="X4174" s="18"/>
      <c r="Y4174" s="18"/>
      <c r="Z4174" s="18"/>
    </row>
    <row r="4175" ht="15.75" customHeight="1">
      <c r="A4175" s="32"/>
      <c r="B4175" s="22"/>
      <c r="C4175" s="22"/>
      <c r="D4175" s="22"/>
      <c r="E4175" s="22"/>
      <c r="F4175" s="22"/>
      <c r="G4175" s="22"/>
      <c r="H4175" s="18"/>
      <c r="I4175" s="18"/>
      <c r="J4175" s="18"/>
      <c r="K4175" s="18"/>
      <c r="L4175" s="18"/>
      <c r="M4175" s="18"/>
      <c r="N4175" s="18"/>
      <c r="O4175" s="18"/>
      <c r="P4175" s="18"/>
      <c r="Q4175" s="19"/>
      <c r="R4175" s="19"/>
      <c r="S4175" s="19"/>
      <c r="T4175" s="18"/>
      <c r="U4175" s="18"/>
      <c r="V4175" s="18"/>
      <c r="W4175" s="18"/>
      <c r="X4175" s="18"/>
      <c r="Y4175" s="18"/>
      <c r="Z4175" s="18"/>
    </row>
    <row r="4176" ht="15.75" customHeight="1">
      <c r="A4176" s="32"/>
      <c r="B4176" s="22"/>
      <c r="C4176" s="22"/>
      <c r="D4176" s="22"/>
      <c r="E4176" s="22"/>
      <c r="F4176" s="22"/>
      <c r="G4176" s="22"/>
      <c r="H4176" s="18"/>
      <c r="I4176" s="18"/>
      <c r="J4176" s="18"/>
      <c r="K4176" s="18"/>
      <c r="L4176" s="18"/>
      <c r="M4176" s="18"/>
      <c r="N4176" s="18"/>
      <c r="O4176" s="18"/>
      <c r="P4176" s="18"/>
      <c r="Q4176" s="19"/>
      <c r="R4176" s="19"/>
      <c r="S4176" s="19"/>
      <c r="T4176" s="18"/>
      <c r="U4176" s="18"/>
      <c r="V4176" s="18"/>
      <c r="W4176" s="18"/>
      <c r="X4176" s="18"/>
      <c r="Y4176" s="18"/>
      <c r="Z4176" s="18"/>
    </row>
    <row r="4177" ht="15.75" customHeight="1">
      <c r="A4177" s="32"/>
      <c r="B4177" s="22"/>
      <c r="C4177" s="22"/>
      <c r="D4177" s="22"/>
      <c r="E4177" s="22"/>
      <c r="F4177" s="22"/>
      <c r="G4177" s="22"/>
      <c r="H4177" s="18"/>
      <c r="I4177" s="18"/>
      <c r="J4177" s="18"/>
      <c r="K4177" s="18"/>
      <c r="L4177" s="18"/>
      <c r="M4177" s="18"/>
      <c r="N4177" s="18"/>
      <c r="O4177" s="18"/>
      <c r="P4177" s="18"/>
      <c r="Q4177" s="19"/>
      <c r="R4177" s="19"/>
      <c r="S4177" s="19"/>
      <c r="T4177" s="18"/>
      <c r="U4177" s="18"/>
      <c r="V4177" s="18"/>
      <c r="W4177" s="18"/>
      <c r="X4177" s="18"/>
      <c r="Y4177" s="18"/>
      <c r="Z4177" s="18"/>
    </row>
    <row r="4178" ht="15.75" customHeight="1">
      <c r="A4178" s="32"/>
      <c r="B4178" s="22"/>
      <c r="C4178" s="22"/>
      <c r="D4178" s="22"/>
      <c r="E4178" s="22"/>
      <c r="F4178" s="22"/>
      <c r="G4178" s="22"/>
      <c r="H4178" s="18"/>
      <c r="I4178" s="18"/>
      <c r="J4178" s="18"/>
      <c r="K4178" s="18"/>
      <c r="L4178" s="18"/>
      <c r="M4178" s="18"/>
      <c r="N4178" s="18"/>
      <c r="O4178" s="18"/>
      <c r="P4178" s="18"/>
      <c r="Q4178" s="19"/>
      <c r="R4178" s="19"/>
      <c r="S4178" s="19"/>
      <c r="T4178" s="18"/>
      <c r="U4178" s="18"/>
      <c r="V4178" s="18"/>
      <c r="W4178" s="18"/>
      <c r="X4178" s="18"/>
      <c r="Y4178" s="18"/>
      <c r="Z4178" s="18"/>
    </row>
    <row r="4179" ht="15.75" customHeight="1">
      <c r="A4179" s="32"/>
      <c r="B4179" s="22"/>
      <c r="C4179" s="22"/>
      <c r="D4179" s="22"/>
      <c r="E4179" s="22"/>
      <c r="F4179" s="22"/>
      <c r="G4179" s="22"/>
      <c r="H4179" s="18"/>
      <c r="I4179" s="18"/>
      <c r="J4179" s="18"/>
      <c r="K4179" s="18"/>
      <c r="L4179" s="18"/>
      <c r="M4179" s="18"/>
      <c r="N4179" s="18"/>
      <c r="O4179" s="18"/>
      <c r="P4179" s="18"/>
      <c r="Q4179" s="19"/>
      <c r="R4179" s="19"/>
      <c r="S4179" s="19"/>
      <c r="T4179" s="18"/>
      <c r="U4179" s="18"/>
      <c r="V4179" s="18"/>
      <c r="W4179" s="18"/>
      <c r="X4179" s="18"/>
      <c r="Y4179" s="18"/>
      <c r="Z4179" s="18"/>
    </row>
    <row r="4180" ht="15.75" customHeight="1">
      <c r="A4180" s="32"/>
      <c r="B4180" s="22"/>
      <c r="C4180" s="22"/>
      <c r="D4180" s="22"/>
      <c r="E4180" s="22"/>
      <c r="F4180" s="22"/>
      <c r="G4180" s="22"/>
      <c r="H4180" s="18"/>
      <c r="I4180" s="18"/>
      <c r="J4180" s="18"/>
      <c r="K4180" s="18"/>
      <c r="L4180" s="18"/>
      <c r="M4180" s="18"/>
      <c r="N4180" s="18"/>
      <c r="O4180" s="18"/>
      <c r="P4180" s="18"/>
      <c r="Q4180" s="19"/>
      <c r="R4180" s="19"/>
      <c r="S4180" s="19"/>
      <c r="T4180" s="18"/>
      <c r="U4180" s="18"/>
      <c r="V4180" s="18"/>
      <c r="W4180" s="18"/>
      <c r="X4180" s="18"/>
      <c r="Y4180" s="18"/>
      <c r="Z4180" s="18"/>
    </row>
    <row r="4181" ht="15.75" customHeight="1">
      <c r="A4181" s="32"/>
      <c r="B4181" s="22"/>
      <c r="C4181" s="22"/>
      <c r="D4181" s="22"/>
      <c r="E4181" s="22"/>
      <c r="F4181" s="22"/>
      <c r="G4181" s="22"/>
      <c r="H4181" s="18"/>
      <c r="I4181" s="18"/>
      <c r="J4181" s="18"/>
      <c r="K4181" s="18"/>
      <c r="L4181" s="18"/>
      <c r="M4181" s="18"/>
      <c r="N4181" s="18"/>
      <c r="O4181" s="18"/>
      <c r="P4181" s="18"/>
      <c r="Q4181" s="19"/>
      <c r="R4181" s="19"/>
      <c r="S4181" s="19"/>
      <c r="T4181" s="18"/>
      <c r="U4181" s="18"/>
      <c r="V4181" s="18"/>
      <c r="W4181" s="18"/>
      <c r="X4181" s="18"/>
      <c r="Y4181" s="18"/>
      <c r="Z4181" s="18"/>
    </row>
    <row r="4182" ht="15.75" customHeight="1">
      <c r="A4182" s="32"/>
      <c r="B4182" s="22"/>
      <c r="C4182" s="22"/>
      <c r="D4182" s="22"/>
      <c r="E4182" s="22"/>
      <c r="F4182" s="22"/>
      <c r="G4182" s="22"/>
      <c r="H4182" s="18"/>
      <c r="I4182" s="18"/>
      <c r="J4182" s="18"/>
      <c r="K4182" s="18"/>
      <c r="L4182" s="18"/>
      <c r="M4182" s="18"/>
      <c r="N4182" s="18"/>
      <c r="O4182" s="18"/>
      <c r="P4182" s="18"/>
      <c r="Q4182" s="19"/>
      <c r="R4182" s="19"/>
      <c r="S4182" s="19"/>
      <c r="T4182" s="18"/>
      <c r="U4182" s="18"/>
      <c r="V4182" s="18"/>
      <c r="W4182" s="18"/>
      <c r="X4182" s="18"/>
      <c r="Y4182" s="18"/>
      <c r="Z4182" s="18"/>
    </row>
    <row r="4183" ht="15.75" customHeight="1">
      <c r="A4183" s="32"/>
      <c r="B4183" s="22"/>
      <c r="C4183" s="22"/>
      <c r="D4183" s="22"/>
      <c r="E4183" s="22"/>
      <c r="F4183" s="22"/>
      <c r="G4183" s="22"/>
      <c r="H4183" s="18"/>
      <c r="I4183" s="18"/>
      <c r="J4183" s="18"/>
      <c r="K4183" s="18"/>
      <c r="L4183" s="18"/>
      <c r="M4183" s="18"/>
      <c r="N4183" s="18"/>
      <c r="O4183" s="18"/>
      <c r="P4183" s="18"/>
      <c r="Q4183" s="19"/>
      <c r="R4183" s="19"/>
      <c r="S4183" s="19"/>
      <c r="T4183" s="18"/>
      <c r="U4183" s="18"/>
      <c r="V4183" s="18"/>
      <c r="W4183" s="18"/>
      <c r="X4183" s="18"/>
      <c r="Y4183" s="18"/>
      <c r="Z4183" s="18"/>
    </row>
    <row r="4184" ht="15.75" customHeight="1">
      <c r="A4184" s="32"/>
      <c r="B4184" s="22"/>
      <c r="C4184" s="22"/>
      <c r="D4184" s="22"/>
      <c r="E4184" s="22"/>
      <c r="F4184" s="22"/>
      <c r="G4184" s="22"/>
      <c r="H4184" s="18"/>
      <c r="I4184" s="18"/>
      <c r="J4184" s="18"/>
      <c r="K4184" s="18"/>
      <c r="L4184" s="18"/>
      <c r="M4184" s="18"/>
      <c r="N4184" s="18"/>
      <c r="O4184" s="18"/>
      <c r="P4184" s="18"/>
      <c r="Q4184" s="19"/>
      <c r="R4184" s="19"/>
      <c r="S4184" s="19"/>
      <c r="T4184" s="18"/>
      <c r="U4184" s="18"/>
      <c r="V4184" s="18"/>
      <c r="W4184" s="18"/>
      <c r="X4184" s="18"/>
      <c r="Y4184" s="18"/>
      <c r="Z4184" s="18"/>
    </row>
    <row r="4185" ht="15.75" customHeight="1">
      <c r="A4185" s="32"/>
      <c r="B4185" s="22"/>
      <c r="C4185" s="22"/>
      <c r="D4185" s="22"/>
      <c r="E4185" s="22"/>
      <c r="F4185" s="22"/>
      <c r="G4185" s="22"/>
      <c r="H4185" s="18"/>
      <c r="I4185" s="18"/>
      <c r="J4185" s="18"/>
      <c r="K4185" s="18"/>
      <c r="L4185" s="18"/>
      <c r="M4185" s="18"/>
      <c r="N4185" s="18"/>
      <c r="O4185" s="18"/>
      <c r="P4185" s="18"/>
      <c r="Q4185" s="19"/>
      <c r="R4185" s="19"/>
      <c r="S4185" s="19"/>
      <c r="T4185" s="18"/>
      <c r="U4185" s="18"/>
      <c r="V4185" s="18"/>
      <c r="W4185" s="18"/>
      <c r="X4185" s="18"/>
      <c r="Y4185" s="18"/>
      <c r="Z4185" s="18"/>
    </row>
    <row r="4186" ht="15.75" customHeight="1">
      <c r="A4186" s="32"/>
      <c r="B4186" s="22"/>
      <c r="C4186" s="22"/>
      <c r="D4186" s="22"/>
      <c r="E4186" s="22"/>
      <c r="F4186" s="22"/>
      <c r="G4186" s="22"/>
      <c r="H4186" s="18"/>
      <c r="I4186" s="18"/>
      <c r="J4186" s="18"/>
      <c r="K4186" s="18"/>
      <c r="L4186" s="18"/>
      <c r="M4186" s="18"/>
      <c r="N4186" s="18"/>
      <c r="O4186" s="18"/>
      <c r="P4186" s="18"/>
      <c r="Q4186" s="19"/>
      <c r="R4186" s="19"/>
      <c r="S4186" s="19"/>
      <c r="T4186" s="18"/>
      <c r="U4186" s="18"/>
      <c r="V4186" s="18"/>
      <c r="W4186" s="18"/>
      <c r="X4186" s="18"/>
      <c r="Y4186" s="18"/>
      <c r="Z4186" s="18"/>
    </row>
    <row r="4187" ht="15.75" customHeight="1">
      <c r="A4187" s="32"/>
      <c r="B4187" s="22"/>
      <c r="C4187" s="22"/>
      <c r="D4187" s="22"/>
      <c r="E4187" s="22"/>
      <c r="F4187" s="22"/>
      <c r="G4187" s="22"/>
      <c r="H4187" s="18"/>
      <c r="I4187" s="18"/>
      <c r="J4187" s="18"/>
      <c r="K4187" s="18"/>
      <c r="L4187" s="18"/>
      <c r="M4187" s="18"/>
      <c r="N4187" s="18"/>
      <c r="O4187" s="18"/>
      <c r="P4187" s="18"/>
      <c r="Q4187" s="19"/>
      <c r="R4187" s="19"/>
      <c r="S4187" s="19"/>
      <c r="T4187" s="18"/>
      <c r="U4187" s="18"/>
      <c r="V4187" s="18"/>
      <c r="W4187" s="18"/>
      <c r="X4187" s="18"/>
      <c r="Y4187" s="18"/>
      <c r="Z4187" s="18"/>
    </row>
    <row r="4188" ht="15.75" customHeight="1">
      <c r="A4188" s="32"/>
      <c r="B4188" s="22"/>
      <c r="C4188" s="22"/>
      <c r="D4188" s="22"/>
      <c r="E4188" s="22"/>
      <c r="F4188" s="22"/>
      <c r="G4188" s="22"/>
      <c r="H4188" s="18"/>
      <c r="I4188" s="18"/>
      <c r="J4188" s="18"/>
      <c r="K4188" s="18"/>
      <c r="L4188" s="18"/>
      <c r="M4188" s="18"/>
      <c r="N4188" s="18"/>
      <c r="O4188" s="18"/>
      <c r="P4188" s="18"/>
      <c r="Q4188" s="19"/>
      <c r="R4188" s="19"/>
      <c r="S4188" s="19"/>
      <c r="T4188" s="18"/>
      <c r="U4188" s="18"/>
      <c r="V4188" s="18"/>
      <c r="W4188" s="18"/>
      <c r="X4188" s="18"/>
      <c r="Y4188" s="18"/>
      <c r="Z4188" s="18"/>
    </row>
    <row r="4189" ht="15.75" customHeight="1">
      <c r="A4189" s="32"/>
      <c r="B4189" s="22"/>
      <c r="C4189" s="22"/>
      <c r="D4189" s="22"/>
      <c r="E4189" s="22"/>
      <c r="F4189" s="22"/>
      <c r="G4189" s="22"/>
      <c r="H4189" s="18"/>
      <c r="I4189" s="18"/>
      <c r="J4189" s="18"/>
      <c r="K4189" s="18"/>
      <c r="L4189" s="18"/>
      <c r="M4189" s="18"/>
      <c r="N4189" s="18"/>
      <c r="O4189" s="18"/>
      <c r="P4189" s="18"/>
      <c r="Q4189" s="19"/>
      <c r="R4189" s="19"/>
      <c r="S4189" s="19"/>
      <c r="T4189" s="18"/>
      <c r="U4189" s="18"/>
      <c r="V4189" s="18"/>
      <c r="W4189" s="18"/>
      <c r="X4189" s="18"/>
      <c r="Y4189" s="18"/>
      <c r="Z4189" s="18"/>
    </row>
    <row r="4190" ht="15.75" customHeight="1">
      <c r="A4190" s="32"/>
      <c r="B4190" s="22"/>
      <c r="C4190" s="22"/>
      <c r="D4190" s="22"/>
      <c r="E4190" s="22"/>
      <c r="F4190" s="22"/>
      <c r="G4190" s="22"/>
      <c r="H4190" s="18"/>
      <c r="I4190" s="18"/>
      <c r="J4190" s="18"/>
      <c r="K4190" s="18"/>
      <c r="L4190" s="18"/>
      <c r="M4190" s="18"/>
      <c r="N4190" s="18"/>
      <c r="O4190" s="18"/>
      <c r="P4190" s="18"/>
      <c r="Q4190" s="19"/>
      <c r="R4190" s="19"/>
      <c r="S4190" s="19"/>
      <c r="T4190" s="18"/>
      <c r="U4190" s="18"/>
      <c r="V4190" s="18"/>
      <c r="W4190" s="18"/>
      <c r="X4190" s="18"/>
      <c r="Y4190" s="18"/>
      <c r="Z4190" s="18"/>
    </row>
    <row r="4191" ht="15.75" customHeight="1">
      <c r="A4191" s="32"/>
      <c r="B4191" s="22"/>
      <c r="C4191" s="22"/>
      <c r="D4191" s="22"/>
      <c r="E4191" s="22"/>
      <c r="F4191" s="22"/>
      <c r="G4191" s="22"/>
      <c r="H4191" s="18"/>
      <c r="I4191" s="18"/>
      <c r="J4191" s="18"/>
      <c r="K4191" s="18"/>
      <c r="L4191" s="18"/>
      <c r="M4191" s="18"/>
      <c r="N4191" s="18"/>
      <c r="O4191" s="18"/>
      <c r="P4191" s="18"/>
      <c r="Q4191" s="19"/>
      <c r="R4191" s="19"/>
      <c r="S4191" s="19"/>
      <c r="T4191" s="18"/>
      <c r="U4191" s="18"/>
      <c r="V4191" s="18"/>
      <c r="W4191" s="18"/>
      <c r="X4191" s="18"/>
      <c r="Y4191" s="18"/>
      <c r="Z4191" s="18"/>
    </row>
    <row r="4192" ht="15.75" customHeight="1">
      <c r="A4192" s="32"/>
      <c r="B4192" s="22"/>
      <c r="C4192" s="22"/>
      <c r="D4192" s="22"/>
      <c r="E4192" s="22"/>
      <c r="F4192" s="22"/>
      <c r="G4192" s="22"/>
      <c r="H4192" s="18"/>
      <c r="I4192" s="18"/>
      <c r="J4192" s="18"/>
      <c r="K4192" s="18"/>
      <c r="L4192" s="18"/>
      <c r="M4192" s="18"/>
      <c r="N4192" s="18"/>
      <c r="O4192" s="18"/>
      <c r="P4192" s="18"/>
      <c r="Q4192" s="19"/>
      <c r="R4192" s="19"/>
      <c r="S4192" s="19"/>
      <c r="T4192" s="18"/>
      <c r="U4192" s="18"/>
      <c r="V4192" s="18"/>
      <c r="W4192" s="18"/>
      <c r="X4192" s="18"/>
      <c r="Y4192" s="18"/>
      <c r="Z4192" s="18"/>
    </row>
    <row r="4193" ht="15.75" customHeight="1">
      <c r="A4193" s="32"/>
      <c r="B4193" s="22"/>
      <c r="C4193" s="22"/>
      <c r="D4193" s="22"/>
      <c r="E4193" s="22"/>
      <c r="F4193" s="22"/>
      <c r="G4193" s="22"/>
      <c r="H4193" s="18"/>
      <c r="I4193" s="18"/>
      <c r="J4193" s="18"/>
      <c r="K4193" s="18"/>
      <c r="L4193" s="18"/>
      <c r="M4193" s="18"/>
      <c r="N4193" s="18"/>
      <c r="O4193" s="18"/>
      <c r="P4193" s="18"/>
      <c r="Q4193" s="19"/>
      <c r="R4193" s="19"/>
      <c r="S4193" s="19"/>
      <c r="T4193" s="18"/>
      <c r="U4193" s="18"/>
      <c r="V4193" s="18"/>
      <c r="W4193" s="18"/>
      <c r="X4193" s="18"/>
      <c r="Y4193" s="18"/>
      <c r="Z4193" s="18"/>
    </row>
    <row r="4194" ht="15.75" customHeight="1">
      <c r="A4194" s="32"/>
      <c r="B4194" s="22"/>
      <c r="C4194" s="22"/>
      <c r="D4194" s="22"/>
      <c r="E4194" s="22"/>
      <c r="F4194" s="22"/>
      <c r="G4194" s="22"/>
      <c r="H4194" s="18"/>
      <c r="I4194" s="18"/>
      <c r="J4194" s="18"/>
      <c r="K4194" s="18"/>
      <c r="L4194" s="18"/>
      <c r="M4194" s="18"/>
      <c r="N4194" s="18"/>
      <c r="O4194" s="18"/>
      <c r="P4194" s="18"/>
      <c r="Q4194" s="19"/>
      <c r="R4194" s="19"/>
      <c r="S4194" s="19"/>
      <c r="T4194" s="18"/>
      <c r="U4194" s="18"/>
      <c r="V4194" s="18"/>
      <c r="W4194" s="18"/>
      <c r="X4194" s="18"/>
      <c r="Y4194" s="18"/>
      <c r="Z4194" s="18"/>
    </row>
    <row r="4195" ht="15.75" customHeight="1">
      <c r="A4195" s="32"/>
      <c r="B4195" s="22"/>
      <c r="C4195" s="22"/>
      <c r="D4195" s="22"/>
      <c r="E4195" s="22"/>
      <c r="F4195" s="22"/>
      <c r="G4195" s="22"/>
      <c r="H4195" s="18"/>
      <c r="I4195" s="18"/>
      <c r="J4195" s="18"/>
      <c r="K4195" s="18"/>
      <c r="L4195" s="18"/>
      <c r="M4195" s="18"/>
      <c r="N4195" s="18"/>
      <c r="O4195" s="18"/>
      <c r="P4195" s="18"/>
      <c r="Q4195" s="19"/>
      <c r="R4195" s="19"/>
      <c r="S4195" s="19"/>
      <c r="T4195" s="18"/>
      <c r="U4195" s="18"/>
      <c r="V4195" s="18"/>
      <c r="W4195" s="18"/>
      <c r="X4195" s="18"/>
      <c r="Y4195" s="18"/>
      <c r="Z4195" s="18"/>
    </row>
    <row r="4196" ht="15.75" customHeight="1">
      <c r="A4196" s="32"/>
      <c r="B4196" s="22"/>
      <c r="C4196" s="22"/>
      <c r="D4196" s="22"/>
      <c r="E4196" s="22"/>
      <c r="F4196" s="22"/>
      <c r="G4196" s="22"/>
      <c r="H4196" s="18"/>
      <c r="I4196" s="18"/>
      <c r="J4196" s="18"/>
      <c r="K4196" s="18"/>
      <c r="L4196" s="18"/>
      <c r="M4196" s="18"/>
      <c r="N4196" s="18"/>
      <c r="O4196" s="18"/>
      <c r="P4196" s="18"/>
      <c r="Q4196" s="19"/>
      <c r="R4196" s="19"/>
      <c r="S4196" s="19"/>
      <c r="T4196" s="18"/>
      <c r="U4196" s="18"/>
      <c r="V4196" s="18"/>
      <c r="W4196" s="18"/>
      <c r="X4196" s="18"/>
      <c r="Y4196" s="18"/>
      <c r="Z4196" s="18"/>
    </row>
    <row r="4197" ht="15.75" customHeight="1">
      <c r="A4197" s="32"/>
      <c r="B4197" s="22"/>
      <c r="C4197" s="22"/>
      <c r="D4197" s="22"/>
      <c r="E4197" s="22"/>
      <c r="F4197" s="22"/>
      <c r="G4197" s="22"/>
      <c r="H4197" s="18"/>
      <c r="I4197" s="18"/>
      <c r="J4197" s="18"/>
      <c r="K4197" s="18"/>
      <c r="L4197" s="18"/>
      <c r="M4197" s="18"/>
      <c r="N4197" s="18"/>
      <c r="O4197" s="18"/>
      <c r="P4197" s="18"/>
      <c r="Q4197" s="19"/>
      <c r="R4197" s="19"/>
      <c r="S4197" s="19"/>
      <c r="T4197" s="18"/>
      <c r="U4197" s="18"/>
      <c r="V4197" s="18"/>
      <c r="W4197" s="18"/>
      <c r="X4197" s="18"/>
      <c r="Y4197" s="18"/>
      <c r="Z4197" s="18"/>
    </row>
    <row r="4198" ht="15.75" customHeight="1">
      <c r="A4198" s="32"/>
      <c r="B4198" s="22"/>
      <c r="C4198" s="22"/>
      <c r="D4198" s="22"/>
      <c r="E4198" s="22"/>
      <c r="F4198" s="22"/>
      <c r="G4198" s="22"/>
      <c r="H4198" s="18"/>
      <c r="I4198" s="18"/>
      <c r="J4198" s="18"/>
      <c r="K4198" s="18"/>
      <c r="L4198" s="18"/>
      <c r="M4198" s="18"/>
      <c r="N4198" s="18"/>
      <c r="O4198" s="18"/>
      <c r="P4198" s="18"/>
      <c r="Q4198" s="19"/>
      <c r="R4198" s="19"/>
      <c r="S4198" s="19"/>
      <c r="T4198" s="18"/>
      <c r="U4198" s="18"/>
      <c r="V4198" s="18"/>
      <c r="W4198" s="18"/>
      <c r="X4198" s="18"/>
      <c r="Y4198" s="18"/>
      <c r="Z4198" s="18"/>
    </row>
    <row r="4199" ht="15.75" customHeight="1">
      <c r="A4199" s="32"/>
      <c r="B4199" s="22"/>
      <c r="C4199" s="22"/>
      <c r="D4199" s="22"/>
      <c r="E4199" s="22"/>
      <c r="F4199" s="22"/>
      <c r="G4199" s="22"/>
      <c r="H4199" s="18"/>
      <c r="I4199" s="18"/>
      <c r="J4199" s="18"/>
      <c r="K4199" s="18"/>
      <c r="L4199" s="18"/>
      <c r="M4199" s="18"/>
      <c r="N4199" s="18"/>
      <c r="O4199" s="18"/>
      <c r="P4199" s="18"/>
      <c r="Q4199" s="19"/>
      <c r="R4199" s="19"/>
      <c r="S4199" s="19"/>
      <c r="T4199" s="18"/>
      <c r="U4199" s="18"/>
      <c r="V4199" s="18"/>
      <c r="W4199" s="18"/>
      <c r="X4199" s="18"/>
      <c r="Y4199" s="18"/>
      <c r="Z4199" s="18"/>
    </row>
    <row r="4200" ht="15.75" customHeight="1">
      <c r="A4200" s="32"/>
      <c r="B4200" s="22"/>
      <c r="C4200" s="22"/>
      <c r="D4200" s="22"/>
      <c r="E4200" s="22"/>
      <c r="F4200" s="22"/>
      <c r="G4200" s="22"/>
      <c r="H4200" s="18"/>
      <c r="I4200" s="18"/>
      <c r="J4200" s="18"/>
      <c r="K4200" s="18"/>
      <c r="L4200" s="18"/>
      <c r="M4200" s="18"/>
      <c r="N4200" s="18"/>
      <c r="O4200" s="18"/>
      <c r="P4200" s="18"/>
      <c r="Q4200" s="19"/>
      <c r="R4200" s="19"/>
      <c r="S4200" s="19"/>
      <c r="T4200" s="18"/>
      <c r="U4200" s="18"/>
      <c r="V4200" s="18"/>
      <c r="W4200" s="18"/>
      <c r="X4200" s="18"/>
      <c r="Y4200" s="18"/>
      <c r="Z4200" s="18"/>
    </row>
    <row r="4201" ht="15.75" customHeight="1">
      <c r="A4201" s="32"/>
      <c r="B4201" s="22"/>
      <c r="C4201" s="22"/>
      <c r="D4201" s="22"/>
      <c r="E4201" s="22"/>
      <c r="F4201" s="22"/>
      <c r="G4201" s="22"/>
      <c r="H4201" s="18"/>
      <c r="I4201" s="18"/>
      <c r="J4201" s="18"/>
      <c r="K4201" s="18"/>
      <c r="L4201" s="18"/>
      <c r="M4201" s="18"/>
      <c r="N4201" s="18"/>
      <c r="O4201" s="18"/>
      <c r="P4201" s="18"/>
      <c r="Q4201" s="19"/>
      <c r="R4201" s="19"/>
      <c r="S4201" s="19"/>
      <c r="T4201" s="18"/>
      <c r="U4201" s="18"/>
      <c r="V4201" s="18"/>
      <c r="W4201" s="18"/>
      <c r="X4201" s="18"/>
      <c r="Y4201" s="18"/>
      <c r="Z4201" s="18"/>
    </row>
    <row r="4202" ht="15.75" customHeight="1">
      <c r="A4202" s="32"/>
      <c r="B4202" s="22"/>
      <c r="C4202" s="22"/>
      <c r="D4202" s="22"/>
      <c r="E4202" s="22"/>
      <c r="F4202" s="22"/>
      <c r="G4202" s="22"/>
      <c r="H4202" s="18"/>
      <c r="I4202" s="18"/>
      <c r="J4202" s="18"/>
      <c r="K4202" s="18"/>
      <c r="L4202" s="18"/>
      <c r="M4202" s="18"/>
      <c r="N4202" s="18"/>
      <c r="O4202" s="18"/>
      <c r="P4202" s="18"/>
      <c r="Q4202" s="19"/>
      <c r="R4202" s="19"/>
      <c r="S4202" s="19"/>
      <c r="T4202" s="18"/>
      <c r="U4202" s="18"/>
      <c r="V4202" s="18"/>
      <c r="W4202" s="18"/>
      <c r="X4202" s="18"/>
      <c r="Y4202" s="18"/>
      <c r="Z4202" s="18"/>
    </row>
    <row r="4203" ht="15.75" customHeight="1">
      <c r="A4203" s="32"/>
      <c r="B4203" s="22"/>
      <c r="C4203" s="22"/>
      <c r="D4203" s="22"/>
      <c r="E4203" s="22"/>
      <c r="F4203" s="22"/>
      <c r="G4203" s="22"/>
      <c r="H4203" s="18"/>
      <c r="I4203" s="18"/>
      <c r="J4203" s="18"/>
      <c r="K4203" s="18"/>
      <c r="L4203" s="18"/>
      <c r="M4203" s="18"/>
      <c r="N4203" s="18"/>
      <c r="O4203" s="18"/>
      <c r="P4203" s="18"/>
      <c r="Q4203" s="19"/>
      <c r="R4203" s="19"/>
      <c r="S4203" s="19"/>
      <c r="T4203" s="18"/>
      <c r="U4203" s="18"/>
      <c r="V4203" s="18"/>
      <c r="W4203" s="18"/>
      <c r="X4203" s="18"/>
      <c r="Y4203" s="18"/>
      <c r="Z4203" s="18"/>
    </row>
    <row r="4204" ht="15.75" customHeight="1">
      <c r="A4204" s="32"/>
      <c r="B4204" s="22"/>
      <c r="C4204" s="22"/>
      <c r="D4204" s="22"/>
      <c r="E4204" s="22"/>
      <c r="F4204" s="22"/>
      <c r="G4204" s="22"/>
      <c r="H4204" s="18"/>
      <c r="I4204" s="18"/>
      <c r="J4204" s="18"/>
      <c r="K4204" s="18"/>
      <c r="L4204" s="18"/>
      <c r="M4204" s="18"/>
      <c r="N4204" s="18"/>
      <c r="O4204" s="18"/>
      <c r="P4204" s="18"/>
      <c r="Q4204" s="19"/>
      <c r="R4204" s="19"/>
      <c r="S4204" s="19"/>
      <c r="T4204" s="18"/>
      <c r="U4204" s="18"/>
      <c r="V4204" s="18"/>
      <c r="W4204" s="18"/>
      <c r="X4204" s="18"/>
      <c r="Y4204" s="18"/>
      <c r="Z4204" s="18"/>
    </row>
    <row r="4205" ht="15.75" customHeight="1">
      <c r="A4205" s="32"/>
      <c r="B4205" s="22"/>
      <c r="C4205" s="22"/>
      <c r="D4205" s="22"/>
      <c r="E4205" s="22"/>
      <c r="F4205" s="22"/>
      <c r="G4205" s="22"/>
      <c r="H4205" s="18"/>
      <c r="I4205" s="18"/>
      <c r="J4205" s="18"/>
      <c r="K4205" s="18"/>
      <c r="L4205" s="18"/>
      <c r="M4205" s="18"/>
      <c r="N4205" s="18"/>
      <c r="O4205" s="18"/>
      <c r="P4205" s="18"/>
      <c r="Q4205" s="19"/>
      <c r="R4205" s="19"/>
      <c r="S4205" s="19"/>
      <c r="T4205" s="18"/>
      <c r="U4205" s="18"/>
      <c r="V4205" s="18"/>
      <c r="W4205" s="18"/>
      <c r="X4205" s="18"/>
      <c r="Y4205" s="18"/>
      <c r="Z4205" s="18"/>
    </row>
    <row r="4206" ht="15.75" customHeight="1">
      <c r="A4206" s="32"/>
      <c r="B4206" s="22"/>
      <c r="C4206" s="22"/>
      <c r="D4206" s="22"/>
      <c r="E4206" s="22"/>
      <c r="F4206" s="22"/>
      <c r="G4206" s="22"/>
      <c r="H4206" s="18"/>
      <c r="I4206" s="18"/>
      <c r="J4206" s="18"/>
      <c r="K4206" s="18"/>
      <c r="L4206" s="18"/>
      <c r="M4206" s="18"/>
      <c r="N4206" s="18"/>
      <c r="O4206" s="18"/>
      <c r="P4206" s="18"/>
      <c r="Q4206" s="19"/>
      <c r="R4206" s="19"/>
      <c r="S4206" s="19"/>
      <c r="T4206" s="18"/>
      <c r="U4206" s="18"/>
      <c r="V4206" s="18"/>
      <c r="W4206" s="18"/>
      <c r="X4206" s="18"/>
      <c r="Y4206" s="18"/>
      <c r="Z4206" s="18"/>
    </row>
    <row r="4207" ht="15.75" customHeight="1">
      <c r="A4207" s="32"/>
      <c r="B4207" s="22"/>
      <c r="C4207" s="22"/>
      <c r="D4207" s="22"/>
      <c r="E4207" s="22"/>
      <c r="F4207" s="22"/>
      <c r="G4207" s="22"/>
      <c r="H4207" s="18"/>
      <c r="I4207" s="18"/>
      <c r="J4207" s="18"/>
      <c r="K4207" s="18"/>
      <c r="L4207" s="18"/>
      <c r="M4207" s="18"/>
      <c r="N4207" s="18"/>
      <c r="O4207" s="18"/>
      <c r="P4207" s="18"/>
      <c r="Q4207" s="19"/>
      <c r="R4207" s="19"/>
      <c r="S4207" s="19"/>
      <c r="T4207" s="18"/>
      <c r="U4207" s="18"/>
      <c r="V4207" s="18"/>
      <c r="W4207" s="18"/>
      <c r="X4207" s="18"/>
      <c r="Y4207" s="18"/>
      <c r="Z4207" s="18"/>
    </row>
    <row r="4208" ht="15.75" customHeight="1">
      <c r="A4208" s="32"/>
      <c r="B4208" s="22"/>
      <c r="C4208" s="22"/>
      <c r="D4208" s="22"/>
      <c r="E4208" s="22"/>
      <c r="F4208" s="22"/>
      <c r="G4208" s="22"/>
      <c r="H4208" s="18"/>
      <c r="I4208" s="18"/>
      <c r="J4208" s="18"/>
      <c r="K4208" s="18"/>
      <c r="L4208" s="18"/>
      <c r="M4208" s="18"/>
      <c r="N4208" s="18"/>
      <c r="O4208" s="18"/>
      <c r="P4208" s="18"/>
      <c r="Q4208" s="19"/>
      <c r="R4208" s="19"/>
      <c r="S4208" s="19"/>
      <c r="T4208" s="18"/>
      <c r="U4208" s="18"/>
      <c r="V4208" s="18"/>
      <c r="W4208" s="18"/>
      <c r="X4208" s="18"/>
      <c r="Y4208" s="18"/>
      <c r="Z4208" s="18"/>
    </row>
    <row r="4209" ht="15.75" customHeight="1">
      <c r="A4209" s="32"/>
      <c r="B4209" s="22"/>
      <c r="C4209" s="22"/>
      <c r="D4209" s="22"/>
      <c r="E4209" s="22"/>
      <c r="F4209" s="22"/>
      <c r="G4209" s="22"/>
      <c r="H4209" s="18"/>
      <c r="I4209" s="18"/>
      <c r="J4209" s="18"/>
      <c r="K4209" s="18"/>
      <c r="L4209" s="18"/>
      <c r="M4209" s="18"/>
      <c r="N4209" s="18"/>
      <c r="O4209" s="18"/>
      <c r="P4209" s="18"/>
      <c r="Q4209" s="19"/>
      <c r="R4209" s="19"/>
      <c r="S4209" s="19"/>
      <c r="T4209" s="18"/>
      <c r="U4209" s="18"/>
      <c r="V4209" s="18"/>
      <c r="W4209" s="18"/>
      <c r="X4209" s="18"/>
      <c r="Y4209" s="18"/>
      <c r="Z4209" s="18"/>
    </row>
    <row r="4210" ht="15.75" customHeight="1">
      <c r="A4210" s="32"/>
      <c r="B4210" s="22"/>
      <c r="C4210" s="22"/>
      <c r="D4210" s="22"/>
      <c r="E4210" s="22"/>
      <c r="F4210" s="22"/>
      <c r="G4210" s="22"/>
      <c r="H4210" s="18"/>
      <c r="I4210" s="18"/>
      <c r="J4210" s="18"/>
      <c r="K4210" s="18"/>
      <c r="L4210" s="18"/>
      <c r="M4210" s="18"/>
      <c r="N4210" s="18"/>
      <c r="O4210" s="18"/>
      <c r="P4210" s="18"/>
      <c r="Q4210" s="19"/>
      <c r="R4210" s="19"/>
      <c r="S4210" s="19"/>
      <c r="T4210" s="18"/>
      <c r="U4210" s="18"/>
      <c r="V4210" s="18"/>
      <c r="W4210" s="18"/>
      <c r="X4210" s="18"/>
      <c r="Y4210" s="18"/>
      <c r="Z4210" s="18"/>
    </row>
    <row r="4211" ht="15.75" customHeight="1">
      <c r="A4211" s="32"/>
      <c r="B4211" s="22"/>
      <c r="C4211" s="22"/>
      <c r="D4211" s="22"/>
      <c r="E4211" s="22"/>
      <c r="F4211" s="22"/>
      <c r="G4211" s="22"/>
      <c r="H4211" s="18"/>
      <c r="I4211" s="18"/>
      <c r="J4211" s="18"/>
      <c r="K4211" s="18"/>
      <c r="L4211" s="18"/>
      <c r="M4211" s="18"/>
      <c r="N4211" s="18"/>
      <c r="O4211" s="18"/>
      <c r="P4211" s="18"/>
      <c r="Q4211" s="19"/>
      <c r="R4211" s="19"/>
      <c r="S4211" s="19"/>
      <c r="T4211" s="18"/>
      <c r="U4211" s="18"/>
      <c r="V4211" s="18"/>
      <c r="W4211" s="18"/>
      <c r="X4211" s="18"/>
      <c r="Y4211" s="18"/>
      <c r="Z4211" s="18"/>
    </row>
    <row r="4212" ht="15.75" customHeight="1">
      <c r="A4212" s="32"/>
      <c r="B4212" s="22"/>
      <c r="C4212" s="22"/>
      <c r="D4212" s="22"/>
      <c r="E4212" s="22"/>
      <c r="F4212" s="22"/>
      <c r="G4212" s="22"/>
      <c r="H4212" s="18"/>
      <c r="I4212" s="18"/>
      <c r="J4212" s="18"/>
      <c r="K4212" s="18"/>
      <c r="L4212" s="18"/>
      <c r="M4212" s="18"/>
      <c r="N4212" s="18"/>
      <c r="O4212" s="18"/>
      <c r="P4212" s="18"/>
      <c r="Q4212" s="19"/>
      <c r="R4212" s="19"/>
      <c r="S4212" s="19"/>
      <c r="T4212" s="18"/>
      <c r="U4212" s="18"/>
      <c r="V4212" s="18"/>
      <c r="W4212" s="18"/>
      <c r="X4212" s="18"/>
      <c r="Y4212" s="18"/>
      <c r="Z4212" s="18"/>
    </row>
    <row r="4213" ht="15.75" customHeight="1">
      <c r="A4213" s="32"/>
      <c r="B4213" s="22"/>
      <c r="C4213" s="22"/>
      <c r="D4213" s="22"/>
      <c r="E4213" s="22"/>
      <c r="F4213" s="22"/>
      <c r="G4213" s="22"/>
      <c r="H4213" s="18"/>
      <c r="I4213" s="18"/>
      <c r="J4213" s="18"/>
      <c r="K4213" s="18"/>
      <c r="L4213" s="18"/>
      <c r="M4213" s="18"/>
      <c r="N4213" s="18"/>
      <c r="O4213" s="18"/>
      <c r="P4213" s="18"/>
      <c r="Q4213" s="19"/>
      <c r="R4213" s="19"/>
      <c r="S4213" s="19"/>
      <c r="T4213" s="18"/>
      <c r="U4213" s="18"/>
      <c r="V4213" s="18"/>
      <c r="W4213" s="18"/>
      <c r="X4213" s="18"/>
      <c r="Y4213" s="18"/>
      <c r="Z4213" s="18"/>
    </row>
    <row r="4214" ht="15.75" customHeight="1">
      <c r="A4214" s="32"/>
      <c r="B4214" s="22"/>
      <c r="C4214" s="22"/>
      <c r="D4214" s="22"/>
      <c r="E4214" s="22"/>
      <c r="F4214" s="22"/>
      <c r="G4214" s="22"/>
      <c r="H4214" s="18"/>
      <c r="I4214" s="18"/>
      <c r="J4214" s="18"/>
      <c r="K4214" s="18"/>
      <c r="L4214" s="18"/>
      <c r="M4214" s="18"/>
      <c r="N4214" s="18"/>
      <c r="O4214" s="18"/>
      <c r="P4214" s="18"/>
      <c r="Q4214" s="19"/>
      <c r="R4214" s="19"/>
      <c r="S4214" s="19"/>
      <c r="T4214" s="18"/>
      <c r="U4214" s="18"/>
      <c r="V4214" s="18"/>
      <c r="W4214" s="18"/>
      <c r="X4214" s="18"/>
      <c r="Y4214" s="18"/>
      <c r="Z4214" s="18"/>
    </row>
    <row r="4215" ht="15.75" customHeight="1">
      <c r="A4215" s="32"/>
      <c r="B4215" s="22"/>
      <c r="C4215" s="22"/>
      <c r="D4215" s="22"/>
      <c r="E4215" s="22"/>
      <c r="F4215" s="22"/>
      <c r="G4215" s="22"/>
      <c r="H4215" s="18"/>
      <c r="I4215" s="18"/>
      <c r="J4215" s="18"/>
      <c r="K4215" s="18"/>
      <c r="L4215" s="18"/>
      <c r="M4215" s="18"/>
      <c r="N4215" s="18"/>
      <c r="O4215" s="18"/>
      <c r="P4215" s="18"/>
      <c r="Q4215" s="19"/>
      <c r="R4215" s="19"/>
      <c r="S4215" s="19"/>
      <c r="T4215" s="18"/>
      <c r="U4215" s="18"/>
      <c r="V4215" s="18"/>
      <c r="W4215" s="18"/>
      <c r="X4215" s="18"/>
      <c r="Y4215" s="18"/>
      <c r="Z4215" s="18"/>
    </row>
    <row r="4216" ht="15.75" customHeight="1">
      <c r="A4216" s="32"/>
      <c r="B4216" s="22"/>
      <c r="C4216" s="22"/>
      <c r="D4216" s="22"/>
      <c r="E4216" s="22"/>
      <c r="F4216" s="22"/>
      <c r="G4216" s="22"/>
      <c r="H4216" s="18"/>
      <c r="I4216" s="18"/>
      <c r="J4216" s="18"/>
      <c r="K4216" s="18"/>
      <c r="L4216" s="18"/>
      <c r="M4216" s="18"/>
      <c r="N4216" s="18"/>
      <c r="O4216" s="18"/>
      <c r="P4216" s="18"/>
      <c r="Q4216" s="19"/>
      <c r="R4216" s="19"/>
      <c r="S4216" s="19"/>
      <c r="T4216" s="18"/>
      <c r="U4216" s="18"/>
      <c r="V4216" s="18"/>
      <c r="W4216" s="18"/>
      <c r="X4216" s="18"/>
      <c r="Y4216" s="18"/>
      <c r="Z4216" s="18"/>
    </row>
    <row r="4217" ht="15.75" customHeight="1">
      <c r="A4217" s="32"/>
      <c r="B4217" s="22"/>
      <c r="C4217" s="22"/>
      <c r="D4217" s="22"/>
      <c r="E4217" s="22"/>
      <c r="F4217" s="22"/>
      <c r="G4217" s="22"/>
      <c r="H4217" s="18"/>
      <c r="I4217" s="18"/>
      <c r="J4217" s="18"/>
      <c r="K4217" s="18"/>
      <c r="L4217" s="18"/>
      <c r="M4217" s="18"/>
      <c r="N4217" s="18"/>
      <c r="O4217" s="18"/>
      <c r="P4217" s="18"/>
      <c r="Q4217" s="19"/>
      <c r="R4217" s="19"/>
      <c r="S4217" s="19"/>
      <c r="T4217" s="18"/>
      <c r="U4217" s="18"/>
      <c r="V4217" s="18"/>
      <c r="W4217" s="18"/>
      <c r="X4217" s="18"/>
      <c r="Y4217" s="18"/>
      <c r="Z4217" s="18"/>
    </row>
    <row r="4218" ht="15.75" customHeight="1">
      <c r="A4218" s="32"/>
      <c r="B4218" s="22"/>
      <c r="C4218" s="22"/>
      <c r="D4218" s="22"/>
      <c r="E4218" s="22"/>
      <c r="F4218" s="22"/>
      <c r="G4218" s="22"/>
      <c r="H4218" s="18"/>
      <c r="I4218" s="18"/>
      <c r="J4218" s="18"/>
      <c r="K4218" s="18"/>
      <c r="L4218" s="18"/>
      <c r="M4218" s="18"/>
      <c r="N4218" s="18"/>
      <c r="O4218" s="18"/>
      <c r="P4218" s="18"/>
      <c r="Q4218" s="19"/>
      <c r="R4218" s="19"/>
      <c r="S4218" s="19"/>
      <c r="T4218" s="18"/>
      <c r="U4218" s="18"/>
      <c r="V4218" s="18"/>
      <c r="W4218" s="18"/>
      <c r="X4218" s="18"/>
      <c r="Y4218" s="18"/>
      <c r="Z4218" s="18"/>
    </row>
    <row r="4219" ht="15.75" customHeight="1">
      <c r="A4219" s="32"/>
      <c r="B4219" s="22"/>
      <c r="C4219" s="22"/>
      <c r="D4219" s="22"/>
      <c r="E4219" s="22"/>
      <c r="F4219" s="22"/>
      <c r="G4219" s="22"/>
      <c r="H4219" s="18"/>
      <c r="I4219" s="18"/>
      <c r="J4219" s="18"/>
      <c r="K4219" s="18"/>
      <c r="L4219" s="18"/>
      <c r="M4219" s="18"/>
      <c r="N4219" s="18"/>
      <c r="O4219" s="18"/>
      <c r="P4219" s="18"/>
      <c r="Q4219" s="19"/>
      <c r="R4219" s="19"/>
      <c r="S4219" s="19"/>
      <c r="T4219" s="18"/>
      <c r="U4219" s="18"/>
      <c r="V4219" s="18"/>
      <c r="W4219" s="18"/>
      <c r="X4219" s="18"/>
      <c r="Y4219" s="18"/>
      <c r="Z4219" s="18"/>
    </row>
    <row r="4220" ht="15.75" customHeight="1">
      <c r="A4220" s="32"/>
      <c r="B4220" s="22"/>
      <c r="C4220" s="22"/>
      <c r="D4220" s="22"/>
      <c r="E4220" s="22"/>
      <c r="F4220" s="22"/>
      <c r="G4220" s="22"/>
      <c r="H4220" s="18"/>
      <c r="I4220" s="18"/>
      <c r="J4220" s="18"/>
      <c r="K4220" s="18"/>
      <c r="L4220" s="18"/>
      <c r="M4220" s="18"/>
      <c r="N4220" s="18"/>
      <c r="O4220" s="18"/>
      <c r="P4220" s="18"/>
      <c r="Q4220" s="19"/>
      <c r="R4220" s="19"/>
      <c r="S4220" s="19"/>
      <c r="T4220" s="18"/>
      <c r="U4220" s="18"/>
      <c r="V4220" s="18"/>
      <c r="W4220" s="18"/>
      <c r="X4220" s="18"/>
      <c r="Y4220" s="18"/>
      <c r="Z4220" s="18"/>
    </row>
    <row r="4221" ht="15.75" customHeight="1">
      <c r="A4221" s="32"/>
      <c r="B4221" s="22"/>
      <c r="C4221" s="22"/>
      <c r="D4221" s="22"/>
      <c r="E4221" s="22"/>
      <c r="F4221" s="22"/>
      <c r="G4221" s="22"/>
      <c r="H4221" s="18"/>
      <c r="I4221" s="18"/>
      <c r="J4221" s="18"/>
      <c r="K4221" s="18"/>
      <c r="L4221" s="18"/>
      <c r="M4221" s="18"/>
      <c r="N4221" s="18"/>
      <c r="O4221" s="18"/>
      <c r="P4221" s="18"/>
      <c r="Q4221" s="19"/>
      <c r="R4221" s="19"/>
      <c r="S4221" s="19"/>
      <c r="T4221" s="18"/>
      <c r="U4221" s="18"/>
      <c r="V4221" s="18"/>
      <c r="W4221" s="18"/>
      <c r="X4221" s="18"/>
      <c r="Y4221" s="18"/>
      <c r="Z4221" s="18"/>
    </row>
    <row r="4222" ht="15.75" customHeight="1">
      <c r="A4222" s="32"/>
      <c r="B4222" s="22"/>
      <c r="C4222" s="22"/>
      <c r="D4222" s="22"/>
      <c r="E4222" s="22"/>
      <c r="F4222" s="22"/>
      <c r="G4222" s="22"/>
      <c r="H4222" s="18"/>
      <c r="I4222" s="18"/>
      <c r="J4222" s="18"/>
      <c r="K4222" s="18"/>
      <c r="L4222" s="18"/>
      <c r="M4222" s="18"/>
      <c r="N4222" s="18"/>
      <c r="O4222" s="18"/>
      <c r="P4222" s="18"/>
      <c r="Q4222" s="19"/>
      <c r="R4222" s="19"/>
      <c r="S4222" s="19"/>
      <c r="T4222" s="18"/>
      <c r="U4222" s="18"/>
      <c r="V4222" s="18"/>
      <c r="W4222" s="18"/>
      <c r="X4222" s="18"/>
      <c r="Y4222" s="18"/>
      <c r="Z4222" s="18"/>
    </row>
    <row r="4223" ht="15.75" customHeight="1">
      <c r="A4223" s="32"/>
      <c r="B4223" s="22"/>
      <c r="C4223" s="22"/>
      <c r="D4223" s="22"/>
      <c r="E4223" s="22"/>
      <c r="F4223" s="22"/>
      <c r="G4223" s="22"/>
      <c r="H4223" s="18"/>
      <c r="I4223" s="18"/>
      <c r="J4223" s="18"/>
      <c r="K4223" s="18"/>
      <c r="L4223" s="18"/>
      <c r="M4223" s="18"/>
      <c r="N4223" s="18"/>
      <c r="O4223" s="18"/>
      <c r="P4223" s="18"/>
      <c r="Q4223" s="19"/>
      <c r="R4223" s="19"/>
      <c r="S4223" s="19"/>
      <c r="T4223" s="18"/>
      <c r="U4223" s="18"/>
      <c r="V4223" s="18"/>
      <c r="W4223" s="18"/>
      <c r="X4223" s="18"/>
      <c r="Y4223" s="18"/>
      <c r="Z4223" s="18"/>
    </row>
    <row r="4224" ht="15.75" customHeight="1">
      <c r="A4224" s="32"/>
      <c r="B4224" s="22"/>
      <c r="C4224" s="22"/>
      <c r="D4224" s="22"/>
      <c r="E4224" s="22"/>
      <c r="F4224" s="22"/>
      <c r="G4224" s="22"/>
      <c r="H4224" s="18"/>
      <c r="I4224" s="18"/>
      <c r="J4224" s="18"/>
      <c r="K4224" s="18"/>
      <c r="L4224" s="18"/>
      <c r="M4224" s="18"/>
      <c r="N4224" s="18"/>
      <c r="O4224" s="18"/>
      <c r="P4224" s="18"/>
      <c r="Q4224" s="19"/>
      <c r="R4224" s="19"/>
      <c r="S4224" s="19"/>
      <c r="T4224" s="18"/>
      <c r="U4224" s="18"/>
      <c r="V4224" s="18"/>
      <c r="W4224" s="18"/>
      <c r="X4224" s="18"/>
      <c r="Y4224" s="18"/>
      <c r="Z4224" s="18"/>
    </row>
    <row r="4225" ht="15.75" customHeight="1">
      <c r="A4225" s="32"/>
      <c r="B4225" s="22"/>
      <c r="C4225" s="22"/>
      <c r="D4225" s="22"/>
      <c r="E4225" s="22"/>
      <c r="F4225" s="22"/>
      <c r="G4225" s="22"/>
      <c r="H4225" s="18"/>
      <c r="I4225" s="18"/>
      <c r="J4225" s="18"/>
      <c r="K4225" s="18"/>
      <c r="L4225" s="18"/>
      <c r="M4225" s="18"/>
      <c r="N4225" s="18"/>
      <c r="O4225" s="18"/>
      <c r="P4225" s="18"/>
      <c r="Q4225" s="19"/>
      <c r="R4225" s="19"/>
      <c r="S4225" s="19"/>
      <c r="T4225" s="18"/>
      <c r="U4225" s="18"/>
      <c r="V4225" s="18"/>
      <c r="W4225" s="18"/>
      <c r="X4225" s="18"/>
      <c r="Y4225" s="18"/>
      <c r="Z4225" s="18"/>
    </row>
    <row r="4226" ht="15.75" customHeight="1">
      <c r="A4226" s="32"/>
      <c r="B4226" s="22"/>
      <c r="C4226" s="22"/>
      <c r="D4226" s="22"/>
      <c r="E4226" s="22"/>
      <c r="F4226" s="22"/>
      <c r="G4226" s="22"/>
      <c r="H4226" s="18"/>
      <c r="I4226" s="18"/>
      <c r="J4226" s="18"/>
      <c r="K4226" s="18"/>
      <c r="L4226" s="18"/>
      <c r="M4226" s="18"/>
      <c r="N4226" s="18"/>
      <c r="O4226" s="18"/>
      <c r="P4226" s="18"/>
      <c r="Q4226" s="19"/>
      <c r="R4226" s="19"/>
      <c r="S4226" s="19"/>
      <c r="T4226" s="18"/>
      <c r="U4226" s="18"/>
      <c r="V4226" s="18"/>
      <c r="W4226" s="18"/>
      <c r="X4226" s="18"/>
      <c r="Y4226" s="18"/>
      <c r="Z4226" s="18"/>
    </row>
    <row r="4227" ht="15.75" customHeight="1">
      <c r="A4227" s="32"/>
      <c r="B4227" s="22"/>
      <c r="C4227" s="22"/>
      <c r="D4227" s="22"/>
      <c r="E4227" s="22"/>
      <c r="F4227" s="22"/>
      <c r="G4227" s="22"/>
      <c r="H4227" s="18"/>
      <c r="I4227" s="18"/>
      <c r="J4227" s="18"/>
      <c r="K4227" s="18"/>
      <c r="L4227" s="18"/>
      <c r="M4227" s="18"/>
      <c r="N4227" s="18"/>
      <c r="O4227" s="18"/>
      <c r="P4227" s="18"/>
      <c r="Q4227" s="19"/>
      <c r="R4227" s="19"/>
      <c r="S4227" s="19"/>
      <c r="T4227" s="18"/>
      <c r="U4227" s="18"/>
      <c r="V4227" s="18"/>
      <c r="W4227" s="18"/>
      <c r="X4227" s="18"/>
      <c r="Y4227" s="18"/>
      <c r="Z4227" s="18"/>
    </row>
    <row r="4228" ht="15.75" customHeight="1">
      <c r="A4228" s="32"/>
      <c r="B4228" s="22"/>
      <c r="C4228" s="22"/>
      <c r="D4228" s="22"/>
      <c r="E4228" s="22"/>
      <c r="F4228" s="22"/>
      <c r="G4228" s="22"/>
      <c r="H4228" s="18"/>
      <c r="I4228" s="18"/>
      <c r="J4228" s="18"/>
      <c r="K4228" s="18"/>
      <c r="L4228" s="18"/>
      <c r="M4228" s="18"/>
      <c r="N4228" s="18"/>
      <c r="O4228" s="18"/>
      <c r="P4228" s="18"/>
      <c r="Q4228" s="19"/>
      <c r="R4228" s="19"/>
      <c r="S4228" s="19"/>
      <c r="T4228" s="18"/>
      <c r="U4228" s="18"/>
      <c r="V4228" s="18"/>
      <c r="W4228" s="18"/>
      <c r="X4228" s="18"/>
      <c r="Y4228" s="18"/>
      <c r="Z4228" s="18"/>
    </row>
    <row r="4229" ht="15.75" customHeight="1">
      <c r="A4229" s="32"/>
      <c r="B4229" s="22"/>
      <c r="C4229" s="22"/>
      <c r="D4229" s="22"/>
      <c r="E4229" s="22"/>
      <c r="F4229" s="22"/>
      <c r="G4229" s="22"/>
      <c r="H4229" s="18"/>
      <c r="I4229" s="18"/>
      <c r="J4229" s="18"/>
      <c r="K4229" s="18"/>
      <c r="L4229" s="18"/>
      <c r="M4229" s="18"/>
      <c r="N4229" s="18"/>
      <c r="O4229" s="18"/>
      <c r="P4229" s="18"/>
      <c r="Q4229" s="19"/>
      <c r="R4229" s="19"/>
      <c r="S4229" s="19"/>
      <c r="T4229" s="18"/>
      <c r="U4229" s="18"/>
      <c r="V4229" s="18"/>
      <c r="W4229" s="18"/>
      <c r="X4229" s="18"/>
      <c r="Y4229" s="18"/>
      <c r="Z4229" s="18"/>
    </row>
    <row r="4230" ht="15.75" customHeight="1">
      <c r="A4230" s="32"/>
      <c r="B4230" s="22"/>
      <c r="C4230" s="22"/>
      <c r="D4230" s="22"/>
      <c r="E4230" s="22"/>
      <c r="F4230" s="22"/>
      <c r="G4230" s="22"/>
      <c r="H4230" s="18"/>
      <c r="I4230" s="18"/>
      <c r="J4230" s="18"/>
      <c r="K4230" s="18"/>
      <c r="L4230" s="18"/>
      <c r="M4230" s="18"/>
      <c r="N4230" s="18"/>
      <c r="O4230" s="18"/>
      <c r="P4230" s="18"/>
      <c r="Q4230" s="19"/>
      <c r="R4230" s="19"/>
      <c r="S4230" s="19"/>
      <c r="T4230" s="18"/>
      <c r="U4230" s="18"/>
      <c r="V4230" s="18"/>
      <c r="W4230" s="18"/>
      <c r="X4230" s="18"/>
      <c r="Y4230" s="18"/>
      <c r="Z4230" s="18"/>
    </row>
    <row r="4231" ht="15.75" customHeight="1">
      <c r="A4231" s="32"/>
      <c r="B4231" s="22"/>
      <c r="C4231" s="22"/>
      <c r="D4231" s="22"/>
      <c r="E4231" s="22"/>
      <c r="F4231" s="22"/>
      <c r="G4231" s="22"/>
      <c r="H4231" s="18"/>
      <c r="I4231" s="18"/>
      <c r="J4231" s="18"/>
      <c r="K4231" s="18"/>
      <c r="L4231" s="18"/>
      <c r="M4231" s="18"/>
      <c r="N4231" s="18"/>
      <c r="O4231" s="18"/>
      <c r="P4231" s="18"/>
      <c r="Q4231" s="19"/>
      <c r="R4231" s="19"/>
      <c r="S4231" s="19"/>
      <c r="T4231" s="18"/>
      <c r="U4231" s="18"/>
      <c r="V4231" s="18"/>
      <c r="W4231" s="18"/>
      <c r="X4231" s="18"/>
      <c r="Y4231" s="18"/>
      <c r="Z4231" s="18"/>
    </row>
    <row r="4232" ht="15.75" customHeight="1">
      <c r="A4232" s="32"/>
      <c r="B4232" s="22"/>
      <c r="C4232" s="22"/>
      <c r="D4232" s="22"/>
      <c r="E4232" s="22"/>
      <c r="F4232" s="22"/>
      <c r="G4232" s="22"/>
      <c r="H4232" s="18"/>
      <c r="I4232" s="18"/>
      <c r="J4232" s="18"/>
      <c r="K4232" s="18"/>
      <c r="L4232" s="18"/>
      <c r="M4232" s="18"/>
      <c r="N4232" s="18"/>
      <c r="O4232" s="18"/>
      <c r="P4232" s="18"/>
      <c r="Q4232" s="19"/>
      <c r="R4232" s="19"/>
      <c r="S4232" s="19"/>
      <c r="T4232" s="18"/>
      <c r="U4232" s="18"/>
      <c r="V4232" s="18"/>
      <c r="W4232" s="18"/>
      <c r="X4232" s="18"/>
      <c r="Y4232" s="18"/>
      <c r="Z4232" s="18"/>
    </row>
    <row r="4233" ht="15.75" customHeight="1">
      <c r="A4233" s="32"/>
      <c r="B4233" s="22"/>
      <c r="C4233" s="22"/>
      <c r="D4233" s="22"/>
      <c r="E4233" s="22"/>
      <c r="F4233" s="22"/>
      <c r="G4233" s="22"/>
      <c r="H4233" s="18"/>
      <c r="I4233" s="18"/>
      <c r="J4233" s="18"/>
      <c r="K4233" s="18"/>
      <c r="L4233" s="18"/>
      <c r="M4233" s="18"/>
      <c r="N4233" s="18"/>
      <c r="O4233" s="18"/>
      <c r="P4233" s="18"/>
      <c r="Q4233" s="19"/>
      <c r="R4233" s="19"/>
      <c r="S4233" s="19"/>
      <c r="T4233" s="18"/>
      <c r="U4233" s="18"/>
      <c r="V4233" s="18"/>
      <c r="W4233" s="18"/>
      <c r="X4233" s="18"/>
      <c r="Y4233" s="18"/>
      <c r="Z4233" s="18"/>
    </row>
    <row r="4234" ht="15.75" customHeight="1">
      <c r="A4234" s="32"/>
      <c r="B4234" s="22"/>
      <c r="C4234" s="22"/>
      <c r="D4234" s="22"/>
      <c r="E4234" s="22"/>
      <c r="F4234" s="22"/>
      <c r="G4234" s="22"/>
      <c r="H4234" s="18"/>
      <c r="I4234" s="18"/>
      <c r="J4234" s="18"/>
      <c r="K4234" s="18"/>
      <c r="L4234" s="18"/>
      <c r="M4234" s="18"/>
      <c r="N4234" s="18"/>
      <c r="O4234" s="18"/>
      <c r="P4234" s="18"/>
      <c r="Q4234" s="19"/>
      <c r="R4234" s="19"/>
      <c r="S4234" s="19"/>
      <c r="T4234" s="18"/>
      <c r="U4234" s="18"/>
      <c r="V4234" s="18"/>
      <c r="W4234" s="18"/>
      <c r="X4234" s="18"/>
      <c r="Y4234" s="18"/>
      <c r="Z4234" s="18"/>
    </row>
    <row r="4235" ht="15.75" customHeight="1">
      <c r="A4235" s="32"/>
      <c r="B4235" s="22"/>
      <c r="C4235" s="22"/>
      <c r="D4235" s="22"/>
      <c r="E4235" s="22"/>
      <c r="F4235" s="22"/>
      <c r="G4235" s="22"/>
      <c r="H4235" s="18"/>
      <c r="I4235" s="18"/>
      <c r="J4235" s="18"/>
      <c r="K4235" s="18"/>
      <c r="L4235" s="18"/>
      <c r="M4235" s="18"/>
      <c r="N4235" s="18"/>
      <c r="O4235" s="18"/>
      <c r="P4235" s="18"/>
      <c r="Q4235" s="19"/>
      <c r="R4235" s="19"/>
      <c r="S4235" s="19"/>
      <c r="T4235" s="18"/>
      <c r="U4235" s="18"/>
      <c r="V4235" s="18"/>
      <c r="W4235" s="18"/>
      <c r="X4235" s="18"/>
      <c r="Y4235" s="18"/>
      <c r="Z4235" s="18"/>
    </row>
    <row r="4236" ht="15.75" customHeight="1">
      <c r="A4236" s="32"/>
      <c r="B4236" s="22"/>
      <c r="C4236" s="22"/>
      <c r="D4236" s="22"/>
      <c r="E4236" s="22"/>
      <c r="F4236" s="22"/>
      <c r="G4236" s="22"/>
      <c r="H4236" s="18"/>
      <c r="I4236" s="18"/>
      <c r="J4236" s="18"/>
      <c r="K4236" s="18"/>
      <c r="L4236" s="18"/>
      <c r="M4236" s="18"/>
      <c r="N4236" s="18"/>
      <c r="O4236" s="18"/>
      <c r="P4236" s="18"/>
      <c r="Q4236" s="19"/>
      <c r="R4236" s="19"/>
      <c r="S4236" s="19"/>
      <c r="T4236" s="18"/>
      <c r="U4236" s="18"/>
      <c r="V4236" s="18"/>
      <c r="W4236" s="18"/>
      <c r="X4236" s="18"/>
      <c r="Y4236" s="18"/>
      <c r="Z4236" s="18"/>
    </row>
    <row r="4237" ht="15.75" customHeight="1">
      <c r="A4237" s="32"/>
      <c r="B4237" s="22"/>
      <c r="C4237" s="22"/>
      <c r="D4237" s="22"/>
      <c r="E4237" s="22"/>
      <c r="F4237" s="22"/>
      <c r="G4237" s="22"/>
      <c r="H4237" s="18"/>
      <c r="I4237" s="18"/>
      <c r="J4237" s="18"/>
      <c r="K4237" s="18"/>
      <c r="L4237" s="18"/>
      <c r="M4237" s="18"/>
      <c r="N4237" s="18"/>
      <c r="O4237" s="18"/>
      <c r="P4237" s="18"/>
      <c r="Q4237" s="19"/>
      <c r="R4237" s="19"/>
      <c r="S4237" s="19"/>
      <c r="T4237" s="18"/>
      <c r="U4237" s="18"/>
      <c r="V4237" s="18"/>
      <c r="W4237" s="18"/>
      <c r="X4237" s="18"/>
      <c r="Y4237" s="18"/>
      <c r="Z4237" s="18"/>
    </row>
    <row r="4238" ht="15.75" customHeight="1">
      <c r="A4238" s="32"/>
      <c r="B4238" s="22"/>
      <c r="C4238" s="22"/>
      <c r="D4238" s="22"/>
      <c r="E4238" s="22"/>
      <c r="F4238" s="22"/>
      <c r="G4238" s="22"/>
      <c r="H4238" s="18"/>
      <c r="I4238" s="18"/>
      <c r="J4238" s="18"/>
      <c r="K4238" s="18"/>
      <c r="L4238" s="18"/>
      <c r="M4238" s="18"/>
      <c r="N4238" s="18"/>
      <c r="O4238" s="18"/>
      <c r="P4238" s="18"/>
      <c r="Q4238" s="19"/>
      <c r="R4238" s="19"/>
      <c r="S4238" s="19"/>
      <c r="T4238" s="18"/>
      <c r="U4238" s="18"/>
      <c r="V4238" s="18"/>
      <c r="W4238" s="18"/>
      <c r="X4238" s="18"/>
      <c r="Y4238" s="18"/>
      <c r="Z4238" s="18"/>
    </row>
    <row r="4239" ht="15.75" customHeight="1">
      <c r="A4239" s="32"/>
      <c r="B4239" s="22"/>
      <c r="C4239" s="22"/>
      <c r="D4239" s="22"/>
      <c r="E4239" s="22"/>
      <c r="F4239" s="22"/>
      <c r="G4239" s="22"/>
      <c r="H4239" s="18"/>
      <c r="I4239" s="18"/>
      <c r="J4239" s="18"/>
      <c r="K4239" s="18"/>
      <c r="L4239" s="18"/>
      <c r="M4239" s="18"/>
      <c r="N4239" s="18"/>
      <c r="O4239" s="18"/>
      <c r="P4239" s="18"/>
      <c r="Q4239" s="19"/>
      <c r="R4239" s="19"/>
      <c r="S4239" s="19"/>
      <c r="T4239" s="18"/>
      <c r="U4239" s="18"/>
      <c r="V4239" s="18"/>
      <c r="W4239" s="18"/>
      <c r="X4239" s="18"/>
      <c r="Y4239" s="18"/>
      <c r="Z4239" s="18"/>
    </row>
    <row r="4240" ht="15.75" customHeight="1">
      <c r="A4240" s="32"/>
      <c r="B4240" s="22"/>
      <c r="C4240" s="22"/>
      <c r="D4240" s="22"/>
      <c r="E4240" s="22"/>
      <c r="F4240" s="22"/>
      <c r="G4240" s="22"/>
      <c r="H4240" s="18"/>
      <c r="I4240" s="18"/>
      <c r="J4240" s="18"/>
      <c r="K4240" s="18"/>
      <c r="L4240" s="18"/>
      <c r="M4240" s="18"/>
      <c r="N4240" s="18"/>
      <c r="O4240" s="18"/>
      <c r="P4240" s="18"/>
      <c r="Q4240" s="19"/>
      <c r="R4240" s="19"/>
      <c r="S4240" s="19"/>
      <c r="T4240" s="18"/>
      <c r="U4240" s="18"/>
      <c r="V4240" s="18"/>
      <c r="W4240" s="18"/>
      <c r="X4240" s="18"/>
      <c r="Y4240" s="18"/>
      <c r="Z4240" s="18"/>
    </row>
    <row r="4241" ht="15.75" customHeight="1">
      <c r="A4241" s="32"/>
      <c r="B4241" s="22"/>
      <c r="C4241" s="22"/>
      <c r="D4241" s="22"/>
      <c r="E4241" s="22"/>
      <c r="F4241" s="22"/>
      <c r="G4241" s="22"/>
      <c r="H4241" s="18"/>
      <c r="I4241" s="18"/>
      <c r="J4241" s="18"/>
      <c r="K4241" s="18"/>
      <c r="L4241" s="18"/>
      <c r="M4241" s="18"/>
      <c r="N4241" s="18"/>
      <c r="O4241" s="18"/>
      <c r="P4241" s="18"/>
      <c r="Q4241" s="19"/>
      <c r="R4241" s="19"/>
      <c r="S4241" s="19"/>
      <c r="T4241" s="18"/>
      <c r="U4241" s="18"/>
      <c r="V4241" s="18"/>
      <c r="W4241" s="18"/>
      <c r="X4241" s="18"/>
      <c r="Y4241" s="18"/>
      <c r="Z4241" s="18"/>
    </row>
    <row r="4242" ht="15.75" customHeight="1">
      <c r="A4242" s="32"/>
      <c r="B4242" s="22"/>
      <c r="C4242" s="22"/>
      <c r="D4242" s="22"/>
      <c r="E4242" s="22"/>
      <c r="F4242" s="22"/>
      <c r="G4242" s="22"/>
      <c r="H4242" s="18"/>
      <c r="I4242" s="18"/>
      <c r="J4242" s="18"/>
      <c r="K4242" s="18"/>
      <c r="L4242" s="18"/>
      <c r="M4242" s="18"/>
      <c r="N4242" s="18"/>
      <c r="O4242" s="18"/>
      <c r="P4242" s="18"/>
      <c r="Q4242" s="19"/>
      <c r="R4242" s="19"/>
      <c r="S4242" s="19"/>
      <c r="T4242" s="18"/>
      <c r="U4242" s="18"/>
      <c r="V4242" s="18"/>
      <c r="W4242" s="18"/>
      <c r="X4242" s="18"/>
      <c r="Y4242" s="18"/>
      <c r="Z4242" s="18"/>
    </row>
    <row r="4243" ht="15.75" customHeight="1">
      <c r="A4243" s="32"/>
      <c r="B4243" s="22"/>
      <c r="C4243" s="22"/>
      <c r="D4243" s="22"/>
      <c r="E4243" s="22"/>
      <c r="F4243" s="22"/>
      <c r="G4243" s="22"/>
      <c r="H4243" s="18"/>
      <c r="I4243" s="18"/>
      <c r="J4243" s="18"/>
      <c r="K4243" s="18"/>
      <c r="L4243" s="18"/>
      <c r="M4243" s="18"/>
      <c r="N4243" s="18"/>
      <c r="O4243" s="18"/>
      <c r="P4243" s="18"/>
      <c r="Q4243" s="19"/>
      <c r="R4243" s="19"/>
      <c r="S4243" s="19"/>
      <c r="T4243" s="18"/>
      <c r="U4243" s="18"/>
      <c r="V4243" s="18"/>
      <c r="W4243" s="18"/>
      <c r="X4243" s="18"/>
      <c r="Y4243" s="18"/>
      <c r="Z4243" s="18"/>
    </row>
    <row r="4244" ht="15.75" customHeight="1">
      <c r="A4244" s="32"/>
      <c r="B4244" s="22"/>
      <c r="C4244" s="22"/>
      <c r="D4244" s="22"/>
      <c r="E4244" s="22"/>
      <c r="F4244" s="22"/>
      <c r="G4244" s="22"/>
      <c r="H4244" s="18"/>
      <c r="I4244" s="18"/>
      <c r="J4244" s="18"/>
      <c r="K4244" s="18"/>
      <c r="L4244" s="18"/>
      <c r="M4244" s="18"/>
      <c r="N4244" s="18"/>
      <c r="O4244" s="18"/>
      <c r="P4244" s="18"/>
      <c r="Q4244" s="19"/>
      <c r="R4244" s="19"/>
      <c r="S4244" s="19"/>
      <c r="T4244" s="18"/>
      <c r="U4244" s="18"/>
      <c r="V4244" s="18"/>
      <c r="W4244" s="18"/>
      <c r="X4244" s="18"/>
      <c r="Y4244" s="18"/>
      <c r="Z4244" s="18"/>
    </row>
    <row r="4245" ht="15.75" customHeight="1">
      <c r="A4245" s="32"/>
      <c r="B4245" s="22"/>
      <c r="C4245" s="22"/>
      <c r="D4245" s="22"/>
      <c r="E4245" s="22"/>
      <c r="F4245" s="22"/>
      <c r="G4245" s="22"/>
      <c r="H4245" s="18"/>
      <c r="I4245" s="18"/>
      <c r="J4245" s="18"/>
      <c r="K4245" s="18"/>
      <c r="L4245" s="18"/>
      <c r="M4245" s="18"/>
      <c r="N4245" s="18"/>
      <c r="O4245" s="18"/>
      <c r="P4245" s="18"/>
      <c r="Q4245" s="19"/>
      <c r="R4245" s="19"/>
      <c r="S4245" s="19"/>
      <c r="T4245" s="18"/>
      <c r="U4245" s="18"/>
      <c r="V4245" s="18"/>
      <c r="W4245" s="18"/>
      <c r="X4245" s="18"/>
      <c r="Y4245" s="18"/>
      <c r="Z4245" s="18"/>
    </row>
    <row r="4246" ht="15.75" customHeight="1">
      <c r="A4246" s="32"/>
      <c r="B4246" s="22"/>
      <c r="C4246" s="22"/>
      <c r="D4246" s="22"/>
      <c r="E4246" s="22"/>
      <c r="F4246" s="22"/>
      <c r="G4246" s="22"/>
      <c r="H4246" s="18"/>
      <c r="I4246" s="18"/>
      <c r="J4246" s="18"/>
      <c r="K4246" s="18"/>
      <c r="L4246" s="18"/>
      <c r="M4246" s="18"/>
      <c r="N4246" s="18"/>
      <c r="O4246" s="18"/>
      <c r="P4246" s="18"/>
      <c r="Q4246" s="19"/>
      <c r="R4246" s="19"/>
      <c r="S4246" s="19"/>
      <c r="T4246" s="18"/>
      <c r="U4246" s="18"/>
      <c r="V4246" s="18"/>
      <c r="W4246" s="18"/>
      <c r="X4246" s="18"/>
      <c r="Y4246" s="18"/>
      <c r="Z4246" s="18"/>
    </row>
    <row r="4247" ht="15.75" customHeight="1">
      <c r="A4247" s="32"/>
      <c r="B4247" s="22"/>
      <c r="C4247" s="22"/>
      <c r="D4247" s="22"/>
      <c r="E4247" s="22"/>
      <c r="F4247" s="22"/>
      <c r="G4247" s="22"/>
      <c r="H4247" s="18"/>
      <c r="I4247" s="18"/>
      <c r="J4247" s="18"/>
      <c r="K4247" s="18"/>
      <c r="L4247" s="18"/>
      <c r="M4247" s="18"/>
      <c r="N4247" s="18"/>
      <c r="O4247" s="18"/>
      <c r="P4247" s="18"/>
      <c r="Q4247" s="19"/>
      <c r="R4247" s="19"/>
      <c r="S4247" s="19"/>
      <c r="T4247" s="18"/>
      <c r="U4247" s="18"/>
      <c r="V4247" s="18"/>
      <c r="W4247" s="18"/>
      <c r="X4247" s="18"/>
      <c r="Y4247" s="18"/>
      <c r="Z4247" s="18"/>
    </row>
    <row r="4248" ht="15.75" customHeight="1">
      <c r="A4248" s="32"/>
      <c r="B4248" s="22"/>
      <c r="C4248" s="22"/>
      <c r="D4248" s="22"/>
      <c r="E4248" s="22"/>
      <c r="F4248" s="22"/>
      <c r="G4248" s="22"/>
      <c r="H4248" s="18"/>
      <c r="I4248" s="18"/>
      <c r="J4248" s="18"/>
      <c r="K4248" s="18"/>
      <c r="L4248" s="18"/>
      <c r="M4248" s="18"/>
      <c r="N4248" s="18"/>
      <c r="O4248" s="18"/>
      <c r="P4248" s="18"/>
      <c r="Q4248" s="19"/>
      <c r="R4248" s="19"/>
      <c r="S4248" s="19"/>
      <c r="T4248" s="18"/>
      <c r="U4248" s="18"/>
      <c r="V4248" s="18"/>
      <c r="W4248" s="18"/>
      <c r="X4248" s="18"/>
      <c r="Y4248" s="18"/>
      <c r="Z4248" s="18"/>
    </row>
    <row r="4249" ht="15.75" customHeight="1">
      <c r="A4249" s="32"/>
      <c r="B4249" s="22"/>
      <c r="C4249" s="22"/>
      <c r="D4249" s="22"/>
      <c r="E4249" s="22"/>
      <c r="F4249" s="22"/>
      <c r="G4249" s="22"/>
      <c r="H4249" s="18"/>
      <c r="I4249" s="18"/>
      <c r="J4249" s="18"/>
      <c r="K4249" s="18"/>
      <c r="L4249" s="18"/>
      <c r="M4249" s="18"/>
      <c r="N4249" s="18"/>
      <c r="O4249" s="18"/>
      <c r="P4249" s="18"/>
      <c r="Q4249" s="19"/>
      <c r="R4249" s="19"/>
      <c r="S4249" s="19"/>
      <c r="T4249" s="18"/>
      <c r="U4249" s="18"/>
      <c r="V4249" s="18"/>
      <c r="W4249" s="18"/>
      <c r="X4249" s="18"/>
      <c r="Y4249" s="18"/>
      <c r="Z4249" s="18"/>
    </row>
    <row r="4250" ht="15.75" customHeight="1">
      <c r="A4250" s="32"/>
      <c r="B4250" s="22"/>
      <c r="C4250" s="22"/>
      <c r="D4250" s="22"/>
      <c r="E4250" s="22"/>
      <c r="F4250" s="22"/>
      <c r="G4250" s="22"/>
      <c r="H4250" s="18"/>
      <c r="I4250" s="18"/>
      <c r="J4250" s="18"/>
      <c r="K4250" s="18"/>
      <c r="L4250" s="18"/>
      <c r="M4250" s="18"/>
      <c r="N4250" s="18"/>
      <c r="O4250" s="18"/>
      <c r="P4250" s="18"/>
      <c r="Q4250" s="19"/>
      <c r="R4250" s="19"/>
      <c r="S4250" s="19"/>
      <c r="T4250" s="18"/>
      <c r="U4250" s="18"/>
      <c r="V4250" s="18"/>
      <c r="W4250" s="18"/>
      <c r="X4250" s="18"/>
      <c r="Y4250" s="18"/>
      <c r="Z4250" s="18"/>
    </row>
    <row r="4251" ht="15.75" customHeight="1">
      <c r="A4251" s="32"/>
      <c r="B4251" s="22"/>
      <c r="C4251" s="22"/>
      <c r="D4251" s="22"/>
      <c r="E4251" s="22"/>
      <c r="F4251" s="22"/>
      <c r="G4251" s="22"/>
      <c r="H4251" s="18"/>
      <c r="I4251" s="18"/>
      <c r="J4251" s="18"/>
      <c r="K4251" s="18"/>
      <c r="L4251" s="18"/>
      <c r="M4251" s="18"/>
      <c r="N4251" s="18"/>
      <c r="O4251" s="18"/>
      <c r="P4251" s="18"/>
      <c r="Q4251" s="19"/>
      <c r="R4251" s="19"/>
      <c r="S4251" s="19"/>
      <c r="T4251" s="18"/>
      <c r="U4251" s="18"/>
      <c r="V4251" s="18"/>
      <c r="W4251" s="18"/>
      <c r="X4251" s="18"/>
      <c r="Y4251" s="18"/>
      <c r="Z4251" s="18"/>
    </row>
    <row r="4252" ht="15.75" customHeight="1">
      <c r="A4252" s="32"/>
      <c r="B4252" s="22"/>
      <c r="C4252" s="22"/>
      <c r="D4252" s="22"/>
      <c r="E4252" s="22"/>
      <c r="F4252" s="22"/>
      <c r="G4252" s="22"/>
      <c r="H4252" s="18"/>
      <c r="I4252" s="18"/>
      <c r="J4252" s="18"/>
      <c r="K4252" s="18"/>
      <c r="L4252" s="18"/>
      <c r="M4252" s="18"/>
      <c r="N4252" s="18"/>
      <c r="O4252" s="18"/>
      <c r="P4252" s="18"/>
      <c r="Q4252" s="19"/>
      <c r="R4252" s="19"/>
      <c r="S4252" s="19"/>
      <c r="T4252" s="18"/>
      <c r="U4252" s="18"/>
      <c r="V4252" s="18"/>
      <c r="W4252" s="18"/>
      <c r="X4252" s="18"/>
      <c r="Y4252" s="18"/>
      <c r="Z4252" s="18"/>
    </row>
    <row r="4253" ht="15.75" customHeight="1">
      <c r="A4253" s="32"/>
      <c r="B4253" s="22"/>
      <c r="C4253" s="22"/>
      <c r="D4253" s="22"/>
      <c r="E4253" s="22"/>
      <c r="F4253" s="22"/>
      <c r="G4253" s="22"/>
      <c r="H4253" s="18"/>
      <c r="I4253" s="18"/>
      <c r="J4253" s="18"/>
      <c r="K4253" s="18"/>
      <c r="L4253" s="18"/>
      <c r="M4253" s="18"/>
      <c r="N4253" s="18"/>
      <c r="O4253" s="18"/>
      <c r="P4253" s="18"/>
      <c r="Q4253" s="19"/>
      <c r="R4253" s="19"/>
      <c r="S4253" s="19"/>
      <c r="T4253" s="18"/>
      <c r="U4253" s="18"/>
      <c r="V4253" s="18"/>
      <c r="W4253" s="18"/>
      <c r="X4253" s="18"/>
      <c r="Y4253" s="18"/>
      <c r="Z4253" s="18"/>
    </row>
    <row r="4254" ht="15.75" customHeight="1">
      <c r="A4254" s="32"/>
      <c r="B4254" s="22"/>
      <c r="C4254" s="22"/>
      <c r="D4254" s="22"/>
      <c r="E4254" s="22"/>
      <c r="F4254" s="22"/>
      <c r="G4254" s="22"/>
      <c r="H4254" s="18"/>
      <c r="I4254" s="18"/>
      <c r="J4254" s="18"/>
      <c r="K4254" s="18"/>
      <c r="L4254" s="18"/>
      <c r="M4254" s="18"/>
      <c r="N4254" s="18"/>
      <c r="O4254" s="18"/>
      <c r="P4254" s="18"/>
      <c r="Q4254" s="19"/>
      <c r="R4254" s="19"/>
      <c r="S4254" s="19"/>
      <c r="T4254" s="18"/>
      <c r="U4254" s="18"/>
      <c r="V4254" s="18"/>
      <c r="W4254" s="18"/>
      <c r="X4254" s="18"/>
      <c r="Y4254" s="18"/>
      <c r="Z4254" s="18"/>
    </row>
    <row r="4255" ht="15.75" customHeight="1">
      <c r="A4255" s="32"/>
      <c r="B4255" s="22"/>
      <c r="C4255" s="22"/>
      <c r="D4255" s="22"/>
      <c r="E4255" s="22"/>
      <c r="F4255" s="22"/>
      <c r="G4255" s="22"/>
      <c r="H4255" s="18"/>
      <c r="I4255" s="18"/>
      <c r="J4255" s="18"/>
      <c r="K4255" s="18"/>
      <c r="L4255" s="18"/>
      <c r="M4255" s="18"/>
      <c r="N4255" s="18"/>
      <c r="O4255" s="18"/>
      <c r="P4255" s="18"/>
      <c r="Q4255" s="19"/>
      <c r="R4255" s="19"/>
      <c r="S4255" s="19"/>
      <c r="T4255" s="18"/>
      <c r="U4255" s="18"/>
      <c r="V4255" s="18"/>
      <c r="W4255" s="18"/>
      <c r="X4255" s="18"/>
      <c r="Y4255" s="18"/>
      <c r="Z4255" s="18"/>
    </row>
    <row r="4256" ht="15.75" customHeight="1">
      <c r="A4256" s="32"/>
      <c r="B4256" s="22"/>
      <c r="C4256" s="22"/>
      <c r="D4256" s="22"/>
      <c r="E4256" s="22"/>
      <c r="F4256" s="22"/>
      <c r="G4256" s="22"/>
      <c r="H4256" s="18"/>
      <c r="I4256" s="18"/>
      <c r="J4256" s="18"/>
      <c r="K4256" s="18"/>
      <c r="L4256" s="18"/>
      <c r="M4256" s="18"/>
      <c r="N4256" s="18"/>
      <c r="O4256" s="18"/>
      <c r="P4256" s="18"/>
      <c r="Q4256" s="19"/>
      <c r="R4256" s="19"/>
      <c r="S4256" s="19"/>
      <c r="T4256" s="18"/>
      <c r="U4256" s="18"/>
      <c r="V4256" s="18"/>
      <c r="W4256" s="18"/>
      <c r="X4256" s="18"/>
      <c r="Y4256" s="18"/>
      <c r="Z4256" s="18"/>
    </row>
    <row r="4257" ht="15.75" customHeight="1">
      <c r="A4257" s="32"/>
      <c r="B4257" s="22"/>
      <c r="C4257" s="22"/>
      <c r="D4257" s="22"/>
      <c r="E4257" s="22"/>
      <c r="F4257" s="22"/>
      <c r="G4257" s="22"/>
      <c r="H4257" s="18"/>
      <c r="I4257" s="18"/>
      <c r="J4257" s="18"/>
      <c r="K4257" s="18"/>
      <c r="L4257" s="18"/>
      <c r="M4257" s="18"/>
      <c r="N4257" s="18"/>
      <c r="O4257" s="18"/>
      <c r="P4257" s="18"/>
      <c r="Q4257" s="19"/>
      <c r="R4257" s="19"/>
      <c r="S4257" s="19"/>
      <c r="T4257" s="18"/>
      <c r="U4257" s="18"/>
      <c r="V4257" s="18"/>
      <c r="W4257" s="18"/>
      <c r="X4257" s="18"/>
      <c r="Y4257" s="18"/>
      <c r="Z4257" s="18"/>
    </row>
    <row r="4258" ht="15.75" customHeight="1">
      <c r="A4258" s="32"/>
      <c r="B4258" s="22"/>
      <c r="C4258" s="22"/>
      <c r="D4258" s="22"/>
      <c r="E4258" s="22"/>
      <c r="F4258" s="22"/>
      <c r="G4258" s="22"/>
      <c r="H4258" s="18"/>
      <c r="I4258" s="18"/>
      <c r="J4258" s="18"/>
      <c r="K4258" s="18"/>
      <c r="L4258" s="18"/>
      <c r="M4258" s="18"/>
      <c r="N4258" s="18"/>
      <c r="O4258" s="18"/>
      <c r="P4258" s="18"/>
      <c r="Q4258" s="19"/>
      <c r="R4258" s="19"/>
      <c r="S4258" s="19"/>
      <c r="T4258" s="18"/>
      <c r="U4258" s="18"/>
      <c r="V4258" s="18"/>
      <c r="W4258" s="18"/>
      <c r="X4258" s="18"/>
      <c r="Y4258" s="18"/>
      <c r="Z4258" s="18"/>
    </row>
    <row r="4259" ht="15.75" customHeight="1">
      <c r="A4259" s="32"/>
      <c r="B4259" s="22"/>
      <c r="C4259" s="22"/>
      <c r="D4259" s="22"/>
      <c r="E4259" s="22"/>
      <c r="F4259" s="22"/>
      <c r="G4259" s="22"/>
      <c r="H4259" s="18"/>
      <c r="I4259" s="18"/>
      <c r="J4259" s="18"/>
      <c r="K4259" s="18"/>
      <c r="L4259" s="18"/>
      <c r="M4259" s="18"/>
      <c r="N4259" s="18"/>
      <c r="O4259" s="18"/>
      <c r="P4259" s="18"/>
      <c r="Q4259" s="19"/>
      <c r="R4259" s="19"/>
      <c r="S4259" s="19"/>
      <c r="T4259" s="18"/>
      <c r="U4259" s="18"/>
      <c r="V4259" s="18"/>
      <c r="W4259" s="18"/>
      <c r="X4259" s="18"/>
      <c r="Y4259" s="18"/>
      <c r="Z4259" s="18"/>
    </row>
    <row r="4260" ht="15.75" customHeight="1">
      <c r="A4260" s="32"/>
      <c r="B4260" s="22"/>
      <c r="C4260" s="22"/>
      <c r="D4260" s="22"/>
      <c r="E4260" s="22"/>
      <c r="F4260" s="22"/>
      <c r="G4260" s="22"/>
      <c r="H4260" s="18"/>
      <c r="I4260" s="18"/>
      <c r="J4260" s="18"/>
      <c r="K4260" s="18"/>
      <c r="L4260" s="18"/>
      <c r="M4260" s="18"/>
      <c r="N4260" s="18"/>
      <c r="O4260" s="18"/>
      <c r="P4260" s="18"/>
      <c r="Q4260" s="19"/>
      <c r="R4260" s="19"/>
      <c r="S4260" s="19"/>
      <c r="T4260" s="18"/>
      <c r="U4260" s="18"/>
      <c r="V4260" s="18"/>
      <c r="W4260" s="18"/>
      <c r="X4260" s="18"/>
      <c r="Y4260" s="18"/>
      <c r="Z4260" s="18"/>
    </row>
    <row r="4261" ht="15.75" customHeight="1">
      <c r="A4261" s="32"/>
      <c r="B4261" s="22"/>
      <c r="C4261" s="22"/>
      <c r="D4261" s="22"/>
      <c r="E4261" s="22"/>
      <c r="F4261" s="22"/>
      <c r="G4261" s="22"/>
      <c r="H4261" s="18"/>
      <c r="I4261" s="18"/>
      <c r="J4261" s="18"/>
      <c r="K4261" s="18"/>
      <c r="L4261" s="18"/>
      <c r="M4261" s="18"/>
      <c r="N4261" s="18"/>
      <c r="O4261" s="18"/>
      <c r="P4261" s="18"/>
      <c r="Q4261" s="19"/>
      <c r="R4261" s="19"/>
      <c r="S4261" s="19"/>
      <c r="T4261" s="18"/>
      <c r="U4261" s="18"/>
      <c r="V4261" s="18"/>
      <c r="W4261" s="18"/>
      <c r="X4261" s="18"/>
      <c r="Y4261" s="18"/>
      <c r="Z4261" s="18"/>
    </row>
    <row r="4262" ht="15.75" customHeight="1">
      <c r="A4262" s="32"/>
      <c r="B4262" s="22"/>
      <c r="C4262" s="22"/>
      <c r="D4262" s="22"/>
      <c r="E4262" s="22"/>
      <c r="F4262" s="22"/>
      <c r="G4262" s="22"/>
      <c r="H4262" s="18"/>
      <c r="I4262" s="18"/>
      <c r="J4262" s="18"/>
      <c r="K4262" s="18"/>
      <c r="L4262" s="18"/>
      <c r="M4262" s="18"/>
      <c r="N4262" s="18"/>
      <c r="O4262" s="18"/>
      <c r="P4262" s="18"/>
      <c r="Q4262" s="19"/>
      <c r="R4262" s="19"/>
      <c r="S4262" s="19"/>
      <c r="T4262" s="18"/>
      <c r="U4262" s="18"/>
      <c r="V4262" s="18"/>
      <c r="W4262" s="18"/>
      <c r="X4262" s="18"/>
      <c r="Y4262" s="18"/>
      <c r="Z4262" s="18"/>
    </row>
    <row r="4263" ht="15.75" customHeight="1">
      <c r="A4263" s="32"/>
      <c r="B4263" s="22"/>
      <c r="C4263" s="22"/>
      <c r="D4263" s="22"/>
      <c r="E4263" s="22"/>
      <c r="F4263" s="22"/>
      <c r="G4263" s="22"/>
      <c r="H4263" s="18"/>
      <c r="I4263" s="18"/>
      <c r="J4263" s="18"/>
      <c r="K4263" s="18"/>
      <c r="L4263" s="18"/>
      <c r="M4263" s="18"/>
      <c r="N4263" s="18"/>
      <c r="O4263" s="18"/>
      <c r="P4263" s="18"/>
      <c r="Q4263" s="19"/>
      <c r="R4263" s="19"/>
      <c r="S4263" s="19"/>
      <c r="T4263" s="18"/>
      <c r="U4263" s="18"/>
      <c r="V4263" s="18"/>
      <c r="W4263" s="18"/>
      <c r="X4263" s="18"/>
      <c r="Y4263" s="18"/>
      <c r="Z4263" s="18"/>
    </row>
    <row r="4264" ht="15.75" customHeight="1">
      <c r="A4264" s="32"/>
      <c r="B4264" s="22"/>
      <c r="C4264" s="22"/>
      <c r="D4264" s="22"/>
      <c r="E4264" s="22"/>
      <c r="F4264" s="22"/>
      <c r="G4264" s="22"/>
      <c r="H4264" s="18"/>
      <c r="I4264" s="18"/>
      <c r="J4264" s="18"/>
      <c r="K4264" s="18"/>
      <c r="L4264" s="18"/>
      <c r="M4264" s="18"/>
      <c r="N4264" s="18"/>
      <c r="O4264" s="18"/>
      <c r="P4264" s="18"/>
      <c r="Q4264" s="19"/>
      <c r="R4264" s="19"/>
      <c r="S4264" s="19"/>
      <c r="T4264" s="18"/>
      <c r="U4264" s="18"/>
      <c r="V4264" s="18"/>
      <c r="W4264" s="18"/>
      <c r="X4264" s="18"/>
      <c r="Y4264" s="18"/>
      <c r="Z4264" s="18"/>
    </row>
    <row r="4265" ht="15.75" customHeight="1">
      <c r="A4265" s="32"/>
      <c r="B4265" s="22"/>
      <c r="C4265" s="22"/>
      <c r="D4265" s="22"/>
      <c r="E4265" s="22"/>
      <c r="F4265" s="22"/>
      <c r="G4265" s="22"/>
      <c r="H4265" s="18"/>
      <c r="I4265" s="18"/>
      <c r="J4265" s="18"/>
      <c r="K4265" s="18"/>
      <c r="L4265" s="18"/>
      <c r="M4265" s="18"/>
      <c r="N4265" s="18"/>
      <c r="O4265" s="18"/>
      <c r="P4265" s="18"/>
      <c r="Q4265" s="19"/>
      <c r="R4265" s="19"/>
      <c r="S4265" s="19"/>
      <c r="T4265" s="18"/>
      <c r="U4265" s="18"/>
      <c r="V4265" s="18"/>
      <c r="W4265" s="18"/>
      <c r="X4265" s="18"/>
      <c r="Y4265" s="18"/>
      <c r="Z4265" s="18"/>
    </row>
    <row r="4266" ht="15.75" customHeight="1">
      <c r="A4266" s="32"/>
      <c r="B4266" s="22"/>
      <c r="C4266" s="22"/>
      <c r="D4266" s="22"/>
      <c r="E4266" s="22"/>
      <c r="F4266" s="22"/>
      <c r="G4266" s="22"/>
      <c r="H4266" s="18"/>
      <c r="I4266" s="18"/>
      <c r="J4266" s="18"/>
      <c r="K4266" s="18"/>
      <c r="L4266" s="18"/>
      <c r="M4266" s="18"/>
      <c r="N4266" s="18"/>
      <c r="O4266" s="18"/>
      <c r="P4266" s="18"/>
      <c r="Q4266" s="19"/>
      <c r="R4266" s="19"/>
      <c r="S4266" s="19"/>
      <c r="T4266" s="18"/>
      <c r="U4266" s="18"/>
      <c r="V4266" s="18"/>
      <c r="W4266" s="18"/>
      <c r="X4266" s="18"/>
      <c r="Y4266" s="18"/>
      <c r="Z4266" s="18"/>
    </row>
    <row r="4267" ht="15.75" customHeight="1">
      <c r="A4267" s="32"/>
      <c r="B4267" s="22"/>
      <c r="C4267" s="22"/>
      <c r="D4267" s="22"/>
      <c r="E4267" s="22"/>
      <c r="F4267" s="22"/>
      <c r="G4267" s="22"/>
      <c r="H4267" s="18"/>
      <c r="I4267" s="18"/>
      <c r="J4267" s="18"/>
      <c r="K4267" s="18"/>
      <c r="L4267" s="18"/>
      <c r="M4267" s="18"/>
      <c r="N4267" s="18"/>
      <c r="O4267" s="18"/>
      <c r="P4267" s="18"/>
      <c r="Q4267" s="19"/>
      <c r="R4267" s="19"/>
      <c r="S4267" s="19"/>
      <c r="T4267" s="18"/>
      <c r="U4267" s="18"/>
      <c r="V4267" s="18"/>
      <c r="W4267" s="18"/>
      <c r="X4267" s="18"/>
      <c r="Y4267" s="18"/>
      <c r="Z4267" s="18"/>
    </row>
    <row r="4268" ht="15.75" customHeight="1">
      <c r="A4268" s="32"/>
      <c r="B4268" s="22"/>
      <c r="C4268" s="22"/>
      <c r="D4268" s="22"/>
      <c r="E4268" s="22"/>
      <c r="F4268" s="22"/>
      <c r="G4268" s="22"/>
      <c r="H4268" s="18"/>
      <c r="I4268" s="18"/>
      <c r="J4268" s="18"/>
      <c r="K4268" s="18"/>
      <c r="L4268" s="18"/>
      <c r="M4268" s="18"/>
      <c r="N4268" s="18"/>
      <c r="O4268" s="18"/>
      <c r="P4268" s="18"/>
      <c r="Q4268" s="19"/>
      <c r="R4268" s="19"/>
      <c r="S4268" s="19"/>
      <c r="T4268" s="18"/>
      <c r="U4268" s="18"/>
      <c r="V4268" s="18"/>
      <c r="W4268" s="18"/>
      <c r="X4268" s="18"/>
      <c r="Y4268" s="18"/>
      <c r="Z4268" s="18"/>
    </row>
    <row r="4269" ht="15.75" customHeight="1">
      <c r="A4269" s="32"/>
      <c r="B4269" s="22"/>
      <c r="C4269" s="22"/>
      <c r="D4269" s="22"/>
      <c r="E4269" s="22"/>
      <c r="F4269" s="22"/>
      <c r="G4269" s="22"/>
      <c r="H4269" s="18"/>
      <c r="I4269" s="18"/>
      <c r="J4269" s="18"/>
      <c r="K4269" s="18"/>
      <c r="L4269" s="18"/>
      <c r="M4269" s="18"/>
      <c r="N4269" s="18"/>
      <c r="O4269" s="18"/>
      <c r="P4269" s="18"/>
      <c r="Q4269" s="19"/>
      <c r="R4269" s="19"/>
      <c r="S4269" s="19"/>
      <c r="T4269" s="18"/>
      <c r="U4269" s="18"/>
      <c r="V4269" s="18"/>
      <c r="W4269" s="18"/>
      <c r="X4269" s="18"/>
      <c r="Y4269" s="18"/>
      <c r="Z4269" s="18"/>
    </row>
    <row r="4270" ht="15.75" customHeight="1">
      <c r="A4270" s="32"/>
      <c r="B4270" s="22"/>
      <c r="C4270" s="22"/>
      <c r="D4270" s="22"/>
      <c r="E4270" s="22"/>
      <c r="F4270" s="22"/>
      <c r="G4270" s="22"/>
      <c r="H4270" s="18"/>
      <c r="I4270" s="18"/>
      <c r="J4270" s="18"/>
      <c r="K4270" s="18"/>
      <c r="L4270" s="18"/>
      <c r="M4270" s="18"/>
      <c r="N4270" s="18"/>
      <c r="O4270" s="18"/>
      <c r="P4270" s="18"/>
      <c r="Q4270" s="19"/>
      <c r="R4270" s="19"/>
      <c r="S4270" s="19"/>
      <c r="T4270" s="18"/>
      <c r="U4270" s="18"/>
      <c r="V4270" s="18"/>
      <c r="W4270" s="18"/>
      <c r="X4270" s="18"/>
      <c r="Y4270" s="18"/>
      <c r="Z4270" s="18"/>
    </row>
    <row r="4271" ht="15.75" customHeight="1">
      <c r="A4271" s="32"/>
      <c r="B4271" s="22"/>
      <c r="C4271" s="22"/>
      <c r="D4271" s="22"/>
      <c r="E4271" s="22"/>
      <c r="F4271" s="22"/>
      <c r="G4271" s="22"/>
      <c r="H4271" s="18"/>
      <c r="I4271" s="18"/>
      <c r="J4271" s="18"/>
      <c r="K4271" s="18"/>
      <c r="L4271" s="18"/>
      <c r="M4271" s="18"/>
      <c r="N4271" s="18"/>
      <c r="O4271" s="18"/>
      <c r="P4271" s="18"/>
      <c r="Q4271" s="19"/>
      <c r="R4271" s="19"/>
      <c r="S4271" s="19"/>
      <c r="T4271" s="18"/>
      <c r="U4271" s="18"/>
      <c r="V4271" s="18"/>
      <c r="W4271" s="18"/>
      <c r="X4271" s="18"/>
      <c r="Y4271" s="18"/>
      <c r="Z4271" s="18"/>
    </row>
    <row r="4272" ht="15.75" customHeight="1">
      <c r="A4272" s="32"/>
      <c r="B4272" s="22"/>
      <c r="C4272" s="22"/>
      <c r="D4272" s="22"/>
      <c r="E4272" s="22"/>
      <c r="F4272" s="22"/>
      <c r="G4272" s="22"/>
      <c r="H4272" s="18"/>
      <c r="I4272" s="18"/>
      <c r="J4272" s="18"/>
      <c r="K4272" s="18"/>
      <c r="L4272" s="18"/>
      <c r="M4272" s="18"/>
      <c r="N4272" s="18"/>
      <c r="O4272" s="18"/>
      <c r="P4272" s="18"/>
      <c r="Q4272" s="19"/>
      <c r="R4272" s="19"/>
      <c r="S4272" s="19"/>
      <c r="T4272" s="18"/>
      <c r="U4272" s="18"/>
      <c r="V4272" s="18"/>
      <c r="W4272" s="18"/>
      <c r="X4272" s="18"/>
      <c r="Y4272" s="18"/>
      <c r="Z4272" s="18"/>
    </row>
    <row r="4273" ht="15.75" customHeight="1">
      <c r="A4273" s="32"/>
      <c r="B4273" s="22"/>
      <c r="C4273" s="22"/>
      <c r="D4273" s="22"/>
      <c r="E4273" s="22"/>
      <c r="F4273" s="22"/>
      <c r="G4273" s="22"/>
      <c r="H4273" s="18"/>
      <c r="I4273" s="18"/>
      <c r="J4273" s="18"/>
      <c r="K4273" s="18"/>
      <c r="L4273" s="18"/>
      <c r="M4273" s="18"/>
      <c r="N4273" s="18"/>
      <c r="O4273" s="18"/>
      <c r="P4273" s="18"/>
      <c r="Q4273" s="19"/>
      <c r="R4273" s="19"/>
      <c r="S4273" s="19"/>
      <c r="T4273" s="18"/>
      <c r="U4273" s="18"/>
      <c r="V4273" s="18"/>
      <c r="W4273" s="18"/>
      <c r="X4273" s="18"/>
      <c r="Y4273" s="18"/>
      <c r="Z4273" s="18"/>
    </row>
    <row r="4274" ht="15.75" customHeight="1">
      <c r="A4274" s="32"/>
      <c r="B4274" s="22"/>
      <c r="C4274" s="22"/>
      <c r="D4274" s="22"/>
      <c r="E4274" s="22"/>
      <c r="F4274" s="22"/>
      <c r="G4274" s="22"/>
      <c r="H4274" s="18"/>
      <c r="I4274" s="18"/>
      <c r="J4274" s="18"/>
      <c r="K4274" s="18"/>
      <c r="L4274" s="18"/>
      <c r="M4274" s="18"/>
      <c r="N4274" s="18"/>
      <c r="O4274" s="18"/>
      <c r="P4274" s="18"/>
      <c r="Q4274" s="19"/>
      <c r="R4274" s="19"/>
      <c r="S4274" s="19"/>
      <c r="T4274" s="18"/>
      <c r="U4274" s="18"/>
      <c r="V4274" s="18"/>
      <c r="W4274" s="18"/>
      <c r="X4274" s="18"/>
      <c r="Y4274" s="18"/>
      <c r="Z4274" s="18"/>
    </row>
    <row r="4275" ht="15.75" customHeight="1">
      <c r="A4275" s="32"/>
      <c r="B4275" s="22"/>
      <c r="C4275" s="22"/>
      <c r="D4275" s="22"/>
      <c r="E4275" s="22"/>
      <c r="F4275" s="22"/>
      <c r="G4275" s="22"/>
      <c r="H4275" s="18"/>
      <c r="I4275" s="18"/>
      <c r="J4275" s="18"/>
      <c r="K4275" s="18"/>
      <c r="L4275" s="18"/>
      <c r="M4275" s="18"/>
      <c r="N4275" s="18"/>
      <c r="O4275" s="18"/>
      <c r="P4275" s="18"/>
      <c r="Q4275" s="19"/>
      <c r="R4275" s="19"/>
      <c r="S4275" s="19"/>
      <c r="T4275" s="18"/>
      <c r="U4275" s="18"/>
      <c r="V4275" s="18"/>
      <c r="W4275" s="18"/>
      <c r="X4275" s="18"/>
      <c r="Y4275" s="18"/>
      <c r="Z4275" s="18"/>
    </row>
    <row r="4276" ht="15.75" customHeight="1">
      <c r="A4276" s="32"/>
      <c r="B4276" s="22"/>
      <c r="C4276" s="22"/>
      <c r="D4276" s="22"/>
      <c r="E4276" s="22"/>
      <c r="F4276" s="22"/>
      <c r="G4276" s="22"/>
      <c r="H4276" s="18"/>
      <c r="I4276" s="18"/>
      <c r="J4276" s="18"/>
      <c r="K4276" s="18"/>
      <c r="L4276" s="18"/>
      <c r="M4276" s="18"/>
      <c r="N4276" s="18"/>
      <c r="O4276" s="18"/>
      <c r="P4276" s="18"/>
      <c r="Q4276" s="19"/>
      <c r="R4276" s="19"/>
      <c r="S4276" s="19"/>
      <c r="T4276" s="18"/>
      <c r="U4276" s="18"/>
      <c r="V4276" s="18"/>
      <c r="W4276" s="18"/>
      <c r="X4276" s="18"/>
      <c r="Y4276" s="18"/>
      <c r="Z4276" s="18"/>
    </row>
    <row r="4277" ht="15.75" customHeight="1">
      <c r="A4277" s="32"/>
      <c r="B4277" s="22"/>
      <c r="C4277" s="22"/>
      <c r="D4277" s="22"/>
      <c r="E4277" s="22"/>
      <c r="F4277" s="22"/>
      <c r="G4277" s="22"/>
      <c r="H4277" s="18"/>
      <c r="I4277" s="18"/>
      <c r="J4277" s="18"/>
      <c r="K4277" s="18"/>
      <c r="L4277" s="18"/>
      <c r="M4277" s="18"/>
      <c r="N4277" s="18"/>
      <c r="O4277" s="18"/>
      <c r="P4277" s="18"/>
      <c r="Q4277" s="19"/>
      <c r="R4277" s="19"/>
      <c r="S4277" s="19"/>
      <c r="T4277" s="18"/>
      <c r="U4277" s="18"/>
      <c r="V4277" s="18"/>
      <c r="W4277" s="18"/>
      <c r="X4277" s="18"/>
      <c r="Y4277" s="18"/>
      <c r="Z4277" s="18"/>
    </row>
    <row r="4278" ht="15.75" customHeight="1">
      <c r="A4278" s="32"/>
      <c r="B4278" s="22"/>
      <c r="C4278" s="22"/>
      <c r="D4278" s="22"/>
      <c r="E4278" s="22"/>
      <c r="F4278" s="22"/>
      <c r="G4278" s="22"/>
      <c r="H4278" s="18"/>
      <c r="I4278" s="18"/>
      <c r="J4278" s="18"/>
      <c r="K4278" s="18"/>
      <c r="L4278" s="18"/>
      <c r="M4278" s="18"/>
      <c r="N4278" s="18"/>
      <c r="O4278" s="18"/>
      <c r="P4278" s="18"/>
      <c r="Q4278" s="19"/>
      <c r="R4278" s="19"/>
      <c r="S4278" s="19"/>
      <c r="T4278" s="18"/>
      <c r="U4278" s="18"/>
      <c r="V4278" s="18"/>
      <c r="W4278" s="18"/>
      <c r="X4278" s="18"/>
      <c r="Y4278" s="18"/>
      <c r="Z4278" s="18"/>
    </row>
    <row r="4279" ht="15.75" customHeight="1">
      <c r="A4279" s="32"/>
      <c r="B4279" s="22"/>
      <c r="C4279" s="22"/>
      <c r="D4279" s="22"/>
      <c r="E4279" s="22"/>
      <c r="F4279" s="22"/>
      <c r="G4279" s="22"/>
      <c r="H4279" s="18"/>
      <c r="I4279" s="18"/>
      <c r="J4279" s="18"/>
      <c r="K4279" s="18"/>
      <c r="L4279" s="18"/>
      <c r="M4279" s="18"/>
      <c r="N4279" s="18"/>
      <c r="O4279" s="18"/>
      <c r="P4279" s="18"/>
      <c r="Q4279" s="19"/>
      <c r="R4279" s="19"/>
      <c r="S4279" s="19"/>
      <c r="T4279" s="18"/>
      <c r="U4279" s="18"/>
      <c r="V4279" s="18"/>
      <c r="W4279" s="18"/>
      <c r="X4279" s="18"/>
      <c r="Y4279" s="18"/>
      <c r="Z4279" s="18"/>
    </row>
    <row r="4280" ht="15.75" customHeight="1">
      <c r="A4280" s="32"/>
      <c r="B4280" s="22"/>
      <c r="C4280" s="22"/>
      <c r="D4280" s="22"/>
      <c r="E4280" s="22"/>
      <c r="F4280" s="22"/>
      <c r="G4280" s="22"/>
      <c r="H4280" s="18"/>
      <c r="I4280" s="18"/>
      <c r="J4280" s="18"/>
      <c r="K4280" s="18"/>
      <c r="L4280" s="18"/>
      <c r="M4280" s="18"/>
      <c r="N4280" s="18"/>
      <c r="O4280" s="18"/>
      <c r="P4280" s="18"/>
      <c r="Q4280" s="19"/>
      <c r="R4280" s="19"/>
      <c r="S4280" s="19"/>
      <c r="T4280" s="18"/>
      <c r="U4280" s="18"/>
      <c r="V4280" s="18"/>
      <c r="W4280" s="18"/>
      <c r="X4280" s="18"/>
      <c r="Y4280" s="18"/>
      <c r="Z4280" s="18"/>
    </row>
    <row r="4281" ht="15.75" customHeight="1">
      <c r="A4281" s="32"/>
      <c r="B4281" s="22"/>
      <c r="C4281" s="22"/>
      <c r="D4281" s="22"/>
      <c r="E4281" s="22"/>
      <c r="F4281" s="22"/>
      <c r="G4281" s="22"/>
      <c r="H4281" s="18"/>
      <c r="I4281" s="18"/>
      <c r="J4281" s="18"/>
      <c r="K4281" s="18"/>
      <c r="L4281" s="18"/>
      <c r="M4281" s="18"/>
      <c r="N4281" s="18"/>
      <c r="O4281" s="18"/>
      <c r="P4281" s="18"/>
      <c r="Q4281" s="19"/>
      <c r="R4281" s="19"/>
      <c r="S4281" s="19"/>
      <c r="T4281" s="18"/>
      <c r="U4281" s="18"/>
      <c r="V4281" s="18"/>
      <c r="W4281" s="18"/>
      <c r="X4281" s="18"/>
      <c r="Y4281" s="18"/>
      <c r="Z4281" s="18"/>
    </row>
    <row r="4282" ht="15.75" customHeight="1">
      <c r="A4282" s="32"/>
      <c r="B4282" s="22"/>
      <c r="C4282" s="22"/>
      <c r="D4282" s="22"/>
      <c r="E4282" s="22"/>
      <c r="F4282" s="22"/>
      <c r="G4282" s="22"/>
      <c r="H4282" s="18"/>
      <c r="I4282" s="18"/>
      <c r="J4282" s="18"/>
      <c r="K4282" s="18"/>
      <c r="L4282" s="18"/>
      <c r="M4282" s="18"/>
      <c r="N4282" s="18"/>
      <c r="O4282" s="18"/>
      <c r="P4282" s="18"/>
      <c r="Q4282" s="19"/>
      <c r="R4282" s="19"/>
      <c r="S4282" s="19"/>
      <c r="T4282" s="18"/>
      <c r="U4282" s="18"/>
      <c r="V4282" s="18"/>
      <c r="W4282" s="18"/>
      <c r="X4282" s="18"/>
      <c r="Y4282" s="18"/>
      <c r="Z4282" s="18"/>
    </row>
    <row r="4283" ht="15.75" customHeight="1">
      <c r="A4283" s="32"/>
      <c r="B4283" s="22"/>
      <c r="C4283" s="22"/>
      <c r="D4283" s="22"/>
      <c r="E4283" s="22"/>
      <c r="F4283" s="22"/>
      <c r="G4283" s="22"/>
      <c r="H4283" s="18"/>
      <c r="I4283" s="18"/>
      <c r="J4283" s="18"/>
      <c r="K4283" s="18"/>
      <c r="L4283" s="18"/>
      <c r="M4283" s="18"/>
      <c r="N4283" s="18"/>
      <c r="O4283" s="18"/>
      <c r="P4283" s="18"/>
      <c r="Q4283" s="19"/>
      <c r="R4283" s="19"/>
      <c r="S4283" s="19"/>
      <c r="T4283" s="18"/>
      <c r="U4283" s="18"/>
      <c r="V4283" s="18"/>
      <c r="W4283" s="18"/>
      <c r="X4283" s="18"/>
      <c r="Y4283" s="18"/>
      <c r="Z4283" s="18"/>
    </row>
    <row r="4284" ht="15.75" customHeight="1">
      <c r="A4284" s="32"/>
      <c r="B4284" s="22"/>
      <c r="C4284" s="22"/>
      <c r="D4284" s="22"/>
      <c r="E4284" s="22"/>
      <c r="F4284" s="22"/>
      <c r="G4284" s="22"/>
      <c r="H4284" s="18"/>
      <c r="I4284" s="18"/>
      <c r="J4284" s="18"/>
      <c r="K4284" s="18"/>
      <c r="L4284" s="18"/>
      <c r="M4284" s="18"/>
      <c r="N4284" s="18"/>
      <c r="O4284" s="18"/>
      <c r="P4284" s="18"/>
      <c r="Q4284" s="19"/>
      <c r="R4284" s="19"/>
      <c r="S4284" s="19"/>
      <c r="T4284" s="18"/>
      <c r="U4284" s="18"/>
      <c r="V4284" s="18"/>
      <c r="W4284" s="18"/>
      <c r="X4284" s="18"/>
      <c r="Y4284" s="18"/>
      <c r="Z4284" s="18"/>
    </row>
    <row r="4285" ht="15.75" customHeight="1">
      <c r="A4285" s="32"/>
      <c r="B4285" s="22"/>
      <c r="C4285" s="22"/>
      <c r="D4285" s="22"/>
      <c r="E4285" s="22"/>
      <c r="F4285" s="22"/>
      <c r="G4285" s="22"/>
      <c r="H4285" s="18"/>
      <c r="I4285" s="18"/>
      <c r="J4285" s="18"/>
      <c r="K4285" s="18"/>
      <c r="L4285" s="18"/>
      <c r="M4285" s="18"/>
      <c r="N4285" s="18"/>
      <c r="O4285" s="18"/>
      <c r="P4285" s="18"/>
      <c r="Q4285" s="19"/>
      <c r="R4285" s="19"/>
      <c r="S4285" s="19"/>
      <c r="T4285" s="18"/>
      <c r="U4285" s="18"/>
      <c r="V4285" s="18"/>
      <c r="W4285" s="18"/>
      <c r="X4285" s="18"/>
      <c r="Y4285" s="18"/>
      <c r="Z4285" s="18"/>
    </row>
    <row r="4286" ht="15.75" customHeight="1">
      <c r="A4286" s="32"/>
      <c r="B4286" s="22"/>
      <c r="C4286" s="22"/>
      <c r="D4286" s="22"/>
      <c r="E4286" s="22"/>
      <c r="F4286" s="22"/>
      <c r="G4286" s="22"/>
      <c r="H4286" s="18"/>
      <c r="I4286" s="18"/>
      <c r="J4286" s="18"/>
      <c r="K4286" s="18"/>
      <c r="L4286" s="18"/>
      <c r="M4286" s="18"/>
      <c r="N4286" s="18"/>
      <c r="O4286" s="18"/>
      <c r="P4286" s="18"/>
      <c r="Q4286" s="19"/>
      <c r="R4286" s="19"/>
      <c r="S4286" s="19"/>
      <c r="T4286" s="18"/>
      <c r="U4286" s="18"/>
      <c r="V4286" s="18"/>
      <c r="W4286" s="18"/>
      <c r="X4286" s="18"/>
      <c r="Y4286" s="18"/>
      <c r="Z4286" s="18"/>
    </row>
    <row r="4287" ht="15.75" customHeight="1">
      <c r="A4287" s="32"/>
      <c r="B4287" s="22"/>
      <c r="C4287" s="22"/>
      <c r="D4287" s="22"/>
      <c r="E4287" s="22"/>
      <c r="F4287" s="22"/>
      <c r="G4287" s="22"/>
      <c r="H4287" s="18"/>
      <c r="I4287" s="18"/>
      <c r="J4287" s="18"/>
      <c r="K4287" s="18"/>
      <c r="L4287" s="18"/>
      <c r="M4287" s="18"/>
      <c r="N4287" s="18"/>
      <c r="O4287" s="18"/>
      <c r="P4287" s="18"/>
      <c r="Q4287" s="19"/>
      <c r="R4287" s="19"/>
      <c r="S4287" s="19"/>
      <c r="T4287" s="18"/>
      <c r="U4287" s="18"/>
      <c r="V4287" s="18"/>
      <c r="W4287" s="18"/>
      <c r="X4287" s="18"/>
      <c r="Y4287" s="18"/>
      <c r="Z4287" s="18"/>
    </row>
    <row r="4288" ht="15.75" customHeight="1">
      <c r="A4288" s="32"/>
      <c r="B4288" s="22"/>
      <c r="C4288" s="22"/>
      <c r="D4288" s="22"/>
      <c r="E4288" s="22"/>
      <c r="F4288" s="22"/>
      <c r="G4288" s="22"/>
      <c r="H4288" s="18"/>
      <c r="I4288" s="18"/>
      <c r="J4288" s="18"/>
      <c r="K4288" s="18"/>
      <c r="L4288" s="18"/>
      <c r="M4288" s="18"/>
      <c r="N4288" s="18"/>
      <c r="O4288" s="18"/>
      <c r="P4288" s="18"/>
      <c r="Q4288" s="19"/>
      <c r="R4288" s="19"/>
      <c r="S4288" s="19"/>
      <c r="T4288" s="18"/>
      <c r="U4288" s="18"/>
      <c r="V4288" s="18"/>
      <c r="W4288" s="18"/>
      <c r="X4288" s="18"/>
      <c r="Y4288" s="18"/>
      <c r="Z4288" s="18"/>
    </row>
    <row r="4289" ht="15.75" customHeight="1">
      <c r="A4289" s="32"/>
      <c r="B4289" s="22"/>
      <c r="C4289" s="22"/>
      <c r="D4289" s="22"/>
      <c r="E4289" s="22"/>
      <c r="F4289" s="22"/>
      <c r="G4289" s="22"/>
      <c r="H4289" s="18"/>
      <c r="I4289" s="18"/>
      <c r="J4289" s="18"/>
      <c r="K4289" s="18"/>
      <c r="L4289" s="18"/>
      <c r="M4289" s="18"/>
      <c r="N4289" s="18"/>
      <c r="O4289" s="18"/>
      <c r="P4289" s="18"/>
      <c r="Q4289" s="19"/>
      <c r="R4289" s="19"/>
      <c r="S4289" s="19"/>
      <c r="T4289" s="18"/>
      <c r="U4289" s="18"/>
      <c r="V4289" s="18"/>
      <c r="W4289" s="18"/>
      <c r="X4289" s="18"/>
      <c r="Y4289" s="18"/>
      <c r="Z4289" s="18"/>
    </row>
    <row r="4290" ht="15.75" customHeight="1">
      <c r="A4290" s="32"/>
      <c r="B4290" s="22"/>
      <c r="C4290" s="22"/>
      <c r="D4290" s="22"/>
      <c r="E4290" s="22"/>
      <c r="F4290" s="22"/>
      <c r="G4290" s="22"/>
      <c r="H4290" s="18"/>
      <c r="I4290" s="18"/>
      <c r="J4290" s="18"/>
      <c r="K4290" s="18"/>
      <c r="L4290" s="18"/>
      <c r="M4290" s="18"/>
      <c r="N4290" s="18"/>
      <c r="O4290" s="18"/>
      <c r="P4290" s="18"/>
      <c r="Q4290" s="19"/>
      <c r="R4290" s="19"/>
      <c r="S4290" s="19"/>
      <c r="T4290" s="18"/>
      <c r="U4290" s="18"/>
      <c r="V4290" s="18"/>
      <c r="W4290" s="18"/>
      <c r="X4290" s="18"/>
      <c r="Y4290" s="18"/>
      <c r="Z4290" s="18"/>
    </row>
    <row r="4291" ht="15.75" customHeight="1">
      <c r="A4291" s="32"/>
      <c r="B4291" s="22"/>
      <c r="C4291" s="22"/>
      <c r="D4291" s="22"/>
      <c r="E4291" s="22"/>
      <c r="F4291" s="22"/>
      <c r="G4291" s="22"/>
      <c r="H4291" s="18"/>
      <c r="I4291" s="18"/>
      <c r="J4291" s="18"/>
      <c r="K4291" s="18"/>
      <c r="L4291" s="18"/>
      <c r="M4291" s="18"/>
      <c r="N4291" s="18"/>
      <c r="O4291" s="18"/>
      <c r="P4291" s="18"/>
      <c r="Q4291" s="19"/>
      <c r="R4291" s="19"/>
      <c r="S4291" s="19"/>
      <c r="T4291" s="18"/>
      <c r="U4291" s="18"/>
      <c r="V4291" s="18"/>
      <c r="W4291" s="18"/>
      <c r="X4291" s="18"/>
      <c r="Y4291" s="18"/>
      <c r="Z4291" s="18"/>
    </row>
    <row r="4292" ht="15.75" customHeight="1">
      <c r="A4292" s="32"/>
      <c r="B4292" s="22"/>
      <c r="C4292" s="22"/>
      <c r="D4292" s="22"/>
      <c r="E4292" s="22"/>
      <c r="F4292" s="22"/>
      <c r="G4292" s="22"/>
      <c r="H4292" s="18"/>
      <c r="I4292" s="18"/>
      <c r="J4292" s="18"/>
      <c r="K4292" s="18"/>
      <c r="L4292" s="18"/>
      <c r="M4292" s="18"/>
      <c r="N4292" s="18"/>
      <c r="O4292" s="18"/>
      <c r="P4292" s="18"/>
      <c r="Q4292" s="19"/>
      <c r="R4292" s="19"/>
      <c r="S4292" s="19"/>
      <c r="T4292" s="18"/>
      <c r="U4292" s="18"/>
      <c r="V4292" s="18"/>
      <c r="W4292" s="18"/>
      <c r="X4292" s="18"/>
      <c r="Y4292" s="18"/>
      <c r="Z4292" s="18"/>
    </row>
    <row r="4293" ht="15.75" customHeight="1">
      <c r="A4293" s="32"/>
      <c r="B4293" s="22"/>
      <c r="C4293" s="22"/>
      <c r="D4293" s="22"/>
      <c r="E4293" s="22"/>
      <c r="F4293" s="22"/>
      <c r="G4293" s="22"/>
      <c r="H4293" s="18"/>
      <c r="I4293" s="18"/>
      <c r="J4293" s="18"/>
      <c r="K4293" s="18"/>
      <c r="L4293" s="18"/>
      <c r="M4293" s="18"/>
      <c r="N4293" s="18"/>
      <c r="O4293" s="18"/>
      <c r="P4293" s="18"/>
      <c r="Q4293" s="19"/>
      <c r="R4293" s="19"/>
      <c r="S4293" s="19"/>
      <c r="T4293" s="18"/>
      <c r="U4293" s="18"/>
      <c r="V4293" s="18"/>
      <c r="W4293" s="18"/>
      <c r="X4293" s="18"/>
      <c r="Y4293" s="18"/>
      <c r="Z4293" s="18"/>
    </row>
    <row r="4294" ht="15.75" customHeight="1">
      <c r="A4294" s="32"/>
      <c r="B4294" s="22"/>
      <c r="C4294" s="22"/>
      <c r="D4294" s="22"/>
      <c r="E4294" s="22"/>
      <c r="F4294" s="22"/>
      <c r="G4294" s="22"/>
      <c r="H4294" s="18"/>
      <c r="I4294" s="18"/>
      <c r="J4294" s="18"/>
      <c r="K4294" s="18"/>
      <c r="L4294" s="18"/>
      <c r="M4294" s="18"/>
      <c r="N4294" s="18"/>
      <c r="O4294" s="18"/>
      <c r="P4294" s="18"/>
      <c r="Q4294" s="19"/>
      <c r="R4294" s="19"/>
      <c r="S4294" s="19"/>
      <c r="T4294" s="18"/>
      <c r="U4294" s="18"/>
      <c r="V4294" s="18"/>
      <c r="W4294" s="18"/>
      <c r="X4294" s="18"/>
      <c r="Y4294" s="18"/>
      <c r="Z4294" s="18"/>
    </row>
    <row r="4295" ht="15.75" customHeight="1">
      <c r="A4295" s="32"/>
      <c r="B4295" s="22"/>
      <c r="C4295" s="22"/>
      <c r="D4295" s="22"/>
      <c r="E4295" s="22"/>
      <c r="F4295" s="22"/>
      <c r="G4295" s="22"/>
      <c r="H4295" s="18"/>
      <c r="I4295" s="18"/>
      <c r="J4295" s="18"/>
      <c r="K4295" s="18"/>
      <c r="L4295" s="18"/>
      <c r="M4295" s="18"/>
      <c r="N4295" s="18"/>
      <c r="O4295" s="18"/>
      <c r="P4295" s="18"/>
      <c r="Q4295" s="19"/>
      <c r="R4295" s="19"/>
      <c r="S4295" s="19"/>
      <c r="T4295" s="18"/>
      <c r="U4295" s="18"/>
      <c r="V4295" s="18"/>
      <c r="W4295" s="18"/>
      <c r="X4295" s="18"/>
      <c r="Y4295" s="18"/>
      <c r="Z4295" s="18"/>
    </row>
    <row r="4296" ht="15.75" customHeight="1">
      <c r="A4296" s="32"/>
      <c r="B4296" s="22"/>
      <c r="C4296" s="22"/>
      <c r="D4296" s="22"/>
      <c r="E4296" s="22"/>
      <c r="F4296" s="22"/>
      <c r="G4296" s="22"/>
      <c r="H4296" s="18"/>
      <c r="I4296" s="18"/>
      <c r="J4296" s="18"/>
      <c r="K4296" s="18"/>
      <c r="L4296" s="18"/>
      <c r="M4296" s="18"/>
      <c r="N4296" s="18"/>
      <c r="O4296" s="18"/>
      <c r="P4296" s="18"/>
      <c r="Q4296" s="19"/>
      <c r="R4296" s="19"/>
      <c r="S4296" s="19"/>
      <c r="T4296" s="18"/>
      <c r="U4296" s="18"/>
      <c r="V4296" s="18"/>
      <c r="W4296" s="18"/>
      <c r="X4296" s="18"/>
      <c r="Y4296" s="18"/>
      <c r="Z4296" s="18"/>
    </row>
    <row r="4297" ht="15.75" customHeight="1">
      <c r="A4297" s="32"/>
      <c r="B4297" s="22"/>
      <c r="C4297" s="22"/>
      <c r="D4297" s="22"/>
      <c r="E4297" s="22"/>
      <c r="F4297" s="22"/>
      <c r="G4297" s="22"/>
      <c r="H4297" s="18"/>
      <c r="I4297" s="18"/>
      <c r="J4297" s="18"/>
      <c r="K4297" s="18"/>
      <c r="L4297" s="18"/>
      <c r="M4297" s="18"/>
      <c r="N4297" s="18"/>
      <c r="O4297" s="18"/>
      <c r="P4297" s="18"/>
      <c r="Q4297" s="19"/>
      <c r="R4297" s="19"/>
      <c r="S4297" s="19"/>
      <c r="T4297" s="18"/>
      <c r="U4297" s="18"/>
      <c r="V4297" s="18"/>
      <c r="W4297" s="18"/>
      <c r="X4297" s="18"/>
      <c r="Y4297" s="18"/>
      <c r="Z4297" s="18"/>
    </row>
    <row r="4298" ht="15.75" customHeight="1">
      <c r="A4298" s="32"/>
      <c r="B4298" s="22"/>
      <c r="C4298" s="22"/>
      <c r="D4298" s="22"/>
      <c r="E4298" s="22"/>
      <c r="F4298" s="22"/>
      <c r="G4298" s="22"/>
      <c r="H4298" s="18"/>
      <c r="I4298" s="18"/>
      <c r="J4298" s="18"/>
      <c r="K4298" s="18"/>
      <c r="L4298" s="18"/>
      <c r="M4298" s="18"/>
      <c r="N4298" s="18"/>
      <c r="O4298" s="18"/>
      <c r="P4298" s="18"/>
      <c r="Q4298" s="19"/>
      <c r="R4298" s="19"/>
      <c r="S4298" s="19"/>
      <c r="T4298" s="18"/>
      <c r="U4298" s="18"/>
      <c r="V4298" s="18"/>
      <c r="W4298" s="18"/>
      <c r="X4298" s="18"/>
      <c r="Y4298" s="18"/>
      <c r="Z4298" s="18"/>
    </row>
    <row r="4299" ht="15.75" customHeight="1">
      <c r="A4299" s="32"/>
      <c r="B4299" s="22"/>
      <c r="C4299" s="22"/>
      <c r="D4299" s="22"/>
      <c r="E4299" s="22"/>
      <c r="F4299" s="22"/>
      <c r="G4299" s="22"/>
      <c r="H4299" s="18"/>
      <c r="I4299" s="18"/>
      <c r="J4299" s="18"/>
      <c r="K4299" s="18"/>
      <c r="L4299" s="18"/>
      <c r="M4299" s="18"/>
      <c r="N4299" s="18"/>
      <c r="O4299" s="18"/>
      <c r="P4299" s="18"/>
      <c r="Q4299" s="19"/>
      <c r="R4299" s="19"/>
      <c r="S4299" s="19"/>
      <c r="T4299" s="18"/>
      <c r="U4299" s="18"/>
      <c r="V4299" s="18"/>
      <c r="W4299" s="18"/>
      <c r="X4299" s="18"/>
      <c r="Y4299" s="18"/>
      <c r="Z4299" s="18"/>
    </row>
    <row r="4300" ht="15.75" customHeight="1">
      <c r="A4300" s="32"/>
      <c r="B4300" s="22"/>
      <c r="C4300" s="22"/>
      <c r="D4300" s="22"/>
      <c r="E4300" s="22"/>
      <c r="F4300" s="22"/>
      <c r="G4300" s="22"/>
      <c r="H4300" s="18"/>
      <c r="I4300" s="18"/>
      <c r="J4300" s="18"/>
      <c r="K4300" s="18"/>
      <c r="L4300" s="18"/>
      <c r="M4300" s="18"/>
      <c r="N4300" s="18"/>
      <c r="O4300" s="18"/>
      <c r="P4300" s="18"/>
      <c r="Q4300" s="19"/>
      <c r="R4300" s="19"/>
      <c r="S4300" s="19"/>
      <c r="T4300" s="18"/>
      <c r="U4300" s="18"/>
      <c r="V4300" s="18"/>
      <c r="W4300" s="18"/>
      <c r="X4300" s="18"/>
      <c r="Y4300" s="18"/>
      <c r="Z4300" s="18"/>
    </row>
    <row r="4301" ht="15.75" customHeight="1">
      <c r="A4301" s="32"/>
      <c r="B4301" s="22"/>
      <c r="C4301" s="22"/>
      <c r="D4301" s="22"/>
      <c r="E4301" s="22"/>
      <c r="F4301" s="22"/>
      <c r="G4301" s="22"/>
      <c r="H4301" s="18"/>
      <c r="I4301" s="18"/>
      <c r="J4301" s="18"/>
      <c r="K4301" s="18"/>
      <c r="L4301" s="18"/>
      <c r="M4301" s="18"/>
      <c r="N4301" s="18"/>
      <c r="O4301" s="18"/>
      <c r="P4301" s="18"/>
      <c r="Q4301" s="19"/>
      <c r="R4301" s="19"/>
      <c r="S4301" s="19"/>
      <c r="T4301" s="18"/>
      <c r="U4301" s="18"/>
      <c r="V4301" s="18"/>
      <c r="W4301" s="18"/>
      <c r="X4301" s="18"/>
      <c r="Y4301" s="18"/>
      <c r="Z4301" s="18"/>
    </row>
    <row r="4302" ht="15.75" customHeight="1">
      <c r="A4302" s="32"/>
      <c r="B4302" s="22"/>
      <c r="C4302" s="22"/>
      <c r="D4302" s="22"/>
      <c r="E4302" s="22"/>
      <c r="F4302" s="22"/>
      <c r="G4302" s="22"/>
      <c r="H4302" s="18"/>
      <c r="I4302" s="18"/>
      <c r="J4302" s="18"/>
      <c r="K4302" s="18"/>
      <c r="L4302" s="18"/>
      <c r="M4302" s="18"/>
      <c r="N4302" s="18"/>
      <c r="O4302" s="18"/>
      <c r="P4302" s="18"/>
      <c r="Q4302" s="19"/>
      <c r="R4302" s="19"/>
      <c r="S4302" s="19"/>
      <c r="T4302" s="18"/>
      <c r="U4302" s="18"/>
      <c r="V4302" s="18"/>
      <c r="W4302" s="18"/>
      <c r="X4302" s="18"/>
      <c r="Y4302" s="18"/>
      <c r="Z4302" s="18"/>
    </row>
    <row r="4303" ht="15.75" customHeight="1">
      <c r="A4303" s="32"/>
      <c r="B4303" s="22"/>
      <c r="C4303" s="22"/>
      <c r="D4303" s="22"/>
      <c r="E4303" s="22"/>
      <c r="F4303" s="22"/>
      <c r="G4303" s="22"/>
      <c r="H4303" s="18"/>
      <c r="I4303" s="18"/>
      <c r="J4303" s="18"/>
      <c r="K4303" s="18"/>
      <c r="L4303" s="18"/>
      <c r="M4303" s="18"/>
      <c r="N4303" s="18"/>
      <c r="O4303" s="18"/>
      <c r="P4303" s="18"/>
      <c r="Q4303" s="19"/>
      <c r="R4303" s="19"/>
      <c r="S4303" s="19"/>
      <c r="T4303" s="18"/>
      <c r="U4303" s="18"/>
      <c r="V4303" s="18"/>
      <c r="W4303" s="18"/>
      <c r="X4303" s="18"/>
      <c r="Y4303" s="18"/>
      <c r="Z4303" s="18"/>
    </row>
    <row r="4304" ht="15.75" customHeight="1">
      <c r="A4304" s="32"/>
      <c r="B4304" s="22"/>
      <c r="C4304" s="22"/>
      <c r="D4304" s="22"/>
      <c r="E4304" s="22"/>
      <c r="F4304" s="22"/>
      <c r="G4304" s="22"/>
      <c r="H4304" s="18"/>
      <c r="I4304" s="18"/>
      <c r="J4304" s="18"/>
      <c r="K4304" s="18"/>
      <c r="L4304" s="18"/>
      <c r="M4304" s="18"/>
      <c r="N4304" s="18"/>
      <c r="O4304" s="18"/>
      <c r="P4304" s="18"/>
      <c r="Q4304" s="19"/>
      <c r="R4304" s="19"/>
      <c r="S4304" s="19"/>
      <c r="T4304" s="18"/>
      <c r="U4304" s="18"/>
      <c r="V4304" s="18"/>
      <c r="W4304" s="18"/>
      <c r="X4304" s="18"/>
      <c r="Y4304" s="18"/>
      <c r="Z4304" s="18"/>
    </row>
    <row r="4305" ht="15.75" customHeight="1">
      <c r="A4305" s="32"/>
      <c r="B4305" s="22"/>
      <c r="C4305" s="22"/>
      <c r="D4305" s="22"/>
      <c r="E4305" s="22"/>
      <c r="F4305" s="22"/>
      <c r="G4305" s="22"/>
      <c r="H4305" s="18"/>
      <c r="I4305" s="18"/>
      <c r="J4305" s="18"/>
      <c r="K4305" s="18"/>
      <c r="L4305" s="18"/>
      <c r="M4305" s="18"/>
      <c r="N4305" s="18"/>
      <c r="O4305" s="18"/>
      <c r="P4305" s="18"/>
      <c r="Q4305" s="19"/>
      <c r="R4305" s="19"/>
      <c r="S4305" s="19"/>
      <c r="T4305" s="18"/>
      <c r="U4305" s="18"/>
      <c r="V4305" s="18"/>
      <c r="W4305" s="18"/>
      <c r="X4305" s="18"/>
      <c r="Y4305" s="18"/>
      <c r="Z4305" s="18"/>
    </row>
    <row r="4306" ht="15.75" customHeight="1">
      <c r="A4306" s="32"/>
      <c r="B4306" s="22"/>
      <c r="C4306" s="22"/>
      <c r="D4306" s="22"/>
      <c r="E4306" s="22"/>
      <c r="F4306" s="22"/>
      <c r="G4306" s="22"/>
      <c r="H4306" s="18"/>
      <c r="I4306" s="18"/>
      <c r="J4306" s="18"/>
      <c r="K4306" s="18"/>
      <c r="L4306" s="18"/>
      <c r="M4306" s="18"/>
      <c r="N4306" s="18"/>
      <c r="O4306" s="18"/>
      <c r="P4306" s="18"/>
      <c r="Q4306" s="19"/>
      <c r="R4306" s="19"/>
      <c r="S4306" s="19"/>
      <c r="T4306" s="18"/>
      <c r="U4306" s="18"/>
      <c r="V4306" s="18"/>
      <c r="W4306" s="18"/>
      <c r="X4306" s="18"/>
      <c r="Y4306" s="18"/>
      <c r="Z4306" s="18"/>
    </row>
    <row r="4307" ht="15.75" customHeight="1">
      <c r="A4307" s="32"/>
      <c r="B4307" s="22"/>
      <c r="C4307" s="22"/>
      <c r="D4307" s="22"/>
      <c r="E4307" s="22"/>
      <c r="F4307" s="22"/>
      <c r="G4307" s="22"/>
      <c r="H4307" s="18"/>
      <c r="I4307" s="18"/>
      <c r="J4307" s="18"/>
      <c r="K4307" s="18"/>
      <c r="L4307" s="18"/>
      <c r="M4307" s="18"/>
      <c r="N4307" s="18"/>
      <c r="O4307" s="18"/>
      <c r="P4307" s="18"/>
      <c r="Q4307" s="19"/>
      <c r="R4307" s="19"/>
      <c r="S4307" s="19"/>
      <c r="T4307" s="18"/>
      <c r="U4307" s="18"/>
      <c r="V4307" s="18"/>
      <c r="W4307" s="18"/>
      <c r="X4307" s="18"/>
      <c r="Y4307" s="18"/>
      <c r="Z4307" s="18"/>
    </row>
    <row r="4308" ht="15.75" customHeight="1">
      <c r="A4308" s="32"/>
      <c r="B4308" s="22"/>
      <c r="C4308" s="22"/>
      <c r="D4308" s="22"/>
      <c r="E4308" s="22"/>
      <c r="F4308" s="22"/>
      <c r="G4308" s="22"/>
      <c r="H4308" s="18"/>
      <c r="I4308" s="18"/>
      <c r="J4308" s="18"/>
      <c r="K4308" s="18"/>
      <c r="L4308" s="18"/>
      <c r="M4308" s="18"/>
      <c r="N4308" s="18"/>
      <c r="O4308" s="18"/>
      <c r="P4308" s="18"/>
      <c r="Q4308" s="19"/>
      <c r="R4308" s="19"/>
      <c r="S4308" s="19"/>
      <c r="T4308" s="18"/>
      <c r="U4308" s="18"/>
      <c r="V4308" s="18"/>
      <c r="W4308" s="18"/>
      <c r="X4308" s="18"/>
      <c r="Y4308" s="18"/>
      <c r="Z4308" s="18"/>
    </row>
    <row r="4309" ht="15.75" customHeight="1">
      <c r="A4309" s="32"/>
      <c r="B4309" s="22"/>
      <c r="C4309" s="22"/>
      <c r="D4309" s="22"/>
      <c r="E4309" s="22"/>
      <c r="F4309" s="22"/>
      <c r="G4309" s="22"/>
      <c r="H4309" s="18"/>
      <c r="I4309" s="18"/>
      <c r="J4309" s="18"/>
      <c r="K4309" s="18"/>
      <c r="L4309" s="18"/>
      <c r="M4309" s="18"/>
      <c r="N4309" s="18"/>
      <c r="O4309" s="18"/>
      <c r="P4309" s="18"/>
      <c r="Q4309" s="19"/>
      <c r="R4309" s="19"/>
      <c r="S4309" s="19"/>
      <c r="T4309" s="18"/>
      <c r="U4309" s="18"/>
      <c r="V4309" s="18"/>
      <c r="W4309" s="18"/>
      <c r="X4309" s="18"/>
      <c r="Y4309" s="18"/>
      <c r="Z4309" s="18"/>
    </row>
    <row r="4310" ht="15.75" customHeight="1">
      <c r="A4310" s="32"/>
      <c r="B4310" s="22"/>
      <c r="C4310" s="22"/>
      <c r="D4310" s="22"/>
      <c r="E4310" s="22"/>
      <c r="F4310" s="22"/>
      <c r="G4310" s="22"/>
      <c r="H4310" s="18"/>
      <c r="I4310" s="18"/>
      <c r="J4310" s="18"/>
      <c r="K4310" s="18"/>
      <c r="L4310" s="18"/>
      <c r="M4310" s="18"/>
      <c r="N4310" s="18"/>
      <c r="O4310" s="18"/>
      <c r="P4310" s="18"/>
      <c r="Q4310" s="19"/>
      <c r="R4310" s="19"/>
      <c r="S4310" s="19"/>
      <c r="T4310" s="18"/>
      <c r="U4310" s="18"/>
      <c r="V4310" s="18"/>
      <c r="W4310" s="18"/>
      <c r="X4310" s="18"/>
      <c r="Y4310" s="18"/>
      <c r="Z4310" s="18"/>
    </row>
    <row r="4311" ht="15.75" customHeight="1">
      <c r="A4311" s="32"/>
      <c r="B4311" s="22"/>
      <c r="C4311" s="22"/>
      <c r="D4311" s="22"/>
      <c r="E4311" s="22"/>
      <c r="F4311" s="22"/>
      <c r="G4311" s="22"/>
      <c r="H4311" s="18"/>
      <c r="I4311" s="18"/>
      <c r="J4311" s="18"/>
      <c r="K4311" s="18"/>
      <c r="L4311" s="18"/>
      <c r="M4311" s="18"/>
      <c r="N4311" s="18"/>
      <c r="O4311" s="18"/>
      <c r="P4311" s="18"/>
      <c r="Q4311" s="19"/>
      <c r="R4311" s="19"/>
      <c r="S4311" s="19"/>
      <c r="T4311" s="18"/>
      <c r="U4311" s="18"/>
      <c r="V4311" s="18"/>
      <c r="W4311" s="18"/>
      <c r="X4311" s="18"/>
      <c r="Y4311" s="18"/>
      <c r="Z4311" s="18"/>
    </row>
    <row r="4312" ht="15.75" customHeight="1">
      <c r="A4312" s="32"/>
      <c r="B4312" s="22"/>
      <c r="C4312" s="22"/>
      <c r="D4312" s="22"/>
      <c r="E4312" s="22"/>
      <c r="F4312" s="22"/>
      <c r="G4312" s="22"/>
      <c r="H4312" s="18"/>
      <c r="I4312" s="18"/>
      <c r="J4312" s="18"/>
      <c r="K4312" s="18"/>
      <c r="L4312" s="18"/>
      <c r="M4312" s="18"/>
      <c r="N4312" s="18"/>
      <c r="O4312" s="18"/>
      <c r="P4312" s="18"/>
      <c r="Q4312" s="19"/>
      <c r="R4312" s="19"/>
      <c r="S4312" s="19"/>
      <c r="T4312" s="18"/>
      <c r="U4312" s="18"/>
      <c r="V4312" s="18"/>
      <c r="W4312" s="18"/>
      <c r="X4312" s="18"/>
      <c r="Y4312" s="18"/>
      <c r="Z4312" s="18"/>
    </row>
    <row r="4313" ht="15.75" customHeight="1">
      <c r="A4313" s="32"/>
      <c r="B4313" s="22"/>
      <c r="C4313" s="22"/>
      <c r="D4313" s="22"/>
      <c r="E4313" s="22"/>
      <c r="F4313" s="22"/>
      <c r="G4313" s="22"/>
      <c r="H4313" s="18"/>
      <c r="I4313" s="18"/>
      <c r="J4313" s="18"/>
      <c r="K4313" s="18"/>
      <c r="L4313" s="18"/>
      <c r="M4313" s="18"/>
      <c r="N4313" s="18"/>
      <c r="O4313" s="18"/>
      <c r="P4313" s="18"/>
      <c r="Q4313" s="19"/>
      <c r="R4313" s="19"/>
      <c r="S4313" s="19"/>
      <c r="T4313" s="18"/>
      <c r="U4313" s="18"/>
      <c r="V4313" s="18"/>
      <c r="W4313" s="18"/>
      <c r="X4313" s="18"/>
      <c r="Y4313" s="18"/>
      <c r="Z4313" s="18"/>
    </row>
    <row r="4314" ht="15.75" customHeight="1">
      <c r="A4314" s="32"/>
      <c r="B4314" s="22"/>
      <c r="C4314" s="22"/>
      <c r="D4314" s="22"/>
      <c r="E4314" s="22"/>
      <c r="F4314" s="22"/>
      <c r="G4314" s="22"/>
      <c r="H4314" s="18"/>
      <c r="I4314" s="18"/>
      <c r="J4314" s="18"/>
      <c r="K4314" s="18"/>
      <c r="L4314" s="18"/>
      <c r="M4314" s="18"/>
      <c r="N4314" s="18"/>
      <c r="O4314" s="18"/>
      <c r="P4314" s="18"/>
      <c r="Q4314" s="19"/>
      <c r="R4314" s="19"/>
      <c r="S4314" s="19"/>
      <c r="T4314" s="18"/>
      <c r="U4314" s="18"/>
      <c r="V4314" s="18"/>
      <c r="W4314" s="18"/>
      <c r="X4314" s="18"/>
      <c r="Y4314" s="18"/>
      <c r="Z4314" s="18"/>
    </row>
    <row r="4315" ht="15.75" customHeight="1">
      <c r="A4315" s="32"/>
      <c r="B4315" s="22"/>
      <c r="C4315" s="22"/>
      <c r="D4315" s="22"/>
      <c r="E4315" s="22"/>
      <c r="F4315" s="22"/>
      <c r="G4315" s="22"/>
      <c r="H4315" s="18"/>
      <c r="I4315" s="18"/>
      <c r="J4315" s="18"/>
      <c r="K4315" s="18"/>
      <c r="L4315" s="18"/>
      <c r="M4315" s="18"/>
      <c r="N4315" s="18"/>
      <c r="O4315" s="18"/>
      <c r="P4315" s="18"/>
      <c r="Q4315" s="19"/>
      <c r="R4315" s="19"/>
      <c r="S4315" s="19"/>
      <c r="T4315" s="18"/>
      <c r="U4315" s="18"/>
      <c r="V4315" s="18"/>
      <c r="W4315" s="18"/>
      <c r="X4315" s="18"/>
      <c r="Y4315" s="18"/>
      <c r="Z4315" s="18"/>
    </row>
    <row r="4316" ht="15.75" customHeight="1">
      <c r="A4316" s="32"/>
      <c r="B4316" s="22"/>
      <c r="C4316" s="22"/>
      <c r="D4316" s="22"/>
      <c r="E4316" s="22"/>
      <c r="F4316" s="22"/>
      <c r="G4316" s="22"/>
      <c r="H4316" s="18"/>
      <c r="I4316" s="18"/>
      <c r="J4316" s="18"/>
      <c r="K4316" s="18"/>
      <c r="L4316" s="18"/>
      <c r="M4316" s="18"/>
      <c r="N4316" s="18"/>
      <c r="O4316" s="18"/>
      <c r="P4316" s="18"/>
      <c r="Q4316" s="19"/>
      <c r="R4316" s="19"/>
      <c r="S4316" s="19"/>
      <c r="T4316" s="18"/>
      <c r="U4316" s="18"/>
      <c r="V4316" s="18"/>
      <c r="W4316" s="18"/>
      <c r="X4316" s="18"/>
      <c r="Y4316" s="18"/>
      <c r="Z4316" s="18"/>
    </row>
    <row r="4317" ht="15.75" customHeight="1">
      <c r="A4317" s="32"/>
      <c r="B4317" s="22"/>
      <c r="C4317" s="22"/>
      <c r="D4317" s="22"/>
      <c r="E4317" s="22"/>
      <c r="F4317" s="22"/>
      <c r="G4317" s="22"/>
      <c r="H4317" s="18"/>
      <c r="I4317" s="18"/>
      <c r="J4317" s="18"/>
      <c r="K4317" s="18"/>
      <c r="L4317" s="18"/>
      <c r="M4317" s="18"/>
      <c r="N4317" s="18"/>
      <c r="O4317" s="18"/>
      <c r="P4317" s="18"/>
      <c r="Q4317" s="19"/>
      <c r="R4317" s="19"/>
      <c r="S4317" s="19"/>
      <c r="T4317" s="18"/>
      <c r="U4317" s="18"/>
      <c r="V4317" s="18"/>
      <c r="W4317" s="18"/>
      <c r="X4317" s="18"/>
      <c r="Y4317" s="18"/>
      <c r="Z4317" s="18"/>
    </row>
    <row r="4318" ht="15.75" customHeight="1">
      <c r="A4318" s="32"/>
      <c r="B4318" s="22"/>
      <c r="C4318" s="22"/>
      <c r="D4318" s="22"/>
      <c r="E4318" s="22"/>
      <c r="F4318" s="22"/>
      <c r="G4318" s="22"/>
      <c r="H4318" s="18"/>
      <c r="I4318" s="18"/>
      <c r="J4318" s="18"/>
      <c r="K4318" s="18"/>
      <c r="L4318" s="18"/>
      <c r="M4318" s="18"/>
      <c r="N4318" s="18"/>
      <c r="O4318" s="18"/>
      <c r="P4318" s="18"/>
      <c r="Q4318" s="19"/>
      <c r="R4318" s="19"/>
      <c r="S4318" s="19"/>
      <c r="T4318" s="18"/>
      <c r="U4318" s="18"/>
      <c r="V4318" s="18"/>
      <c r="W4318" s="18"/>
      <c r="X4318" s="18"/>
      <c r="Y4318" s="18"/>
      <c r="Z4318" s="18"/>
    </row>
    <row r="4319" ht="15.75" customHeight="1">
      <c r="A4319" s="32"/>
      <c r="B4319" s="22"/>
      <c r="C4319" s="22"/>
      <c r="D4319" s="22"/>
      <c r="E4319" s="22"/>
      <c r="F4319" s="22"/>
      <c r="G4319" s="22"/>
      <c r="H4319" s="18"/>
      <c r="I4319" s="18"/>
      <c r="J4319" s="18"/>
      <c r="K4319" s="18"/>
      <c r="L4319" s="18"/>
      <c r="M4319" s="18"/>
      <c r="N4319" s="18"/>
      <c r="O4319" s="18"/>
      <c r="P4319" s="18"/>
      <c r="Q4319" s="19"/>
      <c r="R4319" s="19"/>
      <c r="S4319" s="19"/>
      <c r="T4319" s="18"/>
      <c r="U4319" s="18"/>
      <c r="V4319" s="18"/>
      <c r="W4319" s="18"/>
      <c r="X4319" s="18"/>
      <c r="Y4319" s="18"/>
      <c r="Z4319" s="18"/>
    </row>
    <row r="4320" ht="15.75" customHeight="1">
      <c r="A4320" s="32"/>
      <c r="B4320" s="22"/>
      <c r="C4320" s="22"/>
      <c r="D4320" s="22"/>
      <c r="E4320" s="22"/>
      <c r="F4320" s="22"/>
      <c r="G4320" s="22"/>
      <c r="H4320" s="18"/>
      <c r="I4320" s="18"/>
      <c r="J4320" s="18"/>
      <c r="K4320" s="18"/>
      <c r="L4320" s="18"/>
      <c r="M4320" s="18"/>
      <c r="N4320" s="18"/>
      <c r="O4320" s="18"/>
      <c r="P4320" s="18"/>
      <c r="Q4320" s="19"/>
      <c r="R4320" s="19"/>
      <c r="S4320" s="19"/>
      <c r="T4320" s="18"/>
      <c r="U4320" s="18"/>
      <c r="V4320" s="18"/>
      <c r="W4320" s="18"/>
      <c r="X4320" s="18"/>
      <c r="Y4320" s="18"/>
      <c r="Z4320" s="18"/>
    </row>
    <row r="4321" ht="15.75" customHeight="1">
      <c r="A4321" s="32"/>
      <c r="B4321" s="22"/>
      <c r="C4321" s="22"/>
      <c r="D4321" s="22"/>
      <c r="E4321" s="22"/>
      <c r="F4321" s="22"/>
      <c r="G4321" s="22"/>
      <c r="H4321" s="18"/>
      <c r="I4321" s="18"/>
      <c r="J4321" s="18"/>
      <c r="K4321" s="18"/>
      <c r="L4321" s="18"/>
      <c r="M4321" s="18"/>
      <c r="N4321" s="18"/>
      <c r="O4321" s="18"/>
      <c r="P4321" s="18"/>
      <c r="Q4321" s="19"/>
      <c r="R4321" s="19"/>
      <c r="S4321" s="19"/>
      <c r="T4321" s="18"/>
      <c r="U4321" s="18"/>
      <c r="V4321" s="18"/>
      <c r="W4321" s="18"/>
      <c r="X4321" s="18"/>
      <c r="Y4321" s="18"/>
      <c r="Z4321" s="18"/>
    </row>
    <row r="4322" ht="15.75" customHeight="1">
      <c r="A4322" s="32"/>
      <c r="B4322" s="22"/>
      <c r="C4322" s="22"/>
      <c r="D4322" s="22"/>
      <c r="E4322" s="22"/>
      <c r="F4322" s="22"/>
      <c r="G4322" s="22"/>
      <c r="H4322" s="18"/>
      <c r="I4322" s="18"/>
      <c r="J4322" s="18"/>
      <c r="K4322" s="18"/>
      <c r="L4322" s="18"/>
      <c r="M4322" s="18"/>
      <c r="N4322" s="18"/>
      <c r="O4322" s="18"/>
      <c r="P4322" s="18"/>
      <c r="Q4322" s="19"/>
      <c r="R4322" s="19"/>
      <c r="S4322" s="19"/>
      <c r="T4322" s="18"/>
      <c r="U4322" s="18"/>
      <c r="V4322" s="18"/>
      <c r="W4322" s="18"/>
      <c r="X4322" s="18"/>
      <c r="Y4322" s="18"/>
      <c r="Z4322" s="18"/>
    </row>
    <row r="4323" ht="15.75" customHeight="1">
      <c r="A4323" s="32"/>
      <c r="B4323" s="22"/>
      <c r="C4323" s="22"/>
      <c r="D4323" s="22"/>
      <c r="E4323" s="22"/>
      <c r="F4323" s="22"/>
      <c r="G4323" s="22"/>
      <c r="H4323" s="18"/>
      <c r="I4323" s="18"/>
      <c r="J4323" s="18"/>
      <c r="K4323" s="18"/>
      <c r="L4323" s="18"/>
      <c r="M4323" s="18"/>
      <c r="N4323" s="18"/>
      <c r="O4323" s="18"/>
      <c r="P4323" s="18"/>
      <c r="Q4323" s="19"/>
      <c r="R4323" s="19"/>
      <c r="S4323" s="19"/>
      <c r="T4323" s="18"/>
      <c r="U4323" s="18"/>
      <c r="V4323" s="18"/>
      <c r="W4323" s="18"/>
      <c r="X4323" s="18"/>
      <c r="Y4323" s="18"/>
      <c r="Z4323" s="18"/>
    </row>
    <row r="4324" ht="15.75" customHeight="1">
      <c r="A4324" s="32"/>
      <c r="B4324" s="22"/>
      <c r="C4324" s="22"/>
      <c r="D4324" s="22"/>
      <c r="E4324" s="22"/>
      <c r="F4324" s="22"/>
      <c r="G4324" s="22"/>
      <c r="H4324" s="18"/>
      <c r="I4324" s="18"/>
      <c r="J4324" s="18"/>
      <c r="K4324" s="18"/>
      <c r="L4324" s="18"/>
      <c r="M4324" s="18"/>
      <c r="N4324" s="18"/>
      <c r="O4324" s="18"/>
      <c r="P4324" s="18"/>
      <c r="Q4324" s="19"/>
      <c r="R4324" s="19"/>
      <c r="S4324" s="19"/>
      <c r="T4324" s="18"/>
      <c r="U4324" s="18"/>
      <c r="V4324" s="18"/>
      <c r="W4324" s="18"/>
      <c r="X4324" s="18"/>
      <c r="Y4324" s="18"/>
      <c r="Z4324" s="18"/>
    </row>
    <row r="4325" ht="15.75" customHeight="1">
      <c r="A4325" s="32"/>
      <c r="B4325" s="22"/>
      <c r="C4325" s="22"/>
      <c r="D4325" s="22"/>
      <c r="E4325" s="22"/>
      <c r="F4325" s="22"/>
      <c r="G4325" s="22"/>
      <c r="H4325" s="18"/>
      <c r="I4325" s="18"/>
      <c r="J4325" s="18"/>
      <c r="K4325" s="18"/>
      <c r="L4325" s="18"/>
      <c r="M4325" s="18"/>
      <c r="N4325" s="18"/>
      <c r="O4325" s="18"/>
      <c r="P4325" s="18"/>
      <c r="Q4325" s="19"/>
      <c r="R4325" s="19"/>
      <c r="S4325" s="19"/>
      <c r="T4325" s="18"/>
      <c r="U4325" s="18"/>
      <c r="V4325" s="18"/>
      <c r="W4325" s="18"/>
      <c r="X4325" s="18"/>
      <c r="Y4325" s="18"/>
      <c r="Z4325" s="18"/>
    </row>
    <row r="4326" ht="15.75" customHeight="1">
      <c r="A4326" s="32"/>
      <c r="B4326" s="22"/>
      <c r="C4326" s="22"/>
      <c r="D4326" s="22"/>
      <c r="E4326" s="22"/>
      <c r="F4326" s="22"/>
      <c r="G4326" s="22"/>
      <c r="H4326" s="18"/>
      <c r="I4326" s="18"/>
      <c r="J4326" s="18"/>
      <c r="K4326" s="18"/>
      <c r="L4326" s="18"/>
      <c r="M4326" s="18"/>
      <c r="N4326" s="18"/>
      <c r="O4326" s="18"/>
      <c r="P4326" s="18"/>
      <c r="Q4326" s="19"/>
      <c r="R4326" s="19"/>
      <c r="S4326" s="19"/>
      <c r="T4326" s="18"/>
      <c r="U4326" s="18"/>
      <c r="V4326" s="18"/>
      <c r="W4326" s="18"/>
      <c r="X4326" s="18"/>
      <c r="Y4326" s="18"/>
      <c r="Z4326" s="18"/>
    </row>
    <row r="4327" ht="15.75" customHeight="1">
      <c r="A4327" s="32"/>
      <c r="B4327" s="22"/>
      <c r="C4327" s="22"/>
      <c r="D4327" s="22"/>
      <c r="E4327" s="22"/>
      <c r="F4327" s="22"/>
      <c r="G4327" s="22"/>
      <c r="H4327" s="18"/>
      <c r="I4327" s="18"/>
      <c r="J4327" s="18"/>
      <c r="K4327" s="18"/>
      <c r="L4327" s="18"/>
      <c r="M4327" s="18"/>
      <c r="N4327" s="18"/>
      <c r="O4327" s="18"/>
      <c r="P4327" s="18"/>
      <c r="Q4327" s="19"/>
      <c r="R4327" s="19"/>
      <c r="S4327" s="19"/>
      <c r="T4327" s="18"/>
      <c r="U4327" s="18"/>
      <c r="V4327" s="18"/>
      <c r="W4327" s="18"/>
      <c r="X4327" s="18"/>
      <c r="Y4327" s="18"/>
      <c r="Z4327" s="18"/>
    </row>
    <row r="4328" ht="15.75" customHeight="1">
      <c r="A4328" s="32"/>
      <c r="B4328" s="22"/>
      <c r="C4328" s="22"/>
      <c r="D4328" s="22"/>
      <c r="E4328" s="22"/>
      <c r="F4328" s="22"/>
      <c r="G4328" s="22"/>
      <c r="H4328" s="18"/>
      <c r="I4328" s="18"/>
      <c r="J4328" s="18"/>
      <c r="K4328" s="18"/>
      <c r="L4328" s="18"/>
      <c r="M4328" s="18"/>
      <c r="N4328" s="18"/>
      <c r="O4328" s="18"/>
      <c r="P4328" s="18"/>
      <c r="Q4328" s="19"/>
      <c r="R4328" s="19"/>
      <c r="S4328" s="19"/>
      <c r="T4328" s="18"/>
      <c r="U4328" s="18"/>
      <c r="V4328" s="18"/>
      <c r="W4328" s="18"/>
      <c r="X4328" s="18"/>
      <c r="Y4328" s="18"/>
      <c r="Z4328" s="18"/>
    </row>
    <row r="4329" ht="15.75" customHeight="1">
      <c r="A4329" s="32"/>
      <c r="B4329" s="22"/>
      <c r="C4329" s="22"/>
      <c r="D4329" s="22"/>
      <c r="E4329" s="22"/>
      <c r="F4329" s="22"/>
      <c r="G4329" s="22"/>
      <c r="H4329" s="18"/>
      <c r="I4329" s="18"/>
      <c r="J4329" s="18"/>
      <c r="K4329" s="18"/>
      <c r="L4329" s="18"/>
      <c r="M4329" s="18"/>
      <c r="N4329" s="18"/>
      <c r="O4329" s="18"/>
      <c r="P4329" s="18"/>
      <c r="Q4329" s="19"/>
      <c r="R4329" s="19"/>
      <c r="S4329" s="19"/>
      <c r="T4329" s="18"/>
      <c r="U4329" s="18"/>
      <c r="V4329" s="18"/>
      <c r="W4329" s="18"/>
      <c r="X4329" s="18"/>
      <c r="Y4329" s="18"/>
      <c r="Z4329" s="18"/>
    </row>
    <row r="4330" ht="15.75" customHeight="1">
      <c r="A4330" s="32"/>
      <c r="B4330" s="22"/>
      <c r="C4330" s="22"/>
      <c r="D4330" s="22"/>
      <c r="E4330" s="22"/>
      <c r="F4330" s="22"/>
      <c r="G4330" s="22"/>
      <c r="H4330" s="18"/>
      <c r="I4330" s="18"/>
      <c r="J4330" s="18"/>
      <c r="K4330" s="18"/>
      <c r="L4330" s="18"/>
      <c r="M4330" s="18"/>
      <c r="N4330" s="18"/>
      <c r="O4330" s="18"/>
      <c r="P4330" s="18"/>
      <c r="Q4330" s="19"/>
      <c r="R4330" s="19"/>
      <c r="S4330" s="19"/>
      <c r="T4330" s="18"/>
      <c r="U4330" s="18"/>
      <c r="V4330" s="18"/>
      <c r="W4330" s="18"/>
      <c r="X4330" s="18"/>
      <c r="Y4330" s="18"/>
      <c r="Z4330" s="18"/>
    </row>
    <row r="4331" ht="15.75" customHeight="1">
      <c r="A4331" s="32"/>
      <c r="B4331" s="22"/>
      <c r="C4331" s="22"/>
      <c r="D4331" s="22"/>
      <c r="E4331" s="22"/>
      <c r="F4331" s="22"/>
      <c r="G4331" s="22"/>
      <c r="H4331" s="18"/>
      <c r="I4331" s="18"/>
      <c r="J4331" s="18"/>
      <c r="K4331" s="18"/>
      <c r="L4331" s="18"/>
      <c r="M4331" s="18"/>
      <c r="N4331" s="18"/>
      <c r="O4331" s="18"/>
      <c r="P4331" s="18"/>
      <c r="Q4331" s="19"/>
      <c r="R4331" s="19"/>
      <c r="S4331" s="19"/>
      <c r="T4331" s="18"/>
      <c r="U4331" s="18"/>
      <c r="V4331" s="18"/>
      <c r="W4331" s="18"/>
      <c r="X4331" s="18"/>
      <c r="Y4331" s="18"/>
      <c r="Z4331" s="18"/>
    </row>
    <row r="4332" ht="15.75" customHeight="1">
      <c r="A4332" s="32"/>
      <c r="B4332" s="22"/>
      <c r="C4332" s="22"/>
      <c r="D4332" s="22"/>
      <c r="E4332" s="22"/>
      <c r="F4332" s="22"/>
      <c r="G4332" s="22"/>
      <c r="H4332" s="18"/>
      <c r="I4332" s="18"/>
      <c r="J4332" s="18"/>
      <c r="K4332" s="18"/>
      <c r="L4332" s="18"/>
      <c r="M4332" s="18"/>
      <c r="N4332" s="18"/>
      <c r="O4332" s="18"/>
      <c r="P4332" s="18"/>
      <c r="Q4332" s="19"/>
      <c r="R4332" s="19"/>
      <c r="S4332" s="19"/>
      <c r="T4332" s="18"/>
      <c r="U4332" s="18"/>
      <c r="V4332" s="18"/>
      <c r="W4332" s="18"/>
      <c r="X4332" s="18"/>
      <c r="Y4332" s="18"/>
      <c r="Z4332" s="18"/>
    </row>
    <row r="4333" ht="15.75" customHeight="1">
      <c r="A4333" s="32"/>
      <c r="B4333" s="22"/>
      <c r="C4333" s="22"/>
      <c r="D4333" s="22"/>
      <c r="E4333" s="22"/>
      <c r="F4333" s="22"/>
      <c r="G4333" s="22"/>
      <c r="H4333" s="18"/>
      <c r="I4333" s="18"/>
      <c r="J4333" s="18"/>
      <c r="K4333" s="18"/>
      <c r="L4333" s="18"/>
      <c r="M4333" s="18"/>
      <c r="N4333" s="18"/>
      <c r="O4333" s="18"/>
      <c r="P4333" s="18"/>
      <c r="Q4333" s="19"/>
      <c r="R4333" s="19"/>
      <c r="S4333" s="19"/>
      <c r="T4333" s="18"/>
      <c r="U4333" s="18"/>
      <c r="V4333" s="18"/>
      <c r="W4333" s="18"/>
      <c r="X4333" s="18"/>
      <c r="Y4333" s="18"/>
      <c r="Z4333" s="18"/>
    </row>
    <row r="4334" ht="15.75" customHeight="1">
      <c r="A4334" s="32"/>
      <c r="B4334" s="22"/>
      <c r="C4334" s="22"/>
      <c r="D4334" s="22"/>
      <c r="E4334" s="22"/>
      <c r="F4334" s="22"/>
      <c r="G4334" s="22"/>
      <c r="H4334" s="18"/>
      <c r="I4334" s="18"/>
      <c r="J4334" s="18"/>
      <c r="K4334" s="18"/>
      <c r="L4334" s="18"/>
      <c r="M4334" s="18"/>
      <c r="N4334" s="18"/>
      <c r="O4334" s="18"/>
      <c r="P4334" s="18"/>
      <c r="Q4334" s="19"/>
      <c r="R4334" s="19"/>
      <c r="S4334" s="19"/>
      <c r="T4334" s="18"/>
      <c r="U4334" s="18"/>
      <c r="V4334" s="18"/>
      <c r="W4334" s="18"/>
      <c r="X4334" s="18"/>
      <c r="Y4334" s="18"/>
      <c r="Z4334" s="18"/>
    </row>
    <row r="4335" ht="15.75" customHeight="1">
      <c r="A4335" s="32"/>
      <c r="B4335" s="22"/>
      <c r="C4335" s="22"/>
      <c r="D4335" s="22"/>
      <c r="E4335" s="22"/>
      <c r="F4335" s="22"/>
      <c r="G4335" s="22"/>
      <c r="H4335" s="18"/>
      <c r="I4335" s="18"/>
      <c r="J4335" s="18"/>
      <c r="K4335" s="18"/>
      <c r="L4335" s="18"/>
      <c r="M4335" s="18"/>
      <c r="N4335" s="18"/>
      <c r="O4335" s="18"/>
      <c r="P4335" s="18"/>
      <c r="Q4335" s="19"/>
      <c r="R4335" s="19"/>
      <c r="S4335" s="19"/>
      <c r="T4335" s="18"/>
      <c r="U4335" s="18"/>
      <c r="V4335" s="18"/>
      <c r="W4335" s="18"/>
      <c r="X4335" s="18"/>
      <c r="Y4335" s="18"/>
      <c r="Z4335" s="18"/>
    </row>
    <row r="4336" ht="15.75" customHeight="1">
      <c r="A4336" s="32"/>
      <c r="B4336" s="22"/>
      <c r="C4336" s="22"/>
      <c r="D4336" s="22"/>
      <c r="E4336" s="22"/>
      <c r="F4336" s="22"/>
      <c r="G4336" s="22"/>
      <c r="H4336" s="18"/>
      <c r="I4336" s="18"/>
      <c r="J4336" s="18"/>
      <c r="K4336" s="18"/>
      <c r="L4336" s="18"/>
      <c r="M4336" s="18"/>
      <c r="N4336" s="18"/>
      <c r="O4336" s="18"/>
      <c r="P4336" s="18"/>
      <c r="Q4336" s="19"/>
      <c r="R4336" s="19"/>
      <c r="S4336" s="19"/>
      <c r="T4336" s="18"/>
      <c r="U4336" s="18"/>
      <c r="V4336" s="18"/>
      <c r="W4336" s="18"/>
      <c r="X4336" s="18"/>
      <c r="Y4336" s="18"/>
      <c r="Z4336" s="18"/>
    </row>
    <row r="4337" ht="15.75" customHeight="1">
      <c r="A4337" s="32"/>
      <c r="B4337" s="22"/>
      <c r="C4337" s="22"/>
      <c r="D4337" s="22"/>
      <c r="E4337" s="22"/>
      <c r="F4337" s="22"/>
      <c r="G4337" s="22"/>
      <c r="H4337" s="18"/>
      <c r="I4337" s="18"/>
      <c r="J4337" s="18"/>
      <c r="K4337" s="18"/>
      <c r="L4337" s="18"/>
      <c r="M4337" s="18"/>
      <c r="N4337" s="18"/>
      <c r="O4337" s="18"/>
      <c r="P4337" s="18"/>
      <c r="Q4337" s="19"/>
      <c r="R4337" s="19"/>
      <c r="S4337" s="19"/>
      <c r="T4337" s="18"/>
      <c r="U4337" s="18"/>
      <c r="V4337" s="18"/>
      <c r="W4337" s="18"/>
      <c r="X4337" s="18"/>
      <c r="Y4337" s="18"/>
      <c r="Z4337" s="18"/>
    </row>
    <row r="4338" ht="15.75" customHeight="1">
      <c r="A4338" s="32"/>
      <c r="B4338" s="22"/>
      <c r="C4338" s="22"/>
      <c r="D4338" s="22"/>
      <c r="E4338" s="22"/>
      <c r="F4338" s="22"/>
      <c r="G4338" s="22"/>
      <c r="H4338" s="18"/>
      <c r="I4338" s="18"/>
      <c r="J4338" s="18"/>
      <c r="K4338" s="18"/>
      <c r="L4338" s="18"/>
      <c r="M4338" s="18"/>
      <c r="N4338" s="18"/>
      <c r="O4338" s="18"/>
      <c r="P4338" s="18"/>
      <c r="Q4338" s="19"/>
      <c r="R4338" s="19"/>
      <c r="S4338" s="19"/>
      <c r="T4338" s="18"/>
      <c r="U4338" s="18"/>
      <c r="V4338" s="18"/>
      <c r="W4338" s="18"/>
      <c r="X4338" s="18"/>
      <c r="Y4338" s="18"/>
      <c r="Z4338" s="18"/>
    </row>
    <row r="4339" ht="15.75" customHeight="1">
      <c r="A4339" s="32"/>
      <c r="B4339" s="22"/>
      <c r="C4339" s="22"/>
      <c r="D4339" s="22"/>
      <c r="E4339" s="22"/>
      <c r="F4339" s="22"/>
      <c r="G4339" s="22"/>
      <c r="H4339" s="18"/>
      <c r="I4339" s="18"/>
      <c r="J4339" s="18"/>
      <c r="K4339" s="18"/>
      <c r="L4339" s="18"/>
      <c r="M4339" s="18"/>
      <c r="N4339" s="18"/>
      <c r="O4339" s="18"/>
      <c r="P4339" s="18"/>
      <c r="Q4339" s="19"/>
      <c r="R4339" s="19"/>
      <c r="S4339" s="19"/>
      <c r="T4339" s="18"/>
      <c r="U4339" s="18"/>
      <c r="V4339" s="18"/>
      <c r="W4339" s="18"/>
      <c r="X4339" s="18"/>
      <c r="Y4339" s="18"/>
      <c r="Z4339" s="18"/>
    </row>
    <row r="4340" ht="15.75" customHeight="1">
      <c r="A4340" s="32"/>
      <c r="B4340" s="22"/>
      <c r="C4340" s="22"/>
      <c r="D4340" s="22"/>
      <c r="E4340" s="22"/>
      <c r="F4340" s="22"/>
      <c r="G4340" s="22"/>
      <c r="H4340" s="18"/>
      <c r="I4340" s="18"/>
      <c r="J4340" s="18"/>
      <c r="K4340" s="18"/>
      <c r="L4340" s="18"/>
      <c r="M4340" s="18"/>
      <c r="N4340" s="18"/>
      <c r="O4340" s="18"/>
      <c r="P4340" s="18"/>
      <c r="Q4340" s="19"/>
      <c r="R4340" s="19"/>
      <c r="S4340" s="19"/>
      <c r="T4340" s="18"/>
      <c r="U4340" s="18"/>
      <c r="V4340" s="18"/>
      <c r="W4340" s="18"/>
      <c r="X4340" s="18"/>
      <c r="Y4340" s="18"/>
      <c r="Z4340" s="18"/>
    </row>
    <row r="4341" ht="15.75" customHeight="1">
      <c r="A4341" s="32"/>
      <c r="B4341" s="22"/>
      <c r="C4341" s="22"/>
      <c r="D4341" s="22"/>
      <c r="E4341" s="22"/>
      <c r="F4341" s="22"/>
      <c r="G4341" s="22"/>
      <c r="H4341" s="18"/>
      <c r="I4341" s="18"/>
      <c r="J4341" s="18"/>
      <c r="K4341" s="18"/>
      <c r="L4341" s="18"/>
      <c r="M4341" s="18"/>
      <c r="N4341" s="18"/>
      <c r="O4341" s="18"/>
      <c r="P4341" s="18"/>
      <c r="Q4341" s="19"/>
      <c r="R4341" s="19"/>
      <c r="S4341" s="19"/>
      <c r="T4341" s="18"/>
      <c r="U4341" s="18"/>
      <c r="V4341" s="18"/>
      <c r="W4341" s="18"/>
      <c r="X4341" s="18"/>
      <c r="Y4341" s="18"/>
      <c r="Z4341" s="18"/>
    </row>
    <row r="4342" ht="15.75" customHeight="1">
      <c r="A4342" s="32"/>
      <c r="B4342" s="22"/>
      <c r="C4342" s="22"/>
      <c r="D4342" s="22"/>
      <c r="E4342" s="22"/>
      <c r="F4342" s="22"/>
      <c r="G4342" s="22"/>
      <c r="H4342" s="18"/>
      <c r="I4342" s="18"/>
      <c r="J4342" s="18"/>
      <c r="K4342" s="18"/>
      <c r="L4342" s="18"/>
      <c r="M4342" s="18"/>
      <c r="N4342" s="18"/>
      <c r="O4342" s="18"/>
      <c r="P4342" s="18"/>
      <c r="Q4342" s="19"/>
      <c r="R4342" s="19"/>
      <c r="S4342" s="19"/>
      <c r="T4342" s="18"/>
      <c r="U4342" s="18"/>
      <c r="V4342" s="18"/>
      <c r="W4342" s="18"/>
      <c r="X4342" s="18"/>
      <c r="Y4342" s="18"/>
      <c r="Z4342" s="18"/>
    </row>
    <row r="4343" ht="15.75" customHeight="1">
      <c r="A4343" s="32"/>
      <c r="B4343" s="22"/>
      <c r="C4343" s="22"/>
      <c r="D4343" s="22"/>
      <c r="E4343" s="22"/>
      <c r="F4343" s="22"/>
      <c r="G4343" s="22"/>
      <c r="H4343" s="18"/>
      <c r="I4343" s="18"/>
      <c r="J4343" s="18"/>
      <c r="K4343" s="18"/>
      <c r="L4343" s="18"/>
      <c r="M4343" s="18"/>
      <c r="N4343" s="18"/>
      <c r="O4343" s="18"/>
      <c r="P4343" s="18"/>
      <c r="Q4343" s="19"/>
      <c r="R4343" s="19"/>
      <c r="S4343" s="19"/>
      <c r="T4343" s="18"/>
      <c r="U4343" s="18"/>
      <c r="V4343" s="18"/>
      <c r="W4343" s="18"/>
      <c r="X4343" s="18"/>
      <c r="Y4343" s="18"/>
      <c r="Z4343" s="18"/>
    </row>
    <row r="4344" ht="15.75" customHeight="1">
      <c r="A4344" s="32"/>
      <c r="B4344" s="22"/>
      <c r="C4344" s="22"/>
      <c r="D4344" s="22"/>
      <c r="E4344" s="22"/>
      <c r="F4344" s="22"/>
      <c r="G4344" s="22"/>
      <c r="H4344" s="18"/>
      <c r="I4344" s="18"/>
      <c r="J4344" s="18"/>
      <c r="K4344" s="18"/>
      <c r="L4344" s="18"/>
      <c r="M4344" s="18"/>
      <c r="N4344" s="18"/>
      <c r="O4344" s="18"/>
      <c r="P4344" s="18"/>
      <c r="Q4344" s="19"/>
      <c r="R4344" s="19"/>
      <c r="S4344" s="19"/>
      <c r="T4344" s="18"/>
      <c r="U4344" s="18"/>
      <c r="V4344" s="18"/>
      <c r="W4344" s="18"/>
      <c r="X4344" s="18"/>
      <c r="Y4344" s="18"/>
      <c r="Z4344" s="18"/>
    </row>
    <row r="4345" ht="15.75" customHeight="1">
      <c r="A4345" s="32"/>
      <c r="B4345" s="22"/>
      <c r="C4345" s="22"/>
      <c r="D4345" s="22"/>
      <c r="E4345" s="22"/>
      <c r="F4345" s="22"/>
      <c r="G4345" s="22"/>
      <c r="H4345" s="18"/>
      <c r="I4345" s="18"/>
      <c r="J4345" s="18"/>
      <c r="K4345" s="18"/>
      <c r="L4345" s="18"/>
      <c r="M4345" s="18"/>
      <c r="N4345" s="18"/>
      <c r="O4345" s="18"/>
      <c r="P4345" s="18"/>
      <c r="Q4345" s="19"/>
      <c r="R4345" s="19"/>
      <c r="S4345" s="19"/>
      <c r="T4345" s="18"/>
      <c r="U4345" s="18"/>
      <c r="V4345" s="18"/>
      <c r="W4345" s="18"/>
      <c r="X4345" s="18"/>
      <c r="Y4345" s="18"/>
      <c r="Z4345" s="18"/>
    </row>
    <row r="4346" ht="15.75" customHeight="1">
      <c r="A4346" s="32"/>
      <c r="B4346" s="22"/>
      <c r="C4346" s="22"/>
      <c r="D4346" s="22"/>
      <c r="E4346" s="22"/>
      <c r="F4346" s="22"/>
      <c r="G4346" s="22"/>
      <c r="H4346" s="18"/>
      <c r="I4346" s="18"/>
      <c r="J4346" s="18"/>
      <c r="K4346" s="18"/>
      <c r="L4346" s="18"/>
      <c r="M4346" s="18"/>
      <c r="N4346" s="18"/>
      <c r="O4346" s="18"/>
      <c r="P4346" s="18"/>
      <c r="Q4346" s="19"/>
      <c r="R4346" s="19"/>
      <c r="S4346" s="19"/>
      <c r="T4346" s="18"/>
      <c r="U4346" s="18"/>
      <c r="V4346" s="18"/>
      <c r="W4346" s="18"/>
      <c r="X4346" s="18"/>
      <c r="Y4346" s="18"/>
      <c r="Z4346" s="18"/>
    </row>
    <row r="4347" ht="15.75" customHeight="1">
      <c r="A4347" s="32"/>
      <c r="B4347" s="22"/>
      <c r="C4347" s="22"/>
      <c r="D4347" s="22"/>
      <c r="E4347" s="22"/>
      <c r="F4347" s="22"/>
      <c r="G4347" s="22"/>
      <c r="H4347" s="18"/>
      <c r="I4347" s="18"/>
      <c r="J4347" s="18"/>
      <c r="K4347" s="18"/>
      <c r="L4347" s="18"/>
      <c r="M4347" s="18"/>
      <c r="N4347" s="18"/>
      <c r="O4347" s="18"/>
      <c r="P4347" s="18"/>
      <c r="Q4347" s="19"/>
      <c r="R4347" s="19"/>
      <c r="S4347" s="19"/>
      <c r="T4347" s="18"/>
      <c r="U4347" s="18"/>
      <c r="V4347" s="18"/>
      <c r="W4347" s="18"/>
      <c r="X4347" s="18"/>
      <c r="Y4347" s="18"/>
      <c r="Z4347" s="18"/>
    </row>
    <row r="4348" ht="15.75" customHeight="1">
      <c r="A4348" s="32"/>
      <c r="B4348" s="22"/>
      <c r="C4348" s="22"/>
      <c r="D4348" s="22"/>
      <c r="E4348" s="22"/>
      <c r="F4348" s="22"/>
      <c r="G4348" s="22"/>
      <c r="H4348" s="18"/>
      <c r="I4348" s="18"/>
      <c r="J4348" s="18"/>
      <c r="K4348" s="18"/>
      <c r="L4348" s="18"/>
      <c r="M4348" s="18"/>
      <c r="N4348" s="18"/>
      <c r="O4348" s="18"/>
      <c r="P4348" s="18"/>
      <c r="Q4348" s="19"/>
      <c r="R4348" s="19"/>
      <c r="S4348" s="19"/>
      <c r="T4348" s="18"/>
      <c r="U4348" s="18"/>
      <c r="V4348" s="18"/>
      <c r="W4348" s="18"/>
      <c r="X4348" s="18"/>
      <c r="Y4348" s="18"/>
      <c r="Z4348" s="18"/>
    </row>
    <row r="4349" ht="15.75" customHeight="1">
      <c r="A4349" s="32"/>
      <c r="B4349" s="22"/>
      <c r="C4349" s="22"/>
      <c r="D4349" s="22"/>
      <c r="E4349" s="22"/>
      <c r="F4349" s="22"/>
      <c r="G4349" s="22"/>
      <c r="H4349" s="18"/>
      <c r="I4349" s="18"/>
      <c r="J4349" s="18"/>
      <c r="K4349" s="18"/>
      <c r="L4349" s="18"/>
      <c r="M4349" s="18"/>
      <c r="N4349" s="18"/>
      <c r="O4349" s="18"/>
      <c r="P4349" s="18"/>
      <c r="Q4349" s="19"/>
      <c r="R4349" s="19"/>
      <c r="S4349" s="19"/>
      <c r="T4349" s="18"/>
      <c r="U4349" s="18"/>
      <c r="V4349" s="18"/>
      <c r="W4349" s="18"/>
      <c r="X4349" s="18"/>
      <c r="Y4349" s="18"/>
      <c r="Z4349" s="18"/>
    </row>
    <row r="4350" ht="15.75" customHeight="1">
      <c r="A4350" s="32"/>
      <c r="B4350" s="22"/>
      <c r="C4350" s="22"/>
      <c r="D4350" s="22"/>
      <c r="E4350" s="22"/>
      <c r="F4350" s="22"/>
      <c r="G4350" s="22"/>
      <c r="H4350" s="18"/>
      <c r="I4350" s="18"/>
      <c r="J4350" s="18"/>
      <c r="K4350" s="18"/>
      <c r="L4350" s="18"/>
      <c r="M4350" s="18"/>
      <c r="N4350" s="18"/>
      <c r="O4350" s="18"/>
      <c r="P4350" s="18"/>
      <c r="Q4350" s="19"/>
      <c r="R4350" s="19"/>
      <c r="S4350" s="19"/>
      <c r="T4350" s="18"/>
      <c r="U4350" s="18"/>
      <c r="V4350" s="18"/>
      <c r="W4350" s="18"/>
      <c r="X4350" s="18"/>
      <c r="Y4350" s="18"/>
      <c r="Z4350" s="18"/>
    </row>
    <row r="4351" ht="15.75" customHeight="1">
      <c r="A4351" s="32"/>
      <c r="B4351" s="22"/>
      <c r="C4351" s="22"/>
      <c r="D4351" s="22"/>
      <c r="E4351" s="22"/>
      <c r="F4351" s="22"/>
      <c r="G4351" s="22"/>
      <c r="H4351" s="18"/>
      <c r="I4351" s="18"/>
      <c r="J4351" s="18"/>
      <c r="K4351" s="18"/>
      <c r="L4351" s="18"/>
      <c r="M4351" s="18"/>
      <c r="N4351" s="18"/>
      <c r="O4351" s="18"/>
      <c r="P4351" s="18"/>
      <c r="Q4351" s="19"/>
      <c r="R4351" s="19"/>
      <c r="S4351" s="19"/>
      <c r="T4351" s="18"/>
      <c r="U4351" s="18"/>
      <c r="V4351" s="18"/>
      <c r="W4351" s="18"/>
      <c r="X4351" s="18"/>
      <c r="Y4351" s="18"/>
      <c r="Z4351" s="18"/>
    </row>
    <row r="4352" ht="15.75" customHeight="1">
      <c r="A4352" s="32"/>
      <c r="B4352" s="22"/>
      <c r="C4352" s="22"/>
      <c r="D4352" s="22"/>
      <c r="E4352" s="22"/>
      <c r="F4352" s="22"/>
      <c r="G4352" s="22"/>
      <c r="H4352" s="18"/>
      <c r="I4352" s="18"/>
      <c r="J4352" s="18"/>
      <c r="K4352" s="18"/>
      <c r="L4352" s="18"/>
      <c r="M4352" s="18"/>
      <c r="N4352" s="18"/>
      <c r="O4352" s="18"/>
      <c r="P4352" s="18"/>
      <c r="Q4352" s="19"/>
      <c r="R4352" s="19"/>
      <c r="S4352" s="19"/>
      <c r="T4352" s="18"/>
      <c r="U4352" s="18"/>
      <c r="V4352" s="18"/>
      <c r="W4352" s="18"/>
      <c r="X4352" s="18"/>
      <c r="Y4352" s="18"/>
      <c r="Z4352" s="18"/>
    </row>
    <row r="4353" ht="15.75" customHeight="1">
      <c r="A4353" s="32"/>
      <c r="B4353" s="22"/>
      <c r="C4353" s="22"/>
      <c r="D4353" s="22"/>
      <c r="E4353" s="22"/>
      <c r="F4353" s="22"/>
      <c r="G4353" s="22"/>
      <c r="H4353" s="18"/>
      <c r="I4353" s="18"/>
      <c r="J4353" s="18"/>
      <c r="K4353" s="18"/>
      <c r="L4353" s="18"/>
      <c r="M4353" s="18"/>
      <c r="N4353" s="18"/>
      <c r="O4353" s="18"/>
      <c r="P4353" s="18"/>
      <c r="Q4353" s="19"/>
      <c r="R4353" s="19"/>
      <c r="S4353" s="19"/>
      <c r="T4353" s="18"/>
      <c r="U4353" s="18"/>
      <c r="V4353" s="18"/>
      <c r="W4353" s="18"/>
      <c r="X4353" s="18"/>
      <c r="Y4353" s="18"/>
      <c r="Z4353" s="18"/>
    </row>
    <row r="4354" ht="15.75" customHeight="1">
      <c r="A4354" s="32"/>
      <c r="B4354" s="22"/>
      <c r="C4354" s="22"/>
      <c r="D4354" s="22"/>
      <c r="E4354" s="22"/>
      <c r="F4354" s="22"/>
      <c r="G4354" s="22"/>
      <c r="H4354" s="18"/>
      <c r="I4354" s="18"/>
      <c r="J4354" s="18"/>
      <c r="K4354" s="18"/>
      <c r="L4354" s="18"/>
      <c r="M4354" s="18"/>
      <c r="N4354" s="18"/>
      <c r="O4354" s="18"/>
      <c r="P4354" s="18"/>
      <c r="Q4354" s="19"/>
      <c r="R4354" s="19"/>
      <c r="S4354" s="19"/>
      <c r="T4354" s="18"/>
      <c r="U4354" s="18"/>
      <c r="V4354" s="18"/>
      <c r="W4354" s="18"/>
      <c r="X4354" s="18"/>
      <c r="Y4354" s="18"/>
      <c r="Z4354" s="18"/>
    </row>
    <row r="4355" ht="15.75" customHeight="1">
      <c r="A4355" s="32"/>
      <c r="B4355" s="22"/>
      <c r="C4355" s="22"/>
      <c r="D4355" s="22"/>
      <c r="E4355" s="22"/>
      <c r="F4355" s="22"/>
      <c r="G4355" s="22"/>
      <c r="H4355" s="18"/>
      <c r="I4355" s="18"/>
      <c r="J4355" s="18"/>
      <c r="K4355" s="18"/>
      <c r="L4355" s="18"/>
      <c r="M4355" s="18"/>
      <c r="N4355" s="18"/>
      <c r="O4355" s="18"/>
      <c r="P4355" s="18"/>
      <c r="Q4355" s="19"/>
      <c r="R4355" s="19"/>
      <c r="S4355" s="19"/>
      <c r="T4355" s="18"/>
      <c r="U4355" s="18"/>
      <c r="V4355" s="18"/>
      <c r="W4355" s="18"/>
      <c r="X4355" s="18"/>
      <c r="Y4355" s="18"/>
      <c r="Z4355" s="18"/>
    </row>
    <row r="4356" ht="15.75" customHeight="1">
      <c r="A4356" s="32"/>
      <c r="B4356" s="22"/>
      <c r="C4356" s="22"/>
      <c r="D4356" s="22"/>
      <c r="E4356" s="22"/>
      <c r="F4356" s="22"/>
      <c r="G4356" s="22"/>
      <c r="H4356" s="18"/>
      <c r="I4356" s="18"/>
      <c r="J4356" s="18"/>
      <c r="K4356" s="18"/>
      <c r="L4356" s="18"/>
      <c r="M4356" s="18"/>
      <c r="N4356" s="18"/>
      <c r="O4356" s="18"/>
      <c r="P4356" s="18"/>
      <c r="Q4356" s="19"/>
      <c r="R4356" s="19"/>
      <c r="S4356" s="19"/>
      <c r="T4356" s="18"/>
      <c r="U4356" s="18"/>
      <c r="V4356" s="18"/>
      <c r="W4356" s="18"/>
      <c r="X4356" s="18"/>
      <c r="Y4356" s="18"/>
      <c r="Z4356" s="18"/>
    </row>
    <row r="4357" ht="15.75" customHeight="1">
      <c r="A4357" s="32"/>
      <c r="B4357" s="22"/>
      <c r="C4357" s="22"/>
      <c r="D4357" s="22"/>
      <c r="E4357" s="22"/>
      <c r="F4357" s="22"/>
      <c r="G4357" s="22"/>
      <c r="H4357" s="18"/>
      <c r="I4357" s="18"/>
      <c r="J4357" s="18"/>
      <c r="K4357" s="18"/>
      <c r="L4357" s="18"/>
      <c r="M4357" s="18"/>
      <c r="N4357" s="18"/>
      <c r="O4357" s="18"/>
      <c r="P4357" s="18"/>
      <c r="Q4357" s="19"/>
      <c r="R4357" s="19"/>
      <c r="S4357" s="19"/>
      <c r="T4357" s="18"/>
      <c r="U4357" s="18"/>
      <c r="V4357" s="18"/>
      <c r="W4357" s="18"/>
      <c r="X4357" s="18"/>
      <c r="Y4357" s="18"/>
      <c r="Z4357" s="18"/>
    </row>
    <row r="4358" ht="15.75" customHeight="1">
      <c r="A4358" s="32"/>
      <c r="B4358" s="22"/>
      <c r="C4358" s="22"/>
      <c r="D4358" s="22"/>
      <c r="E4358" s="22"/>
      <c r="F4358" s="22"/>
      <c r="G4358" s="22"/>
      <c r="H4358" s="18"/>
      <c r="I4358" s="18"/>
      <c r="J4358" s="18"/>
      <c r="K4358" s="18"/>
      <c r="L4358" s="18"/>
      <c r="M4358" s="18"/>
      <c r="N4358" s="18"/>
      <c r="O4358" s="18"/>
      <c r="P4358" s="18"/>
      <c r="Q4358" s="19"/>
      <c r="R4358" s="19"/>
      <c r="S4358" s="19"/>
      <c r="T4358" s="18"/>
      <c r="U4358" s="18"/>
      <c r="V4358" s="18"/>
      <c r="W4358" s="18"/>
      <c r="X4358" s="18"/>
      <c r="Y4358" s="18"/>
      <c r="Z4358" s="18"/>
    </row>
    <row r="4359" ht="15.75" customHeight="1">
      <c r="A4359" s="32"/>
      <c r="B4359" s="22"/>
      <c r="C4359" s="22"/>
      <c r="D4359" s="22"/>
      <c r="E4359" s="22"/>
      <c r="F4359" s="22"/>
      <c r="G4359" s="22"/>
      <c r="H4359" s="18"/>
      <c r="I4359" s="18"/>
      <c r="J4359" s="18"/>
      <c r="K4359" s="18"/>
      <c r="L4359" s="18"/>
      <c r="M4359" s="18"/>
      <c r="N4359" s="18"/>
      <c r="O4359" s="18"/>
      <c r="P4359" s="18"/>
      <c r="Q4359" s="19"/>
      <c r="R4359" s="19"/>
      <c r="S4359" s="19"/>
      <c r="T4359" s="18"/>
      <c r="U4359" s="18"/>
      <c r="V4359" s="18"/>
      <c r="W4359" s="18"/>
      <c r="X4359" s="18"/>
      <c r="Y4359" s="18"/>
      <c r="Z4359" s="18"/>
    </row>
    <row r="4360" ht="15.75" customHeight="1">
      <c r="A4360" s="32"/>
      <c r="B4360" s="22"/>
      <c r="C4360" s="22"/>
      <c r="D4360" s="22"/>
      <c r="E4360" s="22"/>
      <c r="F4360" s="22"/>
      <c r="G4360" s="22"/>
      <c r="H4360" s="18"/>
      <c r="I4360" s="18"/>
      <c r="J4360" s="18"/>
      <c r="K4360" s="18"/>
      <c r="L4360" s="18"/>
      <c r="M4360" s="18"/>
      <c r="N4360" s="18"/>
      <c r="O4360" s="18"/>
      <c r="P4360" s="18"/>
      <c r="Q4360" s="19"/>
      <c r="R4360" s="19"/>
      <c r="S4360" s="19"/>
      <c r="T4360" s="18"/>
      <c r="U4360" s="18"/>
      <c r="V4360" s="18"/>
      <c r="W4360" s="18"/>
      <c r="X4360" s="18"/>
      <c r="Y4360" s="18"/>
      <c r="Z4360" s="18"/>
    </row>
    <row r="4361" ht="15.75" customHeight="1">
      <c r="A4361" s="32"/>
      <c r="B4361" s="22"/>
      <c r="C4361" s="22"/>
      <c r="D4361" s="22"/>
      <c r="E4361" s="22"/>
      <c r="F4361" s="22"/>
      <c r="G4361" s="22"/>
      <c r="H4361" s="18"/>
      <c r="I4361" s="18"/>
      <c r="J4361" s="18"/>
      <c r="K4361" s="18"/>
      <c r="L4361" s="18"/>
      <c r="M4361" s="18"/>
      <c r="N4361" s="18"/>
      <c r="O4361" s="18"/>
      <c r="P4361" s="18"/>
      <c r="Q4361" s="19"/>
      <c r="R4361" s="19"/>
      <c r="S4361" s="19"/>
      <c r="T4361" s="18"/>
      <c r="U4361" s="18"/>
      <c r="V4361" s="18"/>
      <c r="W4361" s="18"/>
      <c r="X4361" s="18"/>
      <c r="Y4361" s="18"/>
      <c r="Z4361" s="18"/>
    </row>
    <row r="4362" ht="15.75" customHeight="1">
      <c r="A4362" s="32"/>
      <c r="B4362" s="22"/>
      <c r="C4362" s="22"/>
      <c r="D4362" s="22"/>
      <c r="E4362" s="22"/>
      <c r="F4362" s="22"/>
      <c r="G4362" s="22"/>
      <c r="H4362" s="18"/>
      <c r="I4362" s="18"/>
      <c r="J4362" s="18"/>
      <c r="K4362" s="18"/>
      <c r="L4362" s="18"/>
      <c r="M4362" s="18"/>
      <c r="N4362" s="18"/>
      <c r="O4362" s="18"/>
      <c r="P4362" s="18"/>
      <c r="Q4362" s="19"/>
      <c r="R4362" s="19"/>
      <c r="S4362" s="19"/>
      <c r="T4362" s="18"/>
      <c r="U4362" s="18"/>
      <c r="V4362" s="18"/>
      <c r="W4362" s="18"/>
      <c r="X4362" s="18"/>
      <c r="Y4362" s="18"/>
      <c r="Z4362" s="18"/>
    </row>
    <row r="4363" ht="15.75" customHeight="1">
      <c r="A4363" s="32"/>
      <c r="B4363" s="22"/>
      <c r="C4363" s="22"/>
      <c r="D4363" s="22"/>
      <c r="E4363" s="22"/>
      <c r="F4363" s="22"/>
      <c r="G4363" s="22"/>
      <c r="H4363" s="18"/>
      <c r="I4363" s="18"/>
      <c r="J4363" s="18"/>
      <c r="K4363" s="18"/>
      <c r="L4363" s="18"/>
      <c r="M4363" s="18"/>
      <c r="N4363" s="18"/>
      <c r="O4363" s="18"/>
      <c r="P4363" s="18"/>
      <c r="Q4363" s="19"/>
      <c r="R4363" s="19"/>
      <c r="S4363" s="19"/>
      <c r="T4363" s="18"/>
      <c r="U4363" s="18"/>
      <c r="V4363" s="18"/>
      <c r="W4363" s="18"/>
      <c r="X4363" s="18"/>
      <c r="Y4363" s="18"/>
      <c r="Z4363" s="18"/>
    </row>
    <row r="4364" ht="15.75" customHeight="1">
      <c r="A4364" s="32"/>
      <c r="B4364" s="22"/>
      <c r="C4364" s="22"/>
      <c r="D4364" s="22"/>
      <c r="E4364" s="22"/>
      <c r="F4364" s="22"/>
      <c r="G4364" s="22"/>
      <c r="H4364" s="18"/>
      <c r="I4364" s="18"/>
      <c r="J4364" s="18"/>
      <c r="K4364" s="18"/>
      <c r="L4364" s="18"/>
      <c r="M4364" s="18"/>
      <c r="N4364" s="18"/>
      <c r="O4364" s="18"/>
      <c r="P4364" s="18"/>
      <c r="Q4364" s="19"/>
      <c r="R4364" s="19"/>
      <c r="S4364" s="19"/>
      <c r="T4364" s="18"/>
      <c r="U4364" s="18"/>
      <c r="V4364" s="18"/>
      <c r="W4364" s="18"/>
      <c r="X4364" s="18"/>
      <c r="Y4364" s="18"/>
      <c r="Z4364" s="18"/>
    </row>
    <row r="4365" ht="15.75" customHeight="1">
      <c r="A4365" s="32"/>
      <c r="B4365" s="22"/>
      <c r="C4365" s="22"/>
      <c r="D4365" s="22"/>
      <c r="E4365" s="22"/>
      <c r="F4365" s="22"/>
      <c r="G4365" s="22"/>
      <c r="H4365" s="18"/>
      <c r="I4365" s="18"/>
      <c r="J4365" s="18"/>
      <c r="K4365" s="18"/>
      <c r="L4365" s="18"/>
      <c r="M4365" s="18"/>
      <c r="N4365" s="18"/>
      <c r="O4365" s="18"/>
      <c r="P4365" s="18"/>
      <c r="Q4365" s="19"/>
      <c r="R4365" s="19"/>
      <c r="S4365" s="19"/>
      <c r="T4365" s="18"/>
      <c r="U4365" s="18"/>
      <c r="V4365" s="18"/>
      <c r="W4365" s="18"/>
      <c r="X4365" s="18"/>
      <c r="Y4365" s="18"/>
      <c r="Z4365" s="18"/>
    </row>
    <row r="4366" ht="15.75" customHeight="1">
      <c r="A4366" s="32"/>
      <c r="B4366" s="22"/>
      <c r="C4366" s="22"/>
      <c r="D4366" s="22"/>
      <c r="E4366" s="22"/>
      <c r="F4366" s="22"/>
      <c r="G4366" s="22"/>
      <c r="H4366" s="18"/>
      <c r="I4366" s="18"/>
      <c r="J4366" s="18"/>
      <c r="K4366" s="18"/>
      <c r="L4366" s="18"/>
      <c r="M4366" s="18"/>
      <c r="N4366" s="18"/>
      <c r="O4366" s="18"/>
      <c r="P4366" s="18"/>
      <c r="Q4366" s="19"/>
      <c r="R4366" s="19"/>
      <c r="S4366" s="19"/>
      <c r="T4366" s="18"/>
      <c r="U4366" s="18"/>
      <c r="V4366" s="18"/>
      <c r="W4366" s="18"/>
      <c r="X4366" s="18"/>
      <c r="Y4366" s="18"/>
      <c r="Z4366" s="18"/>
    </row>
    <row r="4367" ht="15.75" customHeight="1">
      <c r="A4367" s="32"/>
      <c r="B4367" s="22"/>
      <c r="C4367" s="22"/>
      <c r="D4367" s="22"/>
      <c r="E4367" s="22"/>
      <c r="F4367" s="22"/>
      <c r="G4367" s="22"/>
      <c r="H4367" s="18"/>
      <c r="I4367" s="18"/>
      <c r="J4367" s="18"/>
      <c r="K4367" s="18"/>
      <c r="L4367" s="18"/>
      <c r="M4367" s="18"/>
      <c r="N4367" s="18"/>
      <c r="O4367" s="18"/>
      <c r="P4367" s="18"/>
      <c r="Q4367" s="19"/>
      <c r="R4367" s="19"/>
      <c r="S4367" s="19"/>
      <c r="T4367" s="18"/>
      <c r="U4367" s="18"/>
      <c r="V4367" s="18"/>
      <c r="W4367" s="18"/>
      <c r="X4367" s="18"/>
      <c r="Y4367" s="18"/>
      <c r="Z4367" s="18"/>
    </row>
    <row r="4368" ht="15.75" customHeight="1">
      <c r="A4368" s="32"/>
      <c r="B4368" s="22"/>
      <c r="C4368" s="22"/>
      <c r="D4368" s="22"/>
      <c r="E4368" s="22"/>
      <c r="F4368" s="22"/>
      <c r="G4368" s="22"/>
      <c r="H4368" s="18"/>
      <c r="I4368" s="18"/>
      <c r="J4368" s="18"/>
      <c r="K4368" s="18"/>
      <c r="L4368" s="18"/>
      <c r="M4368" s="18"/>
      <c r="N4368" s="18"/>
      <c r="O4368" s="18"/>
      <c r="P4368" s="18"/>
      <c r="Q4368" s="19"/>
      <c r="R4368" s="19"/>
      <c r="S4368" s="19"/>
      <c r="T4368" s="18"/>
      <c r="U4368" s="18"/>
      <c r="V4368" s="18"/>
      <c r="W4368" s="18"/>
      <c r="X4368" s="18"/>
      <c r="Y4368" s="18"/>
      <c r="Z4368" s="18"/>
    </row>
    <row r="4369" ht="15.75" customHeight="1">
      <c r="A4369" s="32"/>
      <c r="B4369" s="22"/>
      <c r="C4369" s="22"/>
      <c r="D4369" s="22"/>
      <c r="E4369" s="22"/>
      <c r="F4369" s="22"/>
      <c r="G4369" s="22"/>
      <c r="H4369" s="18"/>
      <c r="I4369" s="18"/>
      <c r="J4369" s="18"/>
      <c r="K4369" s="18"/>
      <c r="L4369" s="18"/>
      <c r="M4369" s="18"/>
      <c r="N4369" s="18"/>
      <c r="O4369" s="18"/>
      <c r="P4369" s="18"/>
      <c r="Q4369" s="19"/>
      <c r="R4369" s="19"/>
      <c r="S4369" s="19"/>
      <c r="T4369" s="18"/>
      <c r="U4369" s="18"/>
      <c r="V4369" s="18"/>
      <c r="W4369" s="18"/>
      <c r="X4369" s="18"/>
      <c r="Y4369" s="18"/>
      <c r="Z4369" s="18"/>
    </row>
    <row r="4370" ht="15.75" customHeight="1">
      <c r="A4370" s="32"/>
      <c r="B4370" s="22"/>
      <c r="C4370" s="22"/>
      <c r="D4370" s="22"/>
      <c r="E4370" s="22"/>
      <c r="F4370" s="22"/>
      <c r="G4370" s="22"/>
      <c r="H4370" s="18"/>
      <c r="I4370" s="18"/>
      <c r="J4370" s="18"/>
      <c r="K4370" s="18"/>
      <c r="L4370" s="18"/>
      <c r="M4370" s="18"/>
      <c r="N4370" s="18"/>
      <c r="O4370" s="18"/>
      <c r="P4370" s="18"/>
      <c r="Q4370" s="19"/>
      <c r="R4370" s="19"/>
      <c r="S4370" s="19"/>
      <c r="T4370" s="18"/>
      <c r="U4370" s="18"/>
      <c r="V4370" s="18"/>
      <c r="W4370" s="18"/>
      <c r="X4370" s="18"/>
      <c r="Y4370" s="18"/>
      <c r="Z4370" s="18"/>
    </row>
    <row r="4371" ht="15.75" customHeight="1">
      <c r="A4371" s="32"/>
      <c r="B4371" s="22"/>
      <c r="C4371" s="22"/>
      <c r="D4371" s="22"/>
      <c r="E4371" s="22"/>
      <c r="F4371" s="22"/>
      <c r="G4371" s="22"/>
      <c r="H4371" s="18"/>
      <c r="I4371" s="18"/>
      <c r="J4371" s="18"/>
      <c r="K4371" s="18"/>
      <c r="L4371" s="18"/>
      <c r="M4371" s="18"/>
      <c r="N4371" s="18"/>
      <c r="O4371" s="18"/>
      <c r="P4371" s="18"/>
      <c r="Q4371" s="19"/>
      <c r="R4371" s="19"/>
      <c r="S4371" s="19"/>
      <c r="T4371" s="18"/>
      <c r="U4371" s="18"/>
      <c r="V4371" s="18"/>
      <c r="W4371" s="18"/>
      <c r="X4371" s="18"/>
      <c r="Y4371" s="18"/>
      <c r="Z4371" s="18"/>
    </row>
    <row r="4372" ht="15.75" customHeight="1">
      <c r="A4372" s="32"/>
      <c r="B4372" s="22"/>
      <c r="C4372" s="22"/>
      <c r="D4372" s="22"/>
      <c r="E4372" s="22"/>
      <c r="F4372" s="22"/>
      <c r="G4372" s="22"/>
      <c r="H4372" s="18"/>
      <c r="I4372" s="18"/>
      <c r="J4372" s="18"/>
      <c r="K4372" s="18"/>
      <c r="L4372" s="18"/>
      <c r="M4372" s="18"/>
      <c r="N4372" s="18"/>
      <c r="O4372" s="18"/>
      <c r="P4372" s="18"/>
      <c r="Q4372" s="19"/>
      <c r="R4372" s="19"/>
      <c r="S4372" s="19"/>
      <c r="T4372" s="18"/>
      <c r="U4372" s="18"/>
      <c r="V4372" s="18"/>
      <c r="W4372" s="18"/>
      <c r="X4372" s="18"/>
      <c r="Y4372" s="18"/>
      <c r="Z4372" s="18"/>
    </row>
    <row r="4373" ht="15.75" customHeight="1">
      <c r="A4373" s="32"/>
      <c r="B4373" s="22"/>
      <c r="C4373" s="22"/>
      <c r="D4373" s="22"/>
      <c r="E4373" s="22"/>
      <c r="F4373" s="22"/>
      <c r="G4373" s="22"/>
      <c r="H4373" s="18"/>
      <c r="I4373" s="18"/>
      <c r="J4373" s="18"/>
      <c r="K4373" s="18"/>
      <c r="L4373" s="18"/>
      <c r="M4373" s="18"/>
      <c r="N4373" s="18"/>
      <c r="O4373" s="18"/>
      <c r="P4373" s="18"/>
      <c r="Q4373" s="19"/>
      <c r="R4373" s="19"/>
      <c r="S4373" s="19"/>
      <c r="T4373" s="18"/>
      <c r="U4373" s="18"/>
      <c r="V4373" s="18"/>
      <c r="W4373" s="18"/>
      <c r="X4373" s="18"/>
      <c r="Y4373" s="18"/>
      <c r="Z4373" s="18"/>
    </row>
    <row r="4374" ht="15.75" customHeight="1">
      <c r="A4374" s="32"/>
      <c r="B4374" s="22"/>
      <c r="C4374" s="22"/>
      <c r="D4374" s="22"/>
      <c r="E4374" s="22"/>
      <c r="F4374" s="22"/>
      <c r="G4374" s="22"/>
      <c r="H4374" s="18"/>
      <c r="I4374" s="18"/>
      <c r="J4374" s="18"/>
      <c r="K4374" s="18"/>
      <c r="L4374" s="18"/>
      <c r="M4374" s="18"/>
      <c r="N4374" s="18"/>
      <c r="O4374" s="18"/>
      <c r="P4374" s="18"/>
      <c r="Q4374" s="19"/>
      <c r="R4374" s="19"/>
      <c r="S4374" s="19"/>
      <c r="T4374" s="18"/>
      <c r="U4374" s="18"/>
      <c r="V4374" s="18"/>
      <c r="W4374" s="18"/>
      <c r="X4374" s="18"/>
      <c r="Y4374" s="18"/>
      <c r="Z4374" s="18"/>
    </row>
    <row r="4375" ht="15.75" customHeight="1">
      <c r="A4375" s="32"/>
      <c r="B4375" s="22"/>
      <c r="C4375" s="22"/>
      <c r="D4375" s="22"/>
      <c r="E4375" s="22"/>
      <c r="F4375" s="22"/>
      <c r="G4375" s="22"/>
      <c r="H4375" s="18"/>
      <c r="I4375" s="18"/>
      <c r="J4375" s="18"/>
      <c r="K4375" s="18"/>
      <c r="L4375" s="18"/>
      <c r="M4375" s="18"/>
      <c r="N4375" s="18"/>
      <c r="O4375" s="18"/>
      <c r="P4375" s="18"/>
      <c r="Q4375" s="19"/>
      <c r="R4375" s="19"/>
      <c r="S4375" s="19"/>
      <c r="T4375" s="18"/>
      <c r="U4375" s="18"/>
      <c r="V4375" s="18"/>
      <c r="W4375" s="18"/>
      <c r="X4375" s="18"/>
      <c r="Y4375" s="18"/>
      <c r="Z4375" s="18"/>
    </row>
    <row r="4376" ht="15.75" customHeight="1">
      <c r="A4376" s="32"/>
      <c r="B4376" s="22"/>
      <c r="C4376" s="22"/>
      <c r="D4376" s="22"/>
      <c r="E4376" s="22"/>
      <c r="F4376" s="22"/>
      <c r="G4376" s="22"/>
      <c r="H4376" s="18"/>
      <c r="I4376" s="18"/>
      <c r="J4376" s="18"/>
      <c r="K4376" s="18"/>
      <c r="L4376" s="18"/>
      <c r="M4376" s="18"/>
      <c r="N4376" s="18"/>
      <c r="O4376" s="18"/>
      <c r="P4376" s="18"/>
      <c r="Q4376" s="19"/>
      <c r="R4376" s="19"/>
      <c r="S4376" s="19"/>
      <c r="T4376" s="18"/>
      <c r="U4376" s="18"/>
      <c r="V4376" s="18"/>
      <c r="W4376" s="18"/>
      <c r="X4376" s="18"/>
      <c r="Y4376" s="18"/>
      <c r="Z4376" s="18"/>
    </row>
    <row r="4377" ht="15.75" customHeight="1">
      <c r="A4377" s="32"/>
      <c r="B4377" s="22"/>
      <c r="C4377" s="22"/>
      <c r="D4377" s="22"/>
      <c r="E4377" s="22"/>
      <c r="F4377" s="22"/>
      <c r="G4377" s="22"/>
      <c r="H4377" s="18"/>
      <c r="I4377" s="18"/>
      <c r="J4377" s="18"/>
      <c r="K4377" s="18"/>
      <c r="L4377" s="18"/>
      <c r="M4377" s="18"/>
      <c r="N4377" s="18"/>
      <c r="O4377" s="18"/>
      <c r="P4377" s="18"/>
      <c r="Q4377" s="19"/>
      <c r="R4377" s="19"/>
      <c r="S4377" s="19"/>
      <c r="T4377" s="18"/>
      <c r="U4377" s="18"/>
      <c r="V4377" s="18"/>
      <c r="W4377" s="18"/>
      <c r="X4377" s="18"/>
      <c r="Y4377" s="18"/>
      <c r="Z4377" s="18"/>
    </row>
    <row r="4378" ht="15.75" customHeight="1">
      <c r="A4378" s="32"/>
      <c r="B4378" s="22"/>
      <c r="C4378" s="22"/>
      <c r="D4378" s="22"/>
      <c r="E4378" s="22"/>
      <c r="F4378" s="22"/>
      <c r="G4378" s="22"/>
      <c r="H4378" s="18"/>
      <c r="I4378" s="18"/>
      <c r="J4378" s="18"/>
      <c r="K4378" s="18"/>
      <c r="L4378" s="18"/>
      <c r="M4378" s="18"/>
      <c r="N4378" s="18"/>
      <c r="O4378" s="18"/>
      <c r="P4378" s="18"/>
      <c r="Q4378" s="19"/>
      <c r="R4378" s="19"/>
      <c r="S4378" s="19"/>
      <c r="T4378" s="18"/>
      <c r="U4378" s="18"/>
      <c r="V4378" s="18"/>
      <c r="W4378" s="18"/>
      <c r="X4378" s="18"/>
      <c r="Y4378" s="18"/>
      <c r="Z4378" s="18"/>
    </row>
    <row r="4379" ht="15.75" customHeight="1">
      <c r="A4379" s="32"/>
      <c r="B4379" s="22"/>
      <c r="C4379" s="22"/>
      <c r="D4379" s="22"/>
      <c r="E4379" s="22"/>
      <c r="F4379" s="22"/>
      <c r="G4379" s="22"/>
      <c r="H4379" s="18"/>
      <c r="I4379" s="18"/>
      <c r="J4379" s="18"/>
      <c r="K4379" s="18"/>
      <c r="L4379" s="18"/>
      <c r="M4379" s="18"/>
      <c r="N4379" s="18"/>
      <c r="O4379" s="18"/>
      <c r="P4379" s="18"/>
      <c r="Q4379" s="19"/>
      <c r="R4379" s="19"/>
      <c r="S4379" s="19"/>
      <c r="T4379" s="18"/>
      <c r="U4379" s="18"/>
      <c r="V4379" s="18"/>
      <c r="W4379" s="18"/>
      <c r="X4379" s="18"/>
      <c r="Y4379" s="18"/>
      <c r="Z4379" s="18"/>
    </row>
    <row r="4380" ht="15.75" customHeight="1">
      <c r="A4380" s="32"/>
      <c r="B4380" s="22"/>
      <c r="C4380" s="22"/>
      <c r="D4380" s="22"/>
      <c r="E4380" s="22"/>
      <c r="F4380" s="22"/>
      <c r="G4380" s="22"/>
      <c r="H4380" s="18"/>
      <c r="I4380" s="18"/>
      <c r="J4380" s="18"/>
      <c r="K4380" s="18"/>
      <c r="L4380" s="18"/>
      <c r="M4380" s="18"/>
      <c r="N4380" s="18"/>
      <c r="O4380" s="18"/>
      <c r="P4380" s="18"/>
      <c r="Q4380" s="19"/>
      <c r="R4380" s="19"/>
      <c r="S4380" s="19"/>
      <c r="T4380" s="18"/>
      <c r="U4380" s="18"/>
      <c r="V4380" s="18"/>
      <c r="W4380" s="18"/>
      <c r="X4380" s="18"/>
      <c r="Y4380" s="18"/>
      <c r="Z4380" s="18"/>
    </row>
    <row r="4381" ht="15.75" customHeight="1">
      <c r="A4381" s="32"/>
      <c r="B4381" s="22"/>
      <c r="C4381" s="22"/>
      <c r="D4381" s="22"/>
      <c r="E4381" s="22"/>
      <c r="F4381" s="22"/>
      <c r="G4381" s="22"/>
      <c r="H4381" s="18"/>
      <c r="I4381" s="18"/>
      <c r="J4381" s="18"/>
      <c r="K4381" s="18"/>
      <c r="L4381" s="18"/>
      <c r="M4381" s="18"/>
      <c r="N4381" s="18"/>
      <c r="O4381" s="18"/>
      <c r="P4381" s="18"/>
      <c r="Q4381" s="19"/>
      <c r="R4381" s="19"/>
      <c r="S4381" s="19"/>
      <c r="T4381" s="18"/>
      <c r="U4381" s="18"/>
      <c r="V4381" s="18"/>
      <c r="W4381" s="18"/>
      <c r="X4381" s="18"/>
      <c r="Y4381" s="18"/>
      <c r="Z4381" s="18"/>
    </row>
    <row r="4382" ht="15.75" customHeight="1">
      <c r="A4382" s="32"/>
      <c r="B4382" s="22"/>
      <c r="C4382" s="22"/>
      <c r="D4382" s="22"/>
      <c r="E4382" s="22"/>
      <c r="F4382" s="22"/>
      <c r="G4382" s="22"/>
      <c r="H4382" s="18"/>
      <c r="I4382" s="18"/>
      <c r="J4382" s="18"/>
      <c r="K4382" s="18"/>
      <c r="L4382" s="18"/>
      <c r="M4382" s="18"/>
      <c r="N4382" s="18"/>
      <c r="O4382" s="18"/>
      <c r="P4382" s="18"/>
      <c r="Q4382" s="19"/>
      <c r="R4382" s="19"/>
      <c r="S4382" s="19"/>
      <c r="T4382" s="18"/>
      <c r="U4382" s="18"/>
      <c r="V4382" s="18"/>
      <c r="W4382" s="18"/>
      <c r="X4382" s="18"/>
      <c r="Y4382" s="18"/>
      <c r="Z4382" s="18"/>
    </row>
    <row r="4383" ht="15.75" customHeight="1">
      <c r="A4383" s="32"/>
      <c r="B4383" s="22"/>
      <c r="C4383" s="22"/>
      <c r="D4383" s="22"/>
      <c r="E4383" s="22"/>
      <c r="F4383" s="22"/>
      <c r="G4383" s="22"/>
      <c r="H4383" s="18"/>
      <c r="I4383" s="18"/>
      <c r="J4383" s="18"/>
      <c r="K4383" s="18"/>
      <c r="L4383" s="18"/>
      <c r="M4383" s="18"/>
      <c r="N4383" s="18"/>
      <c r="O4383" s="18"/>
      <c r="P4383" s="18"/>
      <c r="Q4383" s="19"/>
      <c r="R4383" s="19"/>
      <c r="S4383" s="19"/>
      <c r="T4383" s="18"/>
      <c r="U4383" s="18"/>
      <c r="V4383" s="18"/>
      <c r="W4383" s="18"/>
      <c r="X4383" s="18"/>
      <c r="Y4383" s="18"/>
      <c r="Z4383" s="18"/>
    </row>
    <row r="4384" ht="15.75" customHeight="1">
      <c r="A4384" s="32"/>
      <c r="B4384" s="22"/>
      <c r="C4384" s="22"/>
      <c r="D4384" s="22"/>
      <c r="E4384" s="22"/>
      <c r="F4384" s="22"/>
      <c r="G4384" s="22"/>
      <c r="H4384" s="18"/>
      <c r="I4384" s="18"/>
      <c r="J4384" s="18"/>
      <c r="K4384" s="18"/>
      <c r="L4384" s="18"/>
      <c r="M4384" s="18"/>
      <c r="N4384" s="18"/>
      <c r="O4384" s="18"/>
      <c r="P4384" s="18"/>
      <c r="Q4384" s="19"/>
      <c r="R4384" s="19"/>
      <c r="S4384" s="19"/>
      <c r="T4384" s="18"/>
      <c r="U4384" s="18"/>
      <c r="V4384" s="18"/>
      <c r="W4384" s="18"/>
      <c r="X4384" s="18"/>
      <c r="Y4384" s="18"/>
      <c r="Z4384" s="18"/>
    </row>
    <row r="4385" ht="15.75" customHeight="1">
      <c r="A4385" s="32"/>
      <c r="B4385" s="22"/>
      <c r="C4385" s="22"/>
      <c r="D4385" s="22"/>
      <c r="E4385" s="22"/>
      <c r="F4385" s="22"/>
      <c r="G4385" s="22"/>
      <c r="H4385" s="18"/>
      <c r="I4385" s="18"/>
      <c r="J4385" s="18"/>
      <c r="K4385" s="18"/>
      <c r="L4385" s="18"/>
      <c r="M4385" s="18"/>
      <c r="N4385" s="18"/>
      <c r="O4385" s="18"/>
      <c r="P4385" s="18"/>
      <c r="Q4385" s="19"/>
      <c r="R4385" s="19"/>
      <c r="S4385" s="19"/>
      <c r="T4385" s="18"/>
      <c r="U4385" s="18"/>
      <c r="V4385" s="18"/>
      <c r="W4385" s="18"/>
      <c r="X4385" s="18"/>
      <c r="Y4385" s="18"/>
      <c r="Z4385" s="18"/>
    </row>
    <row r="4386" ht="15.75" customHeight="1">
      <c r="A4386" s="32"/>
      <c r="B4386" s="22"/>
      <c r="C4386" s="22"/>
      <c r="D4386" s="22"/>
      <c r="E4386" s="22"/>
      <c r="F4386" s="22"/>
      <c r="G4386" s="22"/>
      <c r="H4386" s="18"/>
      <c r="I4386" s="18"/>
      <c r="J4386" s="18"/>
      <c r="K4386" s="18"/>
      <c r="L4386" s="18"/>
      <c r="M4386" s="18"/>
      <c r="N4386" s="18"/>
      <c r="O4386" s="18"/>
      <c r="P4386" s="18"/>
      <c r="Q4386" s="19"/>
      <c r="R4386" s="19"/>
      <c r="S4386" s="19"/>
      <c r="T4386" s="18"/>
      <c r="U4386" s="18"/>
      <c r="V4386" s="18"/>
      <c r="W4386" s="18"/>
      <c r="X4386" s="18"/>
      <c r="Y4386" s="18"/>
      <c r="Z4386" s="18"/>
    </row>
    <row r="4387" ht="15.75" customHeight="1">
      <c r="A4387" s="32"/>
      <c r="B4387" s="22"/>
      <c r="C4387" s="22"/>
      <c r="D4387" s="22"/>
      <c r="E4387" s="22"/>
      <c r="F4387" s="22"/>
      <c r="G4387" s="22"/>
      <c r="H4387" s="18"/>
      <c r="I4387" s="18"/>
      <c r="J4387" s="18"/>
      <c r="K4387" s="18"/>
      <c r="L4387" s="18"/>
      <c r="M4387" s="18"/>
      <c r="N4387" s="18"/>
      <c r="O4387" s="18"/>
      <c r="P4387" s="18"/>
      <c r="Q4387" s="19"/>
      <c r="R4387" s="19"/>
      <c r="S4387" s="19"/>
      <c r="T4387" s="18"/>
      <c r="U4387" s="18"/>
      <c r="V4387" s="18"/>
      <c r="W4387" s="18"/>
      <c r="X4387" s="18"/>
      <c r="Y4387" s="18"/>
      <c r="Z4387" s="18"/>
    </row>
    <row r="4388" ht="15.75" customHeight="1">
      <c r="A4388" s="32"/>
      <c r="B4388" s="22"/>
      <c r="C4388" s="22"/>
      <c r="D4388" s="22"/>
      <c r="E4388" s="22"/>
      <c r="F4388" s="22"/>
      <c r="G4388" s="22"/>
      <c r="H4388" s="18"/>
      <c r="I4388" s="18"/>
      <c r="J4388" s="18"/>
      <c r="K4388" s="18"/>
      <c r="L4388" s="18"/>
      <c r="M4388" s="18"/>
      <c r="N4388" s="18"/>
      <c r="O4388" s="18"/>
      <c r="P4388" s="18"/>
      <c r="Q4388" s="19"/>
      <c r="R4388" s="19"/>
      <c r="S4388" s="19"/>
      <c r="T4388" s="18"/>
      <c r="U4388" s="18"/>
      <c r="V4388" s="18"/>
      <c r="W4388" s="18"/>
      <c r="X4388" s="18"/>
      <c r="Y4388" s="18"/>
      <c r="Z4388" s="18"/>
    </row>
    <row r="4389" ht="15.75" customHeight="1">
      <c r="A4389" s="32"/>
      <c r="B4389" s="22"/>
      <c r="C4389" s="22"/>
      <c r="D4389" s="22"/>
      <c r="E4389" s="22"/>
      <c r="F4389" s="22"/>
      <c r="G4389" s="22"/>
      <c r="H4389" s="18"/>
      <c r="I4389" s="18"/>
      <c r="J4389" s="18"/>
      <c r="K4389" s="18"/>
      <c r="L4389" s="18"/>
      <c r="M4389" s="18"/>
      <c r="N4389" s="18"/>
      <c r="O4389" s="18"/>
      <c r="P4389" s="18"/>
      <c r="Q4389" s="19"/>
      <c r="R4389" s="19"/>
      <c r="S4389" s="19"/>
      <c r="T4389" s="18"/>
      <c r="U4389" s="18"/>
      <c r="V4389" s="18"/>
      <c r="W4389" s="18"/>
      <c r="X4389" s="18"/>
      <c r="Y4389" s="18"/>
      <c r="Z4389" s="18"/>
    </row>
    <row r="4390" ht="15.75" customHeight="1">
      <c r="A4390" s="32"/>
      <c r="B4390" s="22"/>
      <c r="C4390" s="22"/>
      <c r="D4390" s="22"/>
      <c r="E4390" s="22"/>
      <c r="F4390" s="22"/>
      <c r="G4390" s="22"/>
      <c r="H4390" s="18"/>
      <c r="I4390" s="18"/>
      <c r="J4390" s="18"/>
      <c r="K4390" s="18"/>
      <c r="L4390" s="18"/>
      <c r="M4390" s="18"/>
      <c r="N4390" s="18"/>
      <c r="O4390" s="18"/>
      <c r="P4390" s="18"/>
      <c r="Q4390" s="19"/>
      <c r="R4390" s="19"/>
      <c r="S4390" s="19"/>
      <c r="T4390" s="18"/>
      <c r="U4390" s="18"/>
      <c r="V4390" s="18"/>
      <c r="W4390" s="18"/>
      <c r="X4390" s="18"/>
      <c r="Y4390" s="18"/>
      <c r="Z4390" s="18"/>
    </row>
    <row r="4391" ht="15.75" customHeight="1">
      <c r="A4391" s="32"/>
      <c r="B4391" s="22"/>
      <c r="C4391" s="22"/>
      <c r="D4391" s="22"/>
      <c r="E4391" s="22"/>
      <c r="F4391" s="22"/>
      <c r="G4391" s="22"/>
      <c r="H4391" s="18"/>
      <c r="I4391" s="18"/>
      <c r="J4391" s="18"/>
      <c r="K4391" s="18"/>
      <c r="L4391" s="18"/>
      <c r="M4391" s="18"/>
      <c r="N4391" s="18"/>
      <c r="O4391" s="18"/>
      <c r="P4391" s="18"/>
      <c r="Q4391" s="19"/>
      <c r="R4391" s="19"/>
      <c r="S4391" s="19"/>
      <c r="T4391" s="18"/>
      <c r="U4391" s="18"/>
      <c r="V4391" s="18"/>
      <c r="W4391" s="18"/>
      <c r="X4391" s="18"/>
      <c r="Y4391" s="18"/>
      <c r="Z4391" s="18"/>
    </row>
    <row r="4392" ht="15.75" customHeight="1">
      <c r="A4392" s="32"/>
      <c r="B4392" s="22"/>
      <c r="C4392" s="22"/>
      <c r="D4392" s="22"/>
      <c r="E4392" s="22"/>
      <c r="F4392" s="22"/>
      <c r="G4392" s="22"/>
      <c r="H4392" s="18"/>
      <c r="I4392" s="18"/>
      <c r="J4392" s="18"/>
      <c r="K4392" s="18"/>
      <c r="L4392" s="18"/>
      <c r="M4392" s="18"/>
      <c r="N4392" s="18"/>
      <c r="O4392" s="18"/>
      <c r="P4392" s="18"/>
      <c r="Q4392" s="19"/>
      <c r="R4392" s="19"/>
      <c r="S4392" s="19"/>
      <c r="T4392" s="18"/>
      <c r="U4392" s="18"/>
      <c r="V4392" s="18"/>
      <c r="W4392" s="18"/>
      <c r="X4392" s="18"/>
      <c r="Y4392" s="18"/>
      <c r="Z4392" s="18"/>
    </row>
    <row r="4393" ht="15.75" customHeight="1">
      <c r="A4393" s="32"/>
      <c r="B4393" s="22"/>
      <c r="C4393" s="22"/>
      <c r="D4393" s="22"/>
      <c r="E4393" s="22"/>
      <c r="F4393" s="22"/>
      <c r="G4393" s="22"/>
      <c r="H4393" s="18"/>
      <c r="I4393" s="18"/>
      <c r="J4393" s="18"/>
      <c r="K4393" s="18"/>
      <c r="L4393" s="18"/>
      <c r="M4393" s="18"/>
      <c r="N4393" s="18"/>
      <c r="O4393" s="18"/>
      <c r="P4393" s="18"/>
      <c r="Q4393" s="19"/>
      <c r="R4393" s="19"/>
      <c r="S4393" s="19"/>
      <c r="T4393" s="18"/>
      <c r="U4393" s="18"/>
      <c r="V4393" s="18"/>
      <c r="W4393" s="18"/>
      <c r="X4393" s="18"/>
      <c r="Y4393" s="18"/>
      <c r="Z4393" s="18"/>
    </row>
    <row r="4394" ht="15.75" customHeight="1">
      <c r="A4394" s="32"/>
      <c r="B4394" s="22"/>
      <c r="C4394" s="22"/>
      <c r="D4394" s="22"/>
      <c r="E4394" s="22"/>
      <c r="F4394" s="22"/>
      <c r="G4394" s="22"/>
      <c r="H4394" s="18"/>
      <c r="I4394" s="18"/>
      <c r="J4394" s="18"/>
      <c r="K4394" s="18"/>
      <c r="L4394" s="18"/>
      <c r="M4394" s="18"/>
      <c r="N4394" s="18"/>
      <c r="O4394" s="18"/>
      <c r="P4394" s="18"/>
      <c r="Q4394" s="19"/>
      <c r="R4394" s="19"/>
      <c r="S4394" s="19"/>
      <c r="T4394" s="18"/>
      <c r="U4394" s="18"/>
      <c r="V4394" s="18"/>
      <c r="W4394" s="18"/>
      <c r="X4394" s="18"/>
      <c r="Y4394" s="18"/>
      <c r="Z4394" s="18"/>
    </row>
    <row r="4395" ht="15.75" customHeight="1">
      <c r="A4395" s="32"/>
      <c r="B4395" s="22"/>
      <c r="C4395" s="22"/>
      <c r="D4395" s="22"/>
      <c r="E4395" s="22"/>
      <c r="F4395" s="22"/>
      <c r="G4395" s="22"/>
      <c r="H4395" s="18"/>
      <c r="I4395" s="18"/>
      <c r="J4395" s="18"/>
      <c r="K4395" s="18"/>
      <c r="L4395" s="18"/>
      <c r="M4395" s="18"/>
      <c r="N4395" s="18"/>
      <c r="O4395" s="18"/>
      <c r="P4395" s="18"/>
      <c r="Q4395" s="19"/>
      <c r="R4395" s="19"/>
      <c r="S4395" s="19"/>
      <c r="T4395" s="18"/>
      <c r="U4395" s="18"/>
      <c r="V4395" s="18"/>
      <c r="W4395" s="18"/>
      <c r="X4395" s="18"/>
      <c r="Y4395" s="18"/>
      <c r="Z4395" s="18"/>
    </row>
    <row r="4396" ht="15.75" customHeight="1">
      <c r="A4396" s="32"/>
      <c r="B4396" s="22"/>
      <c r="C4396" s="22"/>
      <c r="D4396" s="22"/>
      <c r="E4396" s="22"/>
      <c r="F4396" s="22"/>
      <c r="G4396" s="22"/>
      <c r="H4396" s="18"/>
      <c r="I4396" s="18"/>
      <c r="J4396" s="18"/>
      <c r="K4396" s="18"/>
      <c r="L4396" s="18"/>
      <c r="M4396" s="18"/>
      <c r="N4396" s="18"/>
      <c r="O4396" s="18"/>
      <c r="P4396" s="18"/>
      <c r="Q4396" s="19"/>
      <c r="R4396" s="19"/>
      <c r="S4396" s="19"/>
      <c r="T4396" s="18"/>
      <c r="U4396" s="18"/>
      <c r="V4396" s="18"/>
      <c r="W4396" s="18"/>
      <c r="X4396" s="18"/>
      <c r="Y4396" s="18"/>
      <c r="Z4396" s="18"/>
    </row>
    <row r="4397" ht="15.75" customHeight="1">
      <c r="A4397" s="32"/>
      <c r="B4397" s="22"/>
      <c r="C4397" s="22"/>
      <c r="D4397" s="22"/>
      <c r="E4397" s="22"/>
      <c r="F4397" s="22"/>
      <c r="G4397" s="22"/>
      <c r="H4397" s="18"/>
      <c r="I4397" s="18"/>
      <c r="J4397" s="18"/>
      <c r="K4397" s="18"/>
      <c r="L4397" s="18"/>
      <c r="M4397" s="18"/>
      <c r="N4397" s="18"/>
      <c r="O4397" s="18"/>
      <c r="P4397" s="18"/>
      <c r="Q4397" s="19"/>
      <c r="R4397" s="19"/>
      <c r="S4397" s="19"/>
      <c r="T4397" s="18"/>
      <c r="U4397" s="18"/>
      <c r="V4397" s="18"/>
      <c r="W4397" s="18"/>
      <c r="X4397" s="18"/>
      <c r="Y4397" s="18"/>
      <c r="Z4397" s="18"/>
    </row>
    <row r="4398" ht="15.75" customHeight="1">
      <c r="A4398" s="32"/>
      <c r="B4398" s="22"/>
      <c r="C4398" s="22"/>
      <c r="D4398" s="22"/>
      <c r="E4398" s="22"/>
      <c r="F4398" s="22"/>
      <c r="G4398" s="22"/>
      <c r="H4398" s="18"/>
      <c r="I4398" s="18"/>
      <c r="J4398" s="18"/>
      <c r="K4398" s="18"/>
      <c r="L4398" s="18"/>
      <c r="M4398" s="18"/>
      <c r="N4398" s="18"/>
      <c r="O4398" s="18"/>
      <c r="P4398" s="18"/>
      <c r="Q4398" s="19"/>
      <c r="R4398" s="19"/>
      <c r="S4398" s="19"/>
      <c r="T4398" s="18"/>
      <c r="U4398" s="18"/>
      <c r="V4398" s="18"/>
      <c r="W4398" s="18"/>
      <c r="X4398" s="18"/>
      <c r="Y4398" s="18"/>
      <c r="Z4398" s="18"/>
    </row>
    <row r="4399" ht="15.75" customHeight="1">
      <c r="A4399" s="32"/>
      <c r="B4399" s="22"/>
      <c r="C4399" s="22"/>
      <c r="D4399" s="22"/>
      <c r="E4399" s="22"/>
      <c r="F4399" s="22"/>
      <c r="G4399" s="22"/>
      <c r="H4399" s="18"/>
      <c r="I4399" s="18"/>
      <c r="J4399" s="18"/>
      <c r="K4399" s="18"/>
      <c r="L4399" s="18"/>
      <c r="M4399" s="18"/>
      <c r="N4399" s="18"/>
      <c r="O4399" s="18"/>
      <c r="P4399" s="18"/>
      <c r="Q4399" s="19"/>
      <c r="R4399" s="19"/>
      <c r="S4399" s="19"/>
      <c r="T4399" s="18"/>
      <c r="U4399" s="18"/>
      <c r="V4399" s="18"/>
      <c r="W4399" s="18"/>
      <c r="X4399" s="18"/>
      <c r="Y4399" s="18"/>
      <c r="Z4399" s="18"/>
    </row>
    <row r="4400" ht="15.75" customHeight="1">
      <c r="A4400" s="33" t="s">
        <v>8325</v>
      </c>
      <c r="B4400" s="34"/>
      <c r="C4400" s="34"/>
      <c r="D4400" s="34"/>
      <c r="E4400" s="35" t="s">
        <v>8326</v>
      </c>
      <c r="F4400" s="35" t="s">
        <v>8327</v>
      </c>
      <c r="G4400" s="35" t="s">
        <v>8328</v>
      </c>
      <c r="H4400" s="36" t="s">
        <v>8329</v>
      </c>
      <c r="I4400" s="37" t="s">
        <v>8330</v>
      </c>
      <c r="J4400" s="37" t="s">
        <v>8331</v>
      </c>
      <c r="K4400" s="18" t="s">
        <v>8332</v>
      </c>
      <c r="L4400" s="18" t="s">
        <v>8333</v>
      </c>
      <c r="M4400" s="18" t="s">
        <v>8334</v>
      </c>
      <c r="N4400" s="18" t="s">
        <v>8335</v>
      </c>
      <c r="O4400" s="18" t="s">
        <v>8336</v>
      </c>
      <c r="P4400" s="18" t="s">
        <v>8337</v>
      </c>
      <c r="Q4400" s="18" t="s">
        <v>8338</v>
      </c>
      <c r="R4400" s="18" t="s">
        <v>8339</v>
      </c>
      <c r="S4400" s="18" t="s">
        <v>8340</v>
      </c>
      <c r="T4400" s="18"/>
      <c r="U4400" s="18"/>
      <c r="V4400" s="18"/>
      <c r="W4400" s="18"/>
      <c r="X4400" s="18"/>
      <c r="Y4400" s="18"/>
      <c r="Z4400" s="18"/>
    </row>
    <row r="4401" ht="15.75" customHeight="1">
      <c r="A4401" s="38" t="s">
        <v>8326</v>
      </c>
      <c r="B4401" s="39"/>
      <c r="C4401" s="39"/>
      <c r="D4401" s="39"/>
      <c r="E4401" s="40" t="s">
        <v>8341</v>
      </c>
      <c r="F4401" s="41">
        <v>45626.0</v>
      </c>
      <c r="G4401" s="42" t="s">
        <v>8342</v>
      </c>
      <c r="H4401" s="43" t="s">
        <v>8343</v>
      </c>
      <c r="I4401" s="44" t="s">
        <v>8344</v>
      </c>
      <c r="J4401" s="44" t="s">
        <v>8345</v>
      </c>
      <c r="K4401" s="18"/>
      <c r="L4401" s="18"/>
      <c r="M4401" s="18"/>
      <c r="N4401" s="18"/>
      <c r="O4401" s="18"/>
      <c r="P4401" s="18"/>
      <c r="Q4401" s="18"/>
      <c r="R4401" s="18"/>
      <c r="S4401" s="18"/>
      <c r="T4401" s="18"/>
      <c r="U4401" s="18"/>
      <c r="V4401" s="18"/>
      <c r="W4401" s="18"/>
      <c r="X4401" s="18"/>
      <c r="Y4401" s="18"/>
      <c r="Z4401" s="18"/>
    </row>
    <row r="4402" ht="15.75" customHeight="1">
      <c r="A4402" s="45" t="s">
        <v>8341</v>
      </c>
      <c r="B4402" s="46"/>
      <c r="C4402" s="46"/>
      <c r="D4402" s="46"/>
      <c r="E4402" s="45" t="s">
        <v>8346</v>
      </c>
      <c r="F4402" s="47">
        <v>45626.0</v>
      </c>
      <c r="G4402" s="48" t="s">
        <v>8342</v>
      </c>
      <c r="H4402" s="49" t="s">
        <v>8347</v>
      </c>
      <c r="I4402" s="44" t="s">
        <v>8348</v>
      </c>
      <c r="J4402" s="44" t="s">
        <v>8349</v>
      </c>
      <c r="K4402" s="18"/>
      <c r="L4402" s="18"/>
      <c r="M4402" s="18"/>
      <c r="N4402" s="18"/>
      <c r="O4402" s="18"/>
      <c r="P4402" s="18"/>
      <c r="Q4402" s="18"/>
      <c r="R4402" s="18"/>
      <c r="S4402" s="18"/>
      <c r="T4402" s="18"/>
      <c r="U4402" s="18"/>
      <c r="V4402" s="18"/>
      <c r="W4402" s="18"/>
      <c r="X4402" s="18"/>
      <c r="Y4402" s="18"/>
      <c r="Z4402" s="18"/>
    </row>
    <row r="4403" ht="15.75" customHeight="1">
      <c r="A4403" s="40" t="s">
        <v>8346</v>
      </c>
      <c r="B4403" s="50"/>
      <c r="C4403" s="50"/>
      <c r="D4403" s="50"/>
      <c r="E4403" s="40" t="s">
        <v>8350</v>
      </c>
      <c r="F4403" s="41">
        <v>45626.0</v>
      </c>
      <c r="G4403" s="42" t="s">
        <v>8342</v>
      </c>
      <c r="H4403" s="43" t="s">
        <v>8351</v>
      </c>
      <c r="I4403" s="44" t="s">
        <v>8352</v>
      </c>
      <c r="J4403" s="44" t="s">
        <v>8353</v>
      </c>
      <c r="K4403" s="18"/>
      <c r="L4403" s="18"/>
      <c r="M4403" s="18"/>
      <c r="N4403" s="18"/>
      <c r="O4403" s="18"/>
      <c r="P4403" s="18"/>
      <c r="Q4403" s="18"/>
      <c r="R4403" s="18"/>
      <c r="S4403" s="18"/>
      <c r="T4403" s="18"/>
      <c r="U4403" s="18"/>
      <c r="V4403" s="18"/>
      <c r="W4403" s="18"/>
      <c r="X4403" s="18"/>
      <c r="Y4403" s="18"/>
      <c r="Z4403" s="18"/>
    </row>
    <row r="4404" ht="15.75" customHeight="1">
      <c r="A4404" s="45" t="s">
        <v>8350</v>
      </c>
      <c r="B4404" s="46"/>
      <c r="C4404" s="46"/>
      <c r="D4404" s="46"/>
      <c r="E4404" s="45" t="s">
        <v>8354</v>
      </c>
      <c r="F4404" s="47">
        <v>45626.0</v>
      </c>
      <c r="G4404" s="48" t="s">
        <v>8342</v>
      </c>
      <c r="H4404" s="49" t="s">
        <v>8355</v>
      </c>
      <c r="I4404" s="44" t="s">
        <v>8356</v>
      </c>
      <c r="J4404" s="37" t="s">
        <v>8357</v>
      </c>
      <c r="K4404" s="18"/>
      <c r="L4404" s="18"/>
      <c r="M4404" s="18"/>
      <c r="N4404" s="18"/>
      <c r="O4404" s="18"/>
      <c r="P4404" s="18"/>
      <c r="Q4404" s="18"/>
      <c r="R4404" s="18"/>
      <c r="S4404" s="18"/>
      <c r="T4404" s="18"/>
      <c r="U4404" s="18"/>
      <c r="V4404" s="18"/>
      <c r="W4404" s="18"/>
      <c r="X4404" s="18"/>
      <c r="Y4404" s="18"/>
      <c r="Z4404" s="18"/>
    </row>
    <row r="4405" ht="15.75" customHeight="1">
      <c r="A4405" s="40" t="s">
        <v>8354</v>
      </c>
      <c r="B4405" s="50"/>
      <c r="C4405" s="50"/>
      <c r="D4405" s="50"/>
      <c r="E4405" s="40" t="s">
        <v>8358</v>
      </c>
      <c r="F4405" s="41">
        <v>45635.0</v>
      </c>
      <c r="G4405" s="42" t="s">
        <v>8342</v>
      </c>
      <c r="H4405" s="43" t="s">
        <v>8359</v>
      </c>
      <c r="I4405" s="44" t="s">
        <v>8360</v>
      </c>
      <c r="J4405" s="37" t="s">
        <v>8361</v>
      </c>
      <c r="K4405" s="18"/>
      <c r="L4405" s="18"/>
      <c r="M4405" s="18"/>
      <c r="N4405" s="18"/>
      <c r="O4405" s="18"/>
      <c r="P4405" s="18"/>
      <c r="Q4405" s="18"/>
      <c r="R4405" s="18"/>
      <c r="S4405" s="18"/>
      <c r="T4405" s="18"/>
      <c r="U4405" s="18"/>
      <c r="V4405" s="18"/>
      <c r="W4405" s="18"/>
      <c r="X4405" s="18"/>
      <c r="Y4405" s="18"/>
      <c r="Z4405" s="18"/>
    </row>
    <row r="4406" ht="15.75" customHeight="1">
      <c r="A4406" s="45" t="s">
        <v>8362</v>
      </c>
      <c r="B4406" s="46"/>
      <c r="C4406" s="46"/>
      <c r="D4406" s="46"/>
      <c r="E4406" s="45" t="s">
        <v>8363</v>
      </c>
      <c r="F4406" s="47">
        <v>45635.0</v>
      </c>
      <c r="G4406" s="48" t="s">
        <v>8342</v>
      </c>
      <c r="H4406" s="49" t="s">
        <v>8364</v>
      </c>
      <c r="I4406" s="44" t="s">
        <v>8365</v>
      </c>
      <c r="J4406" s="37" t="s">
        <v>8366</v>
      </c>
      <c r="K4406" s="18"/>
      <c r="L4406" s="18"/>
      <c r="M4406" s="18"/>
      <c r="N4406" s="18"/>
      <c r="O4406" s="18"/>
      <c r="P4406" s="18"/>
      <c r="Q4406" s="18"/>
      <c r="R4406" s="18"/>
      <c r="S4406" s="18"/>
      <c r="T4406" s="18"/>
      <c r="U4406" s="18"/>
      <c r="V4406" s="18"/>
      <c r="W4406" s="18"/>
      <c r="X4406" s="18"/>
      <c r="Y4406" s="18"/>
      <c r="Z4406" s="18"/>
    </row>
    <row r="4407" ht="15.75" customHeight="1">
      <c r="A4407" s="40" t="s">
        <v>8367</v>
      </c>
      <c r="B4407" s="50"/>
      <c r="C4407" s="50"/>
      <c r="D4407" s="50"/>
      <c r="E4407" s="40" t="s">
        <v>8368</v>
      </c>
      <c r="F4407" s="41">
        <v>45635.0</v>
      </c>
      <c r="G4407" s="42" t="s">
        <v>8342</v>
      </c>
      <c r="H4407" s="43" t="s">
        <v>8369</v>
      </c>
      <c r="I4407" s="44" t="s">
        <v>8370</v>
      </c>
      <c r="J4407" s="44" t="s">
        <v>8371</v>
      </c>
      <c r="K4407" s="18"/>
      <c r="L4407" s="18"/>
      <c r="M4407" s="18"/>
      <c r="N4407" s="18"/>
      <c r="O4407" s="18"/>
      <c r="P4407" s="18"/>
      <c r="Q4407" s="18"/>
      <c r="R4407" s="18"/>
      <c r="S4407" s="18"/>
      <c r="T4407" s="18"/>
      <c r="U4407" s="18"/>
      <c r="V4407" s="18"/>
      <c r="W4407" s="18"/>
      <c r="X4407" s="18"/>
      <c r="Y4407" s="18"/>
      <c r="Z4407" s="18"/>
    </row>
    <row r="4408" ht="15.75" customHeight="1">
      <c r="A4408" s="45" t="s">
        <v>8372</v>
      </c>
      <c r="B4408" s="46"/>
      <c r="C4408" s="46"/>
      <c r="D4408" s="46"/>
      <c r="E4408" s="45" t="s">
        <v>8373</v>
      </c>
      <c r="F4408" s="47">
        <v>45635.0</v>
      </c>
      <c r="G4408" s="51">
        <v>0.5222222222222223</v>
      </c>
      <c r="H4408" s="49" t="s">
        <v>8374</v>
      </c>
      <c r="I4408" s="44" t="s">
        <v>8375</v>
      </c>
      <c r="J4408" s="44" t="s">
        <v>8376</v>
      </c>
      <c r="K4408" s="18"/>
      <c r="L4408" s="18"/>
      <c r="M4408" s="18"/>
      <c r="N4408" s="18"/>
      <c r="O4408" s="18"/>
      <c r="P4408" s="18"/>
      <c r="Q4408" s="18"/>
      <c r="R4408" s="18"/>
      <c r="S4408" s="18"/>
      <c r="T4408" s="18"/>
      <c r="U4408" s="18"/>
      <c r="V4408" s="18"/>
      <c r="W4408" s="18"/>
      <c r="X4408" s="18"/>
      <c r="Y4408" s="18"/>
      <c r="Z4408" s="18"/>
    </row>
    <row r="4409" ht="15.75" customHeight="1">
      <c r="A4409" s="40" t="s">
        <v>8377</v>
      </c>
      <c r="B4409" s="40" t="s">
        <v>8378</v>
      </c>
      <c r="C4409" s="40" t="s">
        <v>8379</v>
      </c>
      <c r="D4409" s="40">
        <v>115.0</v>
      </c>
      <c r="E4409" s="40" t="s">
        <v>8362</v>
      </c>
      <c r="F4409" s="41">
        <v>45635.0</v>
      </c>
      <c r="G4409" s="52">
        <v>0.5527777777777778</v>
      </c>
      <c r="H4409" s="43" t="s">
        <v>8380</v>
      </c>
      <c r="I4409" s="44" t="s">
        <v>8381</v>
      </c>
      <c r="J4409" s="44" t="s">
        <v>8382</v>
      </c>
      <c r="K4409" s="18"/>
      <c r="L4409" s="18"/>
      <c r="M4409" s="18"/>
      <c r="N4409" s="18"/>
      <c r="O4409" s="18"/>
      <c r="P4409" s="18"/>
      <c r="Q4409" s="18"/>
      <c r="R4409" s="18"/>
      <c r="S4409" s="18"/>
      <c r="T4409" s="18"/>
      <c r="U4409" s="18"/>
      <c r="V4409" s="18"/>
      <c r="W4409" s="18"/>
      <c r="X4409" s="18"/>
      <c r="Y4409" s="18"/>
      <c r="Z4409" s="18"/>
    </row>
    <row r="4410" ht="15.75" customHeight="1">
      <c r="A4410" s="53" t="s">
        <v>8383</v>
      </c>
      <c r="B4410" s="54"/>
      <c r="C4410" s="54"/>
      <c r="D4410" s="54"/>
      <c r="E4410" s="45" t="s">
        <v>8367</v>
      </c>
      <c r="F4410" s="47">
        <v>45635.0</v>
      </c>
      <c r="G4410" s="51">
        <v>0.55625</v>
      </c>
      <c r="H4410" s="49" t="s">
        <v>8384</v>
      </c>
      <c r="I4410" s="44" t="s">
        <v>8385</v>
      </c>
      <c r="J4410" s="44" t="s">
        <v>8386</v>
      </c>
      <c r="K4410" s="18"/>
      <c r="L4410" s="18"/>
      <c r="M4410" s="18"/>
      <c r="N4410" s="18"/>
      <c r="O4410" s="18"/>
      <c r="P4410" s="18"/>
      <c r="Q4410" s="18"/>
      <c r="R4410" s="18"/>
      <c r="S4410" s="18"/>
      <c r="T4410" s="18"/>
      <c r="U4410" s="18"/>
      <c r="V4410" s="18"/>
      <c r="W4410" s="18"/>
      <c r="X4410" s="18"/>
      <c r="Y4410" s="18"/>
      <c r="Z4410" s="18"/>
    </row>
    <row r="4411" ht="15.75" customHeight="1">
      <c r="A4411" s="32"/>
      <c r="B4411" s="32"/>
      <c r="C4411" s="32"/>
      <c r="D4411" s="32"/>
      <c r="E4411" s="40" t="s">
        <v>8387</v>
      </c>
      <c r="F4411" s="41">
        <v>45635.0</v>
      </c>
      <c r="G4411" s="42" t="s">
        <v>8342</v>
      </c>
      <c r="H4411" s="43" t="s">
        <v>8388</v>
      </c>
      <c r="I4411" s="44" t="s">
        <v>8389</v>
      </c>
      <c r="J4411" s="44" t="s">
        <v>8390</v>
      </c>
      <c r="K4411" s="18"/>
      <c r="L4411" s="18"/>
      <c r="M4411" s="18"/>
      <c r="N4411" s="18"/>
      <c r="O4411" s="18"/>
      <c r="P4411" s="18"/>
      <c r="Q4411" s="18"/>
      <c r="R4411" s="18"/>
      <c r="S4411" s="18"/>
      <c r="T4411" s="18"/>
      <c r="U4411" s="18"/>
      <c r="V4411" s="18"/>
      <c r="W4411" s="18"/>
      <c r="X4411" s="18"/>
      <c r="Y4411" s="18"/>
      <c r="Z4411" s="18"/>
    </row>
    <row r="4412" ht="15.75" customHeight="1">
      <c r="A4412" s="55"/>
      <c r="B4412" s="55"/>
      <c r="C4412" s="55"/>
      <c r="D4412" s="55"/>
      <c r="E4412" s="16"/>
      <c r="F4412" s="16"/>
      <c r="G4412" s="16"/>
      <c r="H4412" s="18"/>
      <c r="I4412" s="18"/>
      <c r="J4412" s="18"/>
      <c r="K4412" s="18"/>
      <c r="L4412" s="18"/>
      <c r="M4412" s="18"/>
      <c r="N4412" s="18"/>
      <c r="O4412" s="18"/>
      <c r="P4412" s="18"/>
      <c r="Q4412" s="18"/>
      <c r="R4412" s="18"/>
      <c r="S4412" s="18"/>
      <c r="T4412" s="18"/>
      <c r="U4412" s="18"/>
      <c r="V4412" s="18"/>
      <c r="W4412" s="18"/>
      <c r="X4412" s="18"/>
      <c r="Y4412" s="18"/>
      <c r="Z4412" s="18"/>
    </row>
    <row r="4413" ht="15.75" customHeight="1">
      <c r="A4413" s="55"/>
      <c r="B4413" s="55"/>
      <c r="C4413" s="55"/>
      <c r="D4413" s="55"/>
      <c r="E4413" s="16"/>
      <c r="F4413" s="16"/>
      <c r="G4413" s="16"/>
      <c r="H4413" s="18"/>
      <c r="I4413" s="18"/>
      <c r="J4413" s="18"/>
      <c r="K4413" s="18"/>
      <c r="L4413" s="18"/>
      <c r="M4413" s="18"/>
      <c r="N4413" s="18"/>
      <c r="O4413" s="18"/>
      <c r="P4413" s="18"/>
      <c r="Q4413" s="18"/>
      <c r="R4413" s="18"/>
      <c r="S4413" s="18"/>
      <c r="T4413" s="18"/>
      <c r="U4413" s="18"/>
      <c r="V4413" s="18"/>
      <c r="W4413" s="18"/>
      <c r="X4413" s="18"/>
      <c r="Y4413" s="18"/>
      <c r="Z4413" s="18"/>
    </row>
    <row r="4414" ht="15.75" customHeight="1">
      <c r="A4414" s="55"/>
      <c r="B4414" s="55"/>
      <c r="C4414" s="55"/>
      <c r="D4414" s="55"/>
      <c r="E4414" s="16"/>
      <c r="F4414" s="16"/>
      <c r="G4414" s="16"/>
      <c r="H4414" s="18"/>
      <c r="I4414" s="18"/>
      <c r="J4414" s="18"/>
      <c r="K4414" s="18"/>
      <c r="L4414" s="18"/>
      <c r="M4414" s="18"/>
      <c r="N4414" s="18"/>
      <c r="O4414" s="18"/>
      <c r="P4414" s="18"/>
      <c r="Q4414" s="18"/>
      <c r="R4414" s="18"/>
      <c r="S4414" s="18"/>
      <c r="T4414" s="18"/>
      <c r="U4414" s="18"/>
      <c r="V4414" s="18"/>
      <c r="W4414" s="18"/>
      <c r="X4414" s="18"/>
      <c r="Y4414" s="18"/>
      <c r="Z4414" s="18"/>
    </row>
    <row r="4415" ht="15.75" customHeight="1">
      <c r="A4415" s="55"/>
      <c r="B4415" s="55"/>
      <c r="C4415" s="55"/>
      <c r="D4415" s="55"/>
      <c r="E4415" s="16"/>
      <c r="F4415" s="16"/>
      <c r="G4415" s="16"/>
      <c r="H4415" s="18"/>
      <c r="I4415" s="18"/>
      <c r="J4415" s="18"/>
      <c r="K4415" s="18"/>
      <c r="L4415" s="18"/>
      <c r="M4415" s="18"/>
      <c r="N4415" s="18"/>
      <c r="O4415" s="18"/>
      <c r="P4415" s="18"/>
      <c r="Q4415" s="18"/>
      <c r="R4415" s="18"/>
      <c r="S4415" s="18"/>
      <c r="T4415" s="18"/>
      <c r="U4415" s="18"/>
      <c r="V4415" s="18"/>
      <c r="W4415" s="18"/>
      <c r="X4415" s="18"/>
      <c r="Y4415" s="18"/>
      <c r="Z4415" s="18"/>
    </row>
    <row r="4416" ht="15.75" customHeight="1">
      <c r="A4416" s="55"/>
      <c r="B4416" s="55"/>
      <c r="C4416" s="55"/>
      <c r="D4416" s="55"/>
      <c r="E4416" s="16"/>
      <c r="F4416" s="16"/>
      <c r="G4416" s="16"/>
      <c r="H4416" s="18"/>
      <c r="I4416" s="18"/>
      <c r="J4416" s="18"/>
      <c r="K4416" s="18"/>
      <c r="L4416" s="18"/>
      <c r="M4416" s="18"/>
      <c r="N4416" s="18"/>
      <c r="O4416" s="18"/>
      <c r="P4416" s="18"/>
      <c r="Q4416" s="18"/>
      <c r="R4416" s="18"/>
      <c r="S4416" s="18"/>
      <c r="T4416" s="18"/>
      <c r="U4416" s="18"/>
      <c r="V4416" s="18"/>
      <c r="W4416" s="18"/>
      <c r="X4416" s="18"/>
      <c r="Y4416" s="18"/>
      <c r="Z4416" s="18"/>
    </row>
    <row r="4417" ht="15.75" customHeight="1">
      <c r="A4417" s="32"/>
      <c r="B4417" s="22"/>
      <c r="C4417" s="22"/>
      <c r="D4417" s="22"/>
      <c r="E4417" s="22"/>
      <c r="F4417" s="22"/>
      <c r="G4417" s="22"/>
      <c r="H4417" s="18"/>
      <c r="I4417" s="18"/>
      <c r="J4417" s="18"/>
      <c r="K4417" s="18"/>
      <c r="L4417" s="18"/>
      <c r="M4417" s="18"/>
      <c r="N4417" s="18"/>
      <c r="O4417" s="18"/>
      <c r="P4417" s="18"/>
      <c r="Q4417" s="19"/>
      <c r="R4417" s="19"/>
      <c r="S4417" s="19"/>
      <c r="T4417" s="18"/>
      <c r="U4417" s="18"/>
      <c r="V4417" s="18"/>
      <c r="W4417" s="18"/>
      <c r="X4417" s="18"/>
      <c r="Y4417" s="18"/>
      <c r="Z4417" s="18"/>
    </row>
    <row r="4418" ht="15.75" customHeight="1">
      <c r="A4418" s="32"/>
      <c r="B4418" s="22"/>
      <c r="C4418" s="22"/>
      <c r="D4418" s="22"/>
      <c r="E4418" s="22"/>
      <c r="F4418" s="22"/>
      <c r="G4418" s="22"/>
      <c r="H4418" s="18"/>
      <c r="I4418" s="18"/>
      <c r="J4418" s="18"/>
      <c r="K4418" s="18"/>
      <c r="L4418" s="18"/>
      <c r="M4418" s="18"/>
      <c r="N4418" s="18"/>
      <c r="O4418" s="18"/>
      <c r="P4418" s="18"/>
      <c r="Q4418" s="19"/>
      <c r="R4418" s="19"/>
      <c r="S4418" s="19"/>
      <c r="T4418" s="18"/>
      <c r="U4418" s="18"/>
      <c r="V4418" s="18"/>
      <c r="W4418" s="18"/>
      <c r="X4418" s="18"/>
      <c r="Y4418" s="18"/>
      <c r="Z4418" s="18"/>
    </row>
    <row r="4419" ht="15.75" customHeight="1">
      <c r="A4419" s="32"/>
      <c r="B4419" s="22"/>
      <c r="C4419" s="22"/>
      <c r="D4419" s="22"/>
      <c r="E4419" s="22"/>
      <c r="F4419" s="22"/>
      <c r="G4419" s="22"/>
      <c r="H4419" s="18"/>
      <c r="I4419" s="18"/>
      <c r="J4419" s="18"/>
      <c r="K4419" s="18"/>
      <c r="L4419" s="18"/>
      <c r="M4419" s="18"/>
      <c r="N4419" s="18"/>
      <c r="O4419" s="18"/>
      <c r="P4419" s="18"/>
      <c r="Q4419" s="19"/>
      <c r="R4419" s="19"/>
      <c r="S4419" s="19"/>
      <c r="T4419" s="18"/>
      <c r="U4419" s="18"/>
      <c r="V4419" s="18"/>
      <c r="W4419" s="18"/>
      <c r="X4419" s="18"/>
      <c r="Y4419" s="18"/>
      <c r="Z4419" s="18"/>
    </row>
    <row r="4420" ht="15.75" customHeight="1">
      <c r="A4420" s="32"/>
      <c r="B4420" s="22"/>
      <c r="C4420" s="22"/>
      <c r="D4420" s="22"/>
      <c r="E4420" s="22"/>
      <c r="F4420" s="22"/>
      <c r="G4420" s="22"/>
      <c r="H4420" s="18"/>
      <c r="I4420" s="18"/>
      <c r="J4420" s="18"/>
      <c r="K4420" s="18"/>
      <c r="L4420" s="18"/>
      <c r="M4420" s="18"/>
      <c r="N4420" s="18"/>
      <c r="O4420" s="18"/>
      <c r="P4420" s="18"/>
      <c r="Q4420" s="19"/>
      <c r="R4420" s="19"/>
      <c r="S4420" s="19"/>
      <c r="T4420" s="18"/>
      <c r="U4420" s="18"/>
      <c r="V4420" s="18"/>
      <c r="W4420" s="18"/>
      <c r="X4420" s="18"/>
      <c r="Y4420" s="18"/>
      <c r="Z4420" s="18"/>
    </row>
    <row r="4421" ht="15.75" customHeight="1">
      <c r="A4421" s="32"/>
      <c r="B4421" s="22"/>
      <c r="C4421" s="22"/>
      <c r="D4421" s="22"/>
      <c r="E4421" s="22"/>
      <c r="F4421" s="22"/>
      <c r="G4421" s="22"/>
      <c r="H4421" s="18"/>
      <c r="I4421" s="18"/>
      <c r="J4421" s="18"/>
      <c r="K4421" s="18"/>
      <c r="L4421" s="18"/>
      <c r="M4421" s="18"/>
      <c r="N4421" s="18"/>
      <c r="O4421" s="18"/>
      <c r="P4421" s="18"/>
      <c r="Q4421" s="19"/>
      <c r="R4421" s="19"/>
      <c r="S4421" s="19"/>
      <c r="T4421" s="18"/>
      <c r="U4421" s="18"/>
      <c r="V4421" s="18"/>
      <c r="W4421" s="18"/>
      <c r="X4421" s="18"/>
      <c r="Y4421" s="18"/>
      <c r="Z4421" s="18"/>
    </row>
    <row r="4422" ht="15.75" customHeight="1">
      <c r="A4422" s="32"/>
      <c r="B4422" s="22"/>
      <c r="C4422" s="22"/>
      <c r="D4422" s="22"/>
      <c r="E4422" s="22"/>
      <c r="F4422" s="22"/>
      <c r="G4422" s="22"/>
      <c r="H4422" s="18"/>
      <c r="I4422" s="18"/>
      <c r="J4422" s="18"/>
      <c r="K4422" s="18"/>
      <c r="L4422" s="18"/>
      <c r="M4422" s="18"/>
      <c r="N4422" s="18"/>
      <c r="O4422" s="18"/>
      <c r="P4422" s="18"/>
      <c r="Q4422" s="19"/>
      <c r="R4422" s="19"/>
      <c r="S4422" s="19"/>
      <c r="T4422" s="18"/>
      <c r="U4422" s="18"/>
      <c r="V4422" s="18"/>
      <c r="W4422" s="18"/>
      <c r="X4422" s="18"/>
      <c r="Y4422" s="18"/>
      <c r="Z4422" s="18"/>
    </row>
    <row r="4423" ht="15.75" customHeight="1">
      <c r="A4423" s="32"/>
      <c r="B4423" s="22"/>
      <c r="C4423" s="22"/>
      <c r="D4423" s="22"/>
      <c r="E4423" s="22"/>
      <c r="F4423" s="22"/>
      <c r="G4423" s="22"/>
      <c r="H4423" s="18"/>
      <c r="I4423" s="18"/>
      <c r="J4423" s="18"/>
      <c r="K4423" s="18"/>
      <c r="L4423" s="18"/>
      <c r="M4423" s="18"/>
      <c r="N4423" s="18"/>
      <c r="O4423" s="18"/>
      <c r="P4423" s="18"/>
      <c r="Q4423" s="19"/>
      <c r="R4423" s="19"/>
      <c r="S4423" s="19"/>
      <c r="T4423" s="18"/>
      <c r="U4423" s="18"/>
      <c r="V4423" s="18"/>
      <c r="W4423" s="18"/>
      <c r="X4423" s="18"/>
      <c r="Y4423" s="18"/>
      <c r="Z4423" s="18"/>
    </row>
    <row r="4424" ht="15.75" customHeight="1">
      <c r="A4424" s="32"/>
      <c r="B4424" s="22"/>
      <c r="C4424" s="22"/>
      <c r="D4424" s="22"/>
      <c r="E4424" s="22"/>
      <c r="F4424" s="22"/>
      <c r="G4424" s="22"/>
      <c r="H4424" s="18"/>
      <c r="I4424" s="18"/>
      <c r="J4424" s="18"/>
      <c r="K4424" s="18"/>
      <c r="L4424" s="18"/>
      <c r="M4424" s="18"/>
      <c r="N4424" s="18"/>
      <c r="O4424" s="18"/>
      <c r="P4424" s="18"/>
      <c r="Q4424" s="19"/>
      <c r="R4424" s="19"/>
      <c r="S4424" s="19"/>
      <c r="T4424" s="18"/>
      <c r="U4424" s="18"/>
      <c r="V4424" s="18"/>
      <c r="W4424" s="18"/>
      <c r="X4424" s="18"/>
      <c r="Y4424" s="18"/>
      <c r="Z4424" s="18"/>
    </row>
    <row r="4425" ht="15.75" customHeight="1">
      <c r="A4425" s="32"/>
      <c r="B4425" s="22"/>
      <c r="C4425" s="22"/>
      <c r="D4425" s="22"/>
      <c r="E4425" s="22"/>
      <c r="F4425" s="22"/>
      <c r="G4425" s="22"/>
      <c r="H4425" s="18"/>
      <c r="I4425" s="18"/>
      <c r="J4425" s="18"/>
      <c r="K4425" s="18"/>
      <c r="L4425" s="18"/>
      <c r="M4425" s="18"/>
      <c r="N4425" s="18"/>
      <c r="O4425" s="18"/>
      <c r="P4425" s="18"/>
      <c r="Q4425" s="19"/>
      <c r="R4425" s="19"/>
      <c r="S4425" s="19"/>
      <c r="T4425" s="18"/>
      <c r="U4425" s="18"/>
      <c r="V4425" s="18"/>
      <c r="W4425" s="18"/>
      <c r="X4425" s="18"/>
      <c r="Y4425" s="18"/>
      <c r="Z4425" s="18"/>
    </row>
    <row r="4426" ht="15.75" customHeight="1">
      <c r="A4426" s="32"/>
      <c r="B4426" s="22"/>
      <c r="C4426" s="22"/>
      <c r="D4426" s="22"/>
      <c r="E4426" s="22"/>
      <c r="F4426" s="22"/>
      <c r="G4426" s="22"/>
      <c r="H4426" s="18"/>
      <c r="I4426" s="18"/>
      <c r="J4426" s="18"/>
      <c r="K4426" s="18"/>
      <c r="L4426" s="18"/>
      <c r="M4426" s="18"/>
      <c r="N4426" s="18"/>
      <c r="O4426" s="18"/>
      <c r="P4426" s="18"/>
      <c r="Q4426" s="19"/>
      <c r="R4426" s="19"/>
      <c r="S4426" s="19"/>
      <c r="T4426" s="18"/>
      <c r="U4426" s="18"/>
      <c r="V4426" s="18"/>
      <c r="W4426" s="18"/>
      <c r="X4426" s="18"/>
      <c r="Y4426" s="18"/>
      <c r="Z4426" s="18"/>
    </row>
    <row r="4427" ht="15.75" customHeight="1">
      <c r="A4427" s="32"/>
      <c r="B4427" s="22"/>
      <c r="C4427" s="22"/>
      <c r="D4427" s="22"/>
      <c r="E4427" s="22"/>
      <c r="F4427" s="22"/>
      <c r="G4427" s="22"/>
      <c r="H4427" s="18"/>
      <c r="I4427" s="18"/>
      <c r="J4427" s="18"/>
      <c r="K4427" s="18"/>
      <c r="L4427" s="18"/>
      <c r="M4427" s="18"/>
      <c r="N4427" s="18"/>
      <c r="O4427" s="18"/>
      <c r="P4427" s="18"/>
      <c r="Q4427" s="19"/>
      <c r="R4427" s="19"/>
      <c r="S4427" s="19"/>
      <c r="T4427" s="18"/>
      <c r="U4427" s="18"/>
      <c r="V4427" s="18"/>
      <c r="W4427" s="18"/>
      <c r="X4427" s="18"/>
      <c r="Y4427" s="18"/>
      <c r="Z4427" s="18"/>
    </row>
    <row r="4428" ht="15.75" customHeight="1">
      <c r="A4428" s="32"/>
      <c r="B4428" s="22"/>
      <c r="C4428" s="22"/>
      <c r="D4428" s="22"/>
      <c r="E4428" s="22"/>
      <c r="F4428" s="22"/>
      <c r="G4428" s="22"/>
      <c r="H4428" s="18"/>
      <c r="I4428" s="18"/>
      <c r="J4428" s="18"/>
      <c r="K4428" s="18"/>
      <c r="L4428" s="18"/>
      <c r="M4428" s="18"/>
      <c r="N4428" s="18"/>
      <c r="O4428" s="18"/>
      <c r="P4428" s="18"/>
      <c r="Q4428" s="19"/>
      <c r="R4428" s="19"/>
      <c r="S4428" s="19"/>
      <c r="T4428" s="18"/>
      <c r="U4428" s="18"/>
      <c r="V4428" s="18"/>
      <c r="W4428" s="18"/>
      <c r="X4428" s="18"/>
      <c r="Y4428" s="18"/>
      <c r="Z4428" s="18"/>
    </row>
    <row r="4429" ht="15.75" customHeight="1">
      <c r="A4429" s="32"/>
      <c r="B4429" s="22"/>
      <c r="C4429" s="22"/>
      <c r="D4429" s="22"/>
      <c r="E4429" s="22"/>
      <c r="F4429" s="22"/>
      <c r="G4429" s="22"/>
      <c r="H4429" s="18"/>
      <c r="I4429" s="18"/>
      <c r="J4429" s="18"/>
      <c r="K4429" s="18"/>
      <c r="L4429" s="18"/>
      <c r="M4429" s="18"/>
      <c r="N4429" s="18"/>
      <c r="O4429" s="18"/>
      <c r="P4429" s="18"/>
      <c r="Q4429" s="19"/>
      <c r="R4429" s="19"/>
      <c r="S4429" s="19"/>
      <c r="T4429" s="18"/>
      <c r="U4429" s="18"/>
      <c r="V4429" s="18"/>
      <c r="W4429" s="18"/>
      <c r="X4429" s="18"/>
      <c r="Y4429" s="18"/>
      <c r="Z4429" s="18"/>
    </row>
    <row r="4430" ht="15.75" customHeight="1">
      <c r="A4430" s="32"/>
      <c r="B4430" s="22"/>
      <c r="C4430" s="22"/>
      <c r="D4430" s="22"/>
      <c r="E4430" s="22"/>
      <c r="F4430" s="22"/>
      <c r="G4430" s="22"/>
      <c r="H4430" s="18"/>
      <c r="I4430" s="18"/>
      <c r="J4430" s="18"/>
      <c r="K4430" s="18"/>
      <c r="L4430" s="18"/>
      <c r="M4430" s="18"/>
      <c r="N4430" s="18"/>
      <c r="O4430" s="18"/>
      <c r="P4430" s="18"/>
      <c r="Q4430" s="19"/>
      <c r="R4430" s="19"/>
      <c r="S4430" s="19"/>
      <c r="T4430" s="18"/>
      <c r="U4430" s="18"/>
      <c r="V4430" s="18"/>
      <c r="W4430" s="18"/>
      <c r="X4430" s="18"/>
      <c r="Y4430" s="18"/>
      <c r="Z4430" s="18"/>
    </row>
    <row r="4431" ht="15.75" customHeight="1">
      <c r="A4431" s="32"/>
      <c r="B4431" s="22"/>
      <c r="C4431" s="22"/>
      <c r="D4431" s="22"/>
      <c r="E4431" s="22"/>
      <c r="F4431" s="22"/>
      <c r="G4431" s="22"/>
      <c r="H4431" s="18"/>
      <c r="I4431" s="18"/>
      <c r="J4431" s="18"/>
      <c r="K4431" s="18"/>
      <c r="L4431" s="18"/>
      <c r="M4431" s="18"/>
      <c r="N4431" s="18"/>
      <c r="O4431" s="18"/>
      <c r="P4431" s="18"/>
      <c r="Q4431" s="19"/>
      <c r="R4431" s="19"/>
      <c r="S4431" s="19"/>
      <c r="T4431" s="18"/>
      <c r="U4431" s="18"/>
      <c r="V4431" s="18"/>
      <c r="W4431" s="18"/>
      <c r="X4431" s="18"/>
      <c r="Y4431" s="18"/>
      <c r="Z4431" s="18"/>
    </row>
    <row r="4432" ht="15.75" customHeight="1">
      <c r="A4432" s="32"/>
      <c r="B4432" s="22"/>
      <c r="C4432" s="22"/>
      <c r="D4432" s="22"/>
      <c r="E4432" s="22"/>
      <c r="F4432" s="22"/>
      <c r="G4432" s="22"/>
      <c r="H4432" s="18"/>
      <c r="I4432" s="18"/>
      <c r="J4432" s="18"/>
      <c r="K4432" s="18"/>
      <c r="L4432" s="18"/>
      <c r="M4432" s="18"/>
      <c r="N4432" s="18"/>
      <c r="O4432" s="18"/>
      <c r="P4432" s="18"/>
      <c r="Q4432" s="19"/>
      <c r="R4432" s="19"/>
      <c r="S4432" s="19"/>
      <c r="T4432" s="18"/>
      <c r="U4432" s="18"/>
      <c r="V4432" s="18"/>
      <c r="W4432" s="18"/>
      <c r="X4432" s="18"/>
      <c r="Y4432" s="18"/>
      <c r="Z4432" s="18"/>
    </row>
    <row r="4433" ht="15.75" customHeight="1">
      <c r="A4433" s="32"/>
      <c r="B4433" s="22"/>
      <c r="C4433" s="22"/>
      <c r="D4433" s="22"/>
      <c r="E4433" s="22"/>
      <c r="F4433" s="22"/>
      <c r="G4433" s="22"/>
      <c r="H4433" s="18"/>
      <c r="I4433" s="18"/>
      <c r="J4433" s="18"/>
      <c r="K4433" s="18"/>
      <c r="L4433" s="18"/>
      <c r="M4433" s="18"/>
      <c r="N4433" s="18"/>
      <c r="O4433" s="18"/>
      <c r="P4433" s="18"/>
      <c r="Q4433" s="19"/>
      <c r="R4433" s="19"/>
      <c r="S4433" s="19"/>
      <c r="T4433" s="18"/>
      <c r="U4433" s="18"/>
      <c r="V4433" s="18"/>
      <c r="W4433" s="18"/>
      <c r="X4433" s="18"/>
      <c r="Y4433" s="18"/>
      <c r="Z4433" s="18"/>
    </row>
  </sheetData>
  <dataValidations>
    <dataValidation type="custom" allowBlank="1" showDropDown="1" sqref="B4401:B4411">
      <formula1>OR(NOT(ISERROR(DATEVALUE(B4401))), AND(ISNUMBER(B4401), LEFT(CELL("format", B4401))="D"))</formula1>
    </dataValidation>
    <dataValidation type="custom" allowBlank="1" showDropDown="1" sqref="C4401:C4411">
      <formula1>OR(TIMEVALUE(TEXT(C4401, "hh:mm:ss"))=C4401, AND(ISNUMBER(C4401), LEFT(CELL("format", C4401))="D"))</formula1>
    </dataValidation>
  </dataValidations>
  <printOptions gridLines="1" horizontalCentered="1"/>
  <pageMargins bottom="0.75" footer="0.0" header="0.0" left="0.7" right="0.7" top="0.75"/>
  <pageSetup fitToHeight="0" paperSize="5"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2" t="s">
        <v>314</v>
      </c>
    </row>
    <row r="2">
      <c r="A2" s="12" t="s">
        <v>8391</v>
      </c>
    </row>
    <row r="3">
      <c r="A3" s="12" t="s">
        <v>8392</v>
      </c>
    </row>
    <row r="4">
      <c r="A4" s="12" t="s">
        <v>8393</v>
      </c>
    </row>
    <row r="5">
      <c r="A5" s="12" t="s">
        <v>8394</v>
      </c>
    </row>
    <row r="6">
      <c r="A6" s="12" t="s">
        <v>8395</v>
      </c>
    </row>
    <row r="7">
      <c r="A7" s="12" t="s">
        <v>8396</v>
      </c>
    </row>
    <row r="8">
      <c r="A8" s="12" t="s">
        <v>8397</v>
      </c>
    </row>
    <row r="9">
      <c r="A9" s="12" t="s">
        <v>8398</v>
      </c>
    </row>
    <row r="10">
      <c r="A10" s="12" t="s">
        <v>8399</v>
      </c>
    </row>
    <row r="11">
      <c r="A11" s="12" t="s">
        <v>8400</v>
      </c>
    </row>
    <row r="12">
      <c r="A12" s="12" t="s">
        <v>8401</v>
      </c>
    </row>
    <row r="13">
      <c r="A13" s="12" t="s">
        <v>8402</v>
      </c>
    </row>
    <row r="14">
      <c r="A14" s="12" t="s">
        <v>8403</v>
      </c>
    </row>
    <row r="15">
      <c r="A15" s="12" t="s">
        <v>8404</v>
      </c>
    </row>
    <row r="16">
      <c r="A16" s="12" t="s">
        <v>8405</v>
      </c>
    </row>
    <row r="17">
      <c r="A17" s="12" t="s">
        <v>8406</v>
      </c>
    </row>
    <row r="18">
      <c r="A18" s="12" t="s">
        <v>8407</v>
      </c>
    </row>
    <row r="19">
      <c r="A19" s="12" t="s">
        <v>8408</v>
      </c>
    </row>
    <row r="20">
      <c r="A20" s="12" t="s">
        <v>8409</v>
      </c>
    </row>
    <row r="21">
      <c r="A21" s="12" t="s">
        <v>8410</v>
      </c>
    </row>
    <row r="22">
      <c r="A22" s="12" t="s">
        <v>8411</v>
      </c>
    </row>
    <row r="23">
      <c r="A23" s="12" t="s">
        <v>8412</v>
      </c>
    </row>
    <row r="24">
      <c r="A24" s="12" t="s">
        <v>8413</v>
      </c>
    </row>
    <row r="25">
      <c r="A25" s="12" t="s">
        <v>8414</v>
      </c>
    </row>
    <row r="26">
      <c r="A26" s="12" t="s">
        <v>8415</v>
      </c>
    </row>
    <row r="27">
      <c r="A27" s="12" t="s">
        <v>8416</v>
      </c>
    </row>
    <row r="28">
      <c r="A28" s="12" t="s">
        <v>8417</v>
      </c>
    </row>
    <row r="29">
      <c r="A29" s="12" t="s">
        <v>8418</v>
      </c>
    </row>
    <row r="30">
      <c r="A30" s="12" t="s">
        <v>8419</v>
      </c>
    </row>
    <row r="31">
      <c r="A31" s="12" t="s">
        <v>8420</v>
      </c>
    </row>
    <row r="32">
      <c r="A32" s="12" t="s">
        <v>8421</v>
      </c>
    </row>
    <row r="33">
      <c r="A33" s="12" t="s">
        <v>8422</v>
      </c>
    </row>
    <row r="34">
      <c r="A34" s="12" t="s">
        <v>8423</v>
      </c>
    </row>
    <row r="35">
      <c r="A35" s="12" t="s">
        <v>8424</v>
      </c>
    </row>
    <row r="36">
      <c r="A36" s="12" t="s">
        <v>8425</v>
      </c>
    </row>
    <row r="37">
      <c r="A37" s="12" t="s">
        <v>8426</v>
      </c>
    </row>
    <row r="38">
      <c r="A38" s="12" t="s">
        <v>8427</v>
      </c>
    </row>
    <row r="39">
      <c r="A39" s="12" t="s">
        <v>8428</v>
      </c>
    </row>
    <row r="40">
      <c r="A40" s="12" t="s">
        <v>8429</v>
      </c>
    </row>
    <row r="41">
      <c r="A41" s="12" t="s">
        <v>8430</v>
      </c>
    </row>
    <row r="42">
      <c r="A42" s="12" t="s">
        <v>8431</v>
      </c>
    </row>
    <row r="43">
      <c r="A43" s="12" t="s">
        <v>8432</v>
      </c>
    </row>
    <row r="44">
      <c r="A44" s="12" t="s">
        <v>8433</v>
      </c>
    </row>
    <row r="45">
      <c r="A45" s="12" t="s">
        <v>8434</v>
      </c>
    </row>
    <row r="46">
      <c r="A46" s="12" t="s">
        <v>8435</v>
      </c>
    </row>
    <row r="47">
      <c r="A47" s="12" t="s">
        <v>8436</v>
      </c>
    </row>
    <row r="48">
      <c r="A48" s="12" t="s">
        <v>8437</v>
      </c>
    </row>
    <row r="49">
      <c r="A49" s="12" t="s">
        <v>8438</v>
      </c>
    </row>
    <row r="50">
      <c r="A50" s="12" t="s">
        <v>8439</v>
      </c>
    </row>
    <row r="51">
      <c r="A51" s="12" t="s">
        <v>8440</v>
      </c>
    </row>
    <row r="52">
      <c r="A52" s="12" t="s">
        <v>8441</v>
      </c>
    </row>
    <row r="53">
      <c r="A53" s="12" t="s">
        <v>8442</v>
      </c>
    </row>
    <row r="54">
      <c r="A54" s="12" t="s">
        <v>8443</v>
      </c>
    </row>
    <row r="55">
      <c r="A55" s="12" t="s">
        <v>8444</v>
      </c>
    </row>
    <row r="56">
      <c r="A56" s="12" t="s">
        <v>8445</v>
      </c>
    </row>
    <row r="57">
      <c r="A57" s="12" t="s">
        <v>8446</v>
      </c>
    </row>
    <row r="58">
      <c r="A58" s="12" t="s">
        <v>8447</v>
      </c>
    </row>
    <row r="59">
      <c r="A59" s="12" t="s">
        <v>8448</v>
      </c>
    </row>
    <row r="60">
      <c r="A60" s="12" t="s">
        <v>8449</v>
      </c>
    </row>
    <row r="61">
      <c r="A61" s="12" t="s">
        <v>8450</v>
      </c>
    </row>
    <row r="62">
      <c r="A62" s="12" t="s">
        <v>8451</v>
      </c>
    </row>
    <row r="63">
      <c r="A63" s="12" t="s">
        <v>8452</v>
      </c>
    </row>
    <row r="64">
      <c r="A64" s="12" t="s">
        <v>8453</v>
      </c>
    </row>
    <row r="65">
      <c r="A65" s="12" t="s">
        <v>8454</v>
      </c>
    </row>
    <row r="66">
      <c r="A66" s="12" t="s">
        <v>8455</v>
      </c>
    </row>
    <row r="67">
      <c r="A67" s="12" t="s">
        <v>8456</v>
      </c>
    </row>
    <row r="68">
      <c r="A68" s="12" t="s">
        <v>8457</v>
      </c>
    </row>
    <row r="69">
      <c r="A69" s="12" t="s">
        <v>8458</v>
      </c>
    </row>
    <row r="70">
      <c r="A70" s="12" t="s">
        <v>8459</v>
      </c>
    </row>
    <row r="71">
      <c r="A71" s="12" t="s">
        <v>8460</v>
      </c>
    </row>
    <row r="72">
      <c r="A72" s="12" t="s">
        <v>8461</v>
      </c>
    </row>
    <row r="73">
      <c r="A73" s="12" t="s">
        <v>8462</v>
      </c>
    </row>
    <row r="74">
      <c r="A74" s="12" t="s">
        <v>8463</v>
      </c>
    </row>
    <row r="75">
      <c r="A75" s="12" t="s">
        <v>8464</v>
      </c>
    </row>
    <row r="76">
      <c r="A76" s="12" t="s">
        <v>8465</v>
      </c>
    </row>
    <row r="77">
      <c r="A77" s="12" t="s">
        <v>8466</v>
      </c>
    </row>
    <row r="78">
      <c r="A78" s="12" t="s">
        <v>8467</v>
      </c>
    </row>
    <row r="79">
      <c r="A79" s="12" t="s">
        <v>8468</v>
      </c>
    </row>
    <row r="80">
      <c r="A80" s="12" t="s">
        <v>8469</v>
      </c>
    </row>
    <row r="81">
      <c r="A81" s="12" t="s">
        <v>8470</v>
      </c>
    </row>
    <row r="82">
      <c r="A82" s="12" t="s">
        <v>8471</v>
      </c>
    </row>
    <row r="83">
      <c r="A83" s="12" t="s">
        <v>8472</v>
      </c>
    </row>
    <row r="84">
      <c r="A84" s="12" t="s">
        <v>8473</v>
      </c>
    </row>
    <row r="85">
      <c r="A85" s="12" t="s">
        <v>8474</v>
      </c>
    </row>
    <row r="86">
      <c r="A86" s="12" t="s">
        <v>8475</v>
      </c>
    </row>
    <row r="87">
      <c r="A87" s="12" t="s">
        <v>8476</v>
      </c>
    </row>
    <row r="88">
      <c r="A88" s="12" t="s">
        <v>8477</v>
      </c>
    </row>
    <row r="89">
      <c r="A89" s="12" t="s">
        <v>8478</v>
      </c>
    </row>
    <row r="90">
      <c r="A90" s="12" t="s">
        <v>8479</v>
      </c>
    </row>
    <row r="91">
      <c r="A91" s="12" t="s">
        <v>8480</v>
      </c>
    </row>
    <row r="92">
      <c r="A92" s="12" t="s">
        <v>8481</v>
      </c>
    </row>
    <row r="93">
      <c r="A93" s="12" t="s">
        <v>8482</v>
      </c>
    </row>
    <row r="94">
      <c r="A94" s="12" t="s">
        <v>8483</v>
      </c>
    </row>
    <row r="95">
      <c r="A95" s="12" t="s">
        <v>8484</v>
      </c>
    </row>
    <row r="96">
      <c r="A96" s="12" t="s">
        <v>8485</v>
      </c>
    </row>
    <row r="97">
      <c r="A97" s="12" t="s">
        <v>8486</v>
      </c>
    </row>
    <row r="98">
      <c r="A98" s="12" t="s">
        <v>8487</v>
      </c>
    </row>
    <row r="99">
      <c r="A99" s="12" t="s">
        <v>8488</v>
      </c>
    </row>
    <row r="100">
      <c r="A100" s="12" t="s">
        <v>8489</v>
      </c>
    </row>
    <row r="101">
      <c r="A101" s="12" t="s">
        <v>8490</v>
      </c>
    </row>
    <row r="102">
      <c r="A102" s="12" t="s">
        <v>8491</v>
      </c>
    </row>
    <row r="103">
      <c r="A103" s="12" t="s">
        <v>8492</v>
      </c>
    </row>
    <row r="104">
      <c r="A104" s="12" t="s">
        <v>8493</v>
      </c>
    </row>
    <row r="105">
      <c r="A105" s="12" t="s">
        <v>8494</v>
      </c>
    </row>
    <row r="106">
      <c r="A106" s="12" t="s">
        <v>8495</v>
      </c>
    </row>
    <row r="107">
      <c r="A107" s="12" t="s">
        <v>8496</v>
      </c>
    </row>
    <row r="108">
      <c r="A108" s="12" t="s">
        <v>8497</v>
      </c>
    </row>
    <row r="109">
      <c r="A109" s="12" t="s">
        <v>8498</v>
      </c>
    </row>
    <row r="110">
      <c r="A110" s="12" t="s">
        <v>8499</v>
      </c>
    </row>
    <row r="111">
      <c r="A111" s="12" t="s">
        <v>8500</v>
      </c>
    </row>
    <row r="112">
      <c r="A112" s="12" t="s">
        <v>8501</v>
      </c>
    </row>
    <row r="113">
      <c r="A113" s="12" t="s">
        <v>8502</v>
      </c>
    </row>
    <row r="114">
      <c r="A114" s="12" t="s">
        <v>8503</v>
      </c>
    </row>
    <row r="115">
      <c r="A115" s="12" t="s">
        <v>8504</v>
      </c>
    </row>
    <row r="116">
      <c r="A116" s="12" t="s">
        <v>8505</v>
      </c>
    </row>
    <row r="117">
      <c r="A117" s="12" t="s">
        <v>8506</v>
      </c>
    </row>
    <row r="118">
      <c r="A118" s="12" t="s">
        <v>8507</v>
      </c>
    </row>
    <row r="119">
      <c r="A119" s="12" t="s">
        <v>8508</v>
      </c>
    </row>
    <row r="120">
      <c r="A120" s="12" t="s">
        <v>8509</v>
      </c>
    </row>
    <row r="121">
      <c r="A121" s="12" t="s">
        <v>8510</v>
      </c>
    </row>
    <row r="122">
      <c r="A122" s="12" t="s">
        <v>8511</v>
      </c>
    </row>
    <row r="123">
      <c r="A123" s="12" t="s">
        <v>8512</v>
      </c>
    </row>
    <row r="124">
      <c r="A124" s="12" t="s">
        <v>8513</v>
      </c>
    </row>
    <row r="125">
      <c r="A125" s="12" t="s">
        <v>8514</v>
      </c>
    </row>
    <row r="126">
      <c r="A126" s="12" t="s">
        <v>8515</v>
      </c>
    </row>
    <row r="127">
      <c r="A127" s="12" t="s">
        <v>8516</v>
      </c>
    </row>
    <row r="128">
      <c r="A128" s="12" t="s">
        <v>8517</v>
      </c>
    </row>
    <row r="129">
      <c r="A129" s="12" t="s">
        <v>8518</v>
      </c>
    </row>
    <row r="130">
      <c r="A130" s="12" t="s">
        <v>8519</v>
      </c>
    </row>
    <row r="131">
      <c r="A131" s="12" t="s">
        <v>8520</v>
      </c>
    </row>
    <row r="132">
      <c r="A132" s="12" t="s">
        <v>8521</v>
      </c>
    </row>
    <row r="133">
      <c r="A133" s="12" t="s">
        <v>8522</v>
      </c>
    </row>
    <row r="134">
      <c r="A134" s="12" t="s">
        <v>8523</v>
      </c>
    </row>
    <row r="135">
      <c r="A135" s="12" t="s">
        <v>8524</v>
      </c>
    </row>
    <row r="136">
      <c r="A136" s="12" t="s">
        <v>8525</v>
      </c>
    </row>
    <row r="137">
      <c r="A137" s="12" t="s">
        <v>8526</v>
      </c>
    </row>
    <row r="138">
      <c r="A138" s="12" t="s">
        <v>8527</v>
      </c>
    </row>
    <row r="139">
      <c r="A139" s="12" t="s">
        <v>8528</v>
      </c>
    </row>
    <row r="140">
      <c r="A140" s="12" t="s">
        <v>8529</v>
      </c>
    </row>
    <row r="141">
      <c r="A141" s="12" t="s">
        <v>8530</v>
      </c>
    </row>
    <row r="142">
      <c r="A142" s="12" t="s">
        <v>8531</v>
      </c>
    </row>
    <row r="143">
      <c r="A143" s="12" t="s">
        <v>8532</v>
      </c>
    </row>
    <row r="144">
      <c r="A144" s="12" t="s">
        <v>8533</v>
      </c>
    </row>
    <row r="145">
      <c r="A145" s="12" t="s">
        <v>8534</v>
      </c>
    </row>
    <row r="146">
      <c r="A146" s="12" t="s">
        <v>8535</v>
      </c>
    </row>
    <row r="147">
      <c r="A147" s="12" t="s">
        <v>8536</v>
      </c>
    </row>
    <row r="148">
      <c r="A148" s="12" t="s">
        <v>8537</v>
      </c>
    </row>
    <row r="149">
      <c r="A149" s="12" t="s">
        <v>8538</v>
      </c>
    </row>
    <row r="150">
      <c r="A150" s="12" t="s">
        <v>8539</v>
      </c>
    </row>
    <row r="151">
      <c r="A151" s="12" t="s">
        <v>8540</v>
      </c>
    </row>
    <row r="152">
      <c r="A152" s="12" t="s">
        <v>8541</v>
      </c>
    </row>
    <row r="153">
      <c r="A153" s="12" t="s">
        <v>8542</v>
      </c>
    </row>
    <row r="154">
      <c r="A154" s="12" t="s">
        <v>8543</v>
      </c>
    </row>
    <row r="155">
      <c r="A155" s="12" t="s">
        <v>8544</v>
      </c>
    </row>
    <row r="156">
      <c r="A156" s="12" t="s">
        <v>8545</v>
      </c>
    </row>
    <row r="157">
      <c r="A157" s="12" t="s">
        <v>8546</v>
      </c>
    </row>
    <row r="158">
      <c r="A158" s="12" t="s">
        <v>8547</v>
      </c>
    </row>
    <row r="159">
      <c r="A159" s="12" t="s">
        <v>8548</v>
      </c>
    </row>
    <row r="160">
      <c r="A160" s="12" t="s">
        <v>8549</v>
      </c>
    </row>
    <row r="161">
      <c r="A161" s="12" t="s">
        <v>8550</v>
      </c>
    </row>
    <row r="162">
      <c r="A162" s="12" t="s">
        <v>8551</v>
      </c>
    </row>
    <row r="163">
      <c r="A163" s="12" t="s">
        <v>8552</v>
      </c>
    </row>
    <row r="164">
      <c r="A164" s="12" t="s">
        <v>8553</v>
      </c>
    </row>
    <row r="165">
      <c r="A165" s="12" t="s">
        <v>8554</v>
      </c>
    </row>
    <row r="166">
      <c r="A166" s="12" t="s">
        <v>8555</v>
      </c>
    </row>
    <row r="167">
      <c r="A167" s="12" t="s">
        <v>8556</v>
      </c>
    </row>
    <row r="168">
      <c r="A168" s="12" t="s">
        <v>8557</v>
      </c>
    </row>
    <row r="169">
      <c r="A169" s="12" t="s">
        <v>8558</v>
      </c>
    </row>
    <row r="170">
      <c r="A170" s="12" t="s">
        <v>8559</v>
      </c>
    </row>
    <row r="171">
      <c r="A171" s="12" t="s">
        <v>8560</v>
      </c>
    </row>
    <row r="172">
      <c r="A172" s="12" t="s">
        <v>8561</v>
      </c>
    </row>
    <row r="173">
      <c r="A173" s="12" t="s">
        <v>8562</v>
      </c>
    </row>
    <row r="174">
      <c r="A174" s="12" t="s">
        <v>8563</v>
      </c>
    </row>
    <row r="175">
      <c r="A175" s="12" t="s">
        <v>8564</v>
      </c>
    </row>
    <row r="176">
      <c r="A176" s="12" t="s">
        <v>8565</v>
      </c>
    </row>
    <row r="177">
      <c r="A177" s="12" t="s">
        <v>8566</v>
      </c>
    </row>
    <row r="178">
      <c r="A178" s="12" t="s">
        <v>8567</v>
      </c>
    </row>
    <row r="179">
      <c r="A179" s="12" t="s">
        <v>8568</v>
      </c>
    </row>
    <row r="180">
      <c r="A180" s="12" t="s">
        <v>8569</v>
      </c>
    </row>
    <row r="181">
      <c r="A181" s="12" t="s">
        <v>8570</v>
      </c>
    </row>
    <row r="182">
      <c r="A182" s="12" t="s">
        <v>8571</v>
      </c>
    </row>
    <row r="183">
      <c r="A183" s="12" t="s">
        <v>8572</v>
      </c>
    </row>
    <row r="184">
      <c r="A184" s="12" t="s">
        <v>8573</v>
      </c>
    </row>
    <row r="185">
      <c r="A185" s="12" t="s">
        <v>8574</v>
      </c>
    </row>
    <row r="186">
      <c r="A186" s="12" t="s">
        <v>8575</v>
      </c>
    </row>
    <row r="187">
      <c r="A187" s="12" t="s">
        <v>8576</v>
      </c>
    </row>
    <row r="188">
      <c r="A188" s="12" t="s">
        <v>8577</v>
      </c>
    </row>
    <row r="189">
      <c r="A189" s="12" t="s">
        <v>8578</v>
      </c>
    </row>
    <row r="190">
      <c r="A190" s="12" t="s">
        <v>8579</v>
      </c>
    </row>
    <row r="191">
      <c r="A191" s="12" t="s">
        <v>8580</v>
      </c>
    </row>
    <row r="192">
      <c r="A192" s="12" t="s">
        <v>8581</v>
      </c>
    </row>
    <row r="193">
      <c r="A193" s="12" t="s">
        <v>8582</v>
      </c>
    </row>
    <row r="194">
      <c r="A194" s="12" t="s">
        <v>8583</v>
      </c>
    </row>
    <row r="195">
      <c r="A195" s="12" t="s">
        <v>8584</v>
      </c>
    </row>
    <row r="196">
      <c r="A196" s="12" t="s">
        <v>8585</v>
      </c>
    </row>
    <row r="197">
      <c r="A197" s="12" t="s">
        <v>8586</v>
      </c>
    </row>
    <row r="198">
      <c r="A198" s="12" t="s">
        <v>8587</v>
      </c>
    </row>
    <row r="199">
      <c r="A199" s="12" t="s">
        <v>8588</v>
      </c>
    </row>
    <row r="200">
      <c r="A200" s="12" t="s">
        <v>8589</v>
      </c>
    </row>
    <row r="201">
      <c r="A201" s="12" t="s">
        <v>8590</v>
      </c>
    </row>
    <row r="202">
      <c r="A202" s="12" t="s">
        <v>8591</v>
      </c>
    </row>
    <row r="203">
      <c r="A203" s="12" t="s">
        <v>8592</v>
      </c>
    </row>
    <row r="204">
      <c r="A204" s="12" t="s">
        <v>8593</v>
      </c>
    </row>
    <row r="205">
      <c r="A205" s="12" t="s">
        <v>8594</v>
      </c>
    </row>
    <row r="206">
      <c r="A206" s="12" t="s">
        <v>8595</v>
      </c>
    </row>
    <row r="207">
      <c r="A207" s="12" t="s">
        <v>8596</v>
      </c>
    </row>
    <row r="208">
      <c r="A208" s="12" t="s">
        <v>8597</v>
      </c>
    </row>
    <row r="209">
      <c r="A209" s="12" t="s">
        <v>8598</v>
      </c>
    </row>
    <row r="210">
      <c r="A210" s="12" t="s">
        <v>8599</v>
      </c>
    </row>
    <row r="211">
      <c r="A211" s="12" t="s">
        <v>8600</v>
      </c>
    </row>
    <row r="212">
      <c r="A212" s="12" t="s">
        <v>8601</v>
      </c>
    </row>
    <row r="213">
      <c r="A213" s="12" t="s">
        <v>8602</v>
      </c>
    </row>
    <row r="214">
      <c r="A214" s="12" t="s">
        <v>8603</v>
      </c>
    </row>
    <row r="215">
      <c r="A215" s="12" t="s">
        <v>8604</v>
      </c>
    </row>
    <row r="216">
      <c r="A216" s="12" t="s">
        <v>8605</v>
      </c>
    </row>
    <row r="217">
      <c r="A217" s="12" t="s">
        <v>8606</v>
      </c>
    </row>
    <row r="218">
      <c r="A218" s="12" t="s">
        <v>8607</v>
      </c>
    </row>
    <row r="219">
      <c r="A219" s="12" t="s">
        <v>8608</v>
      </c>
    </row>
    <row r="220">
      <c r="A220" s="12" t="s">
        <v>8609</v>
      </c>
    </row>
    <row r="221">
      <c r="A221" s="12" t="s">
        <v>8610</v>
      </c>
    </row>
    <row r="222">
      <c r="A222" s="12" t="s">
        <v>8611</v>
      </c>
    </row>
    <row r="223">
      <c r="A223" s="12" t="s">
        <v>8612</v>
      </c>
    </row>
    <row r="224">
      <c r="A224" s="12" t="s">
        <v>8613</v>
      </c>
    </row>
    <row r="225">
      <c r="A225" s="12" t="s">
        <v>8614</v>
      </c>
    </row>
    <row r="226">
      <c r="A226" s="12" t="s">
        <v>8615</v>
      </c>
    </row>
    <row r="227">
      <c r="A227" s="12" t="s">
        <v>8616</v>
      </c>
    </row>
    <row r="228">
      <c r="A228" s="12" t="s">
        <v>8617</v>
      </c>
    </row>
    <row r="229">
      <c r="A229" s="12" t="s">
        <v>8618</v>
      </c>
    </row>
    <row r="230">
      <c r="A230" s="12" t="s">
        <v>8619</v>
      </c>
    </row>
    <row r="231">
      <c r="A231" s="12" t="s">
        <v>8620</v>
      </c>
    </row>
    <row r="232">
      <c r="A232" s="12" t="s">
        <v>8621</v>
      </c>
    </row>
    <row r="233">
      <c r="A233" s="12" t="s">
        <v>8622</v>
      </c>
    </row>
    <row r="234">
      <c r="A234" s="12" t="s">
        <v>8623</v>
      </c>
    </row>
    <row r="235">
      <c r="A235" s="12" t="s">
        <v>8624</v>
      </c>
    </row>
    <row r="236">
      <c r="A236" s="12" t="s">
        <v>8625</v>
      </c>
    </row>
    <row r="237">
      <c r="A237" s="12" t="s">
        <v>8626</v>
      </c>
    </row>
    <row r="238">
      <c r="A238" s="12" t="s">
        <v>8627</v>
      </c>
    </row>
    <row r="239">
      <c r="A239" s="12" t="s">
        <v>8628</v>
      </c>
    </row>
    <row r="240">
      <c r="A240" s="12" t="s">
        <v>8629</v>
      </c>
    </row>
    <row r="241">
      <c r="A241" s="12" t="s">
        <v>8630</v>
      </c>
    </row>
    <row r="242">
      <c r="A242" s="12" t="s">
        <v>8631</v>
      </c>
    </row>
    <row r="243">
      <c r="A243" s="12" t="s">
        <v>8632</v>
      </c>
    </row>
    <row r="244">
      <c r="A244" s="12" t="s">
        <v>8633</v>
      </c>
    </row>
    <row r="245">
      <c r="A245" s="12" t="s">
        <v>8634</v>
      </c>
    </row>
    <row r="246">
      <c r="A246" s="12" t="s">
        <v>8635</v>
      </c>
    </row>
    <row r="247">
      <c r="A247" s="12" t="s">
        <v>8636</v>
      </c>
    </row>
    <row r="248">
      <c r="A248" s="12" t="s">
        <v>8637</v>
      </c>
    </row>
    <row r="249">
      <c r="A249" s="12" t="s">
        <v>8638</v>
      </c>
    </row>
    <row r="250">
      <c r="A250" s="12" t="s">
        <v>8639</v>
      </c>
    </row>
    <row r="251">
      <c r="A251" s="12" t="s">
        <v>8640</v>
      </c>
    </row>
    <row r="252">
      <c r="A252" s="12" t="s">
        <v>8641</v>
      </c>
    </row>
    <row r="253">
      <c r="A253" s="12" t="s">
        <v>8642</v>
      </c>
    </row>
    <row r="254">
      <c r="A254" s="12" t="s">
        <v>8643</v>
      </c>
    </row>
    <row r="255">
      <c r="A255" s="12" t="s">
        <v>8644</v>
      </c>
    </row>
    <row r="256">
      <c r="A256" s="12" t="s">
        <v>8645</v>
      </c>
    </row>
    <row r="257">
      <c r="A257" s="12" t="s">
        <v>8646</v>
      </c>
    </row>
    <row r="258">
      <c r="A258" s="12" t="s">
        <v>8647</v>
      </c>
    </row>
    <row r="259">
      <c r="A259" s="12" t="s">
        <v>8648</v>
      </c>
    </row>
    <row r="260">
      <c r="A260" s="12" t="s">
        <v>8649</v>
      </c>
    </row>
    <row r="261">
      <c r="A261" s="12" t="s">
        <v>8650</v>
      </c>
    </row>
    <row r="262">
      <c r="A262" s="12" t="s">
        <v>8651</v>
      </c>
    </row>
    <row r="263">
      <c r="A263" s="12" t="s">
        <v>8652</v>
      </c>
    </row>
    <row r="264">
      <c r="A264" s="12" t="s">
        <v>8653</v>
      </c>
    </row>
    <row r="265">
      <c r="A265" s="12" t="s">
        <v>8654</v>
      </c>
    </row>
    <row r="266">
      <c r="A266" s="12" t="s">
        <v>8655</v>
      </c>
    </row>
    <row r="267">
      <c r="A267" s="12" t="s">
        <v>8656</v>
      </c>
    </row>
    <row r="268">
      <c r="A268" s="12" t="s">
        <v>8657</v>
      </c>
    </row>
    <row r="269">
      <c r="A269" s="12" t="s">
        <v>8658</v>
      </c>
    </row>
    <row r="270">
      <c r="A270" s="12" t="s">
        <v>8659</v>
      </c>
    </row>
    <row r="271">
      <c r="A271" s="12" t="s">
        <v>8660</v>
      </c>
    </row>
    <row r="272">
      <c r="A272" s="12" t="s">
        <v>8661</v>
      </c>
    </row>
    <row r="273">
      <c r="A273" s="12" t="s">
        <v>8662</v>
      </c>
    </row>
    <row r="274">
      <c r="A274" s="12" t="s">
        <v>8663</v>
      </c>
    </row>
    <row r="275">
      <c r="A275" s="12" t="s">
        <v>8664</v>
      </c>
    </row>
    <row r="276">
      <c r="A276" s="12" t="s">
        <v>8665</v>
      </c>
    </row>
    <row r="277">
      <c r="A277" s="12" t="s">
        <v>8666</v>
      </c>
    </row>
    <row r="278">
      <c r="A278" s="12" t="s">
        <v>8667</v>
      </c>
    </row>
    <row r="279">
      <c r="A279" s="12" t="s">
        <v>8668</v>
      </c>
    </row>
    <row r="280">
      <c r="A280" s="12" t="s">
        <v>8669</v>
      </c>
    </row>
    <row r="281">
      <c r="A281" s="12" t="s">
        <v>8670</v>
      </c>
    </row>
    <row r="282">
      <c r="A282" s="12" t="s">
        <v>8671</v>
      </c>
    </row>
    <row r="283">
      <c r="A283" s="12" t="s">
        <v>8672</v>
      </c>
    </row>
    <row r="284">
      <c r="A284" s="12" t="s">
        <v>8673</v>
      </c>
    </row>
    <row r="285">
      <c r="A285" s="12" t="s">
        <v>8674</v>
      </c>
    </row>
    <row r="286">
      <c r="A286" s="12" t="s">
        <v>8675</v>
      </c>
    </row>
    <row r="287">
      <c r="A287" s="12" t="s">
        <v>8676</v>
      </c>
    </row>
    <row r="288">
      <c r="A288" s="12" t="s">
        <v>8677</v>
      </c>
    </row>
    <row r="289">
      <c r="A289" s="12" t="s">
        <v>8678</v>
      </c>
    </row>
    <row r="290">
      <c r="A290" s="12" t="s">
        <v>8679</v>
      </c>
    </row>
    <row r="291">
      <c r="A291" s="12" t="s">
        <v>8680</v>
      </c>
    </row>
    <row r="292">
      <c r="A292" s="12" t="s">
        <v>8681</v>
      </c>
    </row>
    <row r="293">
      <c r="A293" s="12" t="s">
        <v>8682</v>
      </c>
    </row>
    <row r="294">
      <c r="A294" s="12" t="s">
        <v>8683</v>
      </c>
    </row>
    <row r="295">
      <c r="A295" s="12" t="s">
        <v>8684</v>
      </c>
    </row>
    <row r="296">
      <c r="A296" s="12" t="s">
        <v>8685</v>
      </c>
    </row>
    <row r="297">
      <c r="A297" s="12" t="s">
        <v>8686</v>
      </c>
    </row>
    <row r="298">
      <c r="A298" s="12" t="s">
        <v>8687</v>
      </c>
    </row>
    <row r="299">
      <c r="A299" s="12" t="s">
        <v>8688</v>
      </c>
    </row>
    <row r="300">
      <c r="A300" s="12" t="s">
        <v>8689</v>
      </c>
    </row>
    <row r="301">
      <c r="A301" s="12" t="s">
        <v>8690</v>
      </c>
    </row>
    <row r="302">
      <c r="A302" s="12" t="s">
        <v>8691</v>
      </c>
    </row>
    <row r="303">
      <c r="A303" s="12" t="s">
        <v>8692</v>
      </c>
    </row>
    <row r="304">
      <c r="A304" s="12" t="s">
        <v>8693</v>
      </c>
    </row>
    <row r="305">
      <c r="A305" s="12" t="s">
        <v>8694</v>
      </c>
    </row>
    <row r="306">
      <c r="A306" s="12" t="s">
        <v>8695</v>
      </c>
    </row>
    <row r="307">
      <c r="A307" s="12" t="s">
        <v>8696</v>
      </c>
    </row>
    <row r="308">
      <c r="A308" s="12" t="s">
        <v>8697</v>
      </c>
    </row>
    <row r="309">
      <c r="A309" s="12" t="s">
        <v>8698</v>
      </c>
    </row>
    <row r="310">
      <c r="A310" s="12" t="s">
        <v>8699</v>
      </c>
    </row>
    <row r="311">
      <c r="A311" s="12" t="s">
        <v>8700</v>
      </c>
    </row>
    <row r="312">
      <c r="A312" s="12" t="s">
        <v>8701</v>
      </c>
    </row>
    <row r="313">
      <c r="A313" s="12" t="s">
        <v>8702</v>
      </c>
    </row>
    <row r="314">
      <c r="A314" s="12" t="s">
        <v>8703</v>
      </c>
    </row>
    <row r="315">
      <c r="A315" s="12" t="s">
        <v>8704</v>
      </c>
    </row>
    <row r="316">
      <c r="A316" s="12" t="s">
        <v>8705</v>
      </c>
    </row>
    <row r="317">
      <c r="A317" s="12" t="s">
        <v>8706</v>
      </c>
    </row>
    <row r="318">
      <c r="A318" s="12" t="s">
        <v>8707</v>
      </c>
    </row>
    <row r="319">
      <c r="A319" s="12" t="s">
        <v>8708</v>
      </c>
    </row>
    <row r="320">
      <c r="A320" s="12" t="s">
        <v>8709</v>
      </c>
    </row>
    <row r="321">
      <c r="A321" s="12" t="s">
        <v>8710</v>
      </c>
    </row>
    <row r="322">
      <c r="A322" s="12" t="s">
        <v>8711</v>
      </c>
    </row>
    <row r="323">
      <c r="A323" s="12" t="s">
        <v>8712</v>
      </c>
    </row>
    <row r="324">
      <c r="A324" s="12" t="s">
        <v>8713</v>
      </c>
    </row>
    <row r="325">
      <c r="A325" s="12" t="s">
        <v>8714</v>
      </c>
    </row>
    <row r="326">
      <c r="A326" s="12" t="s">
        <v>8715</v>
      </c>
    </row>
    <row r="327">
      <c r="A327" s="12" t="s">
        <v>8716</v>
      </c>
    </row>
    <row r="328">
      <c r="A328" s="12" t="s">
        <v>8717</v>
      </c>
    </row>
    <row r="329">
      <c r="A329" s="12" t="s">
        <v>8718</v>
      </c>
    </row>
    <row r="330">
      <c r="A330" s="12" t="s">
        <v>8719</v>
      </c>
    </row>
    <row r="331">
      <c r="A331" s="12" t="s">
        <v>8720</v>
      </c>
    </row>
    <row r="332">
      <c r="A332" s="12" t="s">
        <v>8721</v>
      </c>
    </row>
    <row r="333">
      <c r="A333" s="12" t="s">
        <v>8722</v>
      </c>
    </row>
    <row r="334">
      <c r="A334" s="12" t="s">
        <v>8723</v>
      </c>
    </row>
    <row r="335">
      <c r="A335" s="12" t="s">
        <v>8724</v>
      </c>
    </row>
    <row r="336">
      <c r="A336" s="12" t="s">
        <v>8725</v>
      </c>
    </row>
    <row r="337">
      <c r="A337" s="12" t="s">
        <v>8726</v>
      </c>
    </row>
    <row r="338">
      <c r="A338" s="12" t="s">
        <v>8727</v>
      </c>
    </row>
    <row r="339">
      <c r="A339" s="12" t="s">
        <v>8728</v>
      </c>
    </row>
    <row r="340">
      <c r="A340" s="12" t="s">
        <v>8729</v>
      </c>
    </row>
    <row r="341">
      <c r="A341" s="12" t="s">
        <v>8730</v>
      </c>
    </row>
    <row r="342">
      <c r="A342" s="12" t="s">
        <v>8731</v>
      </c>
    </row>
    <row r="343">
      <c r="A343" s="12" t="s">
        <v>8732</v>
      </c>
    </row>
    <row r="344">
      <c r="A344" s="12" t="s">
        <v>8733</v>
      </c>
    </row>
    <row r="345">
      <c r="A345" s="12" t="s">
        <v>8734</v>
      </c>
    </row>
    <row r="346">
      <c r="A346" s="12" t="s">
        <v>8735</v>
      </c>
    </row>
    <row r="347">
      <c r="A347" s="12" t="s">
        <v>8736</v>
      </c>
    </row>
    <row r="348">
      <c r="A348" s="12" t="s">
        <v>8737</v>
      </c>
    </row>
    <row r="349">
      <c r="A349" s="12" t="s">
        <v>8738</v>
      </c>
    </row>
    <row r="350">
      <c r="A350" s="12" t="s">
        <v>8739</v>
      </c>
    </row>
    <row r="351">
      <c r="A351" s="12" t="s">
        <v>8740</v>
      </c>
    </row>
    <row r="352">
      <c r="A352" s="12" t="s">
        <v>8741</v>
      </c>
    </row>
    <row r="353">
      <c r="A353" s="12" t="s">
        <v>8742</v>
      </c>
    </row>
    <row r="354">
      <c r="A354" s="12" t="s">
        <v>8743</v>
      </c>
    </row>
    <row r="355">
      <c r="A355" s="12" t="s">
        <v>8744</v>
      </c>
    </row>
    <row r="356">
      <c r="A356" s="12" t="s">
        <v>8745</v>
      </c>
    </row>
    <row r="357">
      <c r="A357" s="12" t="s">
        <v>8746</v>
      </c>
    </row>
    <row r="358">
      <c r="A358" s="12" t="s">
        <v>8747</v>
      </c>
    </row>
    <row r="359">
      <c r="A359" s="12" t="s">
        <v>8748</v>
      </c>
    </row>
    <row r="360">
      <c r="A360" s="12" t="s">
        <v>8749</v>
      </c>
    </row>
    <row r="361">
      <c r="A361" s="12" t="s">
        <v>8750</v>
      </c>
    </row>
    <row r="362">
      <c r="A362" s="12" t="s">
        <v>8751</v>
      </c>
    </row>
    <row r="363">
      <c r="A363" s="12" t="s">
        <v>8752</v>
      </c>
    </row>
    <row r="364">
      <c r="A364" s="12" t="s">
        <v>8753</v>
      </c>
    </row>
    <row r="365">
      <c r="A365" s="12" t="s">
        <v>8754</v>
      </c>
    </row>
    <row r="366">
      <c r="A366" s="12" t="s">
        <v>8755</v>
      </c>
    </row>
    <row r="367">
      <c r="A367" s="12" t="s">
        <v>8756</v>
      </c>
    </row>
    <row r="368">
      <c r="A368" s="12" t="s">
        <v>8757</v>
      </c>
    </row>
    <row r="369">
      <c r="A369" s="12" t="s">
        <v>8758</v>
      </c>
    </row>
    <row r="370">
      <c r="A370" s="12" t="s">
        <v>8759</v>
      </c>
    </row>
    <row r="371">
      <c r="A371" s="12" t="s">
        <v>8760</v>
      </c>
    </row>
    <row r="372">
      <c r="A372" s="12" t="s">
        <v>8761</v>
      </c>
    </row>
    <row r="373">
      <c r="A373" s="12" t="s">
        <v>8762</v>
      </c>
    </row>
    <row r="374">
      <c r="A374" s="12" t="s">
        <v>8763</v>
      </c>
    </row>
    <row r="375">
      <c r="A375" s="12" t="s">
        <v>8764</v>
      </c>
    </row>
    <row r="376">
      <c r="A376" s="12" t="s">
        <v>8765</v>
      </c>
    </row>
    <row r="377">
      <c r="A377" s="12" t="s">
        <v>8766</v>
      </c>
    </row>
    <row r="378">
      <c r="A378" s="12" t="s">
        <v>8767</v>
      </c>
    </row>
    <row r="379">
      <c r="A379" s="12" t="s">
        <v>8768</v>
      </c>
    </row>
    <row r="380">
      <c r="A380" s="12" t="s">
        <v>8769</v>
      </c>
    </row>
    <row r="381">
      <c r="A381" s="12" t="s">
        <v>8770</v>
      </c>
    </row>
    <row r="382">
      <c r="A382" s="12" t="s">
        <v>8771</v>
      </c>
    </row>
    <row r="383">
      <c r="A383" s="12" t="s">
        <v>8772</v>
      </c>
    </row>
    <row r="384">
      <c r="A384" s="12" t="s">
        <v>8773</v>
      </c>
    </row>
    <row r="385">
      <c r="A385" s="12" t="s">
        <v>8774</v>
      </c>
    </row>
    <row r="386">
      <c r="A386" s="12" t="s">
        <v>8775</v>
      </c>
    </row>
    <row r="387">
      <c r="A387" s="12" t="s">
        <v>8776</v>
      </c>
    </row>
    <row r="388">
      <c r="A388" s="12" t="s">
        <v>8777</v>
      </c>
    </row>
    <row r="389">
      <c r="A389" s="12" t="s">
        <v>8778</v>
      </c>
    </row>
    <row r="390">
      <c r="A390" s="12" t="s">
        <v>8779</v>
      </c>
    </row>
    <row r="391">
      <c r="A391" s="12" t="s">
        <v>8780</v>
      </c>
    </row>
    <row r="392">
      <c r="A392" s="12" t="s">
        <v>8781</v>
      </c>
    </row>
    <row r="393">
      <c r="A393" s="12" t="s">
        <v>8782</v>
      </c>
    </row>
    <row r="394">
      <c r="A394" s="12" t="s">
        <v>8783</v>
      </c>
    </row>
    <row r="395">
      <c r="A395" s="12" t="s">
        <v>8784</v>
      </c>
    </row>
    <row r="396">
      <c r="A396" s="12" t="s">
        <v>8785</v>
      </c>
    </row>
    <row r="397">
      <c r="A397" s="12" t="s">
        <v>8786</v>
      </c>
    </row>
    <row r="398">
      <c r="A398" s="12" t="s">
        <v>8787</v>
      </c>
    </row>
    <row r="399">
      <c r="A399" s="12" t="s">
        <v>8788</v>
      </c>
    </row>
    <row r="400">
      <c r="A400" s="12" t="s">
        <v>8789</v>
      </c>
    </row>
    <row r="401">
      <c r="A401" s="12" t="s">
        <v>8790</v>
      </c>
    </row>
    <row r="402">
      <c r="A402" s="12" t="s">
        <v>8791</v>
      </c>
    </row>
    <row r="403">
      <c r="A403" s="12" t="s">
        <v>8792</v>
      </c>
    </row>
    <row r="404">
      <c r="A404" s="12" t="s">
        <v>8793</v>
      </c>
    </row>
    <row r="405">
      <c r="A405" s="12" t="s">
        <v>8794</v>
      </c>
    </row>
    <row r="406">
      <c r="A406" s="12" t="s">
        <v>8795</v>
      </c>
    </row>
    <row r="407">
      <c r="A407" s="12" t="s">
        <v>8796</v>
      </c>
    </row>
    <row r="408">
      <c r="A408" s="12" t="s">
        <v>8797</v>
      </c>
    </row>
    <row r="409">
      <c r="A409" s="12" t="s">
        <v>8798</v>
      </c>
    </row>
    <row r="410">
      <c r="A410" s="12" t="s">
        <v>8799</v>
      </c>
    </row>
    <row r="411">
      <c r="A411" s="12" t="s">
        <v>8800</v>
      </c>
    </row>
    <row r="412">
      <c r="A412" s="12" t="s">
        <v>8801</v>
      </c>
    </row>
    <row r="413">
      <c r="A413" s="12" t="s">
        <v>8802</v>
      </c>
    </row>
    <row r="414">
      <c r="A414" s="12" t="s">
        <v>8803</v>
      </c>
    </row>
    <row r="415">
      <c r="A415" s="12" t="s">
        <v>8804</v>
      </c>
    </row>
    <row r="416">
      <c r="A416" s="12" t="s">
        <v>8805</v>
      </c>
    </row>
    <row r="417">
      <c r="A417" s="12" t="s">
        <v>8806</v>
      </c>
    </row>
    <row r="418">
      <c r="A418" s="12" t="s">
        <v>8807</v>
      </c>
    </row>
    <row r="419">
      <c r="A419" s="12" t="s">
        <v>8808</v>
      </c>
    </row>
    <row r="420">
      <c r="A420" s="12" t="s">
        <v>8809</v>
      </c>
    </row>
    <row r="421">
      <c r="A421" s="12" t="s">
        <v>8810</v>
      </c>
    </row>
    <row r="422">
      <c r="A422" s="12" t="s">
        <v>8811</v>
      </c>
    </row>
    <row r="423">
      <c r="A423" s="12" t="s">
        <v>8812</v>
      </c>
    </row>
    <row r="424">
      <c r="A424" s="12" t="s">
        <v>8813</v>
      </c>
    </row>
    <row r="425">
      <c r="A425" s="12" t="s">
        <v>8814</v>
      </c>
    </row>
    <row r="426">
      <c r="A426" s="12" t="s">
        <v>8815</v>
      </c>
    </row>
    <row r="427">
      <c r="A427" s="12" t="s">
        <v>8816</v>
      </c>
    </row>
    <row r="428">
      <c r="A428" s="12" t="s">
        <v>8817</v>
      </c>
    </row>
    <row r="429">
      <c r="A429" s="12" t="s">
        <v>8818</v>
      </c>
    </row>
    <row r="430">
      <c r="A430" s="12" t="s">
        <v>8819</v>
      </c>
    </row>
    <row r="431">
      <c r="A431" s="12" t="s">
        <v>8820</v>
      </c>
    </row>
    <row r="432">
      <c r="A432" s="12" t="s">
        <v>8821</v>
      </c>
    </row>
    <row r="433">
      <c r="A433" s="12" t="s">
        <v>8822</v>
      </c>
    </row>
    <row r="434">
      <c r="A434" s="12" t="s">
        <v>8823</v>
      </c>
    </row>
    <row r="435">
      <c r="A435" s="12" t="s">
        <v>8824</v>
      </c>
    </row>
    <row r="436">
      <c r="A436" s="12" t="s">
        <v>8825</v>
      </c>
    </row>
    <row r="437">
      <c r="A437" s="12" t="s">
        <v>8826</v>
      </c>
    </row>
    <row r="438">
      <c r="A438" s="12" t="s">
        <v>8827</v>
      </c>
    </row>
    <row r="439">
      <c r="A439" s="12" t="s">
        <v>8828</v>
      </c>
    </row>
    <row r="440">
      <c r="A440" s="12" t="s">
        <v>8829</v>
      </c>
    </row>
    <row r="441">
      <c r="A441" s="12" t="s">
        <v>8830</v>
      </c>
    </row>
    <row r="442">
      <c r="A442" s="12" t="s">
        <v>8831</v>
      </c>
    </row>
    <row r="443">
      <c r="A443" s="12" t="s">
        <v>8832</v>
      </c>
    </row>
    <row r="444">
      <c r="A444" s="12" t="s">
        <v>8833</v>
      </c>
    </row>
    <row r="445">
      <c r="A445" s="12" t="s">
        <v>8834</v>
      </c>
    </row>
    <row r="446">
      <c r="A446" s="12" t="s">
        <v>8835</v>
      </c>
    </row>
    <row r="447">
      <c r="A447" s="12" t="s">
        <v>8836</v>
      </c>
    </row>
    <row r="448">
      <c r="A448" s="12" t="s">
        <v>8837</v>
      </c>
    </row>
    <row r="449">
      <c r="A449" s="12" t="s">
        <v>8838</v>
      </c>
    </row>
    <row r="450">
      <c r="A450" s="12" t="s">
        <v>8839</v>
      </c>
    </row>
    <row r="451">
      <c r="A451" s="12" t="s">
        <v>8840</v>
      </c>
    </row>
    <row r="452">
      <c r="A452" s="12" t="s">
        <v>8841</v>
      </c>
    </row>
    <row r="453">
      <c r="A453" s="12" t="s">
        <v>8842</v>
      </c>
    </row>
    <row r="454">
      <c r="A454" s="12" t="s">
        <v>8843</v>
      </c>
    </row>
    <row r="455">
      <c r="A455" s="12" t="s">
        <v>8844</v>
      </c>
    </row>
    <row r="456">
      <c r="A456" s="12" t="s">
        <v>8845</v>
      </c>
    </row>
    <row r="457">
      <c r="A457" s="12" t="s">
        <v>8846</v>
      </c>
    </row>
    <row r="458">
      <c r="A458" s="12" t="s">
        <v>8847</v>
      </c>
    </row>
    <row r="459">
      <c r="A459" s="12" t="s">
        <v>8848</v>
      </c>
    </row>
    <row r="460">
      <c r="A460" s="12" t="s">
        <v>8849</v>
      </c>
    </row>
    <row r="461">
      <c r="A461" s="12" t="s">
        <v>8850</v>
      </c>
    </row>
    <row r="462">
      <c r="A462" s="12" t="s">
        <v>8851</v>
      </c>
    </row>
    <row r="463">
      <c r="A463" s="12" t="s">
        <v>8852</v>
      </c>
    </row>
    <row r="464">
      <c r="A464" s="12" t="s">
        <v>8853</v>
      </c>
    </row>
    <row r="465">
      <c r="A465" s="12" t="s">
        <v>8854</v>
      </c>
    </row>
    <row r="466">
      <c r="A466" s="12" t="s">
        <v>8855</v>
      </c>
    </row>
    <row r="467">
      <c r="A467" s="12" t="s">
        <v>8856</v>
      </c>
    </row>
    <row r="468">
      <c r="A468" s="12" t="s">
        <v>8857</v>
      </c>
    </row>
    <row r="469">
      <c r="A469" s="12" t="s">
        <v>8858</v>
      </c>
    </row>
    <row r="470">
      <c r="A470" s="12" t="s">
        <v>8859</v>
      </c>
    </row>
    <row r="471">
      <c r="A471" s="12" t="s">
        <v>8860</v>
      </c>
    </row>
    <row r="472">
      <c r="A472" s="12" t="s">
        <v>8861</v>
      </c>
    </row>
    <row r="473">
      <c r="A473" s="12" t="s">
        <v>8862</v>
      </c>
    </row>
    <row r="474">
      <c r="A474" s="12" t="s">
        <v>8863</v>
      </c>
    </row>
    <row r="475">
      <c r="A475" s="12" t="s">
        <v>8864</v>
      </c>
    </row>
    <row r="476">
      <c r="A476" s="12" t="s">
        <v>8865</v>
      </c>
    </row>
    <row r="477">
      <c r="A477" s="12" t="s">
        <v>8866</v>
      </c>
    </row>
    <row r="478">
      <c r="A478" s="12" t="s">
        <v>8867</v>
      </c>
    </row>
    <row r="479">
      <c r="A479" s="12" t="s">
        <v>8868</v>
      </c>
    </row>
    <row r="480">
      <c r="A480" s="12" t="s">
        <v>8869</v>
      </c>
    </row>
    <row r="481">
      <c r="A481" s="12" t="s">
        <v>8870</v>
      </c>
    </row>
    <row r="482">
      <c r="A482" s="12" t="s">
        <v>8871</v>
      </c>
    </row>
    <row r="483">
      <c r="A483" s="12" t="s">
        <v>8872</v>
      </c>
    </row>
    <row r="484">
      <c r="A484" s="12" t="s">
        <v>8873</v>
      </c>
    </row>
    <row r="485">
      <c r="A485" s="12" t="s">
        <v>8874</v>
      </c>
    </row>
    <row r="486">
      <c r="A486" s="12" t="s">
        <v>8875</v>
      </c>
    </row>
    <row r="487">
      <c r="A487" s="12" t="s">
        <v>8876</v>
      </c>
    </row>
    <row r="488">
      <c r="A488" s="12" t="s">
        <v>8877</v>
      </c>
    </row>
    <row r="489">
      <c r="A489" s="12" t="s">
        <v>8878</v>
      </c>
    </row>
    <row r="490">
      <c r="A490" s="12" t="s">
        <v>8879</v>
      </c>
    </row>
    <row r="491">
      <c r="A491" s="12" t="s">
        <v>8880</v>
      </c>
    </row>
    <row r="492">
      <c r="A492" s="12" t="s">
        <v>8881</v>
      </c>
    </row>
    <row r="493">
      <c r="A493" s="12" t="s">
        <v>8882</v>
      </c>
    </row>
    <row r="494">
      <c r="A494" s="12" t="s">
        <v>8883</v>
      </c>
    </row>
    <row r="495">
      <c r="A495" s="12" t="s">
        <v>8884</v>
      </c>
    </row>
    <row r="496">
      <c r="A496" s="12" t="s">
        <v>8885</v>
      </c>
    </row>
    <row r="497">
      <c r="A497" s="12" t="s">
        <v>8886</v>
      </c>
    </row>
    <row r="498">
      <c r="A498" s="12" t="s">
        <v>8887</v>
      </c>
    </row>
    <row r="499">
      <c r="A499" s="12" t="s">
        <v>8888</v>
      </c>
    </row>
    <row r="500">
      <c r="A500" s="12" t="s">
        <v>8889</v>
      </c>
    </row>
    <row r="501">
      <c r="A501" s="12" t="s">
        <v>8890</v>
      </c>
    </row>
    <row r="502">
      <c r="A502" s="12" t="s">
        <v>8891</v>
      </c>
    </row>
    <row r="503">
      <c r="A503" s="12" t="s">
        <v>8892</v>
      </c>
    </row>
    <row r="504">
      <c r="A504" s="12" t="s">
        <v>8893</v>
      </c>
    </row>
    <row r="505">
      <c r="A505" s="12" t="s">
        <v>8894</v>
      </c>
    </row>
    <row r="506">
      <c r="A506" s="12" t="s">
        <v>8895</v>
      </c>
    </row>
    <row r="507">
      <c r="A507" s="12" t="s">
        <v>8896</v>
      </c>
    </row>
    <row r="508">
      <c r="A508" s="12" t="s">
        <v>8897</v>
      </c>
    </row>
    <row r="509">
      <c r="A509" s="12" t="s">
        <v>8898</v>
      </c>
    </row>
    <row r="510">
      <c r="A510" s="12" t="s">
        <v>8899</v>
      </c>
    </row>
    <row r="511">
      <c r="A511" s="12" t="s">
        <v>8900</v>
      </c>
    </row>
    <row r="512">
      <c r="A512" s="12" t="s">
        <v>8901</v>
      </c>
    </row>
    <row r="513">
      <c r="A513" s="12" t="s">
        <v>8902</v>
      </c>
    </row>
    <row r="514">
      <c r="A514" s="12" t="s">
        <v>8903</v>
      </c>
    </row>
    <row r="515">
      <c r="A515" s="12" t="s">
        <v>8904</v>
      </c>
    </row>
    <row r="516">
      <c r="A516" s="12" t="s">
        <v>8905</v>
      </c>
    </row>
    <row r="517">
      <c r="A517" s="12" t="s">
        <v>8906</v>
      </c>
    </row>
    <row r="518">
      <c r="A518" s="12" t="s">
        <v>8907</v>
      </c>
    </row>
    <row r="519">
      <c r="A519" s="12" t="s">
        <v>8908</v>
      </c>
    </row>
    <row r="520">
      <c r="A520" s="12" t="s">
        <v>8909</v>
      </c>
    </row>
    <row r="521">
      <c r="A521" s="12" t="s">
        <v>8910</v>
      </c>
    </row>
    <row r="522">
      <c r="A522" s="12" t="s">
        <v>8911</v>
      </c>
    </row>
    <row r="523">
      <c r="A523" s="12" t="s">
        <v>8912</v>
      </c>
    </row>
    <row r="524">
      <c r="A524" s="12" t="s">
        <v>8913</v>
      </c>
    </row>
    <row r="525">
      <c r="A525" s="12" t="s">
        <v>8914</v>
      </c>
    </row>
    <row r="526">
      <c r="A526" s="12" t="s">
        <v>8915</v>
      </c>
    </row>
    <row r="527">
      <c r="A527" s="12" t="s">
        <v>8916</v>
      </c>
    </row>
    <row r="528">
      <c r="A528" s="12" t="s">
        <v>8917</v>
      </c>
    </row>
    <row r="529">
      <c r="A529" s="12" t="s">
        <v>8918</v>
      </c>
    </row>
    <row r="530">
      <c r="A530" s="12" t="s">
        <v>8919</v>
      </c>
    </row>
    <row r="531">
      <c r="A531" s="12" t="s">
        <v>8920</v>
      </c>
    </row>
    <row r="532">
      <c r="A532" s="12" t="s">
        <v>8921</v>
      </c>
    </row>
    <row r="533">
      <c r="A533" s="12" t="s">
        <v>8922</v>
      </c>
    </row>
    <row r="534">
      <c r="A534" s="12" t="s">
        <v>8923</v>
      </c>
    </row>
    <row r="535">
      <c r="A535" s="12" t="s">
        <v>8924</v>
      </c>
    </row>
    <row r="536">
      <c r="A536" s="12" t="s">
        <v>8925</v>
      </c>
    </row>
    <row r="537">
      <c r="A537" s="12" t="s">
        <v>8926</v>
      </c>
    </row>
    <row r="538">
      <c r="A538" s="12" t="s">
        <v>8927</v>
      </c>
    </row>
    <row r="539">
      <c r="A539" s="12" t="s">
        <v>8928</v>
      </c>
    </row>
    <row r="540">
      <c r="A540" s="12" t="s">
        <v>8929</v>
      </c>
    </row>
    <row r="541">
      <c r="A541" s="12" t="s">
        <v>8930</v>
      </c>
    </row>
    <row r="542">
      <c r="A542" s="12" t="s">
        <v>8931</v>
      </c>
    </row>
    <row r="543">
      <c r="A543" s="12" t="s">
        <v>8932</v>
      </c>
    </row>
    <row r="544">
      <c r="A544" s="12" t="s">
        <v>8933</v>
      </c>
    </row>
    <row r="545">
      <c r="A545" s="12" t="s">
        <v>8934</v>
      </c>
    </row>
    <row r="546">
      <c r="A546" s="12" t="s">
        <v>8935</v>
      </c>
    </row>
    <row r="547">
      <c r="A547" s="12" t="s">
        <v>8936</v>
      </c>
    </row>
    <row r="548">
      <c r="A548" s="12" t="s">
        <v>8937</v>
      </c>
    </row>
    <row r="549">
      <c r="A549" s="12" t="s">
        <v>8938</v>
      </c>
    </row>
    <row r="550">
      <c r="A550" s="12" t="s">
        <v>8939</v>
      </c>
    </row>
    <row r="551">
      <c r="A551" s="12" t="s">
        <v>8940</v>
      </c>
    </row>
    <row r="552">
      <c r="A552" s="12" t="s">
        <v>8941</v>
      </c>
    </row>
    <row r="553">
      <c r="A553" s="12" t="s">
        <v>8942</v>
      </c>
    </row>
    <row r="554">
      <c r="A554" s="12" t="s">
        <v>8943</v>
      </c>
    </row>
    <row r="555">
      <c r="A555" s="12" t="s">
        <v>8944</v>
      </c>
    </row>
    <row r="556">
      <c r="A556" s="12" t="s">
        <v>8945</v>
      </c>
    </row>
    <row r="557">
      <c r="A557" s="12" t="s">
        <v>8946</v>
      </c>
    </row>
    <row r="558">
      <c r="A558" s="12" t="s">
        <v>8947</v>
      </c>
    </row>
    <row r="559">
      <c r="A559" s="12" t="s">
        <v>8948</v>
      </c>
    </row>
    <row r="560">
      <c r="A560" s="12" t="s">
        <v>8949</v>
      </c>
    </row>
    <row r="561">
      <c r="A561" s="12" t="s">
        <v>8950</v>
      </c>
    </row>
    <row r="562">
      <c r="A562" s="12" t="s">
        <v>8951</v>
      </c>
    </row>
    <row r="563">
      <c r="A563" s="12" t="s">
        <v>8952</v>
      </c>
    </row>
    <row r="564">
      <c r="A564" s="12" t="s">
        <v>8953</v>
      </c>
    </row>
    <row r="565">
      <c r="A565" s="12" t="s">
        <v>8954</v>
      </c>
    </row>
    <row r="566">
      <c r="A566" s="12" t="s">
        <v>8955</v>
      </c>
    </row>
    <row r="567">
      <c r="A567" s="12" t="s">
        <v>8956</v>
      </c>
    </row>
    <row r="568">
      <c r="A568" s="12" t="s">
        <v>8957</v>
      </c>
    </row>
    <row r="569">
      <c r="A569" s="12" t="s">
        <v>8958</v>
      </c>
    </row>
    <row r="570">
      <c r="A570" s="12" t="s">
        <v>8959</v>
      </c>
    </row>
    <row r="571">
      <c r="A571" s="12" t="s">
        <v>8960</v>
      </c>
    </row>
    <row r="572">
      <c r="A572" s="12" t="s">
        <v>8961</v>
      </c>
    </row>
    <row r="573">
      <c r="A573" s="12" t="s">
        <v>8962</v>
      </c>
    </row>
    <row r="574">
      <c r="A574" s="12" t="s">
        <v>8963</v>
      </c>
    </row>
    <row r="575">
      <c r="A575" s="12" t="s">
        <v>8964</v>
      </c>
    </row>
    <row r="576">
      <c r="A576" s="12" t="s">
        <v>8965</v>
      </c>
    </row>
    <row r="577">
      <c r="A577" s="12" t="s">
        <v>8966</v>
      </c>
    </row>
    <row r="578">
      <c r="A578" s="12" t="s">
        <v>8967</v>
      </c>
    </row>
    <row r="579">
      <c r="A579" s="12" t="s">
        <v>8968</v>
      </c>
    </row>
    <row r="580">
      <c r="A580" s="12" t="s">
        <v>8969</v>
      </c>
    </row>
    <row r="581">
      <c r="A581" s="12" t="s">
        <v>8970</v>
      </c>
    </row>
    <row r="582">
      <c r="A582" s="12" t="s">
        <v>8971</v>
      </c>
    </row>
    <row r="583">
      <c r="A583" s="12" t="s">
        <v>8972</v>
      </c>
    </row>
    <row r="584">
      <c r="A584" s="12" t="s">
        <v>8973</v>
      </c>
    </row>
    <row r="585">
      <c r="A585" s="12" t="s">
        <v>8974</v>
      </c>
    </row>
    <row r="586">
      <c r="A586" s="12" t="s">
        <v>8975</v>
      </c>
    </row>
    <row r="587">
      <c r="A587" s="12" t="s">
        <v>8976</v>
      </c>
    </row>
    <row r="588">
      <c r="A588" s="12" t="s">
        <v>8977</v>
      </c>
    </row>
    <row r="589">
      <c r="A589" s="12" t="s">
        <v>8978</v>
      </c>
    </row>
    <row r="590">
      <c r="A590" s="12" t="s">
        <v>8979</v>
      </c>
    </row>
    <row r="591">
      <c r="A591" s="12" t="s">
        <v>8980</v>
      </c>
    </row>
    <row r="592">
      <c r="A592" s="12" t="s">
        <v>8981</v>
      </c>
    </row>
    <row r="593">
      <c r="A593" s="12" t="s">
        <v>8982</v>
      </c>
    </row>
    <row r="594">
      <c r="A594" s="12" t="s">
        <v>8983</v>
      </c>
    </row>
    <row r="595">
      <c r="A595" s="12" t="s">
        <v>8984</v>
      </c>
    </row>
    <row r="596">
      <c r="A596" s="12" t="s">
        <v>8985</v>
      </c>
    </row>
    <row r="597">
      <c r="A597" s="12" t="s">
        <v>8986</v>
      </c>
    </row>
    <row r="598">
      <c r="A598" s="12" t="s">
        <v>8987</v>
      </c>
    </row>
    <row r="599">
      <c r="A599" s="12" t="s">
        <v>8988</v>
      </c>
    </row>
    <row r="600">
      <c r="A600" s="12" t="s">
        <v>8989</v>
      </c>
    </row>
    <row r="601">
      <c r="A601" s="12" t="s">
        <v>8990</v>
      </c>
    </row>
    <row r="602">
      <c r="A602" s="12" t="s">
        <v>8991</v>
      </c>
    </row>
    <row r="603">
      <c r="A603" s="12" t="s">
        <v>8992</v>
      </c>
    </row>
    <row r="604">
      <c r="A604" s="12" t="s">
        <v>8993</v>
      </c>
    </row>
    <row r="605">
      <c r="A605" s="12" t="s">
        <v>8994</v>
      </c>
    </row>
    <row r="606">
      <c r="A606" s="12" t="s">
        <v>8995</v>
      </c>
    </row>
    <row r="607">
      <c r="A607" s="12" t="s">
        <v>8996</v>
      </c>
    </row>
    <row r="608">
      <c r="A608" s="12" t="s">
        <v>8997</v>
      </c>
    </row>
    <row r="609">
      <c r="A609" s="12" t="s">
        <v>8998</v>
      </c>
    </row>
    <row r="610">
      <c r="A610" s="12" t="s">
        <v>8999</v>
      </c>
    </row>
    <row r="611">
      <c r="A611" s="12" t="s">
        <v>9000</v>
      </c>
    </row>
    <row r="612">
      <c r="A612" s="12" t="s">
        <v>9001</v>
      </c>
    </row>
    <row r="613">
      <c r="A613" s="12" t="s">
        <v>9002</v>
      </c>
    </row>
    <row r="614">
      <c r="A614" s="12" t="s">
        <v>9003</v>
      </c>
    </row>
    <row r="615">
      <c r="A615" s="12" t="s">
        <v>9004</v>
      </c>
    </row>
    <row r="616">
      <c r="A616" s="12" t="s">
        <v>9005</v>
      </c>
    </row>
    <row r="617">
      <c r="A617" s="12" t="s">
        <v>9006</v>
      </c>
    </row>
    <row r="618">
      <c r="A618" s="12" t="s">
        <v>9007</v>
      </c>
    </row>
    <row r="619">
      <c r="A619" s="12" t="s">
        <v>9008</v>
      </c>
    </row>
    <row r="620">
      <c r="A620" s="12" t="s">
        <v>9009</v>
      </c>
    </row>
    <row r="621">
      <c r="A621" s="12" t="s">
        <v>9010</v>
      </c>
    </row>
    <row r="622">
      <c r="A622" s="12" t="s">
        <v>9011</v>
      </c>
    </row>
    <row r="623">
      <c r="A623" s="12" t="s">
        <v>9012</v>
      </c>
    </row>
    <row r="624">
      <c r="A624" s="12" t="s">
        <v>9013</v>
      </c>
    </row>
    <row r="625">
      <c r="A625" s="12" t="s">
        <v>9014</v>
      </c>
    </row>
    <row r="626">
      <c r="A626" s="12" t="s">
        <v>9015</v>
      </c>
    </row>
    <row r="627">
      <c r="A627" s="12" t="s">
        <v>9016</v>
      </c>
    </row>
    <row r="628">
      <c r="A628" s="12" t="s">
        <v>9017</v>
      </c>
    </row>
    <row r="629">
      <c r="A629" s="12" t="s">
        <v>9018</v>
      </c>
    </row>
    <row r="630">
      <c r="A630" s="12" t="s">
        <v>9019</v>
      </c>
    </row>
    <row r="631">
      <c r="A631" s="12" t="s">
        <v>9020</v>
      </c>
    </row>
    <row r="632">
      <c r="A632" s="12" t="s">
        <v>9021</v>
      </c>
    </row>
    <row r="633">
      <c r="A633" s="12" t="s">
        <v>9022</v>
      </c>
    </row>
    <row r="634">
      <c r="A634" s="12" t="s">
        <v>9023</v>
      </c>
    </row>
    <row r="635">
      <c r="A635" s="12" t="s">
        <v>9024</v>
      </c>
    </row>
    <row r="636">
      <c r="A636" s="12" t="s">
        <v>9025</v>
      </c>
    </row>
    <row r="637">
      <c r="A637" s="12" t="s">
        <v>9026</v>
      </c>
    </row>
    <row r="638">
      <c r="A638" s="12" t="s">
        <v>9027</v>
      </c>
    </row>
    <row r="639">
      <c r="A639" s="12" t="s">
        <v>9028</v>
      </c>
    </row>
    <row r="640">
      <c r="A640" s="12" t="s">
        <v>9029</v>
      </c>
    </row>
    <row r="641">
      <c r="A641" s="12" t="s">
        <v>9030</v>
      </c>
    </row>
    <row r="642">
      <c r="A642" s="12" t="s">
        <v>9031</v>
      </c>
    </row>
    <row r="643">
      <c r="A643" s="12" t="s">
        <v>9032</v>
      </c>
    </row>
    <row r="644">
      <c r="A644" s="12" t="s">
        <v>9033</v>
      </c>
    </row>
    <row r="645">
      <c r="A645" s="12" t="s">
        <v>9034</v>
      </c>
    </row>
    <row r="646">
      <c r="A646" s="12" t="s">
        <v>9035</v>
      </c>
    </row>
    <row r="647">
      <c r="A647" s="12" t="s">
        <v>9036</v>
      </c>
    </row>
    <row r="648">
      <c r="A648" s="12" t="s">
        <v>9037</v>
      </c>
    </row>
    <row r="649">
      <c r="A649" s="12" t="s">
        <v>9038</v>
      </c>
    </row>
    <row r="650">
      <c r="A650" s="12" t="s">
        <v>9039</v>
      </c>
    </row>
    <row r="651">
      <c r="A651" s="12" t="s">
        <v>9040</v>
      </c>
    </row>
    <row r="652">
      <c r="A652" s="12" t="s">
        <v>9041</v>
      </c>
    </row>
    <row r="653">
      <c r="A653" s="12" t="s">
        <v>9042</v>
      </c>
    </row>
    <row r="654">
      <c r="A654" s="12" t="s">
        <v>9043</v>
      </c>
    </row>
    <row r="655">
      <c r="A655" s="12" t="s">
        <v>9044</v>
      </c>
    </row>
    <row r="656">
      <c r="A656" s="12" t="s">
        <v>9045</v>
      </c>
    </row>
    <row r="657">
      <c r="A657" s="12" t="s">
        <v>9046</v>
      </c>
    </row>
    <row r="658">
      <c r="A658" s="12" t="s">
        <v>9047</v>
      </c>
    </row>
    <row r="659">
      <c r="A659" s="12" t="s">
        <v>9048</v>
      </c>
    </row>
    <row r="660">
      <c r="A660" s="12" t="s">
        <v>9049</v>
      </c>
    </row>
    <row r="661">
      <c r="A661" s="12" t="s">
        <v>9050</v>
      </c>
    </row>
    <row r="662">
      <c r="A662" s="12" t="s">
        <v>9051</v>
      </c>
    </row>
    <row r="663">
      <c r="A663" s="12" t="s">
        <v>9052</v>
      </c>
    </row>
    <row r="664">
      <c r="A664" s="12" t="s">
        <v>9053</v>
      </c>
    </row>
    <row r="665">
      <c r="A665" s="12" t="s">
        <v>9054</v>
      </c>
    </row>
    <row r="666">
      <c r="A666" s="12" t="s">
        <v>9055</v>
      </c>
    </row>
    <row r="667">
      <c r="A667" s="12" t="s">
        <v>9056</v>
      </c>
    </row>
    <row r="668">
      <c r="A668" s="12" t="s">
        <v>9057</v>
      </c>
    </row>
    <row r="669">
      <c r="A669" s="12" t="s">
        <v>9058</v>
      </c>
    </row>
    <row r="670">
      <c r="A670" s="12" t="s">
        <v>9059</v>
      </c>
    </row>
    <row r="671">
      <c r="A671" s="12" t="s">
        <v>9060</v>
      </c>
    </row>
    <row r="672">
      <c r="A672" s="12" t="s">
        <v>9061</v>
      </c>
    </row>
    <row r="673">
      <c r="A673" s="12" t="s">
        <v>9062</v>
      </c>
    </row>
    <row r="674">
      <c r="A674" s="12" t="s">
        <v>9063</v>
      </c>
    </row>
    <row r="675">
      <c r="A675" s="12" t="s">
        <v>9064</v>
      </c>
    </row>
    <row r="676">
      <c r="A676" s="12" t="s">
        <v>9065</v>
      </c>
    </row>
    <row r="677">
      <c r="A677" s="12" t="s">
        <v>9066</v>
      </c>
    </row>
    <row r="678">
      <c r="A678" s="12" t="s">
        <v>9067</v>
      </c>
    </row>
    <row r="679">
      <c r="A679" s="12" t="s">
        <v>9068</v>
      </c>
    </row>
    <row r="680">
      <c r="A680" s="12" t="s">
        <v>9069</v>
      </c>
    </row>
    <row r="681">
      <c r="A681" s="12" t="s">
        <v>9070</v>
      </c>
    </row>
    <row r="682">
      <c r="A682" s="12" t="s">
        <v>9071</v>
      </c>
    </row>
    <row r="683">
      <c r="A683" s="12" t="s">
        <v>9072</v>
      </c>
    </row>
    <row r="684">
      <c r="A684" s="12" t="s">
        <v>9073</v>
      </c>
    </row>
    <row r="685">
      <c r="A685" s="12" t="s">
        <v>9074</v>
      </c>
    </row>
    <row r="686">
      <c r="A686" s="12" t="s">
        <v>9075</v>
      </c>
    </row>
    <row r="687">
      <c r="A687" s="12" t="s">
        <v>9076</v>
      </c>
    </row>
    <row r="688">
      <c r="A688" s="12" t="s">
        <v>9077</v>
      </c>
    </row>
    <row r="689">
      <c r="A689" s="12" t="s">
        <v>9078</v>
      </c>
    </row>
    <row r="690">
      <c r="A690" s="12" t="s">
        <v>9079</v>
      </c>
    </row>
    <row r="691">
      <c r="A691" s="12" t="s">
        <v>9080</v>
      </c>
    </row>
    <row r="692">
      <c r="A692" s="12" t="s">
        <v>9081</v>
      </c>
    </row>
    <row r="693">
      <c r="A693" s="12" t="s">
        <v>9082</v>
      </c>
    </row>
    <row r="694">
      <c r="A694" s="12" t="s">
        <v>9083</v>
      </c>
    </row>
    <row r="695">
      <c r="A695" s="12" t="s">
        <v>9084</v>
      </c>
    </row>
    <row r="696">
      <c r="A696" s="12" t="s">
        <v>9085</v>
      </c>
    </row>
    <row r="697">
      <c r="A697" s="12" t="s">
        <v>9086</v>
      </c>
    </row>
    <row r="698">
      <c r="A698" s="12" t="s">
        <v>9087</v>
      </c>
    </row>
    <row r="699">
      <c r="A699" s="12" t="s">
        <v>9088</v>
      </c>
    </row>
    <row r="700">
      <c r="A700" s="12" t="s">
        <v>9089</v>
      </c>
    </row>
    <row r="701">
      <c r="A701" s="12" t="s">
        <v>9090</v>
      </c>
    </row>
    <row r="702">
      <c r="A702" s="12" t="s">
        <v>9091</v>
      </c>
    </row>
    <row r="703">
      <c r="A703" s="12" t="s">
        <v>9092</v>
      </c>
    </row>
    <row r="704">
      <c r="A704" s="12" t="s">
        <v>9093</v>
      </c>
    </row>
    <row r="705">
      <c r="A705" s="12" t="s">
        <v>9094</v>
      </c>
    </row>
    <row r="706">
      <c r="A706" s="12" t="s">
        <v>9095</v>
      </c>
    </row>
    <row r="707">
      <c r="A707" s="12" t="s">
        <v>9096</v>
      </c>
    </row>
    <row r="708">
      <c r="A708" s="12" t="s">
        <v>9097</v>
      </c>
    </row>
    <row r="709">
      <c r="A709" s="12" t="s">
        <v>9098</v>
      </c>
    </row>
    <row r="710">
      <c r="A710" s="12" t="s">
        <v>9099</v>
      </c>
    </row>
    <row r="711">
      <c r="A711" s="12" t="s">
        <v>9100</v>
      </c>
    </row>
    <row r="712">
      <c r="A712" s="12" t="s">
        <v>9101</v>
      </c>
    </row>
    <row r="713">
      <c r="A713" s="12" t="s">
        <v>9102</v>
      </c>
    </row>
    <row r="714">
      <c r="A714" s="12" t="s">
        <v>9103</v>
      </c>
    </row>
    <row r="715">
      <c r="A715" s="12" t="s">
        <v>9104</v>
      </c>
    </row>
    <row r="716">
      <c r="A716" s="12" t="s">
        <v>9105</v>
      </c>
    </row>
    <row r="717">
      <c r="A717" s="12" t="s">
        <v>9106</v>
      </c>
    </row>
    <row r="718">
      <c r="A718" s="12" t="s">
        <v>9107</v>
      </c>
    </row>
    <row r="719">
      <c r="A719" s="12" t="s">
        <v>9108</v>
      </c>
    </row>
    <row r="720">
      <c r="A720" s="12" t="s">
        <v>9109</v>
      </c>
    </row>
    <row r="721">
      <c r="A721" s="12" t="s">
        <v>9110</v>
      </c>
    </row>
    <row r="722">
      <c r="A722" s="12" t="s">
        <v>9111</v>
      </c>
    </row>
    <row r="723">
      <c r="A723" s="12" t="s">
        <v>9112</v>
      </c>
    </row>
    <row r="724">
      <c r="A724" s="12" t="s">
        <v>9113</v>
      </c>
    </row>
    <row r="725">
      <c r="A725" s="12" t="s">
        <v>9114</v>
      </c>
    </row>
    <row r="726">
      <c r="A726" s="12" t="s">
        <v>9115</v>
      </c>
    </row>
    <row r="727">
      <c r="A727" s="12" t="s">
        <v>9116</v>
      </c>
    </row>
    <row r="728">
      <c r="A728" s="12" t="s">
        <v>9117</v>
      </c>
    </row>
    <row r="729">
      <c r="A729" s="12" t="s">
        <v>9118</v>
      </c>
    </row>
    <row r="730">
      <c r="A730" s="12" t="s">
        <v>9119</v>
      </c>
    </row>
    <row r="731">
      <c r="A731" s="12" t="s">
        <v>9120</v>
      </c>
    </row>
    <row r="732">
      <c r="A732" s="12" t="s">
        <v>9121</v>
      </c>
    </row>
    <row r="733">
      <c r="A733" s="12" t="s">
        <v>9122</v>
      </c>
    </row>
    <row r="734">
      <c r="A734" s="12" t="s">
        <v>9123</v>
      </c>
    </row>
    <row r="735">
      <c r="A735" s="12" t="s">
        <v>9124</v>
      </c>
    </row>
    <row r="736">
      <c r="A736" s="12" t="s">
        <v>9125</v>
      </c>
    </row>
    <row r="737">
      <c r="A737" s="12" t="s">
        <v>9126</v>
      </c>
    </row>
    <row r="738">
      <c r="A738" s="12" t="s">
        <v>9127</v>
      </c>
    </row>
    <row r="739">
      <c r="A739" s="12" t="s">
        <v>9128</v>
      </c>
    </row>
    <row r="740">
      <c r="A740" s="12" t="s">
        <v>9129</v>
      </c>
    </row>
    <row r="741">
      <c r="A741" s="12" t="s">
        <v>9130</v>
      </c>
    </row>
    <row r="742">
      <c r="A742" s="12" t="s">
        <v>9131</v>
      </c>
    </row>
    <row r="743">
      <c r="A743" s="12" t="s">
        <v>9132</v>
      </c>
    </row>
    <row r="744">
      <c r="A744" s="12" t="s">
        <v>9133</v>
      </c>
    </row>
    <row r="745">
      <c r="A745" s="12" t="s">
        <v>9134</v>
      </c>
    </row>
    <row r="746">
      <c r="A746" s="12" t="s">
        <v>9135</v>
      </c>
    </row>
    <row r="747">
      <c r="A747" s="12" t="s">
        <v>9136</v>
      </c>
    </row>
    <row r="748">
      <c r="A748" s="12" t="s">
        <v>9137</v>
      </c>
    </row>
    <row r="749">
      <c r="A749" s="12" t="s">
        <v>9138</v>
      </c>
    </row>
    <row r="750">
      <c r="A750" s="12" t="s">
        <v>9139</v>
      </c>
    </row>
    <row r="751">
      <c r="A751" s="12" t="s">
        <v>9140</v>
      </c>
    </row>
    <row r="752">
      <c r="A752" s="12" t="s">
        <v>9141</v>
      </c>
    </row>
    <row r="753">
      <c r="A753" s="12" t="s">
        <v>9142</v>
      </c>
    </row>
    <row r="754">
      <c r="A754" s="12" t="s">
        <v>9143</v>
      </c>
    </row>
    <row r="755">
      <c r="A755" s="12" t="s">
        <v>9144</v>
      </c>
    </row>
    <row r="756">
      <c r="A756" s="12" t="s">
        <v>9145</v>
      </c>
    </row>
    <row r="757">
      <c r="A757" s="12" t="s">
        <v>9146</v>
      </c>
    </row>
    <row r="758">
      <c r="A758" s="12" t="s">
        <v>9147</v>
      </c>
    </row>
    <row r="759">
      <c r="A759" s="12" t="s">
        <v>9148</v>
      </c>
    </row>
    <row r="760">
      <c r="A760" s="12" t="s">
        <v>9149</v>
      </c>
    </row>
    <row r="761">
      <c r="A761" s="12" t="s">
        <v>9150</v>
      </c>
    </row>
    <row r="762">
      <c r="A762" s="12" t="s">
        <v>9151</v>
      </c>
    </row>
    <row r="763">
      <c r="A763" s="12" t="s">
        <v>9152</v>
      </c>
    </row>
    <row r="764">
      <c r="A764" s="12" t="s">
        <v>9153</v>
      </c>
    </row>
    <row r="765">
      <c r="A765" s="12" t="s">
        <v>9154</v>
      </c>
    </row>
    <row r="766">
      <c r="A766" s="12" t="s">
        <v>9155</v>
      </c>
    </row>
    <row r="767">
      <c r="A767" s="12" t="s">
        <v>9156</v>
      </c>
    </row>
    <row r="768">
      <c r="A768" s="12" t="s">
        <v>9157</v>
      </c>
    </row>
    <row r="769">
      <c r="A769" s="12" t="s">
        <v>9158</v>
      </c>
    </row>
    <row r="770">
      <c r="A770" s="12" t="s">
        <v>9159</v>
      </c>
    </row>
    <row r="771">
      <c r="A771" s="12" t="s">
        <v>9160</v>
      </c>
    </row>
    <row r="772">
      <c r="A772" s="12" t="s">
        <v>9161</v>
      </c>
    </row>
    <row r="773">
      <c r="A773" s="12" t="s">
        <v>9162</v>
      </c>
    </row>
    <row r="774">
      <c r="A774" s="12" t="s">
        <v>9163</v>
      </c>
    </row>
    <row r="775">
      <c r="A775" s="12" t="s">
        <v>9164</v>
      </c>
    </row>
    <row r="776">
      <c r="A776" s="12" t="s">
        <v>9165</v>
      </c>
    </row>
    <row r="777">
      <c r="A777" s="12" t="s">
        <v>9166</v>
      </c>
    </row>
    <row r="778">
      <c r="A778" s="12" t="s">
        <v>9167</v>
      </c>
    </row>
    <row r="779">
      <c r="A779" s="12" t="s">
        <v>9168</v>
      </c>
    </row>
    <row r="780">
      <c r="A780" s="12" t="s">
        <v>9169</v>
      </c>
    </row>
    <row r="781">
      <c r="A781" s="12" t="s">
        <v>9170</v>
      </c>
    </row>
    <row r="782">
      <c r="A782" s="12" t="s">
        <v>9171</v>
      </c>
    </row>
    <row r="783">
      <c r="A783" s="12" t="s">
        <v>9172</v>
      </c>
    </row>
    <row r="784">
      <c r="A784" s="12" t="s">
        <v>9173</v>
      </c>
    </row>
    <row r="785">
      <c r="A785" s="12" t="s">
        <v>9174</v>
      </c>
    </row>
    <row r="786">
      <c r="A786" s="12" t="s">
        <v>9175</v>
      </c>
    </row>
    <row r="787">
      <c r="A787" s="12" t="s">
        <v>9176</v>
      </c>
    </row>
    <row r="788">
      <c r="A788" s="12" t="s">
        <v>9177</v>
      </c>
    </row>
    <row r="789">
      <c r="A789" s="12" t="s">
        <v>9178</v>
      </c>
    </row>
    <row r="790">
      <c r="A790" s="12" t="s">
        <v>9179</v>
      </c>
    </row>
    <row r="791">
      <c r="A791" s="12" t="s">
        <v>9180</v>
      </c>
    </row>
    <row r="792">
      <c r="A792" s="12" t="s">
        <v>9181</v>
      </c>
    </row>
    <row r="793">
      <c r="A793" s="12" t="s">
        <v>9182</v>
      </c>
    </row>
    <row r="794">
      <c r="A794" s="12" t="s">
        <v>9183</v>
      </c>
    </row>
    <row r="795">
      <c r="A795" s="12" t="s">
        <v>9184</v>
      </c>
    </row>
    <row r="796">
      <c r="A796" s="12" t="s">
        <v>9185</v>
      </c>
    </row>
    <row r="797">
      <c r="A797" s="12" t="s">
        <v>9186</v>
      </c>
    </row>
    <row r="798">
      <c r="A798" s="12" t="s">
        <v>9187</v>
      </c>
    </row>
    <row r="799">
      <c r="A799" s="12" t="s">
        <v>9188</v>
      </c>
    </row>
    <row r="800">
      <c r="A800" s="12" t="s">
        <v>9189</v>
      </c>
    </row>
    <row r="801">
      <c r="A801" s="12" t="s">
        <v>9190</v>
      </c>
    </row>
    <row r="802">
      <c r="A802" s="12" t="s">
        <v>9191</v>
      </c>
    </row>
    <row r="803">
      <c r="A803" s="12" t="s">
        <v>9192</v>
      </c>
    </row>
    <row r="804">
      <c r="A804" s="12" t="s">
        <v>9193</v>
      </c>
    </row>
    <row r="805">
      <c r="A805" s="12" t="s">
        <v>9194</v>
      </c>
    </row>
    <row r="806">
      <c r="A806" s="12" t="s">
        <v>9195</v>
      </c>
    </row>
    <row r="807">
      <c r="A807" s="12" t="s">
        <v>9196</v>
      </c>
    </row>
    <row r="808">
      <c r="A808" s="12" t="s">
        <v>9197</v>
      </c>
    </row>
    <row r="809">
      <c r="A809" s="12" t="s">
        <v>9198</v>
      </c>
    </row>
    <row r="810">
      <c r="A810" s="12" t="s">
        <v>9199</v>
      </c>
    </row>
    <row r="811">
      <c r="A811" s="12" t="s">
        <v>9200</v>
      </c>
    </row>
    <row r="812">
      <c r="A812" s="12" t="s">
        <v>9201</v>
      </c>
    </row>
    <row r="813">
      <c r="A813" s="12" t="s">
        <v>9202</v>
      </c>
    </row>
    <row r="814">
      <c r="A814" s="12" t="s">
        <v>9203</v>
      </c>
    </row>
    <row r="815">
      <c r="A815" s="12" t="s">
        <v>9204</v>
      </c>
    </row>
    <row r="816">
      <c r="A816" s="12" t="s">
        <v>9205</v>
      </c>
    </row>
    <row r="817">
      <c r="A817" s="12" t="s">
        <v>9206</v>
      </c>
    </row>
    <row r="818">
      <c r="A818" s="12" t="s">
        <v>9207</v>
      </c>
    </row>
    <row r="819">
      <c r="A819" s="12" t="s">
        <v>9208</v>
      </c>
    </row>
    <row r="820">
      <c r="A820" s="12" t="s">
        <v>9209</v>
      </c>
    </row>
    <row r="821">
      <c r="A821" s="12" t="s">
        <v>9210</v>
      </c>
    </row>
    <row r="822">
      <c r="A822" s="12" t="s">
        <v>9211</v>
      </c>
    </row>
    <row r="823">
      <c r="A823" s="12" t="s">
        <v>9212</v>
      </c>
    </row>
    <row r="824">
      <c r="A824" s="12" t="s">
        <v>9213</v>
      </c>
    </row>
    <row r="825">
      <c r="A825" s="12" t="s">
        <v>9214</v>
      </c>
    </row>
    <row r="826">
      <c r="A826" s="12" t="s">
        <v>9215</v>
      </c>
    </row>
    <row r="827">
      <c r="A827" s="12" t="s">
        <v>9216</v>
      </c>
    </row>
    <row r="828">
      <c r="A828" s="12" t="s">
        <v>9217</v>
      </c>
    </row>
    <row r="829">
      <c r="A829" s="12" t="s">
        <v>9218</v>
      </c>
    </row>
    <row r="830">
      <c r="A830" s="12" t="s">
        <v>9219</v>
      </c>
    </row>
    <row r="831">
      <c r="A831" s="12" t="s">
        <v>9220</v>
      </c>
    </row>
    <row r="832">
      <c r="A832" s="12" t="s">
        <v>9221</v>
      </c>
    </row>
    <row r="833">
      <c r="A833" s="12" t="s">
        <v>9222</v>
      </c>
    </row>
    <row r="834">
      <c r="A834" s="12" t="s">
        <v>9223</v>
      </c>
    </row>
    <row r="835">
      <c r="A835" s="12" t="s">
        <v>9224</v>
      </c>
    </row>
    <row r="836">
      <c r="A836" s="12" t="s">
        <v>9225</v>
      </c>
    </row>
    <row r="837">
      <c r="A837" s="12" t="s">
        <v>9226</v>
      </c>
    </row>
    <row r="838">
      <c r="A838" s="12" t="s">
        <v>9227</v>
      </c>
    </row>
    <row r="839">
      <c r="A839" s="12" t="s">
        <v>9228</v>
      </c>
    </row>
    <row r="840">
      <c r="A840" s="12" t="s">
        <v>9229</v>
      </c>
    </row>
    <row r="841">
      <c r="A841" s="12" t="s">
        <v>9230</v>
      </c>
    </row>
    <row r="842">
      <c r="A842" s="12" t="s">
        <v>9231</v>
      </c>
    </row>
    <row r="843">
      <c r="A843" s="12" t="s">
        <v>9232</v>
      </c>
    </row>
    <row r="844">
      <c r="A844" s="12" t="s">
        <v>9233</v>
      </c>
    </row>
    <row r="845">
      <c r="A845" s="12" t="s">
        <v>9234</v>
      </c>
    </row>
    <row r="846">
      <c r="A846" s="12" t="s">
        <v>9235</v>
      </c>
    </row>
    <row r="847">
      <c r="A847" s="12" t="s">
        <v>9236</v>
      </c>
    </row>
    <row r="848">
      <c r="A848" s="12" t="s">
        <v>9237</v>
      </c>
    </row>
    <row r="849">
      <c r="A849" s="12" t="s">
        <v>9238</v>
      </c>
    </row>
    <row r="850">
      <c r="A850" s="12" t="s">
        <v>9239</v>
      </c>
    </row>
    <row r="851">
      <c r="A851" s="12" t="s">
        <v>9240</v>
      </c>
    </row>
    <row r="852">
      <c r="A852" s="12" t="s">
        <v>9241</v>
      </c>
    </row>
    <row r="853">
      <c r="A853" s="12" t="s">
        <v>9242</v>
      </c>
    </row>
    <row r="854">
      <c r="A854" s="12" t="s">
        <v>9243</v>
      </c>
    </row>
    <row r="855">
      <c r="A855" s="12" t="s">
        <v>9244</v>
      </c>
    </row>
    <row r="856">
      <c r="A856" s="12" t="s">
        <v>9245</v>
      </c>
    </row>
    <row r="857">
      <c r="A857" s="12" t="s">
        <v>9246</v>
      </c>
    </row>
    <row r="858">
      <c r="A858" s="12" t="s">
        <v>9247</v>
      </c>
    </row>
    <row r="859">
      <c r="A859" s="12" t="s">
        <v>9248</v>
      </c>
    </row>
    <row r="860">
      <c r="A860" s="12" t="s">
        <v>9249</v>
      </c>
    </row>
    <row r="861">
      <c r="A861" s="12" t="s">
        <v>9250</v>
      </c>
    </row>
    <row r="862">
      <c r="A862" s="12" t="s">
        <v>9251</v>
      </c>
    </row>
    <row r="863">
      <c r="A863" s="12" t="s">
        <v>9252</v>
      </c>
    </row>
    <row r="864">
      <c r="A864" s="12" t="s">
        <v>9253</v>
      </c>
    </row>
    <row r="865">
      <c r="A865" s="12" t="s">
        <v>9254</v>
      </c>
    </row>
    <row r="866">
      <c r="A866" s="12" t="s">
        <v>9255</v>
      </c>
    </row>
    <row r="867">
      <c r="A867" s="12" t="s">
        <v>9256</v>
      </c>
    </row>
    <row r="868">
      <c r="A868" s="12" t="s">
        <v>9257</v>
      </c>
    </row>
    <row r="869">
      <c r="A869" s="12" t="s">
        <v>9258</v>
      </c>
    </row>
    <row r="870">
      <c r="A870" s="12" t="s">
        <v>9259</v>
      </c>
    </row>
    <row r="871">
      <c r="A871" s="12" t="s">
        <v>9260</v>
      </c>
    </row>
    <row r="872">
      <c r="A872" s="12" t="s">
        <v>9261</v>
      </c>
    </row>
    <row r="873">
      <c r="A873" s="12" t="s">
        <v>9262</v>
      </c>
    </row>
    <row r="874">
      <c r="A874" s="12" t="s">
        <v>9263</v>
      </c>
    </row>
    <row r="875">
      <c r="A875" s="12" t="s">
        <v>9264</v>
      </c>
    </row>
    <row r="876">
      <c r="A876" s="12" t="s">
        <v>9265</v>
      </c>
    </row>
    <row r="877">
      <c r="A877" s="12" t="s">
        <v>9266</v>
      </c>
    </row>
    <row r="878">
      <c r="A878" s="12" t="s">
        <v>9267</v>
      </c>
    </row>
    <row r="879">
      <c r="A879" s="12" t="s">
        <v>9268</v>
      </c>
    </row>
    <row r="880">
      <c r="A880" s="12" t="s">
        <v>9269</v>
      </c>
    </row>
    <row r="881">
      <c r="A881" s="12" t="s">
        <v>9270</v>
      </c>
    </row>
    <row r="882">
      <c r="A882" s="12" t="s">
        <v>9271</v>
      </c>
    </row>
    <row r="883">
      <c r="A883" s="12" t="s">
        <v>9272</v>
      </c>
    </row>
    <row r="884">
      <c r="A884" s="12" t="s">
        <v>9273</v>
      </c>
    </row>
    <row r="885">
      <c r="A885" s="12" t="s">
        <v>9274</v>
      </c>
    </row>
    <row r="886">
      <c r="A886" s="12" t="s">
        <v>9275</v>
      </c>
    </row>
    <row r="887">
      <c r="A887" s="12" t="s">
        <v>9276</v>
      </c>
    </row>
    <row r="888">
      <c r="A888" s="12" t="s">
        <v>9277</v>
      </c>
    </row>
    <row r="889">
      <c r="A889" s="12" t="s">
        <v>9278</v>
      </c>
    </row>
    <row r="890">
      <c r="A890" s="12" t="s">
        <v>9279</v>
      </c>
    </row>
    <row r="891">
      <c r="A891" s="12" t="s">
        <v>9280</v>
      </c>
    </row>
    <row r="892">
      <c r="A892" s="12" t="s">
        <v>9281</v>
      </c>
    </row>
    <row r="893">
      <c r="A893" s="12" t="s">
        <v>9282</v>
      </c>
    </row>
    <row r="894">
      <c r="A894" s="12" t="s">
        <v>9283</v>
      </c>
    </row>
    <row r="895">
      <c r="A895" s="12" t="s">
        <v>9284</v>
      </c>
    </row>
    <row r="896">
      <c r="A896" s="12" t="s">
        <v>9285</v>
      </c>
    </row>
    <row r="897">
      <c r="A897" s="12" t="s">
        <v>9286</v>
      </c>
    </row>
    <row r="898">
      <c r="A898" s="12" t="s">
        <v>9287</v>
      </c>
    </row>
    <row r="899">
      <c r="A899" s="12" t="s">
        <v>9288</v>
      </c>
    </row>
    <row r="900">
      <c r="A900" s="12" t="s">
        <v>9289</v>
      </c>
    </row>
    <row r="901">
      <c r="A901" s="12" t="s">
        <v>9290</v>
      </c>
    </row>
    <row r="902">
      <c r="A902" s="12" t="s">
        <v>9291</v>
      </c>
    </row>
    <row r="903">
      <c r="A903" s="12" t="s">
        <v>9292</v>
      </c>
    </row>
    <row r="904">
      <c r="A904" s="12" t="s">
        <v>9293</v>
      </c>
    </row>
    <row r="905">
      <c r="A905" s="12" t="s">
        <v>9294</v>
      </c>
    </row>
    <row r="906">
      <c r="A906" s="12" t="s">
        <v>9295</v>
      </c>
    </row>
    <row r="907">
      <c r="A907" s="12" t="s">
        <v>9296</v>
      </c>
    </row>
    <row r="908">
      <c r="A908" s="12" t="s">
        <v>9297</v>
      </c>
    </row>
    <row r="909">
      <c r="A909" s="12" t="s">
        <v>9298</v>
      </c>
    </row>
    <row r="910">
      <c r="A910" s="12" t="s">
        <v>9299</v>
      </c>
    </row>
    <row r="911">
      <c r="A911" s="12" t="s">
        <v>9300</v>
      </c>
    </row>
    <row r="912">
      <c r="A912" s="12" t="s">
        <v>9301</v>
      </c>
    </row>
    <row r="913">
      <c r="A913" s="12" t="s">
        <v>9302</v>
      </c>
    </row>
    <row r="914">
      <c r="A914" s="12" t="s">
        <v>9303</v>
      </c>
    </row>
    <row r="915">
      <c r="A915" s="12" t="s">
        <v>9304</v>
      </c>
    </row>
    <row r="916">
      <c r="A916" s="12" t="s">
        <v>9305</v>
      </c>
    </row>
    <row r="917">
      <c r="A917" s="12" t="s">
        <v>9306</v>
      </c>
    </row>
    <row r="918">
      <c r="A918" s="12" t="s">
        <v>9307</v>
      </c>
    </row>
    <row r="919">
      <c r="A919" s="12" t="s">
        <v>9308</v>
      </c>
    </row>
    <row r="920">
      <c r="A920" s="12" t="s">
        <v>9309</v>
      </c>
    </row>
    <row r="921">
      <c r="A921" s="12" t="s">
        <v>9310</v>
      </c>
    </row>
    <row r="922">
      <c r="A922" s="12" t="s">
        <v>9311</v>
      </c>
    </row>
    <row r="923">
      <c r="A923" s="12" t="s">
        <v>9312</v>
      </c>
    </row>
    <row r="924">
      <c r="A924" s="12" t="s">
        <v>9313</v>
      </c>
    </row>
    <row r="925">
      <c r="A925" s="12" t="s">
        <v>9314</v>
      </c>
    </row>
    <row r="926">
      <c r="A926" s="12" t="s">
        <v>9315</v>
      </c>
    </row>
    <row r="927">
      <c r="A927" s="12" t="s">
        <v>9316</v>
      </c>
    </row>
    <row r="928">
      <c r="A928" s="12" t="s">
        <v>9317</v>
      </c>
    </row>
    <row r="929">
      <c r="A929" s="12" t="s">
        <v>9318</v>
      </c>
    </row>
    <row r="930">
      <c r="A930" s="12" t="s">
        <v>9319</v>
      </c>
    </row>
    <row r="931">
      <c r="A931" s="12" t="s">
        <v>9320</v>
      </c>
    </row>
    <row r="932">
      <c r="A932" s="12" t="s">
        <v>9321</v>
      </c>
    </row>
    <row r="933">
      <c r="A933" s="12" t="s">
        <v>9322</v>
      </c>
    </row>
    <row r="934">
      <c r="A934" s="12" t="s">
        <v>9323</v>
      </c>
    </row>
    <row r="935">
      <c r="A935" s="12" t="s">
        <v>9324</v>
      </c>
    </row>
    <row r="936">
      <c r="A936" s="12" t="s">
        <v>9325</v>
      </c>
    </row>
    <row r="937">
      <c r="A937" s="12" t="s">
        <v>9326</v>
      </c>
    </row>
    <row r="938">
      <c r="A938" s="12" t="s">
        <v>9327</v>
      </c>
    </row>
    <row r="939">
      <c r="A939" s="12" t="s">
        <v>9328</v>
      </c>
    </row>
    <row r="940">
      <c r="A940" s="12" t="s">
        <v>9329</v>
      </c>
    </row>
    <row r="941">
      <c r="A941" s="12" t="s">
        <v>9330</v>
      </c>
    </row>
    <row r="942">
      <c r="A942" s="12" t="s">
        <v>9331</v>
      </c>
    </row>
    <row r="943">
      <c r="A943" s="12" t="s">
        <v>9332</v>
      </c>
    </row>
    <row r="944">
      <c r="A944" s="12" t="s">
        <v>9333</v>
      </c>
    </row>
    <row r="945">
      <c r="A945" s="12" t="s">
        <v>9334</v>
      </c>
    </row>
    <row r="946">
      <c r="A946" s="12" t="s">
        <v>9335</v>
      </c>
    </row>
    <row r="947">
      <c r="A947" s="12" t="s">
        <v>9336</v>
      </c>
    </row>
    <row r="948">
      <c r="A948" s="12" t="s">
        <v>9337</v>
      </c>
    </row>
    <row r="949">
      <c r="A949" s="12" t="s">
        <v>9338</v>
      </c>
    </row>
    <row r="950">
      <c r="A950" s="12" t="s">
        <v>9339</v>
      </c>
    </row>
    <row r="951">
      <c r="A951" s="12" t="s">
        <v>9340</v>
      </c>
    </row>
    <row r="952">
      <c r="A952" s="12" t="s">
        <v>9341</v>
      </c>
    </row>
    <row r="953">
      <c r="A953" s="12" t="s">
        <v>9342</v>
      </c>
    </row>
    <row r="954">
      <c r="A954" s="12" t="s">
        <v>9343</v>
      </c>
    </row>
    <row r="955">
      <c r="A955" s="12" t="s">
        <v>9344</v>
      </c>
    </row>
    <row r="956">
      <c r="A956" s="12" t="s">
        <v>9345</v>
      </c>
    </row>
    <row r="957">
      <c r="A957" s="12" t="s">
        <v>9346</v>
      </c>
    </row>
    <row r="958">
      <c r="A958" s="12" t="s">
        <v>9347</v>
      </c>
    </row>
    <row r="959">
      <c r="A959" s="12" t="s">
        <v>9348</v>
      </c>
    </row>
    <row r="960">
      <c r="A960" s="12" t="s">
        <v>9349</v>
      </c>
    </row>
    <row r="961">
      <c r="A961" s="12" t="s">
        <v>9350</v>
      </c>
    </row>
    <row r="962">
      <c r="A962" s="12" t="s">
        <v>9351</v>
      </c>
    </row>
    <row r="963">
      <c r="A963" s="12" t="s">
        <v>9352</v>
      </c>
    </row>
    <row r="964">
      <c r="A964" s="12" t="s">
        <v>9353</v>
      </c>
    </row>
    <row r="965">
      <c r="A965" s="12" t="s">
        <v>9354</v>
      </c>
    </row>
    <row r="966">
      <c r="A966" s="12" t="s">
        <v>9355</v>
      </c>
    </row>
    <row r="967">
      <c r="A967" s="12" t="s">
        <v>9356</v>
      </c>
    </row>
    <row r="968">
      <c r="A968" s="12" t="s">
        <v>9357</v>
      </c>
    </row>
    <row r="969">
      <c r="A969" s="12" t="s">
        <v>9358</v>
      </c>
    </row>
    <row r="970">
      <c r="A970" s="12" t="s">
        <v>9359</v>
      </c>
    </row>
    <row r="971">
      <c r="A971" s="12" t="s">
        <v>9360</v>
      </c>
    </row>
    <row r="972">
      <c r="A972" s="12" t="s">
        <v>9361</v>
      </c>
    </row>
    <row r="973">
      <c r="A973" s="12" t="s">
        <v>9362</v>
      </c>
    </row>
    <row r="974">
      <c r="A974" s="12" t="s">
        <v>9363</v>
      </c>
    </row>
    <row r="975">
      <c r="A975" s="12" t="s">
        <v>9364</v>
      </c>
    </row>
    <row r="976">
      <c r="A976" s="12" t="s">
        <v>9365</v>
      </c>
    </row>
    <row r="977">
      <c r="A977" s="12" t="s">
        <v>9366</v>
      </c>
    </row>
    <row r="978">
      <c r="A978" s="12" t="s">
        <v>9367</v>
      </c>
    </row>
    <row r="979">
      <c r="A979" s="12" t="s">
        <v>9368</v>
      </c>
    </row>
    <row r="980">
      <c r="A980" s="12" t="s">
        <v>9369</v>
      </c>
    </row>
    <row r="981">
      <c r="A981" s="12" t="s">
        <v>9370</v>
      </c>
    </row>
    <row r="982">
      <c r="A982" s="12" t="s">
        <v>9371</v>
      </c>
    </row>
    <row r="983">
      <c r="A983" s="12" t="s">
        <v>9372</v>
      </c>
    </row>
    <row r="984">
      <c r="A984" s="12" t="s">
        <v>9373</v>
      </c>
    </row>
    <row r="985">
      <c r="A985" s="12" t="s">
        <v>9374</v>
      </c>
    </row>
    <row r="986">
      <c r="A986" s="12" t="s">
        <v>9375</v>
      </c>
    </row>
    <row r="987">
      <c r="A987" s="12" t="s">
        <v>9376</v>
      </c>
    </row>
    <row r="988">
      <c r="A988" s="12" t="s">
        <v>9377</v>
      </c>
    </row>
    <row r="989">
      <c r="A989" s="12" t="s">
        <v>9378</v>
      </c>
    </row>
    <row r="990">
      <c r="A990" s="12" t="s">
        <v>9379</v>
      </c>
    </row>
    <row r="991">
      <c r="A991" s="12" t="s">
        <v>9380</v>
      </c>
    </row>
    <row r="992">
      <c r="A992" s="12" t="s">
        <v>9381</v>
      </c>
    </row>
    <row r="993">
      <c r="A993" s="12" t="s">
        <v>9382</v>
      </c>
    </row>
    <row r="994">
      <c r="A994" s="12" t="s">
        <v>9383</v>
      </c>
    </row>
    <row r="995">
      <c r="A995" s="12" t="s">
        <v>9384</v>
      </c>
    </row>
    <row r="996">
      <c r="A996" s="12" t="s">
        <v>9385</v>
      </c>
    </row>
    <row r="997">
      <c r="A997" s="12" t="s">
        <v>9386</v>
      </c>
    </row>
    <row r="998">
      <c r="A998" s="12" t="s">
        <v>9387</v>
      </c>
    </row>
    <row r="999">
      <c r="A999" s="12" t="s">
        <v>9388</v>
      </c>
    </row>
    <row r="1000">
      <c r="A1000" s="12" t="s">
        <v>9389</v>
      </c>
    </row>
    <row r="1001">
      <c r="A1001" s="12" t="s">
        <v>9390</v>
      </c>
    </row>
    <row r="1002">
      <c r="A1002" s="12" t="s">
        <v>9391</v>
      </c>
    </row>
    <row r="1003">
      <c r="A1003" s="12" t="s">
        <v>9392</v>
      </c>
    </row>
    <row r="1004">
      <c r="A1004" s="12" t="s">
        <v>9393</v>
      </c>
    </row>
    <row r="1005">
      <c r="A1005" s="12" t="s">
        <v>9394</v>
      </c>
    </row>
    <row r="1006">
      <c r="A1006" s="12" t="s">
        <v>9395</v>
      </c>
    </row>
    <row r="1007">
      <c r="A1007" s="12" t="s">
        <v>9396</v>
      </c>
    </row>
    <row r="1008">
      <c r="A1008" s="12" t="s">
        <v>9397</v>
      </c>
    </row>
    <row r="1009">
      <c r="A1009" s="12" t="s">
        <v>9398</v>
      </c>
    </row>
    <row r="1010">
      <c r="A1010" s="12" t="s">
        <v>9399</v>
      </c>
    </row>
    <row r="1011">
      <c r="A1011" s="12" t="s">
        <v>9400</v>
      </c>
    </row>
    <row r="1012">
      <c r="A1012" s="12" t="s">
        <v>9401</v>
      </c>
    </row>
    <row r="1013">
      <c r="A1013" s="12" t="s">
        <v>9402</v>
      </c>
    </row>
    <row r="1014">
      <c r="A1014" s="12" t="s">
        <v>9403</v>
      </c>
    </row>
    <row r="1015">
      <c r="A1015" s="12" t="s">
        <v>9404</v>
      </c>
    </row>
    <row r="1016">
      <c r="A1016" s="12" t="s">
        <v>9405</v>
      </c>
    </row>
    <row r="1017">
      <c r="A1017" s="12" t="s">
        <v>9406</v>
      </c>
    </row>
    <row r="1018">
      <c r="A1018" s="12" t="s">
        <v>9407</v>
      </c>
    </row>
    <row r="1019">
      <c r="A1019" s="12" t="s">
        <v>9408</v>
      </c>
    </row>
    <row r="1020">
      <c r="A1020" s="12" t="s">
        <v>9409</v>
      </c>
    </row>
    <row r="1021">
      <c r="A1021" s="12" t="s">
        <v>9410</v>
      </c>
    </row>
    <row r="1022">
      <c r="A1022" s="12" t="s">
        <v>9411</v>
      </c>
    </row>
    <row r="1023">
      <c r="A1023" s="12" t="s">
        <v>9412</v>
      </c>
    </row>
    <row r="1024">
      <c r="A1024" s="12" t="s">
        <v>9413</v>
      </c>
    </row>
    <row r="1025">
      <c r="A1025" s="12" t="s">
        <v>9414</v>
      </c>
    </row>
    <row r="1026">
      <c r="A1026" s="12" t="s">
        <v>9415</v>
      </c>
    </row>
    <row r="1027">
      <c r="A1027" s="12" t="s">
        <v>9416</v>
      </c>
    </row>
    <row r="1028">
      <c r="A1028" s="12" t="s">
        <v>9417</v>
      </c>
    </row>
    <row r="1029">
      <c r="A1029" s="12" t="s">
        <v>9418</v>
      </c>
    </row>
    <row r="1030">
      <c r="A1030" s="12" t="s">
        <v>9419</v>
      </c>
    </row>
    <row r="1031">
      <c r="A1031" s="12" t="s">
        <v>9420</v>
      </c>
    </row>
    <row r="1032">
      <c r="A1032" s="12" t="s">
        <v>9421</v>
      </c>
    </row>
    <row r="1033">
      <c r="A1033" s="12" t="s">
        <v>9422</v>
      </c>
    </row>
    <row r="1034">
      <c r="A1034" s="12" t="s">
        <v>9423</v>
      </c>
    </row>
    <row r="1035">
      <c r="A1035" s="12" t="s">
        <v>9424</v>
      </c>
    </row>
    <row r="1036">
      <c r="A1036" s="12" t="s">
        <v>9425</v>
      </c>
    </row>
    <row r="1037">
      <c r="A1037" s="12" t="s">
        <v>9426</v>
      </c>
    </row>
    <row r="1038">
      <c r="A1038" s="12" t="s">
        <v>9427</v>
      </c>
    </row>
    <row r="1039">
      <c r="A1039" s="12" t="s">
        <v>9428</v>
      </c>
    </row>
    <row r="1040">
      <c r="A1040" s="12" t="s">
        <v>9429</v>
      </c>
    </row>
    <row r="1041">
      <c r="A1041" s="12" t="s">
        <v>9430</v>
      </c>
    </row>
    <row r="1042">
      <c r="A1042" s="12" t="s">
        <v>9431</v>
      </c>
    </row>
    <row r="1043">
      <c r="A1043" s="12" t="s">
        <v>9432</v>
      </c>
    </row>
    <row r="1044">
      <c r="A1044" s="12" t="s">
        <v>9433</v>
      </c>
    </row>
    <row r="1045">
      <c r="A1045" s="12" t="s">
        <v>9434</v>
      </c>
    </row>
    <row r="1046">
      <c r="A1046" s="12" t="s">
        <v>9435</v>
      </c>
    </row>
    <row r="1047">
      <c r="A1047" s="12" t="s">
        <v>9436</v>
      </c>
    </row>
    <row r="1048">
      <c r="A1048" s="12" t="s">
        <v>9437</v>
      </c>
    </row>
    <row r="1049">
      <c r="A1049" s="12" t="s">
        <v>9438</v>
      </c>
    </row>
    <row r="1050">
      <c r="A1050" s="12" t="s">
        <v>9439</v>
      </c>
    </row>
    <row r="1051">
      <c r="A1051" s="12" t="s">
        <v>9440</v>
      </c>
    </row>
    <row r="1052">
      <c r="A1052" s="12" t="s">
        <v>9441</v>
      </c>
    </row>
    <row r="1053">
      <c r="A1053" s="12" t="s">
        <v>9442</v>
      </c>
    </row>
    <row r="1054">
      <c r="A1054" s="12" t="s">
        <v>9443</v>
      </c>
    </row>
    <row r="1055">
      <c r="A1055" s="12" t="s">
        <v>9444</v>
      </c>
    </row>
    <row r="1056">
      <c r="A1056" s="12" t="s">
        <v>9445</v>
      </c>
    </row>
    <row r="1057">
      <c r="A1057" s="12" t="s">
        <v>9446</v>
      </c>
    </row>
    <row r="1058">
      <c r="A1058" s="12" t="s">
        <v>9447</v>
      </c>
    </row>
    <row r="1059">
      <c r="A1059" s="12" t="s">
        <v>9448</v>
      </c>
    </row>
    <row r="1060">
      <c r="A1060" s="12" t="s">
        <v>9449</v>
      </c>
    </row>
    <row r="1061">
      <c r="A1061" s="12" t="s">
        <v>9450</v>
      </c>
    </row>
    <row r="1062">
      <c r="A1062" s="12" t="s">
        <v>9451</v>
      </c>
    </row>
    <row r="1063">
      <c r="A1063" s="12" t="s">
        <v>9452</v>
      </c>
    </row>
    <row r="1064">
      <c r="A1064" s="12" t="s">
        <v>9453</v>
      </c>
    </row>
    <row r="1065">
      <c r="A1065" s="12" t="s">
        <v>9454</v>
      </c>
    </row>
    <row r="1066">
      <c r="A1066" s="12" t="s">
        <v>9455</v>
      </c>
    </row>
    <row r="1067">
      <c r="A1067" s="12" t="s">
        <v>9456</v>
      </c>
    </row>
    <row r="1068">
      <c r="A1068" s="12" t="s">
        <v>9457</v>
      </c>
    </row>
    <row r="1069">
      <c r="A1069" s="12" t="s">
        <v>9458</v>
      </c>
    </row>
    <row r="1070">
      <c r="A1070" s="12" t="s">
        <v>9459</v>
      </c>
    </row>
    <row r="1071">
      <c r="A1071" s="12" t="s">
        <v>9460</v>
      </c>
    </row>
    <row r="1072">
      <c r="A1072" s="12" t="s">
        <v>9461</v>
      </c>
    </row>
    <row r="1073">
      <c r="A1073" s="12" t="s">
        <v>9462</v>
      </c>
    </row>
    <row r="1074">
      <c r="A1074" s="12" t="s">
        <v>9463</v>
      </c>
    </row>
    <row r="1075">
      <c r="A1075" s="12" t="s">
        <v>9464</v>
      </c>
    </row>
    <row r="1076">
      <c r="A1076" s="12" t="s">
        <v>9465</v>
      </c>
    </row>
    <row r="1077">
      <c r="A1077" s="12" t="s">
        <v>9466</v>
      </c>
    </row>
    <row r="1078">
      <c r="A1078" s="12" t="s">
        <v>9467</v>
      </c>
    </row>
    <row r="1079">
      <c r="A1079" s="12" t="s">
        <v>9468</v>
      </c>
    </row>
    <row r="1080">
      <c r="A1080" s="12" t="s">
        <v>9469</v>
      </c>
    </row>
    <row r="1081">
      <c r="A1081" s="12" t="s">
        <v>9470</v>
      </c>
    </row>
    <row r="1082">
      <c r="A1082" s="12" t="s">
        <v>9471</v>
      </c>
    </row>
    <row r="1083">
      <c r="A1083" s="12" t="s">
        <v>9472</v>
      </c>
    </row>
    <row r="1084">
      <c r="A1084" s="12" t="s">
        <v>9473</v>
      </c>
    </row>
    <row r="1085">
      <c r="A1085" s="12" t="s">
        <v>9474</v>
      </c>
    </row>
    <row r="1086">
      <c r="A1086" s="12" t="s">
        <v>9475</v>
      </c>
    </row>
    <row r="1087">
      <c r="A1087" s="12" t="s">
        <v>9476</v>
      </c>
    </row>
    <row r="1088">
      <c r="A1088" s="12" t="s">
        <v>9477</v>
      </c>
    </row>
    <row r="1089">
      <c r="A1089" s="12" t="s">
        <v>9478</v>
      </c>
    </row>
    <row r="1090">
      <c r="A1090" s="12" t="s">
        <v>9479</v>
      </c>
    </row>
    <row r="1091">
      <c r="A1091" s="12" t="s">
        <v>9480</v>
      </c>
    </row>
    <row r="1092">
      <c r="A1092" s="12" t="s">
        <v>9481</v>
      </c>
    </row>
    <row r="1093">
      <c r="A1093" s="12" t="s">
        <v>9482</v>
      </c>
    </row>
    <row r="1094">
      <c r="A1094" s="12" t="s">
        <v>9483</v>
      </c>
    </row>
    <row r="1095">
      <c r="A1095" s="12" t="s">
        <v>9484</v>
      </c>
    </row>
    <row r="1096">
      <c r="A1096" s="12" t="s">
        <v>9485</v>
      </c>
    </row>
    <row r="1097">
      <c r="A1097" s="12" t="s">
        <v>9486</v>
      </c>
    </row>
    <row r="1098">
      <c r="A1098" s="12" t="s">
        <v>9487</v>
      </c>
    </row>
    <row r="1099">
      <c r="A1099" s="12" t="s">
        <v>9488</v>
      </c>
    </row>
    <row r="1100">
      <c r="A1100" s="12" t="s">
        <v>9489</v>
      </c>
    </row>
    <row r="1101">
      <c r="A1101" s="12" t="s">
        <v>9490</v>
      </c>
    </row>
    <row r="1102">
      <c r="A1102" s="12" t="s">
        <v>9491</v>
      </c>
    </row>
    <row r="1103">
      <c r="A1103" s="12" t="s">
        <v>9492</v>
      </c>
    </row>
    <row r="1104">
      <c r="A1104" s="12" t="s">
        <v>9493</v>
      </c>
    </row>
    <row r="1105">
      <c r="A1105" s="12" t="s">
        <v>9494</v>
      </c>
    </row>
    <row r="1106">
      <c r="A1106" s="12" t="s">
        <v>9495</v>
      </c>
    </row>
    <row r="1107">
      <c r="A1107" s="12" t="s">
        <v>9496</v>
      </c>
    </row>
    <row r="1108">
      <c r="A1108" s="12" t="s">
        <v>9497</v>
      </c>
    </row>
    <row r="1109">
      <c r="A1109" s="12" t="s">
        <v>9498</v>
      </c>
    </row>
    <row r="1110">
      <c r="A1110" s="12" t="s">
        <v>9499</v>
      </c>
    </row>
    <row r="1111">
      <c r="A1111" s="12" t="s">
        <v>9500</v>
      </c>
    </row>
    <row r="1112">
      <c r="A1112" s="12" t="s">
        <v>9501</v>
      </c>
    </row>
    <row r="1113">
      <c r="A1113" s="12" t="s">
        <v>9502</v>
      </c>
    </row>
    <row r="1114">
      <c r="A1114" s="12" t="s">
        <v>9503</v>
      </c>
    </row>
    <row r="1115">
      <c r="A1115" s="12" t="s">
        <v>9504</v>
      </c>
    </row>
    <row r="1116">
      <c r="A1116" s="12" t="s">
        <v>9505</v>
      </c>
    </row>
    <row r="1117">
      <c r="A1117" s="12" t="s">
        <v>9506</v>
      </c>
    </row>
    <row r="1118">
      <c r="A1118" s="12" t="s">
        <v>9507</v>
      </c>
    </row>
    <row r="1119">
      <c r="A1119" s="12" t="s">
        <v>9508</v>
      </c>
    </row>
    <row r="1120">
      <c r="A1120" s="12" t="s">
        <v>9509</v>
      </c>
    </row>
    <row r="1121">
      <c r="A1121" s="12" t="s">
        <v>9510</v>
      </c>
    </row>
    <row r="1122">
      <c r="A1122" s="12" t="s">
        <v>9511</v>
      </c>
    </row>
    <row r="1123">
      <c r="A1123" s="12" t="s">
        <v>9512</v>
      </c>
    </row>
    <row r="1124">
      <c r="A1124" s="12" t="s">
        <v>9513</v>
      </c>
    </row>
    <row r="1125">
      <c r="A1125" s="12" t="s">
        <v>9514</v>
      </c>
    </row>
    <row r="1126">
      <c r="A1126" s="12" t="s">
        <v>9515</v>
      </c>
    </row>
    <row r="1127">
      <c r="A1127" s="12" t="s">
        <v>9516</v>
      </c>
    </row>
    <row r="1128">
      <c r="A1128" s="12" t="s">
        <v>9517</v>
      </c>
    </row>
    <row r="1129">
      <c r="A1129" s="12" t="s">
        <v>9518</v>
      </c>
    </row>
    <row r="1130">
      <c r="A1130" s="12" t="s">
        <v>9519</v>
      </c>
    </row>
    <row r="1131">
      <c r="A1131" s="12" t="s">
        <v>9520</v>
      </c>
    </row>
    <row r="1132">
      <c r="A1132" s="12" t="s">
        <v>9521</v>
      </c>
    </row>
    <row r="1133">
      <c r="A1133" s="12" t="s">
        <v>9522</v>
      </c>
    </row>
    <row r="1134">
      <c r="A1134" s="12" t="s">
        <v>9523</v>
      </c>
    </row>
    <row r="1135">
      <c r="A1135" s="12" t="s">
        <v>9524</v>
      </c>
    </row>
    <row r="1136">
      <c r="A1136" s="12" t="s">
        <v>9525</v>
      </c>
    </row>
    <row r="1137">
      <c r="A1137" s="12" t="s">
        <v>9526</v>
      </c>
    </row>
    <row r="1138">
      <c r="A1138" s="12" t="s">
        <v>9527</v>
      </c>
    </row>
    <row r="1139">
      <c r="A1139" s="12" t="s">
        <v>9528</v>
      </c>
    </row>
    <row r="1140">
      <c r="A1140" s="12" t="s">
        <v>9529</v>
      </c>
    </row>
    <row r="1141">
      <c r="A1141" s="12" t="s">
        <v>9530</v>
      </c>
    </row>
    <row r="1142">
      <c r="A1142" s="12" t="s">
        <v>9531</v>
      </c>
    </row>
    <row r="1143">
      <c r="A1143" s="12" t="s">
        <v>9532</v>
      </c>
    </row>
    <row r="1144">
      <c r="A1144" s="12" t="s">
        <v>9533</v>
      </c>
    </row>
    <row r="1145">
      <c r="A1145" s="12" t="s">
        <v>9534</v>
      </c>
    </row>
    <row r="1146">
      <c r="A1146" s="12" t="s">
        <v>9535</v>
      </c>
    </row>
    <row r="1147">
      <c r="A1147" s="12" t="s">
        <v>9536</v>
      </c>
    </row>
    <row r="1148">
      <c r="A1148" s="12" t="s">
        <v>9537</v>
      </c>
    </row>
    <row r="1149">
      <c r="A1149" s="12" t="s">
        <v>9538</v>
      </c>
    </row>
    <row r="1150">
      <c r="A1150" s="12" t="s">
        <v>9539</v>
      </c>
    </row>
    <row r="1151">
      <c r="A1151" s="12" t="s">
        <v>9540</v>
      </c>
    </row>
    <row r="1152">
      <c r="A1152" s="12" t="s">
        <v>9541</v>
      </c>
    </row>
    <row r="1153">
      <c r="A1153" s="12" t="s">
        <v>9542</v>
      </c>
    </row>
    <row r="1154">
      <c r="A1154" s="12" t="s">
        <v>9543</v>
      </c>
    </row>
    <row r="1155">
      <c r="A1155" s="12" t="s">
        <v>9544</v>
      </c>
    </row>
    <row r="1156">
      <c r="A1156" s="12" t="s">
        <v>9545</v>
      </c>
    </row>
    <row r="1157">
      <c r="A1157" s="12" t="s">
        <v>9546</v>
      </c>
    </row>
    <row r="1158">
      <c r="A1158" s="12" t="s">
        <v>9547</v>
      </c>
    </row>
    <row r="1159">
      <c r="A1159" s="12" t="s">
        <v>9548</v>
      </c>
    </row>
    <row r="1160">
      <c r="A1160" s="12" t="s">
        <v>9549</v>
      </c>
    </row>
    <row r="1161">
      <c r="A1161" s="12" t="s">
        <v>9550</v>
      </c>
    </row>
    <row r="1162">
      <c r="A1162" s="12" t="s">
        <v>9551</v>
      </c>
    </row>
    <row r="1163">
      <c r="A1163" s="12" t="s">
        <v>9552</v>
      </c>
    </row>
    <row r="1164">
      <c r="A1164" s="12" t="s">
        <v>9553</v>
      </c>
    </row>
    <row r="1165">
      <c r="A1165" s="12" t="s">
        <v>9554</v>
      </c>
    </row>
    <row r="1166">
      <c r="A1166" s="12" t="s">
        <v>9555</v>
      </c>
    </row>
    <row r="1167">
      <c r="A1167" s="12" t="s">
        <v>9556</v>
      </c>
    </row>
    <row r="1168">
      <c r="A1168" s="12" t="s">
        <v>9557</v>
      </c>
    </row>
    <row r="1169">
      <c r="A1169" s="12" t="s">
        <v>9558</v>
      </c>
    </row>
    <row r="1170">
      <c r="A1170" s="12" t="s">
        <v>9559</v>
      </c>
    </row>
    <row r="1171">
      <c r="A1171" s="12" t="s">
        <v>9560</v>
      </c>
    </row>
    <row r="1172">
      <c r="A1172" s="12" t="s">
        <v>9561</v>
      </c>
    </row>
    <row r="1173">
      <c r="A1173" s="12" t="s">
        <v>9562</v>
      </c>
    </row>
    <row r="1174">
      <c r="A1174" s="12" t="s">
        <v>9563</v>
      </c>
    </row>
    <row r="1175">
      <c r="A1175" s="12" t="s">
        <v>9564</v>
      </c>
    </row>
    <row r="1176">
      <c r="A1176" s="12" t="s">
        <v>9565</v>
      </c>
    </row>
    <row r="1177">
      <c r="A1177" s="12" t="s">
        <v>9566</v>
      </c>
    </row>
    <row r="1178">
      <c r="A1178" s="12" t="s">
        <v>9567</v>
      </c>
    </row>
    <row r="1179">
      <c r="A1179" s="12" t="s">
        <v>9568</v>
      </c>
    </row>
    <row r="1180">
      <c r="A1180" s="12" t="s">
        <v>9569</v>
      </c>
    </row>
    <row r="1181">
      <c r="A1181" s="12" t="s">
        <v>9570</v>
      </c>
    </row>
    <row r="1182">
      <c r="A1182" s="12" t="s">
        <v>9571</v>
      </c>
    </row>
    <row r="1183">
      <c r="A1183" s="12" t="s">
        <v>9572</v>
      </c>
    </row>
    <row r="1184">
      <c r="A1184" s="12" t="s">
        <v>9573</v>
      </c>
    </row>
    <row r="1185">
      <c r="A1185" s="12" t="s">
        <v>9574</v>
      </c>
    </row>
    <row r="1186">
      <c r="A1186" s="12" t="s">
        <v>9575</v>
      </c>
    </row>
    <row r="1187">
      <c r="A1187" s="12" t="s">
        <v>9576</v>
      </c>
    </row>
    <row r="1188">
      <c r="A1188" s="12" t="s">
        <v>9577</v>
      </c>
    </row>
    <row r="1189">
      <c r="A1189" s="12" t="s">
        <v>9578</v>
      </c>
    </row>
    <row r="1190">
      <c r="A1190" s="12" t="s">
        <v>9579</v>
      </c>
    </row>
    <row r="1191">
      <c r="A1191" s="12" t="s">
        <v>9580</v>
      </c>
    </row>
    <row r="1192">
      <c r="A1192" s="12" t="s">
        <v>9581</v>
      </c>
    </row>
    <row r="1193">
      <c r="A1193" s="12" t="s">
        <v>9582</v>
      </c>
    </row>
    <row r="1194">
      <c r="A1194" s="12" t="s">
        <v>9583</v>
      </c>
    </row>
    <row r="1195">
      <c r="A1195" s="12" t="s">
        <v>9584</v>
      </c>
    </row>
    <row r="1196">
      <c r="A1196" s="12" t="s">
        <v>9585</v>
      </c>
    </row>
    <row r="1197">
      <c r="A1197" s="12" t="s">
        <v>9586</v>
      </c>
    </row>
    <row r="1198">
      <c r="A1198" s="12" t="s">
        <v>9587</v>
      </c>
    </row>
    <row r="1199">
      <c r="A1199" s="12" t="s">
        <v>9588</v>
      </c>
    </row>
    <row r="1200">
      <c r="A1200" s="12" t="s">
        <v>9589</v>
      </c>
    </row>
    <row r="1201">
      <c r="A1201" s="12" t="s">
        <v>9590</v>
      </c>
    </row>
    <row r="1202">
      <c r="A1202" s="12" t="s">
        <v>9591</v>
      </c>
    </row>
    <row r="1203">
      <c r="A1203" s="12" t="s">
        <v>9592</v>
      </c>
    </row>
    <row r="1204">
      <c r="A1204" s="12" t="s">
        <v>9593</v>
      </c>
    </row>
    <row r="1205">
      <c r="A1205" s="12" t="s">
        <v>9594</v>
      </c>
    </row>
    <row r="1206">
      <c r="A1206" s="12" t="s">
        <v>9595</v>
      </c>
    </row>
    <row r="1207">
      <c r="A1207" s="12" t="s">
        <v>9596</v>
      </c>
    </row>
    <row r="1208">
      <c r="A1208" s="12" t="s">
        <v>9597</v>
      </c>
    </row>
    <row r="1209">
      <c r="A1209" s="12" t="s">
        <v>9598</v>
      </c>
    </row>
    <row r="1210">
      <c r="A1210" s="12" t="s">
        <v>9599</v>
      </c>
    </row>
    <row r="1211">
      <c r="A1211" s="12" t="s">
        <v>9600</v>
      </c>
    </row>
    <row r="1212">
      <c r="A1212" s="12" t="s">
        <v>9601</v>
      </c>
    </row>
    <row r="1213">
      <c r="A1213" s="12" t="s">
        <v>9602</v>
      </c>
    </row>
    <row r="1214">
      <c r="A1214" s="12" t="s">
        <v>9603</v>
      </c>
    </row>
    <row r="1215">
      <c r="A1215" s="12" t="s">
        <v>9604</v>
      </c>
    </row>
    <row r="1216">
      <c r="A1216" s="12" t="s">
        <v>9605</v>
      </c>
    </row>
    <row r="1217">
      <c r="A1217" s="12" t="s">
        <v>9606</v>
      </c>
    </row>
    <row r="1218">
      <c r="A1218" s="12" t="s">
        <v>9607</v>
      </c>
    </row>
    <row r="1219">
      <c r="A1219" s="12" t="s">
        <v>9608</v>
      </c>
    </row>
    <row r="1220">
      <c r="A1220" s="12" t="s">
        <v>9609</v>
      </c>
    </row>
    <row r="1221">
      <c r="A1221" s="12" t="s">
        <v>9610</v>
      </c>
    </row>
    <row r="1222">
      <c r="A1222" s="12" t="s">
        <v>9611</v>
      </c>
    </row>
    <row r="1223">
      <c r="A1223" s="12" t="s">
        <v>9612</v>
      </c>
    </row>
    <row r="1224">
      <c r="A1224" s="12" t="s">
        <v>9613</v>
      </c>
    </row>
    <row r="1225">
      <c r="A1225" s="12" t="s">
        <v>9614</v>
      </c>
    </row>
    <row r="1226">
      <c r="A1226" s="12" t="s">
        <v>9615</v>
      </c>
    </row>
    <row r="1227">
      <c r="A1227" s="12" t="s">
        <v>9616</v>
      </c>
    </row>
    <row r="1228">
      <c r="A1228" s="12" t="s">
        <v>9617</v>
      </c>
    </row>
    <row r="1229">
      <c r="A1229" s="12" t="s">
        <v>9618</v>
      </c>
    </row>
    <row r="1230">
      <c r="A1230" s="12" t="s">
        <v>9619</v>
      </c>
    </row>
    <row r="1231">
      <c r="A1231" s="12" t="s">
        <v>9620</v>
      </c>
    </row>
    <row r="1232">
      <c r="A1232" s="12" t="s">
        <v>9621</v>
      </c>
    </row>
    <row r="1233">
      <c r="A1233" s="12" t="s">
        <v>9622</v>
      </c>
    </row>
    <row r="1234">
      <c r="A1234" s="12" t="s">
        <v>9623</v>
      </c>
    </row>
    <row r="1235">
      <c r="A1235" s="12" t="s">
        <v>9624</v>
      </c>
    </row>
    <row r="1236">
      <c r="A1236" s="12" t="s">
        <v>9625</v>
      </c>
    </row>
    <row r="1237">
      <c r="A1237" s="12" t="s">
        <v>9626</v>
      </c>
    </row>
    <row r="1238">
      <c r="A1238" s="12" t="s">
        <v>9627</v>
      </c>
    </row>
    <row r="1239">
      <c r="A1239" s="12" t="s">
        <v>9628</v>
      </c>
    </row>
    <row r="1240">
      <c r="A1240" s="12" t="s">
        <v>9629</v>
      </c>
    </row>
    <row r="1241">
      <c r="A1241" s="12" t="s">
        <v>9630</v>
      </c>
    </row>
    <row r="1242">
      <c r="A1242" s="12" t="s">
        <v>9631</v>
      </c>
    </row>
    <row r="1243">
      <c r="A1243" s="12" t="s">
        <v>9632</v>
      </c>
    </row>
    <row r="1244">
      <c r="A1244" s="12" t="s">
        <v>9633</v>
      </c>
    </row>
    <row r="1245">
      <c r="A1245" s="12" t="s">
        <v>9634</v>
      </c>
    </row>
    <row r="1246">
      <c r="A1246" s="12" t="s">
        <v>9635</v>
      </c>
    </row>
    <row r="1247">
      <c r="A1247" s="12" t="s">
        <v>9636</v>
      </c>
    </row>
    <row r="1248">
      <c r="A1248" s="12" t="s">
        <v>9637</v>
      </c>
    </row>
    <row r="1249">
      <c r="A1249" s="12" t="s">
        <v>9638</v>
      </c>
    </row>
    <row r="1250">
      <c r="A1250" s="12" t="s">
        <v>9639</v>
      </c>
    </row>
    <row r="1251">
      <c r="A1251" s="12" t="s">
        <v>9640</v>
      </c>
    </row>
    <row r="1252">
      <c r="A1252" s="12" t="s">
        <v>9641</v>
      </c>
    </row>
    <row r="1253">
      <c r="A1253" s="12" t="s">
        <v>9642</v>
      </c>
    </row>
    <row r="1254">
      <c r="A1254" s="12" t="s">
        <v>9643</v>
      </c>
    </row>
    <row r="1255">
      <c r="A1255" s="12" t="s">
        <v>9644</v>
      </c>
    </row>
    <row r="1256">
      <c r="A1256" s="12" t="s">
        <v>9645</v>
      </c>
    </row>
    <row r="1257">
      <c r="A1257" s="12" t="s">
        <v>9646</v>
      </c>
    </row>
    <row r="1258">
      <c r="A1258" s="12" t="s">
        <v>9647</v>
      </c>
    </row>
    <row r="1259">
      <c r="A1259" s="12" t="s">
        <v>9648</v>
      </c>
    </row>
    <row r="1260">
      <c r="A1260" s="12" t="s">
        <v>9649</v>
      </c>
    </row>
    <row r="1261">
      <c r="A1261" s="12" t="s">
        <v>9650</v>
      </c>
    </row>
    <row r="1262">
      <c r="A1262" s="12" t="s">
        <v>9651</v>
      </c>
    </row>
    <row r="1263">
      <c r="A1263" s="12" t="s">
        <v>9652</v>
      </c>
    </row>
    <row r="1264">
      <c r="A1264" s="12" t="s">
        <v>9653</v>
      </c>
    </row>
    <row r="1265">
      <c r="A1265" s="12" t="s">
        <v>9654</v>
      </c>
    </row>
    <row r="1266">
      <c r="A1266" s="12" t="s">
        <v>9655</v>
      </c>
    </row>
    <row r="1267">
      <c r="A1267" s="12" t="s">
        <v>9656</v>
      </c>
    </row>
    <row r="1268">
      <c r="A1268" s="12" t="s">
        <v>9657</v>
      </c>
    </row>
    <row r="1269">
      <c r="A1269" s="12" t="s">
        <v>9658</v>
      </c>
    </row>
    <row r="1270">
      <c r="A1270" s="12" t="s">
        <v>9659</v>
      </c>
    </row>
    <row r="1271">
      <c r="A1271" s="12" t="s">
        <v>9660</v>
      </c>
    </row>
    <row r="1272">
      <c r="A1272" s="12" t="s">
        <v>9661</v>
      </c>
    </row>
    <row r="1273">
      <c r="A1273" s="12" t="s">
        <v>9662</v>
      </c>
    </row>
    <row r="1274">
      <c r="A1274" s="12" t="s">
        <v>9663</v>
      </c>
    </row>
    <row r="1275">
      <c r="A1275" s="12" t="s">
        <v>9664</v>
      </c>
    </row>
    <row r="1276">
      <c r="A1276" s="12" t="s">
        <v>9665</v>
      </c>
    </row>
    <row r="1277">
      <c r="A1277" s="12" t="s">
        <v>9666</v>
      </c>
    </row>
    <row r="1278">
      <c r="A1278" s="12" t="s">
        <v>9667</v>
      </c>
    </row>
    <row r="1279">
      <c r="A1279" s="12" t="s">
        <v>9668</v>
      </c>
    </row>
    <row r="1280">
      <c r="A1280" s="12" t="s">
        <v>9669</v>
      </c>
    </row>
    <row r="1281">
      <c r="A1281" s="12" t="s">
        <v>9670</v>
      </c>
    </row>
    <row r="1282">
      <c r="A1282" s="12" t="s">
        <v>9671</v>
      </c>
    </row>
    <row r="1283">
      <c r="A1283" s="12" t="s">
        <v>9672</v>
      </c>
    </row>
    <row r="1284">
      <c r="A1284" s="12" t="s">
        <v>9673</v>
      </c>
    </row>
    <row r="1285">
      <c r="A1285" s="12" t="s">
        <v>9674</v>
      </c>
    </row>
    <row r="1286">
      <c r="A1286" s="12" t="s">
        <v>9675</v>
      </c>
    </row>
    <row r="1287">
      <c r="A1287" s="12" t="s">
        <v>9676</v>
      </c>
    </row>
    <row r="1288">
      <c r="A1288" s="12" t="s">
        <v>9677</v>
      </c>
    </row>
    <row r="1289">
      <c r="A1289" s="12" t="s">
        <v>9678</v>
      </c>
    </row>
    <row r="1290">
      <c r="A1290" s="12" t="s">
        <v>9679</v>
      </c>
    </row>
    <row r="1291">
      <c r="A1291" s="12" t="s">
        <v>9680</v>
      </c>
    </row>
    <row r="1292">
      <c r="A1292" s="12" t="s">
        <v>9681</v>
      </c>
    </row>
    <row r="1293">
      <c r="A1293" s="12" t="s">
        <v>9682</v>
      </c>
    </row>
    <row r="1294">
      <c r="A1294" s="12" t="s">
        <v>9683</v>
      </c>
    </row>
    <row r="1295">
      <c r="A1295" s="12" t="s">
        <v>9684</v>
      </c>
    </row>
    <row r="1296">
      <c r="A1296" s="12" t="s">
        <v>9685</v>
      </c>
    </row>
    <row r="1297">
      <c r="A1297" s="12" t="s">
        <v>9686</v>
      </c>
    </row>
    <row r="1298">
      <c r="A1298" s="12" t="s">
        <v>9687</v>
      </c>
    </row>
    <row r="1299">
      <c r="A1299" s="12" t="s">
        <v>9688</v>
      </c>
    </row>
    <row r="1300">
      <c r="A1300" s="12" t="s">
        <v>9689</v>
      </c>
    </row>
    <row r="1301">
      <c r="A1301" s="12" t="s">
        <v>9690</v>
      </c>
    </row>
    <row r="1302">
      <c r="A1302" s="12" t="s">
        <v>9691</v>
      </c>
    </row>
    <row r="1303">
      <c r="A1303" s="12" t="s">
        <v>9692</v>
      </c>
    </row>
    <row r="1304">
      <c r="A1304" s="12" t="s">
        <v>9693</v>
      </c>
    </row>
    <row r="1305">
      <c r="A1305" s="12" t="s">
        <v>9694</v>
      </c>
    </row>
    <row r="1306">
      <c r="A1306" s="12" t="s">
        <v>9695</v>
      </c>
    </row>
    <row r="1307">
      <c r="A1307" s="12" t="s">
        <v>9696</v>
      </c>
    </row>
    <row r="1308">
      <c r="A1308" s="12" t="s">
        <v>9697</v>
      </c>
    </row>
    <row r="1309">
      <c r="A1309" s="12" t="s">
        <v>9698</v>
      </c>
    </row>
    <row r="1310">
      <c r="A1310" s="12" t="s">
        <v>9699</v>
      </c>
    </row>
    <row r="1311">
      <c r="A1311" s="12" t="s">
        <v>9700</v>
      </c>
    </row>
    <row r="1312">
      <c r="A1312" s="12" t="s">
        <v>9701</v>
      </c>
    </row>
    <row r="1313">
      <c r="A1313" s="12" t="s">
        <v>9702</v>
      </c>
    </row>
    <row r="1314">
      <c r="A1314" s="12" t="s">
        <v>9703</v>
      </c>
    </row>
    <row r="1315">
      <c r="A1315" s="12" t="s">
        <v>9704</v>
      </c>
    </row>
    <row r="1316">
      <c r="A1316" s="12" t="s">
        <v>9705</v>
      </c>
    </row>
    <row r="1317">
      <c r="A1317" s="12" t="s">
        <v>9706</v>
      </c>
    </row>
    <row r="1318">
      <c r="A1318" s="12" t="s">
        <v>9707</v>
      </c>
    </row>
    <row r="1319">
      <c r="A1319" s="12" t="s">
        <v>9708</v>
      </c>
    </row>
    <row r="1320">
      <c r="A1320" s="12" t="s">
        <v>9709</v>
      </c>
    </row>
    <row r="1321">
      <c r="A1321" s="12" t="s">
        <v>9710</v>
      </c>
    </row>
    <row r="1322">
      <c r="A1322" s="12" t="s">
        <v>9711</v>
      </c>
    </row>
    <row r="1323">
      <c r="A1323" s="12" t="s">
        <v>9712</v>
      </c>
    </row>
    <row r="1324">
      <c r="A1324" s="12" t="s">
        <v>9713</v>
      </c>
    </row>
    <row r="1325">
      <c r="A1325" s="12" t="s">
        <v>9714</v>
      </c>
    </row>
    <row r="1326">
      <c r="A1326" s="12" t="s">
        <v>9715</v>
      </c>
    </row>
    <row r="1327">
      <c r="A1327" s="12" t="s">
        <v>9716</v>
      </c>
    </row>
    <row r="1328">
      <c r="A1328" s="12" t="s">
        <v>9717</v>
      </c>
    </row>
    <row r="1329">
      <c r="A1329" s="12" t="s">
        <v>9718</v>
      </c>
    </row>
    <row r="1330">
      <c r="A1330" s="12" t="s">
        <v>9719</v>
      </c>
    </row>
    <row r="1331">
      <c r="A1331" s="12" t="s">
        <v>9720</v>
      </c>
    </row>
    <row r="1332">
      <c r="A1332" s="12" t="s">
        <v>9721</v>
      </c>
    </row>
    <row r="1333">
      <c r="A1333" s="12" t="s">
        <v>9722</v>
      </c>
    </row>
    <row r="1334">
      <c r="A1334" s="12" t="s">
        <v>9723</v>
      </c>
    </row>
    <row r="1335">
      <c r="A1335" s="12" t="s">
        <v>9724</v>
      </c>
    </row>
    <row r="1336">
      <c r="A1336" s="12" t="s">
        <v>9725</v>
      </c>
    </row>
    <row r="1337">
      <c r="A1337" s="12" t="s">
        <v>9726</v>
      </c>
    </row>
    <row r="1338">
      <c r="A1338" s="12" t="s">
        <v>9727</v>
      </c>
    </row>
    <row r="1339">
      <c r="A1339" s="12" t="s">
        <v>9728</v>
      </c>
    </row>
    <row r="1340">
      <c r="A1340" s="12" t="s">
        <v>9729</v>
      </c>
    </row>
    <row r="1341">
      <c r="A1341" s="12" t="s">
        <v>9730</v>
      </c>
    </row>
    <row r="1342">
      <c r="A1342" s="12" t="s">
        <v>9731</v>
      </c>
    </row>
    <row r="1343">
      <c r="A1343" s="12" t="s">
        <v>9732</v>
      </c>
    </row>
    <row r="1344">
      <c r="A1344" s="12" t="s">
        <v>9733</v>
      </c>
    </row>
    <row r="1345">
      <c r="A1345" s="12" t="s">
        <v>9734</v>
      </c>
    </row>
    <row r="1346">
      <c r="A1346" s="12" t="s">
        <v>9735</v>
      </c>
    </row>
    <row r="1347">
      <c r="A1347" s="12" t="s">
        <v>9736</v>
      </c>
    </row>
    <row r="1348">
      <c r="A1348" s="12" t="s">
        <v>9737</v>
      </c>
    </row>
    <row r="1349">
      <c r="A1349" s="12" t="s">
        <v>9738</v>
      </c>
    </row>
    <row r="1350">
      <c r="A1350" s="12" t="s">
        <v>9739</v>
      </c>
    </row>
    <row r="1351">
      <c r="A1351" s="12" t="s">
        <v>9740</v>
      </c>
    </row>
    <row r="1352">
      <c r="A1352" s="12" t="s">
        <v>9741</v>
      </c>
    </row>
    <row r="1353">
      <c r="A1353" s="12" t="s">
        <v>9742</v>
      </c>
    </row>
    <row r="1354">
      <c r="A1354" s="12" t="s">
        <v>9743</v>
      </c>
    </row>
    <row r="1355">
      <c r="A1355" s="12" t="s">
        <v>9744</v>
      </c>
    </row>
    <row r="1356">
      <c r="A1356" s="12" t="s">
        <v>9745</v>
      </c>
    </row>
    <row r="1357">
      <c r="A1357" s="12" t="s">
        <v>9746</v>
      </c>
    </row>
    <row r="1358">
      <c r="A1358" s="12" t="s">
        <v>9747</v>
      </c>
    </row>
    <row r="1359">
      <c r="A1359" s="12" t="s">
        <v>9748</v>
      </c>
    </row>
    <row r="1360">
      <c r="A1360" s="12" t="s">
        <v>9749</v>
      </c>
    </row>
    <row r="1361">
      <c r="A1361" s="12" t="s">
        <v>9750</v>
      </c>
    </row>
    <row r="1362">
      <c r="A1362" s="12" t="s">
        <v>9751</v>
      </c>
    </row>
    <row r="1363">
      <c r="A1363" s="12" t="s">
        <v>9752</v>
      </c>
    </row>
    <row r="1364">
      <c r="A1364" s="12" t="s">
        <v>9753</v>
      </c>
    </row>
    <row r="1365">
      <c r="A1365" s="12" t="s">
        <v>9754</v>
      </c>
    </row>
    <row r="1366">
      <c r="A1366" s="12" t="s">
        <v>9755</v>
      </c>
    </row>
    <row r="1367">
      <c r="A1367" s="12" t="s">
        <v>9756</v>
      </c>
    </row>
    <row r="1368">
      <c r="A1368" s="12" t="s">
        <v>9757</v>
      </c>
    </row>
    <row r="1369">
      <c r="A1369" s="12" t="s">
        <v>9758</v>
      </c>
    </row>
    <row r="1370">
      <c r="A1370" s="12" t="s">
        <v>9759</v>
      </c>
    </row>
    <row r="1371">
      <c r="A1371" s="12" t="s">
        <v>9760</v>
      </c>
    </row>
    <row r="1372">
      <c r="A1372" s="12" t="s">
        <v>9761</v>
      </c>
    </row>
    <row r="1373">
      <c r="A1373" s="12" t="s">
        <v>9762</v>
      </c>
    </row>
    <row r="1374">
      <c r="A1374" s="12" t="s">
        <v>9763</v>
      </c>
    </row>
    <row r="1375">
      <c r="A1375" s="12" t="s">
        <v>9764</v>
      </c>
    </row>
    <row r="1376">
      <c r="A1376" s="12" t="s">
        <v>9765</v>
      </c>
    </row>
    <row r="1377">
      <c r="A1377" s="12" t="s">
        <v>9766</v>
      </c>
    </row>
    <row r="1378">
      <c r="A1378" s="12" t="s">
        <v>9767</v>
      </c>
    </row>
    <row r="1379">
      <c r="A1379" s="12" t="s">
        <v>9768</v>
      </c>
    </row>
    <row r="1380">
      <c r="A1380" s="12" t="s">
        <v>9769</v>
      </c>
    </row>
    <row r="1381">
      <c r="A1381" s="12" t="s">
        <v>9770</v>
      </c>
    </row>
    <row r="1382">
      <c r="A1382" s="12" t="s">
        <v>9771</v>
      </c>
    </row>
    <row r="1383">
      <c r="A1383" s="12" t="s">
        <v>9772</v>
      </c>
    </row>
    <row r="1384">
      <c r="A1384" s="12" t="s">
        <v>9773</v>
      </c>
    </row>
    <row r="1385">
      <c r="A1385" s="12" t="s">
        <v>9774</v>
      </c>
    </row>
    <row r="1386">
      <c r="A1386" s="12" t="s">
        <v>9775</v>
      </c>
    </row>
    <row r="1387">
      <c r="A1387" s="12" t="s">
        <v>9776</v>
      </c>
    </row>
    <row r="1388">
      <c r="A1388" s="12" t="s">
        <v>9777</v>
      </c>
    </row>
    <row r="1389">
      <c r="A1389" s="12" t="s">
        <v>9778</v>
      </c>
    </row>
    <row r="1390">
      <c r="A1390" s="12" t="s">
        <v>9779</v>
      </c>
    </row>
    <row r="1391">
      <c r="A1391" s="12" t="s">
        <v>9780</v>
      </c>
    </row>
    <row r="1392">
      <c r="A1392" s="12" t="s">
        <v>9781</v>
      </c>
    </row>
    <row r="1393">
      <c r="A1393" s="12" t="s">
        <v>9782</v>
      </c>
    </row>
    <row r="1394">
      <c r="A1394" s="12" t="s">
        <v>9783</v>
      </c>
    </row>
    <row r="1395">
      <c r="A1395" s="12" t="s">
        <v>9784</v>
      </c>
    </row>
    <row r="1396">
      <c r="A1396" s="12" t="s">
        <v>9785</v>
      </c>
    </row>
    <row r="1397">
      <c r="A1397" s="12" t="s">
        <v>9786</v>
      </c>
    </row>
    <row r="1398">
      <c r="A1398" s="12" t="s">
        <v>9787</v>
      </c>
    </row>
    <row r="1399">
      <c r="A1399" s="12" t="s">
        <v>9788</v>
      </c>
    </row>
    <row r="1400">
      <c r="A1400" s="12" t="s">
        <v>9789</v>
      </c>
    </row>
    <row r="1401">
      <c r="A1401" s="12" t="s">
        <v>9790</v>
      </c>
    </row>
    <row r="1402">
      <c r="A1402" s="12" t="s">
        <v>9791</v>
      </c>
    </row>
    <row r="1403">
      <c r="A1403" s="12" t="s">
        <v>9792</v>
      </c>
    </row>
    <row r="1404">
      <c r="A1404" s="12" t="s">
        <v>9793</v>
      </c>
    </row>
    <row r="1405">
      <c r="A1405" s="12" t="s">
        <v>9794</v>
      </c>
    </row>
    <row r="1406">
      <c r="A1406" s="12" t="s">
        <v>9795</v>
      </c>
    </row>
    <row r="1407">
      <c r="A1407" s="12" t="s">
        <v>9796</v>
      </c>
    </row>
    <row r="1408">
      <c r="A1408" s="12" t="s">
        <v>9797</v>
      </c>
    </row>
    <row r="1409">
      <c r="A1409" s="12" t="s">
        <v>9798</v>
      </c>
    </row>
    <row r="1410">
      <c r="A1410" s="12" t="s">
        <v>9799</v>
      </c>
    </row>
    <row r="1411">
      <c r="A1411" s="12" t="s">
        <v>9800</v>
      </c>
    </row>
    <row r="1412">
      <c r="A1412" s="12" t="s">
        <v>9801</v>
      </c>
    </row>
    <row r="1413">
      <c r="A1413" s="12" t="s">
        <v>9802</v>
      </c>
    </row>
    <row r="1414">
      <c r="A1414" s="12" t="s">
        <v>9803</v>
      </c>
    </row>
    <row r="1415">
      <c r="A1415" s="12" t="s">
        <v>9804</v>
      </c>
    </row>
    <row r="1416">
      <c r="A1416" s="12" t="s">
        <v>9805</v>
      </c>
    </row>
    <row r="1417">
      <c r="A1417" s="12" t="s">
        <v>9806</v>
      </c>
    </row>
    <row r="1418">
      <c r="A1418" s="12" t="s">
        <v>9807</v>
      </c>
    </row>
    <row r="1419">
      <c r="A1419" s="12" t="s">
        <v>9808</v>
      </c>
    </row>
    <row r="1420">
      <c r="A1420" s="12" t="s">
        <v>9809</v>
      </c>
    </row>
    <row r="1421">
      <c r="A1421" s="12" t="s">
        <v>9810</v>
      </c>
    </row>
    <row r="1422">
      <c r="A1422" s="12" t="s">
        <v>9811</v>
      </c>
    </row>
    <row r="1423">
      <c r="A1423" s="12" t="s">
        <v>9812</v>
      </c>
    </row>
    <row r="1424">
      <c r="A1424" s="12" t="s">
        <v>9813</v>
      </c>
    </row>
    <row r="1425">
      <c r="A1425" s="12" t="s">
        <v>9814</v>
      </c>
    </row>
    <row r="1426">
      <c r="A1426" s="12" t="s">
        <v>9815</v>
      </c>
    </row>
    <row r="1427">
      <c r="A1427" s="12" t="s">
        <v>9816</v>
      </c>
    </row>
    <row r="1428">
      <c r="A1428" s="12" t="s">
        <v>9817</v>
      </c>
    </row>
    <row r="1429">
      <c r="A1429" s="12" t="s">
        <v>9818</v>
      </c>
    </row>
    <row r="1430">
      <c r="A1430" s="12" t="s">
        <v>9819</v>
      </c>
    </row>
    <row r="1431">
      <c r="A1431" s="12" t="s">
        <v>9820</v>
      </c>
    </row>
    <row r="1432">
      <c r="A1432" s="12" t="s">
        <v>9821</v>
      </c>
    </row>
    <row r="1433">
      <c r="A1433" s="12" t="s">
        <v>9822</v>
      </c>
    </row>
    <row r="1434">
      <c r="A1434" s="12" t="s">
        <v>9823</v>
      </c>
    </row>
    <row r="1435">
      <c r="A1435" s="12" t="s">
        <v>9824</v>
      </c>
    </row>
    <row r="1436">
      <c r="A1436" s="12" t="s">
        <v>9825</v>
      </c>
    </row>
    <row r="1437">
      <c r="A1437" s="12" t="s">
        <v>9826</v>
      </c>
    </row>
    <row r="1438">
      <c r="A1438" s="12" t="s">
        <v>9827</v>
      </c>
    </row>
    <row r="1439">
      <c r="A1439" s="12" t="s">
        <v>9828</v>
      </c>
    </row>
    <row r="1440">
      <c r="A1440" s="12" t="s">
        <v>9829</v>
      </c>
    </row>
    <row r="1441">
      <c r="A1441" s="12" t="s">
        <v>9830</v>
      </c>
    </row>
    <row r="1442">
      <c r="A1442" s="12" t="s">
        <v>9831</v>
      </c>
    </row>
    <row r="1443">
      <c r="A1443" s="12" t="s">
        <v>9832</v>
      </c>
    </row>
    <row r="1444">
      <c r="A1444" s="12" t="s">
        <v>9833</v>
      </c>
    </row>
    <row r="1445">
      <c r="A1445" s="12" t="s">
        <v>9834</v>
      </c>
    </row>
    <row r="1446">
      <c r="A1446" s="12" t="s">
        <v>9835</v>
      </c>
    </row>
    <row r="1447">
      <c r="A1447" s="12" t="s">
        <v>9836</v>
      </c>
    </row>
    <row r="1448">
      <c r="A1448" s="12" t="s">
        <v>9837</v>
      </c>
    </row>
    <row r="1449">
      <c r="A1449" s="12" t="s">
        <v>9838</v>
      </c>
    </row>
    <row r="1450">
      <c r="A1450" s="12" t="s">
        <v>9839</v>
      </c>
    </row>
    <row r="1451">
      <c r="A1451" s="12" t="s">
        <v>9840</v>
      </c>
    </row>
    <row r="1452">
      <c r="A1452" s="12" t="s">
        <v>9841</v>
      </c>
    </row>
    <row r="1453">
      <c r="A1453" s="12" t="s">
        <v>9842</v>
      </c>
    </row>
    <row r="1454">
      <c r="A1454" s="12" t="s">
        <v>9843</v>
      </c>
    </row>
    <row r="1455">
      <c r="A1455" s="12" t="s">
        <v>9844</v>
      </c>
    </row>
    <row r="1456">
      <c r="A1456" s="12" t="s">
        <v>9845</v>
      </c>
    </row>
    <row r="1457">
      <c r="A1457" s="12" t="s">
        <v>9846</v>
      </c>
    </row>
    <row r="1458">
      <c r="A1458" s="12" t="s">
        <v>9847</v>
      </c>
    </row>
    <row r="1459">
      <c r="A1459" s="12" t="s">
        <v>9848</v>
      </c>
    </row>
    <row r="1460">
      <c r="A1460" s="12" t="s">
        <v>9849</v>
      </c>
    </row>
    <row r="1461">
      <c r="A1461" s="12" t="s">
        <v>9850</v>
      </c>
    </row>
    <row r="1462">
      <c r="A1462" s="12" t="s">
        <v>9851</v>
      </c>
    </row>
    <row r="1463">
      <c r="A1463" s="12" t="s">
        <v>9852</v>
      </c>
    </row>
    <row r="1464">
      <c r="A1464" s="12" t="s">
        <v>9853</v>
      </c>
    </row>
    <row r="1465">
      <c r="A1465" s="12" t="s">
        <v>9854</v>
      </c>
    </row>
    <row r="1466">
      <c r="A1466" s="12" t="s">
        <v>9855</v>
      </c>
    </row>
    <row r="1467">
      <c r="A1467" s="12" t="s">
        <v>9856</v>
      </c>
    </row>
    <row r="1468">
      <c r="A1468" s="12" t="s">
        <v>9857</v>
      </c>
    </row>
    <row r="1469">
      <c r="A1469" s="12" t="s">
        <v>9858</v>
      </c>
    </row>
    <row r="1470">
      <c r="A1470" s="12" t="s">
        <v>9859</v>
      </c>
    </row>
    <row r="1471">
      <c r="A1471" s="12" t="s">
        <v>9860</v>
      </c>
    </row>
    <row r="1472">
      <c r="A1472" s="12" t="s">
        <v>9861</v>
      </c>
    </row>
    <row r="1473">
      <c r="A1473" s="12" t="s">
        <v>9862</v>
      </c>
    </row>
    <row r="1474">
      <c r="A1474" s="12" t="s">
        <v>9863</v>
      </c>
    </row>
    <row r="1475">
      <c r="A1475" s="12" t="s">
        <v>9864</v>
      </c>
    </row>
    <row r="1476">
      <c r="A1476" s="12" t="s">
        <v>9865</v>
      </c>
    </row>
    <row r="1477">
      <c r="A1477" s="12" t="s">
        <v>9866</v>
      </c>
    </row>
    <row r="1478">
      <c r="A1478" s="12" t="s">
        <v>9867</v>
      </c>
    </row>
    <row r="1479">
      <c r="A1479" s="12" t="s">
        <v>9868</v>
      </c>
    </row>
    <row r="1480">
      <c r="A1480" s="12" t="s">
        <v>9869</v>
      </c>
    </row>
    <row r="1481">
      <c r="A1481" s="12" t="s">
        <v>9870</v>
      </c>
    </row>
    <row r="1482">
      <c r="A1482" s="12" t="s">
        <v>9871</v>
      </c>
    </row>
    <row r="1483">
      <c r="A1483" s="12" t="s">
        <v>9872</v>
      </c>
    </row>
    <row r="1484">
      <c r="A1484" s="12" t="s">
        <v>9873</v>
      </c>
    </row>
    <row r="1485">
      <c r="A1485" s="12" t="s">
        <v>9874</v>
      </c>
    </row>
    <row r="1486">
      <c r="A1486" s="12" t="s">
        <v>9875</v>
      </c>
    </row>
    <row r="1487">
      <c r="A1487" s="12" t="s">
        <v>9876</v>
      </c>
    </row>
    <row r="1488">
      <c r="A1488" s="12" t="s">
        <v>9877</v>
      </c>
    </row>
    <row r="1489">
      <c r="A1489" s="12" t="s">
        <v>9878</v>
      </c>
    </row>
    <row r="1490">
      <c r="A1490" s="12" t="s">
        <v>9879</v>
      </c>
    </row>
    <row r="1491">
      <c r="A1491" s="12" t="s">
        <v>9880</v>
      </c>
    </row>
    <row r="1492">
      <c r="A1492" s="12" t="s">
        <v>9881</v>
      </c>
    </row>
    <row r="1493">
      <c r="A1493" s="12" t="s">
        <v>9882</v>
      </c>
    </row>
    <row r="1494">
      <c r="A1494" s="12" t="s">
        <v>9883</v>
      </c>
    </row>
    <row r="1495">
      <c r="A1495" s="12" t="s">
        <v>9884</v>
      </c>
    </row>
    <row r="1496">
      <c r="A1496" s="12" t="s">
        <v>9885</v>
      </c>
    </row>
    <row r="1497">
      <c r="A1497" s="12" t="s">
        <v>9886</v>
      </c>
    </row>
    <row r="1498">
      <c r="A1498" s="12" t="s">
        <v>9887</v>
      </c>
    </row>
    <row r="1499">
      <c r="A1499" s="12" t="s">
        <v>9888</v>
      </c>
    </row>
    <row r="1500">
      <c r="A1500" s="12" t="s">
        <v>9889</v>
      </c>
    </row>
    <row r="1501">
      <c r="A1501" s="12" t="s">
        <v>9890</v>
      </c>
    </row>
    <row r="1502">
      <c r="A1502" s="12" t="s">
        <v>9891</v>
      </c>
    </row>
    <row r="1503">
      <c r="A1503" s="12" t="s">
        <v>9892</v>
      </c>
    </row>
    <row r="1504">
      <c r="A1504" s="12" t="s">
        <v>9893</v>
      </c>
    </row>
    <row r="1505">
      <c r="A1505" s="12" t="s">
        <v>9894</v>
      </c>
    </row>
    <row r="1506">
      <c r="A1506" s="12" t="s">
        <v>9895</v>
      </c>
    </row>
    <row r="1507">
      <c r="A1507" s="12" t="s">
        <v>9896</v>
      </c>
    </row>
    <row r="1508">
      <c r="A1508" s="12" t="s">
        <v>9897</v>
      </c>
    </row>
    <row r="1509">
      <c r="A1509" s="12" t="s">
        <v>9898</v>
      </c>
    </row>
    <row r="1510">
      <c r="A1510" s="12" t="s">
        <v>9899</v>
      </c>
    </row>
    <row r="1511">
      <c r="A1511" s="12" t="s">
        <v>9900</v>
      </c>
    </row>
    <row r="1512">
      <c r="A1512" s="12" t="s">
        <v>9901</v>
      </c>
    </row>
    <row r="1513">
      <c r="A1513" s="12" t="s">
        <v>9902</v>
      </c>
    </row>
    <row r="1514">
      <c r="A1514" s="12" t="s">
        <v>9903</v>
      </c>
    </row>
    <row r="1515">
      <c r="A1515" s="12" t="s">
        <v>9904</v>
      </c>
    </row>
    <row r="1516">
      <c r="A1516" s="12" t="s">
        <v>9905</v>
      </c>
    </row>
    <row r="1517">
      <c r="A1517" s="12" t="s">
        <v>9906</v>
      </c>
    </row>
    <row r="1518">
      <c r="A1518" s="12" t="s">
        <v>9907</v>
      </c>
    </row>
    <row r="1519">
      <c r="A1519" s="12" t="s">
        <v>9908</v>
      </c>
    </row>
    <row r="1520">
      <c r="A1520" s="12" t="s">
        <v>9909</v>
      </c>
    </row>
    <row r="1521">
      <c r="A1521" s="12" t="s">
        <v>9910</v>
      </c>
    </row>
    <row r="1522">
      <c r="A1522" s="12" t="s">
        <v>9911</v>
      </c>
    </row>
    <row r="1523">
      <c r="A1523" s="12" t="s">
        <v>9912</v>
      </c>
    </row>
    <row r="1524">
      <c r="A1524" s="12" t="s">
        <v>9913</v>
      </c>
    </row>
    <row r="1525">
      <c r="A1525" s="12" t="s">
        <v>9914</v>
      </c>
    </row>
    <row r="1526">
      <c r="A1526" s="12" t="s">
        <v>9915</v>
      </c>
    </row>
    <row r="1527">
      <c r="A1527" s="12" t="s">
        <v>9916</v>
      </c>
    </row>
    <row r="1528">
      <c r="A1528" s="12" t="s">
        <v>9917</v>
      </c>
    </row>
    <row r="1529">
      <c r="A1529" s="12" t="s">
        <v>9918</v>
      </c>
    </row>
    <row r="1530">
      <c r="A1530" s="12" t="s">
        <v>9919</v>
      </c>
    </row>
    <row r="1531">
      <c r="A1531" s="12" t="s">
        <v>9920</v>
      </c>
    </row>
    <row r="1532">
      <c r="A1532" s="12" t="s">
        <v>9921</v>
      </c>
    </row>
    <row r="1533">
      <c r="A1533" s="12" t="s">
        <v>9922</v>
      </c>
    </row>
    <row r="1534">
      <c r="A1534" s="12" t="s">
        <v>9923</v>
      </c>
    </row>
    <row r="1535">
      <c r="A1535" s="12" t="s">
        <v>9924</v>
      </c>
    </row>
    <row r="1536">
      <c r="A1536" s="12" t="s">
        <v>9925</v>
      </c>
    </row>
    <row r="1537">
      <c r="A1537" s="12" t="s">
        <v>9926</v>
      </c>
    </row>
    <row r="1538">
      <c r="A1538" s="12" t="s">
        <v>9927</v>
      </c>
    </row>
    <row r="1539">
      <c r="A1539" s="12" t="s">
        <v>9928</v>
      </c>
    </row>
    <row r="1540">
      <c r="A1540" s="12" t="s">
        <v>9929</v>
      </c>
    </row>
    <row r="1541">
      <c r="A1541" s="12" t="s">
        <v>9930</v>
      </c>
    </row>
    <row r="1542">
      <c r="A1542" s="12" t="s">
        <v>9931</v>
      </c>
    </row>
    <row r="1543">
      <c r="A1543" s="12" t="s">
        <v>9932</v>
      </c>
    </row>
    <row r="1544">
      <c r="A1544" s="12" t="s">
        <v>9933</v>
      </c>
    </row>
    <row r="1545">
      <c r="A1545" s="12" t="s">
        <v>9934</v>
      </c>
    </row>
    <row r="1546">
      <c r="A1546" s="12" t="s">
        <v>9935</v>
      </c>
    </row>
    <row r="1547">
      <c r="A1547" s="12" t="s">
        <v>9936</v>
      </c>
    </row>
    <row r="1548">
      <c r="A1548" s="12" t="s">
        <v>9937</v>
      </c>
    </row>
    <row r="1549">
      <c r="A1549" s="12" t="s">
        <v>9938</v>
      </c>
    </row>
    <row r="1550">
      <c r="A1550" s="12" t="s">
        <v>9939</v>
      </c>
    </row>
    <row r="1551">
      <c r="A1551" s="12" t="s">
        <v>9940</v>
      </c>
    </row>
    <row r="1552">
      <c r="A1552" s="12" t="s">
        <v>9941</v>
      </c>
    </row>
    <row r="1553">
      <c r="A1553" s="12" t="s">
        <v>9942</v>
      </c>
    </row>
    <row r="1554">
      <c r="A1554" s="12" t="s">
        <v>9943</v>
      </c>
    </row>
    <row r="1555">
      <c r="A1555" s="12" t="s">
        <v>9944</v>
      </c>
    </row>
    <row r="1556">
      <c r="A1556" s="12" t="s">
        <v>9945</v>
      </c>
    </row>
    <row r="1557">
      <c r="A1557" s="12" t="s">
        <v>9946</v>
      </c>
    </row>
    <row r="1558">
      <c r="A1558" s="12" t="s">
        <v>9947</v>
      </c>
    </row>
    <row r="1559">
      <c r="A1559" s="12" t="s">
        <v>9948</v>
      </c>
    </row>
    <row r="1560">
      <c r="A1560" s="12" t="s">
        <v>9949</v>
      </c>
    </row>
    <row r="1561">
      <c r="A1561" s="12" t="s">
        <v>9950</v>
      </c>
    </row>
    <row r="1562">
      <c r="A1562" s="12" t="s">
        <v>9951</v>
      </c>
    </row>
    <row r="1563">
      <c r="A1563" s="12" t="s">
        <v>9952</v>
      </c>
    </row>
    <row r="1564">
      <c r="A1564" s="12" t="s">
        <v>9953</v>
      </c>
    </row>
    <row r="1565">
      <c r="A1565" s="12" t="s">
        <v>9954</v>
      </c>
    </row>
    <row r="1566">
      <c r="A1566" s="12" t="s">
        <v>9955</v>
      </c>
    </row>
    <row r="1567">
      <c r="A1567" s="12" t="s">
        <v>9956</v>
      </c>
    </row>
    <row r="1568">
      <c r="A1568" s="12" t="s">
        <v>9957</v>
      </c>
    </row>
    <row r="1569">
      <c r="A1569" s="12" t="s">
        <v>9958</v>
      </c>
    </row>
    <row r="1570">
      <c r="A1570" s="12" t="s">
        <v>9959</v>
      </c>
    </row>
    <row r="1571">
      <c r="A1571" s="12" t="s">
        <v>9960</v>
      </c>
    </row>
    <row r="1572">
      <c r="A1572" s="12" t="s">
        <v>9961</v>
      </c>
    </row>
    <row r="1573">
      <c r="A1573" s="12" t="s">
        <v>9962</v>
      </c>
    </row>
    <row r="1574">
      <c r="A1574" s="12" t="s">
        <v>9963</v>
      </c>
    </row>
    <row r="1575">
      <c r="A1575" s="12" t="s">
        <v>9964</v>
      </c>
    </row>
    <row r="1576">
      <c r="A1576" s="12" t="s">
        <v>9965</v>
      </c>
    </row>
    <row r="1577">
      <c r="A1577" s="12" t="s">
        <v>9966</v>
      </c>
    </row>
    <row r="1578">
      <c r="A1578" s="12" t="s">
        <v>9967</v>
      </c>
    </row>
    <row r="1579">
      <c r="A1579" s="12" t="s">
        <v>9968</v>
      </c>
    </row>
    <row r="1580">
      <c r="A1580" s="12" t="s">
        <v>9969</v>
      </c>
    </row>
    <row r="1581">
      <c r="A1581" s="12" t="s">
        <v>9970</v>
      </c>
    </row>
    <row r="1582">
      <c r="A1582" s="12" t="s">
        <v>9971</v>
      </c>
    </row>
    <row r="1583">
      <c r="A1583" s="12" t="s">
        <v>9972</v>
      </c>
    </row>
    <row r="1584">
      <c r="A1584" s="12" t="s">
        <v>9973</v>
      </c>
    </row>
    <row r="1585">
      <c r="A1585" s="12" t="s">
        <v>9974</v>
      </c>
    </row>
    <row r="1586">
      <c r="A1586" s="12" t="s">
        <v>9975</v>
      </c>
    </row>
    <row r="1587">
      <c r="A1587" s="12" t="s">
        <v>9976</v>
      </c>
    </row>
    <row r="1588">
      <c r="A1588" s="12" t="s">
        <v>9977</v>
      </c>
    </row>
    <row r="1589">
      <c r="A1589" s="12" t="s">
        <v>9978</v>
      </c>
    </row>
    <row r="1590">
      <c r="A1590" s="12" t="s">
        <v>9979</v>
      </c>
    </row>
    <row r="1591">
      <c r="A1591" s="12" t="s">
        <v>9980</v>
      </c>
    </row>
    <row r="1592">
      <c r="A1592" s="12" t="s">
        <v>9981</v>
      </c>
    </row>
    <row r="1593">
      <c r="A1593" s="12" t="s">
        <v>9982</v>
      </c>
    </row>
    <row r="1594">
      <c r="A1594" s="12" t="s">
        <v>9983</v>
      </c>
    </row>
    <row r="1595">
      <c r="A1595" s="12" t="s">
        <v>9984</v>
      </c>
    </row>
    <row r="1596">
      <c r="A1596" s="12" t="s">
        <v>9985</v>
      </c>
    </row>
    <row r="1597">
      <c r="A1597" s="12" t="s">
        <v>9986</v>
      </c>
    </row>
    <row r="1598">
      <c r="A1598" s="12" t="s">
        <v>9987</v>
      </c>
    </row>
    <row r="1599">
      <c r="A1599" s="12" t="s">
        <v>9988</v>
      </c>
    </row>
    <row r="1600">
      <c r="A1600" s="12" t="s">
        <v>9989</v>
      </c>
    </row>
    <row r="1601">
      <c r="A1601" s="12" t="s">
        <v>9990</v>
      </c>
    </row>
    <row r="1602">
      <c r="A1602" s="12" t="s">
        <v>9991</v>
      </c>
    </row>
    <row r="1603">
      <c r="A1603" s="12" t="s">
        <v>9992</v>
      </c>
    </row>
    <row r="1604">
      <c r="A1604" s="12" t="s">
        <v>9993</v>
      </c>
    </row>
    <row r="1605">
      <c r="A1605" s="12" t="s">
        <v>9994</v>
      </c>
    </row>
    <row r="1606">
      <c r="A1606" s="12" t="s">
        <v>9995</v>
      </c>
    </row>
    <row r="1607">
      <c r="A1607" s="12" t="s">
        <v>9996</v>
      </c>
    </row>
    <row r="1608">
      <c r="A1608" s="12" t="s">
        <v>9997</v>
      </c>
    </row>
    <row r="1609">
      <c r="A1609" s="12" t="s">
        <v>9998</v>
      </c>
    </row>
    <row r="1610">
      <c r="A1610" s="12" t="s">
        <v>9999</v>
      </c>
    </row>
    <row r="1611">
      <c r="A1611" s="12" t="s">
        <v>10000</v>
      </c>
    </row>
    <row r="1612">
      <c r="A1612" s="12" t="s">
        <v>10001</v>
      </c>
    </row>
    <row r="1613">
      <c r="A1613" s="12" t="s">
        <v>10002</v>
      </c>
    </row>
    <row r="1614">
      <c r="A1614" s="12" t="s">
        <v>10003</v>
      </c>
    </row>
    <row r="1615">
      <c r="A1615" s="12" t="s">
        <v>10004</v>
      </c>
    </row>
    <row r="1616">
      <c r="A1616" s="12" t="s">
        <v>10005</v>
      </c>
    </row>
    <row r="1617">
      <c r="A1617" s="12" t="s">
        <v>10006</v>
      </c>
    </row>
    <row r="1618">
      <c r="A1618" s="12" t="s">
        <v>10007</v>
      </c>
    </row>
    <row r="1619">
      <c r="A1619" s="12" t="s">
        <v>10008</v>
      </c>
    </row>
    <row r="1620">
      <c r="A1620" s="12" t="s">
        <v>10009</v>
      </c>
    </row>
    <row r="1621">
      <c r="A1621" s="12" t="s">
        <v>10010</v>
      </c>
    </row>
    <row r="1622">
      <c r="A1622" s="12" t="s">
        <v>10011</v>
      </c>
    </row>
    <row r="1623">
      <c r="A1623" s="12" t="s">
        <v>10012</v>
      </c>
    </row>
    <row r="1624">
      <c r="A1624" s="12" t="s">
        <v>10013</v>
      </c>
    </row>
    <row r="1625">
      <c r="A1625" s="12" t="s">
        <v>10014</v>
      </c>
    </row>
    <row r="1626">
      <c r="A1626" s="12" t="s">
        <v>10015</v>
      </c>
    </row>
    <row r="1627">
      <c r="A1627" s="12" t="s">
        <v>10016</v>
      </c>
    </row>
    <row r="1628">
      <c r="A1628" s="12" t="s">
        <v>10017</v>
      </c>
    </row>
    <row r="1629">
      <c r="A1629" s="12" t="s">
        <v>10018</v>
      </c>
    </row>
    <row r="1630">
      <c r="A1630" s="12" t="s">
        <v>10019</v>
      </c>
    </row>
    <row r="1631">
      <c r="A1631" s="12" t="s">
        <v>10020</v>
      </c>
    </row>
    <row r="1632">
      <c r="A1632" s="12" t="s">
        <v>10021</v>
      </c>
    </row>
    <row r="1633">
      <c r="A1633" s="12" t="s">
        <v>10022</v>
      </c>
    </row>
    <row r="1634">
      <c r="A1634" s="12" t="s">
        <v>10023</v>
      </c>
    </row>
    <row r="1635">
      <c r="A1635" s="12" t="s">
        <v>10024</v>
      </c>
    </row>
    <row r="1636">
      <c r="A1636" s="12" t="s">
        <v>10025</v>
      </c>
    </row>
    <row r="1637">
      <c r="A1637" s="12" t="s">
        <v>10026</v>
      </c>
    </row>
    <row r="1638">
      <c r="A1638" s="12" t="s">
        <v>10027</v>
      </c>
    </row>
    <row r="1639">
      <c r="A1639" s="12" t="s">
        <v>10028</v>
      </c>
    </row>
    <row r="1640">
      <c r="A1640" s="12" t="s">
        <v>10029</v>
      </c>
    </row>
    <row r="1641">
      <c r="A1641" s="12" t="s">
        <v>10030</v>
      </c>
    </row>
    <row r="1642">
      <c r="A1642" s="12" t="s">
        <v>10031</v>
      </c>
    </row>
    <row r="1643">
      <c r="A1643" s="12" t="s">
        <v>10032</v>
      </c>
    </row>
    <row r="1644">
      <c r="A1644" s="12" t="s">
        <v>10033</v>
      </c>
    </row>
    <row r="1645">
      <c r="A1645" s="12" t="s">
        <v>10034</v>
      </c>
    </row>
    <row r="1646">
      <c r="A1646" s="12" t="s">
        <v>10035</v>
      </c>
    </row>
    <row r="1647">
      <c r="A1647" s="12" t="s">
        <v>10036</v>
      </c>
    </row>
    <row r="1648">
      <c r="A1648" s="12" t="s">
        <v>10037</v>
      </c>
    </row>
    <row r="1649">
      <c r="A1649" s="12" t="s">
        <v>10038</v>
      </c>
    </row>
    <row r="1650">
      <c r="A1650" s="12" t="s">
        <v>10039</v>
      </c>
    </row>
    <row r="1651">
      <c r="A1651" s="12" t="s">
        <v>10040</v>
      </c>
    </row>
    <row r="1652">
      <c r="A1652" s="12" t="s">
        <v>10041</v>
      </c>
    </row>
    <row r="1653">
      <c r="A1653" s="12" t="s">
        <v>10042</v>
      </c>
    </row>
    <row r="1654">
      <c r="A1654" s="12" t="s">
        <v>10043</v>
      </c>
    </row>
    <row r="1655">
      <c r="A1655" s="12" t="s">
        <v>10044</v>
      </c>
    </row>
    <row r="1656">
      <c r="A1656" s="12" t="s">
        <v>10045</v>
      </c>
    </row>
    <row r="1657">
      <c r="A1657" s="12" t="s">
        <v>10046</v>
      </c>
    </row>
    <row r="1658">
      <c r="A1658" s="12" t="s">
        <v>10047</v>
      </c>
    </row>
    <row r="1659">
      <c r="A1659" s="12" t="s">
        <v>10048</v>
      </c>
    </row>
    <row r="1660">
      <c r="A1660" s="12" t="s">
        <v>10049</v>
      </c>
    </row>
    <row r="1661">
      <c r="A1661" s="12" t="s">
        <v>10050</v>
      </c>
    </row>
    <row r="1662">
      <c r="A1662" s="12" t="s">
        <v>10051</v>
      </c>
    </row>
    <row r="1663">
      <c r="A1663" s="12" t="s">
        <v>10052</v>
      </c>
    </row>
    <row r="1664">
      <c r="A1664" s="12" t="s">
        <v>10053</v>
      </c>
    </row>
    <row r="1665">
      <c r="A1665" s="12" t="s">
        <v>10054</v>
      </c>
    </row>
    <row r="1666">
      <c r="A1666" s="12" t="s">
        <v>10055</v>
      </c>
    </row>
    <row r="1667">
      <c r="A1667" s="12" t="s">
        <v>10056</v>
      </c>
    </row>
    <row r="1668">
      <c r="A1668" s="12" t="s">
        <v>10057</v>
      </c>
    </row>
    <row r="1669">
      <c r="A1669" s="12" t="s">
        <v>10058</v>
      </c>
    </row>
    <row r="1670">
      <c r="A1670" s="12" t="s">
        <v>10059</v>
      </c>
    </row>
    <row r="1671">
      <c r="A1671" s="12" t="s">
        <v>10060</v>
      </c>
    </row>
    <row r="1672">
      <c r="A1672" s="12" t="s">
        <v>10061</v>
      </c>
    </row>
    <row r="1673">
      <c r="A1673" s="12" t="s">
        <v>10062</v>
      </c>
    </row>
    <row r="1674">
      <c r="A1674" s="12" t="s">
        <v>10063</v>
      </c>
    </row>
    <row r="1675">
      <c r="A1675" s="12" t="s">
        <v>10064</v>
      </c>
    </row>
    <row r="1676">
      <c r="A1676" s="12" t="s">
        <v>10065</v>
      </c>
    </row>
    <row r="1677">
      <c r="A1677" s="12" t="s">
        <v>10066</v>
      </c>
    </row>
    <row r="1678">
      <c r="A1678" s="12" t="s">
        <v>10067</v>
      </c>
    </row>
    <row r="1679">
      <c r="A1679" s="12" t="s">
        <v>10068</v>
      </c>
    </row>
    <row r="1680">
      <c r="A1680" s="12" t="s">
        <v>10069</v>
      </c>
    </row>
    <row r="1681">
      <c r="A1681" s="12" t="s">
        <v>10070</v>
      </c>
    </row>
    <row r="1682">
      <c r="A1682" s="12" t="s">
        <v>10071</v>
      </c>
    </row>
    <row r="1683">
      <c r="A1683" s="12" t="s">
        <v>10072</v>
      </c>
    </row>
    <row r="1684">
      <c r="A1684" s="12" t="s">
        <v>10073</v>
      </c>
    </row>
    <row r="1685">
      <c r="A1685" s="12" t="s">
        <v>10074</v>
      </c>
    </row>
    <row r="1686">
      <c r="A1686" s="12" t="s">
        <v>10075</v>
      </c>
    </row>
    <row r="1687">
      <c r="A1687" s="12" t="s">
        <v>10076</v>
      </c>
    </row>
    <row r="1688">
      <c r="A1688" s="12" t="s">
        <v>10077</v>
      </c>
    </row>
    <row r="1689">
      <c r="A1689" s="12" t="s">
        <v>10078</v>
      </c>
    </row>
    <row r="1690">
      <c r="A1690" s="12" t="s">
        <v>10079</v>
      </c>
    </row>
    <row r="1691">
      <c r="A1691" s="12" t="s">
        <v>10080</v>
      </c>
    </row>
    <row r="1692">
      <c r="A1692" s="12" t="s">
        <v>10081</v>
      </c>
    </row>
    <row r="1693">
      <c r="A1693" s="12" t="s">
        <v>10082</v>
      </c>
    </row>
    <row r="1694">
      <c r="A1694" s="12" t="s">
        <v>10083</v>
      </c>
    </row>
    <row r="1695">
      <c r="A1695" s="12" t="s">
        <v>10084</v>
      </c>
    </row>
    <row r="1696">
      <c r="A1696" s="12" t="s">
        <v>10085</v>
      </c>
    </row>
    <row r="1697">
      <c r="A1697" s="12" t="s">
        <v>10086</v>
      </c>
    </row>
    <row r="1698">
      <c r="A1698" s="12" t="s">
        <v>10087</v>
      </c>
    </row>
    <row r="1699">
      <c r="A1699" s="12" t="s">
        <v>10088</v>
      </c>
    </row>
  </sheetData>
  <drawing r:id="rId1"/>
</worksheet>
</file>